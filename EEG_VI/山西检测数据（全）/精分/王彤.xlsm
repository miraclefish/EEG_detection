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<sst xmlns="http://schemas.openxmlformats.org/spreadsheetml/2006/main" count="701" uniqueCount="571">
  <si>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</si>
  <si>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</si>
  <si>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</si>
  <si>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</si>
  <si>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</si>
  <si>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</si>
  <si>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</si>
  <si>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</si>
  <si>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</si>
  <si>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</si>
  <si>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</si>
  <si>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</si>
  <si>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</si>
  <si>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</si>
  <si>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</si>
  <si>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</si>
  <si>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</si>
  <si>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</si>
  <si>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</si>
  <si>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</si>
  <si>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</si>
  <si>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</si>
  <si>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</si>
  <si>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</si>
  <si>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</si>
  <si>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</si>
  <si>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</si>
  <si>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</si>
  <si>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</si>
  <si>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</si>
  <si>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</si>
  <si>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</si>
  <si>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</si>
  <si>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</si>
  <si>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</si>
  <si>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</si>
  <si>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</si>
  <si>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</si>
  <si>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</si>
  <si>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</si>
  <si>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</si>
  <si>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</si>
  <si>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</si>
  <si>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</si>
  <si>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</si>
  <si>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</si>
  <si>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</si>
  <si>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</si>
  <si>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</si>
  <si>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</si>
  <si>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</si>
  <si>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</si>
  <si>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</si>
  <si>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</si>
  <si>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</si>
  <si>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</si>
  <si>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</si>
  <si>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</si>
  <si>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</si>
  <si>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</si>
  <si>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</si>
  <si>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</si>
  <si>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</si>
  <si>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</si>
  <si>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</si>
  <si>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</si>
  <si>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</si>
  <si>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</si>
  <si>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</si>
  <si>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</si>
  <si>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</si>
  <si>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</si>
  <si>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</si>
  <si>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</si>
  <si>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</si>
  <si>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</si>
  <si>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</si>
  <si>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</si>
  <si>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</si>
  <si>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</si>
  <si>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</si>
  <si>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</si>
  <si>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</si>
  <si>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</si>
  <si>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</si>
  <si>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</si>
  <si>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</si>
  <si>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</si>
  <si>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</si>
  <si>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</si>
  <si>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</si>
  <si>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</si>
  <si>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</si>
  <si>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</si>
  <si>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</si>
  <si>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</si>
  <si>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</si>
  <si>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</si>
  <si>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</si>
  <si>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</si>
  <si>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</si>
  <si>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</si>
  <si>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</si>
  <si>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</si>
  <si>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</si>
  <si>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</si>
  <si>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</si>
  <si>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</si>
  <si>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</si>
  <si>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</si>
  <si>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</si>
  <si>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</si>
  <si>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</si>
  <si>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</si>
  <si>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</si>
  <si>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</si>
  <si>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</si>
  <si>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</si>
  <si>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</si>
  <si>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</si>
  <si>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</si>
  <si>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</si>
  <si>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</si>
  <si>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</si>
  <si>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</si>
  <si>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</si>
  <si>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</si>
  <si>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</si>
  <si>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</si>
  <si>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</si>
  <si>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</si>
  <si>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</si>
  <si>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</si>
  <si>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</si>
  <si>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</si>
  <si>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</si>
  <si>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</si>
  <si>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</si>
  <si>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</si>
  <si>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</si>
  <si>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</si>
  <si>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</si>
  <si>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</si>
  <si>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</si>
  <si>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</si>
  <si>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</si>
  <si>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</si>
  <si>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</si>
  <si>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</si>
  <si>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</si>
  <si>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</si>
  <si>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</si>
  <si>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</si>
  <si>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</si>
  <si>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</si>
  <si>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</si>
  <si>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</si>
  <si>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</si>
  <si>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</si>
  <si>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</si>
  <si>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</si>
  <si>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</si>
  <si>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</si>
  <si>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</si>
  <si>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</si>
  <si>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</si>
  <si>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</si>
  <si>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</si>
  <si>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</si>
  <si>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</si>
  <si>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</si>
  <si>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</si>
  <si>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</si>
  <si>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</si>
  <si>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</si>
  <si>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</si>
  <si>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</si>
  <si>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</si>
  <si>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</si>
  <si>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</si>
  <si>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</si>
  <si>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</si>
  <si>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</si>
  <si>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</si>
  <si>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</si>
  <si>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</si>
  <si>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</si>
  <si>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</si>
  <si>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</si>
  <si>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</si>
  <si>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</si>
  <si>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</si>
  <si>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</si>
  <si>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</si>
  <si>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</si>
  <si>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</si>
  <si>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</si>
  <si>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</si>
  <si>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</si>
  <si>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</si>
  <si>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</si>
  <si>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</si>
  <si>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</si>
  <si>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</si>
  <si>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</si>
  <si>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</si>
  <si>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</si>
  <si>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</si>
  <si>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</si>
  <si>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</si>
  <si>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</si>
  <si>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</si>
  <si>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</si>
  <si>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</si>
  <si>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</si>
  <si>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</si>
  <si>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</si>
  <si>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</si>
  <si>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</si>
  <si>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</si>
  <si>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</si>
  <si>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</si>
  <si>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</si>
  <si>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</si>
  <si>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</si>
  <si>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</si>
  <si>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</si>
  <si>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</si>
  <si>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</si>
  <si>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</si>
  <si>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</si>
  <si>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</si>
  <si>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</si>
  <si>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</si>
  <si>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</si>
  <si>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</si>
  <si>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</si>
  <si>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</si>
  <si>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</si>
  <si>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</si>
  <si>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</si>
  <si>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</si>
  <si>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</si>
  <si>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</si>
  <si>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</si>
  <si>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</si>
  <si>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</si>
  <si>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</si>
  <si>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</si>
  <si>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</si>
  <si>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</si>
  <si>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</si>
  <si>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</si>
  <si>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</si>
  <si>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</si>
  <si>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</si>
  <si>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</si>
  <si>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</si>
  <si>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</si>
  <si>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</si>
  <si>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</si>
  <si>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</si>
  <si>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</si>
  <si>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</si>
  <si>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</si>
  <si>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</si>
  <si>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</si>
  <si>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</si>
  <si>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</si>
  <si>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</si>
  <si>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</si>
  <si>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</si>
  <si>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</si>
  <si>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</si>
  <si>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</si>
  <si>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</si>
  <si>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</si>
  <si>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</si>
  <si>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</si>
  <si>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</si>
  <si>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</si>
  <si>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</si>
  <si>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</si>
  <si>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</si>
  <si>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</si>
  <si>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</si>
  <si>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</si>
  <si>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</si>
  <si>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</si>
  <si>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</si>
  <si>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</si>
  <si>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</si>
  <si>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</si>
  <si>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</si>
  <si>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</si>
  <si>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</si>
  <si>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</si>
  <si>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</si>
  <si>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</si>
  <si>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</si>
  <si>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</si>
  <si>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</si>
  <si>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</si>
  <si>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</si>
  <si>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</si>
  <si>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</si>
  <si>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</si>
  <si>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</si>
  <si>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</si>
  <si>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</si>
  <si>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</si>
  <si>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</si>
  <si>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</si>
  <si>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</si>
  <si>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</si>
  <si>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</si>
  <si>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</si>
  <si>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</si>
  <si>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</si>
  <si>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</si>
  <si>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</si>
  <si>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</si>
  <si>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</si>
  <si>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</si>
  <si>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</si>
  <si>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</si>
  <si>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</si>
  <si>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</si>
  <si>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</si>
  <si>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</si>
  <si>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</si>
  <si>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</si>
  <si>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</si>
  <si>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</si>
  <si>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</si>
  <si>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</si>
  <si>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</si>
  <si>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</si>
  <si>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</si>
  <si>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</si>
  <si>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</si>
  <si>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</si>
  <si>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</si>
  <si>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</si>
  <si>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</si>
  <si>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</si>
  <si>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</si>
  <si>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</si>
  <si>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</si>
  <si>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</si>
  <si>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</si>
  <si>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</si>
  <si>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</si>
  <si>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</si>
  <si>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</si>
  <si>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</si>
  <si>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</si>
  <si>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</si>
  <si>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</si>
  <si>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</si>
  <si>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</si>
  <si>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</si>
  <si>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</si>
  <si>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</si>
  <si>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</si>
  <si>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</si>
  <si>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</si>
  <si>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</si>
  <si>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</si>
  <si>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</si>
  <si>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</si>
  <si>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</si>
  <si>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</si>
  <si>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</si>
  <si>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</si>
  <si>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</si>
  <si>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</si>
  <si>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</si>
  <si>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</si>
  <si>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</si>
  <si>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</si>
  <si>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</si>
  <si>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</si>
  <si>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</si>
  <si>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</si>
  <si>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</si>
  <si>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</si>
  <si>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</si>
  <si>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</si>
  <si>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</si>
  <si>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</si>
  <si>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</si>
  <si>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</si>
  <si>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</si>
  <si>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</si>
  <si>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</si>
  <si>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</si>
  <si>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</si>
  <si>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</si>
  <si>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</si>
  <si>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</si>
  <si>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</si>
  <si>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</si>
  <si>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</si>
  <si>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</si>
  <si>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</si>
  <si>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</si>
  <si>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</si>
  <si>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</si>
  <si>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</si>
  <si>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[0.387572]</t>
  </si>
  <si>
    <t>1 [0.793223]</t>
  </si>
  <si>
    <t>1 [1.197251]</t>
  </si>
  <si>
    <t>1 [1.606180]</t>
  </si>
  <si>
    <t>1 [2.012053]</t>
  </si>
  <si>
    <t>1 [2.414898]</t>
  </si>
  <si>
    <t>1 [2.824086]</t>
  </si>
  <si>
    <t>1 [3.231839]</t>
  </si>
  <si>
    <t>1 [3.637680]</t>
  </si>
  <si>
    <t>1 [4.044620]</t>
  </si>
  <si>
    <t>1 [4.446575]</t>
  </si>
  <si>
    <t>1 [4.852501]</t>
  </si>
  <si>
    <t>1 [5.264326]</t>
  </si>
  <si>
    <t>1 [5.670291]</t>
  </si>
  <si>
    <t>1 [6.074174]</t>
  </si>
  <si>
    <t>1 [6.480091]</t>
  </si>
  <si>
    <t>1 [6.883077]</t>
  </si>
  <si>
    <t>1 [7.289913]</t>
  </si>
  <si>
    <t>1 [7.701753]</t>
  </si>
  <si>
    <t>1 [8.107691]</t>
  </si>
  <si>
    <t>1 [8.509649]</t>
  </si>
  <si>
    <t>1 [8.915904]</t>
  </si>
  <si>
    <t>1 [9.324482]</t>
  </si>
  <si>
    <t>1 [9.730386]</t>
  </si>
  <si>
    <t>1 [10.139573]</t>
  </si>
  <si>
    <t>1 [10.540285]</t>
  </si>
  <si>
    <t>1 [10.944156]</t>
  </si>
  <si>
    <t>1 [11.358060]</t>
  </si>
  <si>
    <t>1 [11.764004]</t>
  </si>
  <si>
    <t>1 [12.169870]</t>
  </si>
  <si>
    <t>1 [12.573924]</t>
  </si>
  <si>
    <t>1 [12.977672]</t>
  </si>
  <si>
    <t>1 [13.381774]</t>
  </si>
  <si>
    <t>1 [13.795685]</t>
  </si>
  <si>
    <t>1 [14.199441]</t>
  </si>
  <si>
    <t>1 [14.605619]</t>
  </si>
  <si>
    <t>1 [15.013291]</t>
  </si>
  <si>
    <t>1 [15.415163]</t>
  </si>
  <si>
    <t>1 [15.822340]</t>
  </si>
  <si>
    <t>1 [16.225972]</t>
  </si>
  <si>
    <t>1 [16.634046]</t>
  </si>
  <si>
    <t>1 [17.044019]</t>
  </si>
  <si>
    <t>1 [17.448785]</t>
  </si>
  <si>
    <t>1 [17.853813]</t>
  </si>
  <si>
    <t>1 [18.258636]</t>
  </si>
  <si>
    <t>1 [18.669517]</t>
  </si>
  <si>
    <t>1 [19.074365]</t>
  </si>
  <si>
    <t>1 [19.479299]</t>
  </si>
  <si>
    <t>1 [19.887289]</t>
  </si>
  <si>
    <t>1 [20.293374]</t>
  </si>
  <si>
    <t>1 [20.696212]</t>
  </si>
  <si>
    <t>1 [21.109023]</t>
  </si>
  <si>
    <t>1 [21.509925]</t>
  </si>
  <si>
    <t>1 [21.915922]</t>
  </si>
  <si>
    <t>1 [22.324763]</t>
  </si>
  <si>
    <t>1 [22.731650]</t>
  </si>
  <si>
    <t>1 [23.137536]</t>
  </si>
  <si>
    <t>1 [23.546524]</t>
  </si>
  <si>
    <t>1 [23.948352]</t>
  </si>
  <si>
    <t>1 [24.353291]</t>
  </si>
  <si>
    <t>1 [24.762331]</t>
  </si>
  <si>
    <t>1 [25.166070]</t>
  </si>
  <si>
    <t>1 [25.575021]</t>
  </si>
  <si>
    <t>1 [25.981025]</t>
  </si>
  <si>
    <t>1 [26.383973]</t>
  </si>
  <si>
    <t>1 [26.790073]</t>
  </si>
  <si>
    <t>1 [27.196659]</t>
  </si>
  <si>
    <t>1 [27.605877]</t>
  </si>
  <si>
    <t>1 [28.009641]</t>
  </si>
  <si>
    <t>1 [28.415481]</t>
  </si>
  <si>
    <t>1 [28.823284]</t>
  </si>
  <si>
    <t>1 [29.227314]</t>
  </si>
  <si>
    <t>1 [29.638330]</t>
  </si>
  <si>
    <t>2 [30.043121]</t>
  </si>
  <si>
    <t>2 [30.508851]</t>
  </si>
  <si>
    <t>2 [30.907372]</t>
  </si>
  <si>
    <t>2 [31.310725]</t>
  </si>
  <si>
    <t>2 [31.710683]</t>
  </si>
  <si>
    <t>2 [32.120564]</t>
  </si>
  <si>
    <t>2 [32.522640]</t>
  </si>
  <si>
    <t>2 [32.933388]</t>
  </si>
  <si>
    <t>2 [33.338550]</t>
  </si>
  <si>
    <t>2 [33.745188]</t>
  </si>
  <si>
    <t>2 [34.149283]</t>
  </si>
  <si>
    <t>2 [34.561005]</t>
  </si>
  <si>
    <t>2 [34.965004]</t>
  </si>
  <si>
    <t>2 [35.370860]</t>
  </si>
  <si>
    <t>2 [35.774879]</t>
  </si>
  <si>
    <t>2 [36.182027]</t>
  </si>
  <si>
    <t>2 [36.589028]</t>
  </si>
  <si>
    <t>2 [36.993592]</t>
  </si>
  <si>
    <t>2 [37.403478]</t>
  </si>
  <si>
    <t>2 [37.807420]</t>
  </si>
  <si>
    <t>2 [38.212254]</t>
  </si>
  <si>
    <t>2 [38.619196]</t>
  </si>
  <si>
    <t>2 [39.026065]</t>
  </si>
  <si>
    <t>2 [39.431087]</t>
  </si>
  <si>
    <t>2 [39.836905]</t>
  </si>
  <si>
    <t>2 [40.247831]</t>
  </si>
  <si>
    <t>2 [40.650738]</t>
  </si>
  <si>
    <t>2 [41.057651]</t>
  </si>
  <si>
    <t>2 [41.462864]</t>
  </si>
  <si>
    <t>2 [41.873614]</t>
  </si>
  <si>
    <t>2 [42.278352]</t>
  </si>
  <si>
    <t>2 [42.683301]</t>
  </si>
  <si>
    <t>2 [43.085219]</t>
  </si>
  <si>
    <t>2 [43.496324]</t>
  </si>
  <si>
    <t>2 [43.904126]</t>
  </si>
  <si>
    <t>2 [44.309956]</t>
  </si>
  <si>
    <t>2 [44.715809]</t>
  </si>
  <si>
    <t>2 [45.119832]</t>
  </si>
  <si>
    <t>2 [45.525941]</t>
  </si>
  <si>
    <t>2 [45.933760]</t>
  </si>
  <si>
    <t>2 [46.341565]</t>
  </si>
  <si>
    <t>2 [46.745488]</t>
  </si>
  <si>
    <t>2 [47.149367]</t>
  </si>
  <si>
    <t>2 [47.557477]</t>
  </si>
  <si>
    <t>2 [47.963203]</t>
  </si>
  <si>
    <t>2 [48.369124]</t>
  </si>
  <si>
    <t>2 [48.775986]</t>
  </si>
  <si>
    <t>2 [49.182002]</t>
  </si>
  <si>
    <t>2 [49.586828]</t>
  </si>
  <si>
    <t>2 [49.996692]</t>
  </si>
  <si>
    <t>2 [50.404673]</t>
  </si>
  <si>
    <t>2 [50.808517]</t>
  </si>
  <si>
    <t>2 [51.214504]</t>
  </si>
  <si>
    <t>2 [51.621734]</t>
  </si>
  <si>
    <t>2 [52.026317]</t>
  </si>
  <si>
    <t>2 [52.430200]</t>
  </si>
  <si>
    <t>2 [52.841150]</t>
  </si>
  <si>
    <t>2 [53.243061]</t>
  </si>
  <si>
    <t>2 [53.652226]</t>
  </si>
  <si>
    <t>2 [54.058866]</t>
  </si>
  <si>
    <t>2 [54.462828]</t>
  </si>
  <si>
    <t>2 [54.873867]</t>
  </si>
  <si>
    <t>2 [55.276611]</t>
  </si>
  <si>
    <t>2 [55.679556]</t>
  </si>
  <si>
    <t>2 [56.087576]</t>
  </si>
  <si>
    <t>2 [56.493438]</t>
  </si>
  <si>
    <t>2 [56.903293]</t>
  </si>
  <si>
    <t>2 [57.307268]</t>
  </si>
  <si>
    <t>2 [57.713172]</t>
  </si>
  <si>
    <t>2 [58.118195]</t>
  </si>
  <si>
    <t>2 [58.527981]</t>
  </si>
  <si>
    <t>2 [58.934850]</t>
  </si>
  <si>
    <t>2 [59.340791]</t>
  </si>
  <si>
    <t>2 [59.745732]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</si>
  <si>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</si>
  <si>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</si>
  <si>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</si>
  <si>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</si>
  <si>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</si>
  <si>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</si>
  <si>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</si>
  <si>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</si>
  <si>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</si>
  <si>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</si>
  <si>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</si>
  <si>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</si>
  <si>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</si>
  <si>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王彤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</si>
</sst>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33.112699999999997</c:v>
                </c:pt>
                <c:pt idx="1">
                  <c:v>43.272799999999997</c:v>
                </c:pt>
                <c:pt idx="2">
                  <c:v>29.0288</c:v>
                </c:pt>
                <c:pt idx="3">
                  <c:v>33.896999999999998</c:v>
                </c:pt>
                <c:pt idx="4">
                  <c:v>71.253699999999995</c:v>
                </c:pt>
                <c:pt idx="5">
                  <c:v>54.2684</c:v>
                </c:pt>
                <c:pt idx="6">
                  <c:v>15.547000000000001</c:v>
                </c:pt>
                <c:pt idx="7">
                  <c:v>62.035299999999999</c:v>
                </c:pt>
                <c:pt idx="8">
                  <c:v>14.896599999999999</c:v>
                </c:pt>
                <c:pt idx="9">
                  <c:v>25.2271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0.48053496981401972</c:v>
                </c:pt>
                <c:pt idx="1">
                  <c:v>0.32960364886359844</c:v>
                </c:pt>
                <c:pt idx="2">
                  <c:v>0.18986138132238181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17739</c:v>
                </c:pt>
                <c:pt idx="7">
                  <c:v>0</c:v>
                </c:pt>
                <c:pt idx="8">
                  <c:v>26224</c:v>
                </c:pt>
                <c:pt idx="9">
                  <c:v>0</c:v>
                </c:pt>
                <c:pt idx="10">
                  <c:v>0</c:v>
                </c:pt>
                <c:pt idx="11">
                  <c:v>37074</c:v>
                </c:pt>
                <c:pt idx="12">
                  <c:v>0</c:v>
                </c:pt>
                <c:pt idx="13">
                  <c:v>52033</c:v>
                </c:pt>
                <c:pt idx="14">
                  <c:v>0</c:v>
                </c:pt>
                <c:pt idx="15">
                  <c:v>0</c:v>
                </c:pt>
                <c:pt idx="16">
                  <c:v>61726</c:v>
                </c:pt>
                <c:pt idx="17">
                  <c:v>0</c:v>
                </c:pt>
                <c:pt idx="18">
                  <c:v>0</c:v>
                </c:pt>
                <c:pt idx="19">
                  <c:v>70121</c:v>
                </c:pt>
                <c:pt idx="20">
                  <c:v>0</c:v>
                </c:pt>
                <c:pt idx="21">
                  <c:v>71794</c:v>
                </c:pt>
                <c:pt idx="22">
                  <c:v>0</c:v>
                </c:pt>
                <c:pt idx="23">
                  <c:v>0</c:v>
                </c:pt>
                <c:pt idx="24">
                  <c:v>79439</c:v>
                </c:pt>
                <c:pt idx="25">
                  <c:v>0</c:v>
                </c:pt>
                <c:pt idx="26">
                  <c:v>86362</c:v>
                </c:pt>
                <c:pt idx="27">
                  <c:v>0</c:v>
                </c:pt>
                <c:pt idx="28">
                  <c:v>0</c:v>
                </c:pt>
                <c:pt idx="29">
                  <c:v>92621</c:v>
                </c:pt>
                <c:pt idx="30">
                  <c:v>0</c:v>
                </c:pt>
                <c:pt idx="31">
                  <c:v>96992</c:v>
                </c:pt>
                <c:pt idx="32">
                  <c:v>0</c:v>
                </c:pt>
                <c:pt idx="33">
                  <c:v>0</c:v>
                </c:pt>
                <c:pt idx="34">
                  <c:v>98770</c:v>
                </c:pt>
                <c:pt idx="35">
                  <c:v>0</c:v>
                </c:pt>
                <c:pt idx="36">
                  <c:v>0</c:v>
                </c:pt>
                <c:pt idx="37">
                  <c:v>102084</c:v>
                </c:pt>
                <c:pt idx="38">
                  <c:v>0</c:v>
                </c:pt>
                <c:pt idx="39">
                  <c:v>102679</c:v>
                </c:pt>
                <c:pt idx="40">
                  <c:v>0</c:v>
                </c:pt>
                <c:pt idx="41">
                  <c:v>0</c:v>
                </c:pt>
                <c:pt idx="42">
                  <c:v>110996</c:v>
                </c:pt>
                <c:pt idx="43">
                  <c:v>0</c:v>
                </c:pt>
                <c:pt idx="44">
                  <c:v>123557</c:v>
                </c:pt>
                <c:pt idx="45">
                  <c:v>0</c:v>
                </c:pt>
                <c:pt idx="46">
                  <c:v>0</c:v>
                </c:pt>
                <c:pt idx="47">
                  <c:v>115395</c:v>
                </c:pt>
                <c:pt idx="48">
                  <c:v>0</c:v>
                </c:pt>
                <c:pt idx="49">
                  <c:v>132901</c:v>
                </c:pt>
                <c:pt idx="50">
                  <c:v>0</c:v>
                </c:pt>
                <c:pt idx="51">
                  <c:v>0</c:v>
                </c:pt>
                <c:pt idx="52">
                  <c:v>134818</c:v>
                </c:pt>
                <c:pt idx="53">
                  <c:v>0</c:v>
                </c:pt>
                <c:pt idx="54">
                  <c:v>0</c:v>
                </c:pt>
                <c:pt idx="55">
                  <c:v>144193</c:v>
                </c:pt>
                <c:pt idx="56">
                  <c:v>0</c:v>
                </c:pt>
                <c:pt idx="57">
                  <c:v>151545</c:v>
                </c:pt>
                <c:pt idx="58">
                  <c:v>0</c:v>
                </c:pt>
                <c:pt idx="59">
                  <c:v>0</c:v>
                </c:pt>
                <c:pt idx="60">
                  <c:v>169298</c:v>
                </c:pt>
                <c:pt idx="61">
                  <c:v>0</c:v>
                </c:pt>
                <c:pt idx="62">
                  <c:v>164496</c:v>
                </c:pt>
                <c:pt idx="63">
                  <c:v>0</c:v>
                </c:pt>
                <c:pt idx="64">
                  <c:v>0</c:v>
                </c:pt>
                <c:pt idx="65">
                  <c:v>166664</c:v>
                </c:pt>
                <c:pt idx="66">
                  <c:v>0</c:v>
                </c:pt>
                <c:pt idx="67">
                  <c:v>176662</c:v>
                </c:pt>
                <c:pt idx="68">
                  <c:v>0</c:v>
                </c:pt>
                <c:pt idx="69">
                  <c:v>0</c:v>
                </c:pt>
                <c:pt idx="70">
                  <c:v>173740</c:v>
                </c:pt>
                <c:pt idx="71">
                  <c:v>0</c:v>
                </c:pt>
                <c:pt idx="72">
                  <c:v>0</c:v>
                </c:pt>
                <c:pt idx="73">
                  <c:v>172893</c:v>
                </c:pt>
                <c:pt idx="74">
                  <c:v>0</c:v>
                </c:pt>
                <c:pt idx="75">
                  <c:v>167496</c:v>
                </c:pt>
                <c:pt idx="76">
                  <c:v>0</c:v>
                </c:pt>
                <c:pt idx="77">
                  <c:v>0</c:v>
                </c:pt>
                <c:pt idx="78">
                  <c:v>152830</c:v>
                </c:pt>
                <c:pt idx="79">
                  <c:v>0</c:v>
                </c:pt>
                <c:pt idx="80">
                  <c:v>150777</c:v>
                </c:pt>
                <c:pt idx="81">
                  <c:v>0</c:v>
                </c:pt>
                <c:pt idx="82">
                  <c:v>0</c:v>
                </c:pt>
                <c:pt idx="83">
                  <c:v>137997</c:v>
                </c:pt>
                <c:pt idx="84">
                  <c:v>0</c:v>
                </c:pt>
                <c:pt idx="85">
                  <c:v>0</c:v>
                </c:pt>
                <c:pt idx="86">
                  <c:v>136208</c:v>
                </c:pt>
                <c:pt idx="87">
                  <c:v>0</c:v>
                </c:pt>
                <c:pt idx="88">
                  <c:v>145004</c:v>
                </c:pt>
                <c:pt idx="89">
                  <c:v>0</c:v>
                </c:pt>
                <c:pt idx="90">
                  <c:v>0</c:v>
                </c:pt>
                <c:pt idx="91">
                  <c:v>138277</c:v>
                </c:pt>
                <c:pt idx="92">
                  <c:v>0</c:v>
                </c:pt>
                <c:pt idx="93">
                  <c:v>126893</c:v>
                </c:pt>
                <c:pt idx="94">
                  <c:v>0</c:v>
                </c:pt>
                <c:pt idx="95">
                  <c:v>0</c:v>
                </c:pt>
                <c:pt idx="96">
                  <c:v>111751</c:v>
                </c:pt>
                <c:pt idx="97">
                  <c:v>0</c:v>
                </c:pt>
                <c:pt idx="98">
                  <c:v>100351</c:v>
                </c:pt>
                <c:pt idx="99">
                  <c:v>0</c:v>
                </c:pt>
                <c:pt idx="100">
                  <c:v>0</c:v>
                </c:pt>
                <c:pt idx="101">
                  <c:v>88038</c:v>
                </c:pt>
                <c:pt idx="102">
                  <c:v>0</c:v>
                </c:pt>
                <c:pt idx="103">
                  <c:v>0</c:v>
                </c:pt>
                <c:pt idx="104">
                  <c:v>80844</c:v>
                </c:pt>
                <c:pt idx="105">
                  <c:v>0</c:v>
                </c:pt>
                <c:pt idx="106">
                  <c:v>72360</c:v>
                </c:pt>
                <c:pt idx="107">
                  <c:v>0</c:v>
                </c:pt>
                <c:pt idx="108">
                  <c:v>0</c:v>
                </c:pt>
                <c:pt idx="109">
                  <c:v>59474</c:v>
                </c:pt>
                <c:pt idx="110">
                  <c:v>0</c:v>
                </c:pt>
                <c:pt idx="111">
                  <c:v>53239</c:v>
                </c:pt>
                <c:pt idx="112">
                  <c:v>0</c:v>
                </c:pt>
                <c:pt idx="113">
                  <c:v>0</c:v>
                </c:pt>
                <c:pt idx="114">
                  <c:v>50709</c:v>
                </c:pt>
                <c:pt idx="115">
                  <c:v>0</c:v>
                </c:pt>
                <c:pt idx="116">
                  <c:v>48011</c:v>
                </c:pt>
                <c:pt idx="117">
                  <c:v>0</c:v>
                </c:pt>
                <c:pt idx="118">
                  <c:v>0</c:v>
                </c:pt>
                <c:pt idx="119">
                  <c:v>40416</c:v>
                </c:pt>
                <c:pt idx="120">
                  <c:v>0</c:v>
                </c:pt>
                <c:pt idx="121">
                  <c:v>0</c:v>
                </c:pt>
                <c:pt idx="122">
                  <c:v>29430</c:v>
                </c:pt>
                <c:pt idx="123">
                  <c:v>0</c:v>
                </c:pt>
                <c:pt idx="124">
                  <c:v>25495</c:v>
                </c:pt>
                <c:pt idx="125">
                  <c:v>0</c:v>
                </c:pt>
                <c:pt idx="126">
                  <c:v>0</c:v>
                </c:pt>
                <c:pt idx="127">
                  <c:v>26491</c:v>
                </c:pt>
                <c:pt idx="128">
                  <c:v>0</c:v>
                </c:pt>
                <c:pt idx="129">
                  <c:v>26936</c:v>
                </c:pt>
                <c:pt idx="130">
                  <c:v>0</c:v>
                </c:pt>
                <c:pt idx="131">
                  <c:v>0</c:v>
                </c:pt>
                <c:pt idx="132">
                  <c:v>23921</c:v>
                </c:pt>
                <c:pt idx="133">
                  <c:v>0</c:v>
                </c:pt>
                <c:pt idx="134">
                  <c:v>20794</c:v>
                </c:pt>
                <c:pt idx="135">
                  <c:v>0</c:v>
                </c:pt>
                <c:pt idx="136">
                  <c:v>0</c:v>
                </c:pt>
                <c:pt idx="137">
                  <c:v>19594</c:v>
                </c:pt>
                <c:pt idx="138">
                  <c:v>0</c:v>
                </c:pt>
                <c:pt idx="139">
                  <c:v>0</c:v>
                </c:pt>
                <c:pt idx="140">
                  <c:v>18451</c:v>
                </c:pt>
                <c:pt idx="141">
                  <c:v>0</c:v>
                </c:pt>
                <c:pt idx="142">
                  <c:v>15088</c:v>
                </c:pt>
                <c:pt idx="143">
                  <c:v>0</c:v>
                </c:pt>
                <c:pt idx="144">
                  <c:v>0</c:v>
                </c:pt>
                <c:pt idx="145">
                  <c:v>10539</c:v>
                </c:pt>
                <c:pt idx="146">
                  <c:v>0</c:v>
                </c:pt>
                <c:pt idx="147">
                  <c:v>9842</c:v>
                </c:pt>
                <c:pt idx="148">
                  <c:v>0</c:v>
                </c:pt>
                <c:pt idx="149">
                  <c:v>0</c:v>
                </c:pt>
                <c:pt idx="150">
                  <c:v>5479</c:v>
                </c:pt>
                <c:pt idx="151">
                  <c:v>0</c:v>
                </c:pt>
                <c:pt idx="152">
                  <c:v>5739</c:v>
                </c:pt>
                <c:pt idx="153">
                  <c:v>0</c:v>
                </c:pt>
                <c:pt idx="154">
                  <c:v>0</c:v>
                </c:pt>
                <c:pt idx="155">
                  <c:v>4316</c:v>
                </c:pt>
                <c:pt idx="156">
                  <c:v>0</c:v>
                </c:pt>
                <c:pt idx="157">
                  <c:v>0</c:v>
                </c:pt>
                <c:pt idx="158">
                  <c:v>3119</c:v>
                </c:pt>
                <c:pt idx="159">
                  <c:v>0</c:v>
                </c:pt>
                <c:pt idx="160">
                  <c:v>611</c:v>
                </c:pt>
                <c:pt idx="161">
                  <c:v>0</c:v>
                </c:pt>
                <c:pt idx="162">
                  <c:v>0</c:v>
                </c:pt>
                <c:pt idx="163">
                  <c:v>121</c:v>
                </c:pt>
                <c:pt idx="164">
                  <c:v>0</c:v>
                </c:pt>
                <c:pt idx="165">
                  <c:v>179</c:v>
                </c:pt>
                <c:pt idx="166">
                  <c:v>0</c:v>
                </c:pt>
                <c:pt idx="167">
                  <c:v>0</c:v>
                </c:pt>
                <c:pt idx="168">
                  <c:v>120</c:v>
                </c:pt>
                <c:pt idx="169">
                  <c:v>0</c:v>
                </c:pt>
                <c:pt idx="170">
                  <c:v>0</c:v>
                </c:pt>
                <c:pt idx="171">
                  <c:v>60</c:v>
                </c:pt>
                <c:pt idx="172">
                  <c:v>0</c:v>
                </c:pt>
                <c:pt idx="173">
                  <c:v>296</c:v>
                </c:pt>
                <c:pt idx="174">
                  <c:v>0</c:v>
                </c:pt>
                <c:pt idx="175">
                  <c:v>0</c:v>
                </c:pt>
                <c:pt idx="176">
                  <c:v>1072</c:v>
                </c:pt>
                <c:pt idx="177">
                  <c:v>0</c:v>
                </c:pt>
                <c:pt idx="178">
                  <c:v>243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1.7713200000000002</c:v>
                </c:pt>
                <c:pt idx="1">
                  <c:v>1.8244400000000001</c:v>
                </c:pt>
                <c:pt idx="2">
                  <c:v>1.8739700000000001</c:v>
                </c:pt>
                <c:pt idx="3">
                  <c:v>1.92276</c:v>
                </c:pt>
                <c:pt idx="4">
                  <c:v>1.97018</c:v>
                </c:pt>
                <c:pt idx="5">
                  <c:v>2.0167099999999998</c:v>
                </c:pt>
                <c:pt idx="6">
                  <c:v>2.0634399999999999</c:v>
                </c:pt>
                <c:pt idx="7">
                  <c:v>2.11049</c:v>
                </c:pt>
                <c:pt idx="8">
                  <c:v>2.1558700000000002</c:v>
                </c:pt>
                <c:pt idx="9">
                  <c:v>2.2002099999999998</c:v>
                </c:pt>
                <c:pt idx="10">
                  <c:v>2.2468499999999998</c:v>
                </c:pt>
                <c:pt idx="11">
                  <c:v>2.2920099999999999</c:v>
                </c:pt>
                <c:pt idx="12">
                  <c:v>2.3376099999999997</c:v>
                </c:pt>
                <c:pt idx="13">
                  <c:v>2.3796600000000003</c:v>
                </c:pt>
                <c:pt idx="14">
                  <c:v>2.41736</c:v>
                </c:pt>
                <c:pt idx="15">
                  <c:v>2.4490700000000003</c:v>
                </c:pt>
                <c:pt idx="16">
                  <c:v>2.4779100000000001</c:v>
                </c:pt>
                <c:pt idx="17">
                  <c:v>2.5042799999999996</c:v>
                </c:pt>
                <c:pt idx="18">
                  <c:v>2.5296800000000004</c:v>
                </c:pt>
                <c:pt idx="19">
                  <c:v>2.5545499999999999</c:v>
                </c:pt>
                <c:pt idx="20">
                  <c:v>2.5728099999999996</c:v>
                </c:pt>
                <c:pt idx="21">
                  <c:v>2.5886199999999997</c:v>
                </c:pt>
                <c:pt idx="22">
                  <c:v>2.5984499999999997</c:v>
                </c:pt>
                <c:pt idx="23">
                  <c:v>2.6012600000000003</c:v>
                </c:pt>
                <c:pt idx="24">
                  <c:v>2.6048399999999998</c:v>
                </c:pt>
                <c:pt idx="25">
                  <c:v>2.6089099999999998</c:v>
                </c:pt>
                <c:pt idx="26">
                  <c:v>2.61164</c:v>
                </c:pt>
                <c:pt idx="27">
                  <c:v>2.6144499999999997</c:v>
                </c:pt>
                <c:pt idx="28">
                  <c:v>2.6155299999999997</c:v>
                </c:pt>
                <c:pt idx="29">
                  <c:v>2.61442</c:v>
                </c:pt>
                <c:pt idx="30">
                  <c:v>2.6118299999999999</c:v>
                </c:pt>
                <c:pt idx="31">
                  <c:v>2.6097900000000003</c:v>
                </c:pt>
                <c:pt idx="32">
                  <c:v>2.6051700000000002</c:v>
                </c:pt>
                <c:pt idx="33">
                  <c:v>2.5992999999999999</c:v>
                </c:pt>
                <c:pt idx="34">
                  <c:v>2.5918999999999999</c:v>
                </c:pt>
                <c:pt idx="35">
                  <c:v>2.5819599999999996</c:v>
                </c:pt>
                <c:pt idx="36">
                  <c:v>2.5710199999999999</c:v>
                </c:pt>
                <c:pt idx="37">
                  <c:v>2.5567299999999999</c:v>
                </c:pt>
                <c:pt idx="38">
                  <c:v>2.5441799999999999</c:v>
                </c:pt>
                <c:pt idx="39">
                  <c:v>2.53287</c:v>
                </c:pt>
                <c:pt idx="40">
                  <c:v>2.5247700000000002</c:v>
                </c:pt>
                <c:pt idx="41">
                  <c:v>2.5184299999999999</c:v>
                </c:pt>
                <c:pt idx="42">
                  <c:v>2.5095800000000001</c:v>
                </c:pt>
                <c:pt idx="43">
                  <c:v>2.4972599999999998</c:v>
                </c:pt>
                <c:pt idx="44">
                  <c:v>2.4852699999999999</c:v>
                </c:pt>
                <c:pt idx="45">
                  <c:v>2.47621</c:v>
                </c:pt>
                <c:pt idx="46">
                  <c:v>2.4680200000000001</c:v>
                </c:pt>
                <c:pt idx="47">
                  <c:v>2.4626600000000001</c:v>
                </c:pt>
                <c:pt idx="48">
                  <c:v>2.4599599999999997</c:v>
                </c:pt>
                <c:pt idx="49">
                  <c:v>2.4543499999999998</c:v>
                </c:pt>
                <c:pt idx="50">
                  <c:v>2.4494600000000002</c:v>
                </c:pt>
                <c:pt idx="51">
                  <c:v>2.4428299999999998</c:v>
                </c:pt>
                <c:pt idx="52">
                  <c:v>2.4331399999999999</c:v>
                </c:pt>
                <c:pt idx="53">
                  <c:v>2.4275600000000002</c:v>
                </c:pt>
                <c:pt idx="54">
                  <c:v>2.4212800000000003</c:v>
                </c:pt>
                <c:pt idx="55">
                  <c:v>2.4150800000000001</c:v>
                </c:pt>
                <c:pt idx="56">
                  <c:v>2.4043000000000001</c:v>
                </c:pt>
                <c:pt idx="57">
                  <c:v>2.3984000000000001</c:v>
                </c:pt>
                <c:pt idx="58">
                  <c:v>2.3944000000000001</c:v>
                </c:pt>
                <c:pt idx="59">
                  <c:v>2.39181</c:v>
                </c:pt>
                <c:pt idx="60">
                  <c:v>2.3860600000000001</c:v>
                </c:pt>
                <c:pt idx="61">
                  <c:v>2.38042</c:v>
                </c:pt>
                <c:pt idx="62">
                  <c:v>2.3761099999999997</c:v>
                </c:pt>
                <c:pt idx="63">
                  <c:v>2.3694200000000003</c:v>
                </c:pt>
                <c:pt idx="64">
                  <c:v>2.3624200000000002</c:v>
                </c:pt>
                <c:pt idx="65">
                  <c:v>2.3586</c:v>
                </c:pt>
                <c:pt idx="66">
                  <c:v>2.3571300000000002</c:v>
                </c:pt>
                <c:pt idx="67">
                  <c:v>2.3605400000000003</c:v>
                </c:pt>
                <c:pt idx="68">
                  <c:v>2.3662399999999999</c:v>
                </c:pt>
                <c:pt idx="69">
                  <c:v>2.3723800000000002</c:v>
                </c:pt>
                <c:pt idx="70">
                  <c:v>2.3798400000000002</c:v>
                </c:pt>
                <c:pt idx="71">
                  <c:v>2.39893</c:v>
                </c:pt>
                <c:pt idx="72">
                  <c:v>2.4085300000000003</c:v>
                </c:pt>
                <c:pt idx="73">
                  <c:v>2.4445100000000002</c:v>
                </c:pt>
                <c:pt idx="74">
                  <c:v>2.4709700000000003</c:v>
                </c:pt>
                <c:pt idx="75">
                  <c:v>2.4995000000000003</c:v>
                </c:pt>
                <c:pt idx="76">
                  <c:v>2.5309500000000003</c:v>
                </c:pt>
                <c:pt idx="77">
                  <c:v>2.5631399999999998</c:v>
                </c:pt>
                <c:pt idx="78">
                  <c:v>2.6001099999999999</c:v>
                </c:pt>
                <c:pt idx="79">
                  <c:v>2.6387999999999998</c:v>
                </c:pt>
                <c:pt idx="80">
                  <c:v>2.6777299999999999</c:v>
                </c:pt>
                <c:pt idx="81">
                  <c:v>2.7137099999999998</c:v>
                </c:pt>
                <c:pt idx="82">
                  <c:v>2.74892</c:v>
                </c:pt>
                <c:pt idx="83">
                  <c:v>2.7839900000000002</c:v>
                </c:pt>
                <c:pt idx="84">
                  <c:v>2.8191100000000002</c:v>
                </c:pt>
                <c:pt idx="85">
                  <c:v>2.8556399999999997</c:v>
                </c:pt>
                <c:pt idx="86">
                  <c:v>2.8934700000000002</c:v>
                </c:pt>
                <c:pt idx="87">
                  <c:v>2.93085</c:v>
                </c:pt>
                <c:pt idx="88">
                  <c:v>2.9643599999999997</c:v>
                </c:pt>
                <c:pt idx="89">
                  <c:v>2.9974699999999999</c:v>
                </c:pt>
                <c:pt idx="90">
                  <c:v>3.02664</c:v>
                </c:pt>
                <c:pt idx="91">
                  <c:v>3.0534699999999999</c:v>
                </c:pt>
                <c:pt idx="92">
                  <c:v>3.07877</c:v>
                </c:pt>
                <c:pt idx="93">
                  <c:v>3.1025700000000001</c:v>
                </c:pt>
                <c:pt idx="94">
                  <c:v>3.12561</c:v>
                </c:pt>
                <c:pt idx="95">
                  <c:v>3.14337</c:v>
                </c:pt>
                <c:pt idx="96">
                  <c:v>3.1548700000000003</c:v>
                </c:pt>
                <c:pt idx="97">
                  <c:v>3.1609799999999999</c:v>
                </c:pt>
                <c:pt idx="98">
                  <c:v>3.1656599999999999</c:v>
                </c:pt>
                <c:pt idx="99">
                  <c:v>3.1712800000000003</c:v>
                </c:pt>
                <c:pt idx="100">
                  <c:v>3.1765100000000004</c:v>
                </c:pt>
                <c:pt idx="101">
                  <c:v>3.1798700000000002</c:v>
                </c:pt>
                <c:pt idx="102">
                  <c:v>3.1816699999999996</c:v>
                </c:pt>
                <c:pt idx="103">
                  <c:v>3.1807800000000004</c:v>
                </c:pt>
                <c:pt idx="104">
                  <c:v>3.1781600000000001</c:v>
                </c:pt>
                <c:pt idx="105">
                  <c:v>3.1762200000000003</c:v>
                </c:pt>
                <c:pt idx="106">
                  <c:v>3.1737500000000001</c:v>
                </c:pt>
                <c:pt idx="107">
                  <c:v>3.169</c:v>
                </c:pt>
                <c:pt idx="108">
                  <c:v>3.1621999999999999</c:v>
                </c:pt>
                <c:pt idx="109">
                  <c:v>3.15273</c:v>
                </c:pt>
                <c:pt idx="110">
                  <c:v>3.1440200000000003</c:v>
                </c:pt>
                <c:pt idx="111">
                  <c:v>3.1360700000000001</c:v>
                </c:pt>
                <c:pt idx="112">
                  <c:v>3.1289299999999995</c:v>
                </c:pt>
                <c:pt idx="113">
                  <c:v>3.1252499999999999</c:v>
                </c:pt>
                <c:pt idx="114">
                  <c:v>3.1199599999999998</c:v>
                </c:pt>
                <c:pt idx="115">
                  <c:v>3.1126399999999999</c:v>
                </c:pt>
                <c:pt idx="116">
                  <c:v>3.1069200000000001</c:v>
                </c:pt>
                <c:pt idx="117">
                  <c:v>3.1008400000000003</c:v>
                </c:pt>
                <c:pt idx="118">
                  <c:v>3.09572</c:v>
                </c:pt>
                <c:pt idx="119">
                  <c:v>3.0918800000000002</c:v>
                </c:pt>
                <c:pt idx="120">
                  <c:v>3.0918000000000001</c:v>
                </c:pt>
                <c:pt idx="121">
                  <c:v>3.0910199999999999</c:v>
                </c:pt>
                <c:pt idx="122">
                  <c:v>3.0914000000000001</c:v>
                </c:pt>
                <c:pt idx="123">
                  <c:v>3.0899799999999997</c:v>
                </c:pt>
                <c:pt idx="124">
                  <c:v>3.0901899999999998</c:v>
                </c:pt>
                <c:pt idx="125">
                  <c:v>3.0888200000000001</c:v>
                </c:pt>
                <c:pt idx="126">
                  <c:v>3.0867699999999996</c:v>
                </c:pt>
                <c:pt idx="127">
                  <c:v>3.0859900000000002</c:v>
                </c:pt>
                <c:pt idx="128">
                  <c:v>3.0845899999999999</c:v>
                </c:pt>
                <c:pt idx="129">
                  <c:v>3.0824600000000002</c:v>
                </c:pt>
                <c:pt idx="130">
                  <c:v>3.0806899999999997</c:v>
                </c:pt>
                <c:pt idx="131">
                  <c:v>3.0808900000000001</c:v>
                </c:pt>
                <c:pt idx="132">
                  <c:v>3.0830200000000003</c:v>
                </c:pt>
                <c:pt idx="133">
                  <c:v>3.0868600000000002</c:v>
                </c:pt>
                <c:pt idx="134">
                  <c:v>3.0956099999999998</c:v>
                </c:pt>
                <c:pt idx="135">
                  <c:v>3.1016700000000004</c:v>
                </c:pt>
                <c:pt idx="136">
                  <c:v>3.1033899999999996</c:v>
                </c:pt>
                <c:pt idx="137">
                  <c:v>3.1023800000000001</c:v>
                </c:pt>
                <c:pt idx="138">
                  <c:v>3.0990899999999999</c:v>
                </c:pt>
                <c:pt idx="139">
                  <c:v>3.0966500000000003</c:v>
                </c:pt>
                <c:pt idx="140">
                  <c:v>3.10229</c:v>
                </c:pt>
                <c:pt idx="141">
                  <c:v>3.1016899999999996</c:v>
                </c:pt>
                <c:pt idx="142">
                  <c:v>3.1027300000000002</c:v>
                </c:pt>
                <c:pt idx="143">
                  <c:v>3.0989100000000001</c:v>
                </c:pt>
                <c:pt idx="144">
                  <c:v>3.0828299999999995</c:v>
                </c:pt>
                <c:pt idx="145">
                  <c:v>3.05105</c:v>
                </c:pt>
                <c:pt idx="146">
                  <c:v>3.0424199999999999</c:v>
                </c:pt>
                <c:pt idx="147">
                  <c:v>3.0276300000000003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59.516599999999997</c:v>
                </c:pt>
                <c:pt idx="1">
                  <c:v>58.749099999999999</c:v>
                </c:pt>
                <c:pt idx="2">
                  <c:v>58.034399999999998</c:v>
                </c:pt>
                <c:pt idx="3">
                  <c:v>57.356999999999999</c:v>
                </c:pt>
                <c:pt idx="4">
                  <c:v>56.793400000000005</c:v>
                </c:pt>
                <c:pt idx="5">
                  <c:v>56.264499999999998</c:v>
                </c:pt>
                <c:pt idx="6">
                  <c:v>55.758399999999995</c:v>
                </c:pt>
                <c:pt idx="7">
                  <c:v>55.269199999999998</c:v>
                </c:pt>
                <c:pt idx="8">
                  <c:v>54.816800000000001</c:v>
                </c:pt>
                <c:pt idx="9">
                  <c:v>54.425900000000006</c:v>
                </c:pt>
                <c:pt idx="10">
                  <c:v>53.925400000000003</c:v>
                </c:pt>
                <c:pt idx="11">
                  <c:v>53.455500000000001</c:v>
                </c:pt>
                <c:pt idx="12">
                  <c:v>52.955100000000002</c:v>
                </c:pt>
                <c:pt idx="13">
                  <c:v>52.601799999999997</c:v>
                </c:pt>
                <c:pt idx="14">
                  <c:v>52.337100000000007</c:v>
                </c:pt>
                <c:pt idx="15">
                  <c:v>52.223500000000001</c:v>
                </c:pt>
                <c:pt idx="16">
                  <c:v>52.1586</c:v>
                </c:pt>
                <c:pt idx="17">
                  <c:v>52.116500000000002</c:v>
                </c:pt>
                <c:pt idx="18">
                  <c:v>51.970300000000002</c:v>
                </c:pt>
                <c:pt idx="19">
                  <c:v>51.843399999999995</c:v>
                </c:pt>
                <c:pt idx="20">
                  <c:v>51.740900000000003</c:v>
                </c:pt>
                <c:pt idx="21">
                  <c:v>51.647600000000004</c:v>
                </c:pt>
                <c:pt idx="22">
                  <c:v>51.548000000000002</c:v>
                </c:pt>
                <c:pt idx="23">
                  <c:v>51.434000000000005</c:v>
                </c:pt>
                <c:pt idx="24">
                  <c:v>51.321300000000001</c:v>
                </c:pt>
                <c:pt idx="25">
                  <c:v>51.207100000000004</c:v>
                </c:pt>
                <c:pt idx="26">
                  <c:v>51.111200000000004</c:v>
                </c:pt>
                <c:pt idx="27">
                  <c:v>51.025699999999993</c:v>
                </c:pt>
                <c:pt idx="28">
                  <c:v>50.973400000000005</c:v>
                </c:pt>
                <c:pt idx="29">
                  <c:v>50.947299999999998</c:v>
                </c:pt>
                <c:pt idx="30">
                  <c:v>50.954799999999999</c:v>
                </c:pt>
                <c:pt idx="31">
                  <c:v>50.989899999999999</c:v>
                </c:pt>
                <c:pt idx="32">
                  <c:v>51.0563</c:v>
                </c:pt>
                <c:pt idx="33">
                  <c:v>51.1267</c:v>
                </c:pt>
                <c:pt idx="34">
                  <c:v>51.206600000000002</c:v>
                </c:pt>
                <c:pt idx="35">
                  <c:v>51.358800000000002</c:v>
                </c:pt>
                <c:pt idx="36">
                  <c:v>51.543199999999999</c:v>
                </c:pt>
                <c:pt idx="37">
                  <c:v>51.755899999999997</c:v>
                </c:pt>
                <c:pt idx="38">
                  <c:v>51.941099999999999</c:v>
                </c:pt>
                <c:pt idx="39">
                  <c:v>52.112299999999998</c:v>
                </c:pt>
                <c:pt idx="40">
                  <c:v>52.190099999999994</c:v>
                </c:pt>
                <c:pt idx="41">
                  <c:v>52.205999999999996</c:v>
                </c:pt>
                <c:pt idx="42">
                  <c:v>52.226599999999998</c:v>
                </c:pt>
                <c:pt idx="43">
                  <c:v>52.324300000000001</c:v>
                </c:pt>
                <c:pt idx="44">
                  <c:v>52.4255</c:v>
                </c:pt>
                <c:pt idx="45">
                  <c:v>52.456599999999995</c:v>
                </c:pt>
                <c:pt idx="46">
                  <c:v>52.517299999999999</c:v>
                </c:pt>
                <c:pt idx="47">
                  <c:v>52.539400000000001</c:v>
                </c:pt>
                <c:pt idx="48">
                  <c:v>52.519400000000005</c:v>
                </c:pt>
                <c:pt idx="49">
                  <c:v>52.509399999999992</c:v>
                </c:pt>
                <c:pt idx="50">
                  <c:v>52.525100000000002</c:v>
                </c:pt>
                <c:pt idx="51">
                  <c:v>52.476599999999998</c:v>
                </c:pt>
                <c:pt idx="52">
                  <c:v>52.413499999999999</c:v>
                </c:pt>
                <c:pt idx="53">
                  <c:v>52.408600000000007</c:v>
                </c:pt>
                <c:pt idx="54">
                  <c:v>52.353000000000009</c:v>
                </c:pt>
                <c:pt idx="55">
                  <c:v>52.242800000000003</c:v>
                </c:pt>
                <c:pt idx="56">
                  <c:v>52.050399999999996</c:v>
                </c:pt>
                <c:pt idx="57">
                  <c:v>51.832000000000001</c:v>
                </c:pt>
                <c:pt idx="58">
                  <c:v>51.584600000000002</c:v>
                </c:pt>
                <c:pt idx="59">
                  <c:v>51.412800000000004</c:v>
                </c:pt>
                <c:pt idx="60">
                  <c:v>51.147799999999997</c:v>
                </c:pt>
                <c:pt idx="61">
                  <c:v>50.937600000000003</c:v>
                </c:pt>
                <c:pt idx="62">
                  <c:v>50.808500000000002</c:v>
                </c:pt>
                <c:pt idx="63">
                  <c:v>50.6721</c:v>
                </c:pt>
                <c:pt idx="64">
                  <c:v>50.491500000000002</c:v>
                </c:pt>
                <c:pt idx="65">
                  <c:v>50.370000000000005</c:v>
                </c:pt>
                <c:pt idx="66">
                  <c:v>50.170899999999996</c:v>
                </c:pt>
                <c:pt idx="67">
                  <c:v>49.9178</c:v>
                </c:pt>
                <c:pt idx="68">
                  <c:v>49.6081</c:v>
                </c:pt>
                <c:pt idx="69">
                  <c:v>49.2791</c:v>
                </c:pt>
                <c:pt idx="70">
                  <c:v>48.931899999999999</c:v>
                </c:pt>
                <c:pt idx="71">
                  <c:v>48.182399999999994</c:v>
                </c:pt>
                <c:pt idx="72">
                  <c:v>47.752400000000002</c:v>
                </c:pt>
                <c:pt idx="73">
                  <c:v>46.556999999999995</c:v>
                </c:pt>
                <c:pt idx="74">
                  <c:v>45.768799999999999</c:v>
                </c:pt>
                <c:pt idx="75">
                  <c:v>44.9482</c:v>
                </c:pt>
                <c:pt idx="76">
                  <c:v>44.090800000000002</c:v>
                </c:pt>
                <c:pt idx="77">
                  <c:v>43.225700000000003</c:v>
                </c:pt>
                <c:pt idx="78">
                  <c:v>42.246499999999997</c:v>
                </c:pt>
                <c:pt idx="79">
                  <c:v>41.235199999999999</c:v>
                </c:pt>
                <c:pt idx="80">
                  <c:v>40.400000000000006</c:v>
                </c:pt>
                <c:pt idx="81">
                  <c:v>39.721499999999999</c:v>
                </c:pt>
                <c:pt idx="82">
                  <c:v>39.072499999999998</c:v>
                </c:pt>
                <c:pt idx="83">
                  <c:v>38.475300000000004</c:v>
                </c:pt>
                <c:pt idx="84">
                  <c:v>37.9681</c:v>
                </c:pt>
                <c:pt idx="85">
                  <c:v>37.498899999999999</c:v>
                </c:pt>
                <c:pt idx="86">
                  <c:v>37.068100000000001</c:v>
                </c:pt>
                <c:pt idx="87">
                  <c:v>36.697499999999998</c:v>
                </c:pt>
                <c:pt idx="88">
                  <c:v>36.440400000000004</c:v>
                </c:pt>
                <c:pt idx="89">
                  <c:v>36.1218</c:v>
                </c:pt>
                <c:pt idx="90">
                  <c:v>35.874400000000001</c:v>
                </c:pt>
                <c:pt idx="91">
                  <c:v>35.593899999999998</c:v>
                </c:pt>
                <c:pt idx="92">
                  <c:v>35.316800000000001</c:v>
                </c:pt>
                <c:pt idx="93">
                  <c:v>35.080099999999995</c:v>
                </c:pt>
                <c:pt idx="94">
                  <c:v>34.894399999999997</c:v>
                </c:pt>
                <c:pt idx="95">
                  <c:v>34.848199999999999</c:v>
                </c:pt>
                <c:pt idx="96">
                  <c:v>34.823</c:v>
                </c:pt>
                <c:pt idx="97">
                  <c:v>34.792899999999996</c:v>
                </c:pt>
                <c:pt idx="98">
                  <c:v>34.757399999999997</c:v>
                </c:pt>
                <c:pt idx="99">
                  <c:v>34.718199999999996</c:v>
                </c:pt>
                <c:pt idx="100">
                  <c:v>34.694199999999995</c:v>
                </c:pt>
                <c:pt idx="101">
                  <c:v>34.674700000000001</c:v>
                </c:pt>
                <c:pt idx="102">
                  <c:v>34.690599999999996</c:v>
                </c:pt>
                <c:pt idx="103">
                  <c:v>34.756300000000003</c:v>
                </c:pt>
                <c:pt idx="104">
                  <c:v>34.869499999999995</c:v>
                </c:pt>
                <c:pt idx="105">
                  <c:v>34.971499999999999</c:v>
                </c:pt>
                <c:pt idx="106">
                  <c:v>35.097999999999999</c:v>
                </c:pt>
                <c:pt idx="107">
                  <c:v>35.276800000000001</c:v>
                </c:pt>
                <c:pt idx="108">
                  <c:v>35.4465</c:v>
                </c:pt>
                <c:pt idx="109">
                  <c:v>35.604999999999997</c:v>
                </c:pt>
                <c:pt idx="110">
                  <c:v>35.772999999999996</c:v>
                </c:pt>
                <c:pt idx="111">
                  <c:v>35.958300000000001</c:v>
                </c:pt>
                <c:pt idx="112">
                  <c:v>36.110999999999997</c:v>
                </c:pt>
                <c:pt idx="113">
                  <c:v>36.221800000000002</c:v>
                </c:pt>
                <c:pt idx="114">
                  <c:v>36.417400000000001</c:v>
                </c:pt>
                <c:pt idx="115">
                  <c:v>36.590499999999999</c:v>
                </c:pt>
                <c:pt idx="116">
                  <c:v>36.769500000000001</c:v>
                </c:pt>
                <c:pt idx="117">
                  <c:v>36.991800000000005</c:v>
                </c:pt>
                <c:pt idx="118">
                  <c:v>37.209399999999995</c:v>
                </c:pt>
                <c:pt idx="119">
                  <c:v>37.371300000000005</c:v>
                </c:pt>
                <c:pt idx="120">
                  <c:v>37.4054</c:v>
                </c:pt>
                <c:pt idx="121">
                  <c:v>37.439799999999998</c:v>
                </c:pt>
                <c:pt idx="122">
                  <c:v>37.476199999999999</c:v>
                </c:pt>
                <c:pt idx="123">
                  <c:v>37.505400000000002</c:v>
                </c:pt>
                <c:pt idx="124">
                  <c:v>37.539299999999997</c:v>
                </c:pt>
                <c:pt idx="125">
                  <c:v>37.5869</c:v>
                </c:pt>
                <c:pt idx="126">
                  <c:v>37.648299999999999</c:v>
                </c:pt>
                <c:pt idx="127">
                  <c:v>37.705300000000001</c:v>
                </c:pt>
                <c:pt idx="128">
                  <c:v>37.754800000000003</c:v>
                </c:pt>
                <c:pt idx="129">
                  <c:v>37.816100000000006</c:v>
                </c:pt>
                <c:pt idx="130">
                  <c:v>37.862699999999997</c:v>
                </c:pt>
                <c:pt idx="131">
                  <c:v>37.838200000000001</c:v>
                </c:pt>
                <c:pt idx="132">
                  <c:v>37.767499999999998</c:v>
                </c:pt>
                <c:pt idx="133">
                  <c:v>37.680900000000001</c:v>
                </c:pt>
                <c:pt idx="134">
                  <c:v>37.543599999999998</c:v>
                </c:pt>
                <c:pt idx="135">
                  <c:v>37.417499999999997</c:v>
                </c:pt>
                <c:pt idx="136">
                  <c:v>37.278500000000001</c:v>
                </c:pt>
                <c:pt idx="137">
                  <c:v>37.2119</c:v>
                </c:pt>
                <c:pt idx="138">
                  <c:v>37.189799999999998</c:v>
                </c:pt>
                <c:pt idx="139">
                  <c:v>37.202600000000004</c:v>
                </c:pt>
                <c:pt idx="140">
                  <c:v>37.117400000000004</c:v>
                </c:pt>
                <c:pt idx="141">
                  <c:v>37.100699999999996</c:v>
                </c:pt>
                <c:pt idx="142">
                  <c:v>36.9925</c:v>
                </c:pt>
                <c:pt idx="143">
                  <c:v>36.898399999999995</c:v>
                </c:pt>
                <c:pt idx="144">
                  <c:v>36.991500000000002</c:v>
                </c:pt>
                <c:pt idx="145">
                  <c:v>37.248100000000001</c:v>
                </c:pt>
                <c:pt idx="146">
                  <c:v>37.251600000000003</c:v>
                </c:pt>
                <c:pt idx="147">
                  <c:v>37.204000000000001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1.7713200000000002</c:v>
                </c:pt>
                <c:pt idx="1">
                  <c:v>1.8244400000000001</c:v>
                </c:pt>
                <c:pt idx="2">
                  <c:v>1.8739700000000001</c:v>
                </c:pt>
                <c:pt idx="3">
                  <c:v>1.92276</c:v>
                </c:pt>
                <c:pt idx="4">
                  <c:v>1.97018</c:v>
                </c:pt>
                <c:pt idx="5">
                  <c:v>2.0167099999999998</c:v>
                </c:pt>
                <c:pt idx="6">
                  <c:v>2.0634399999999999</c:v>
                </c:pt>
                <c:pt idx="7">
                  <c:v>2.11049</c:v>
                </c:pt>
                <c:pt idx="8">
                  <c:v>2.1558700000000002</c:v>
                </c:pt>
                <c:pt idx="9">
                  <c:v>2.2002099999999998</c:v>
                </c:pt>
                <c:pt idx="10">
                  <c:v>2.2468499999999998</c:v>
                </c:pt>
                <c:pt idx="11">
                  <c:v>2.2920099999999999</c:v>
                </c:pt>
                <c:pt idx="12">
                  <c:v>2.3376099999999997</c:v>
                </c:pt>
                <c:pt idx="13">
                  <c:v>2.3796600000000003</c:v>
                </c:pt>
                <c:pt idx="14">
                  <c:v>2.41736</c:v>
                </c:pt>
                <c:pt idx="15">
                  <c:v>2.4490700000000003</c:v>
                </c:pt>
                <c:pt idx="16">
                  <c:v>2.4779100000000001</c:v>
                </c:pt>
                <c:pt idx="17">
                  <c:v>2.5042799999999996</c:v>
                </c:pt>
                <c:pt idx="18">
                  <c:v>2.5296800000000004</c:v>
                </c:pt>
                <c:pt idx="19">
                  <c:v>2.5545499999999999</c:v>
                </c:pt>
                <c:pt idx="20">
                  <c:v>2.5728099999999996</c:v>
                </c:pt>
                <c:pt idx="21">
                  <c:v>2.5886199999999997</c:v>
                </c:pt>
                <c:pt idx="22">
                  <c:v>2.5984499999999997</c:v>
                </c:pt>
                <c:pt idx="23">
                  <c:v>2.6012600000000003</c:v>
                </c:pt>
                <c:pt idx="24">
                  <c:v>2.6048399999999998</c:v>
                </c:pt>
                <c:pt idx="25">
                  <c:v>2.6089099999999998</c:v>
                </c:pt>
                <c:pt idx="26">
                  <c:v>2.61164</c:v>
                </c:pt>
                <c:pt idx="27">
                  <c:v>2.6144499999999997</c:v>
                </c:pt>
                <c:pt idx="28">
                  <c:v>2.6155299999999997</c:v>
                </c:pt>
                <c:pt idx="29">
                  <c:v>2.61442</c:v>
                </c:pt>
                <c:pt idx="30">
                  <c:v>2.6118299999999999</c:v>
                </c:pt>
                <c:pt idx="31">
                  <c:v>2.6097900000000003</c:v>
                </c:pt>
                <c:pt idx="32">
                  <c:v>2.6051700000000002</c:v>
                </c:pt>
                <c:pt idx="33">
                  <c:v>2.5992999999999999</c:v>
                </c:pt>
                <c:pt idx="34">
                  <c:v>2.5918999999999999</c:v>
                </c:pt>
                <c:pt idx="35">
                  <c:v>2.5819599999999996</c:v>
                </c:pt>
                <c:pt idx="36">
                  <c:v>2.5710199999999999</c:v>
                </c:pt>
                <c:pt idx="37">
                  <c:v>2.5567299999999999</c:v>
                </c:pt>
                <c:pt idx="38">
                  <c:v>2.5441799999999999</c:v>
                </c:pt>
                <c:pt idx="39">
                  <c:v>2.53287</c:v>
                </c:pt>
                <c:pt idx="40">
                  <c:v>2.5247700000000002</c:v>
                </c:pt>
                <c:pt idx="41">
                  <c:v>2.5184299999999999</c:v>
                </c:pt>
                <c:pt idx="42">
                  <c:v>2.5095800000000001</c:v>
                </c:pt>
                <c:pt idx="43">
                  <c:v>2.4972599999999998</c:v>
                </c:pt>
                <c:pt idx="44">
                  <c:v>2.4852699999999999</c:v>
                </c:pt>
                <c:pt idx="45">
                  <c:v>2.47621</c:v>
                </c:pt>
                <c:pt idx="46">
                  <c:v>2.4680200000000001</c:v>
                </c:pt>
                <c:pt idx="47">
                  <c:v>2.4626600000000001</c:v>
                </c:pt>
                <c:pt idx="48">
                  <c:v>2.4599599999999997</c:v>
                </c:pt>
                <c:pt idx="49">
                  <c:v>2.4543499999999998</c:v>
                </c:pt>
                <c:pt idx="50">
                  <c:v>2.4494600000000002</c:v>
                </c:pt>
                <c:pt idx="51">
                  <c:v>2.4428299999999998</c:v>
                </c:pt>
                <c:pt idx="52">
                  <c:v>2.4331399999999999</c:v>
                </c:pt>
                <c:pt idx="53">
                  <c:v>2.4275600000000002</c:v>
                </c:pt>
                <c:pt idx="54">
                  <c:v>2.4212800000000003</c:v>
                </c:pt>
                <c:pt idx="55">
                  <c:v>2.4150800000000001</c:v>
                </c:pt>
                <c:pt idx="56">
                  <c:v>2.4043000000000001</c:v>
                </c:pt>
                <c:pt idx="57">
                  <c:v>2.3984000000000001</c:v>
                </c:pt>
                <c:pt idx="58">
                  <c:v>2.3944000000000001</c:v>
                </c:pt>
                <c:pt idx="59">
                  <c:v>2.39181</c:v>
                </c:pt>
                <c:pt idx="60">
                  <c:v>2.3860600000000001</c:v>
                </c:pt>
                <c:pt idx="61">
                  <c:v>2.38042</c:v>
                </c:pt>
                <c:pt idx="62">
                  <c:v>2.3761099999999997</c:v>
                </c:pt>
                <c:pt idx="63">
                  <c:v>2.3694200000000003</c:v>
                </c:pt>
                <c:pt idx="64">
                  <c:v>2.3624200000000002</c:v>
                </c:pt>
                <c:pt idx="65">
                  <c:v>2.3586</c:v>
                </c:pt>
                <c:pt idx="66">
                  <c:v>2.3571300000000002</c:v>
                </c:pt>
                <c:pt idx="67">
                  <c:v>2.3605400000000003</c:v>
                </c:pt>
                <c:pt idx="68">
                  <c:v>2.3662399999999999</c:v>
                </c:pt>
                <c:pt idx="69">
                  <c:v>2.3723800000000002</c:v>
                </c:pt>
                <c:pt idx="70">
                  <c:v>2.3798400000000002</c:v>
                </c:pt>
                <c:pt idx="71">
                  <c:v>2.39893</c:v>
                </c:pt>
                <c:pt idx="72">
                  <c:v>2.4085300000000003</c:v>
                </c:pt>
                <c:pt idx="73">
                  <c:v>2.4445100000000002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59.516599999999997</c:v>
                </c:pt>
                <c:pt idx="1">
                  <c:v>58.749099999999999</c:v>
                </c:pt>
                <c:pt idx="2">
                  <c:v>58.034399999999998</c:v>
                </c:pt>
                <c:pt idx="3">
                  <c:v>57.356999999999999</c:v>
                </c:pt>
                <c:pt idx="4">
                  <c:v>56.793400000000005</c:v>
                </c:pt>
                <c:pt idx="5">
                  <c:v>56.264499999999998</c:v>
                </c:pt>
                <c:pt idx="6">
                  <c:v>55.758399999999995</c:v>
                </c:pt>
                <c:pt idx="7">
                  <c:v>55.269199999999998</c:v>
                </c:pt>
                <c:pt idx="8">
                  <c:v>54.816800000000001</c:v>
                </c:pt>
                <c:pt idx="9">
                  <c:v>54.425900000000006</c:v>
                </c:pt>
                <c:pt idx="10">
                  <c:v>53.925400000000003</c:v>
                </c:pt>
                <c:pt idx="11">
                  <c:v>53.455500000000001</c:v>
                </c:pt>
                <c:pt idx="12">
                  <c:v>52.955100000000002</c:v>
                </c:pt>
                <c:pt idx="13">
                  <c:v>52.601799999999997</c:v>
                </c:pt>
                <c:pt idx="14">
                  <c:v>52.337100000000007</c:v>
                </c:pt>
                <c:pt idx="15">
                  <c:v>52.223500000000001</c:v>
                </c:pt>
                <c:pt idx="16">
                  <c:v>52.1586</c:v>
                </c:pt>
                <c:pt idx="17">
                  <c:v>52.116500000000002</c:v>
                </c:pt>
                <c:pt idx="18">
                  <c:v>51.970300000000002</c:v>
                </c:pt>
                <c:pt idx="19">
                  <c:v>51.843399999999995</c:v>
                </c:pt>
                <c:pt idx="20">
                  <c:v>51.740900000000003</c:v>
                </c:pt>
                <c:pt idx="21">
                  <c:v>51.647600000000004</c:v>
                </c:pt>
                <c:pt idx="22">
                  <c:v>51.548000000000002</c:v>
                </c:pt>
                <c:pt idx="23">
                  <c:v>51.434000000000005</c:v>
                </c:pt>
                <c:pt idx="24">
                  <c:v>51.321300000000001</c:v>
                </c:pt>
                <c:pt idx="25">
                  <c:v>51.207100000000004</c:v>
                </c:pt>
                <c:pt idx="26">
                  <c:v>51.111200000000004</c:v>
                </c:pt>
                <c:pt idx="27">
                  <c:v>51.025699999999993</c:v>
                </c:pt>
                <c:pt idx="28">
                  <c:v>50.973400000000005</c:v>
                </c:pt>
                <c:pt idx="29">
                  <c:v>50.947299999999998</c:v>
                </c:pt>
                <c:pt idx="30">
                  <c:v>50.954799999999999</c:v>
                </c:pt>
                <c:pt idx="31">
                  <c:v>50.989899999999999</c:v>
                </c:pt>
                <c:pt idx="32">
                  <c:v>51.0563</c:v>
                </c:pt>
                <c:pt idx="33">
                  <c:v>51.1267</c:v>
                </c:pt>
                <c:pt idx="34">
                  <c:v>51.206600000000002</c:v>
                </c:pt>
                <c:pt idx="35">
                  <c:v>51.358800000000002</c:v>
                </c:pt>
                <c:pt idx="36">
                  <c:v>51.543199999999999</c:v>
                </c:pt>
                <c:pt idx="37">
                  <c:v>51.755899999999997</c:v>
                </c:pt>
                <c:pt idx="38">
                  <c:v>51.941099999999999</c:v>
                </c:pt>
                <c:pt idx="39">
                  <c:v>52.112299999999998</c:v>
                </c:pt>
                <c:pt idx="40">
                  <c:v>52.190099999999994</c:v>
                </c:pt>
                <c:pt idx="41">
                  <c:v>52.205999999999996</c:v>
                </c:pt>
                <c:pt idx="42">
                  <c:v>52.226599999999998</c:v>
                </c:pt>
                <c:pt idx="43">
                  <c:v>52.324300000000001</c:v>
                </c:pt>
                <c:pt idx="44">
                  <c:v>52.4255</c:v>
                </c:pt>
                <c:pt idx="45">
                  <c:v>52.456599999999995</c:v>
                </c:pt>
                <c:pt idx="46">
                  <c:v>52.517299999999999</c:v>
                </c:pt>
                <c:pt idx="47">
                  <c:v>52.539400000000001</c:v>
                </c:pt>
                <c:pt idx="48">
                  <c:v>52.519400000000005</c:v>
                </c:pt>
                <c:pt idx="49">
                  <c:v>52.509399999999992</c:v>
                </c:pt>
                <c:pt idx="50">
                  <c:v>52.525100000000002</c:v>
                </c:pt>
                <c:pt idx="51">
                  <c:v>52.476599999999998</c:v>
                </c:pt>
                <c:pt idx="52">
                  <c:v>52.413499999999999</c:v>
                </c:pt>
                <c:pt idx="53">
                  <c:v>52.408600000000007</c:v>
                </c:pt>
                <c:pt idx="54">
                  <c:v>52.353000000000009</c:v>
                </c:pt>
                <c:pt idx="55">
                  <c:v>52.242800000000003</c:v>
                </c:pt>
                <c:pt idx="56">
                  <c:v>52.050399999999996</c:v>
                </c:pt>
                <c:pt idx="57">
                  <c:v>51.832000000000001</c:v>
                </c:pt>
                <c:pt idx="58">
                  <c:v>51.584600000000002</c:v>
                </c:pt>
                <c:pt idx="59">
                  <c:v>51.412800000000004</c:v>
                </c:pt>
                <c:pt idx="60">
                  <c:v>51.147799999999997</c:v>
                </c:pt>
                <c:pt idx="61">
                  <c:v>50.937600000000003</c:v>
                </c:pt>
                <c:pt idx="62">
                  <c:v>50.808500000000002</c:v>
                </c:pt>
                <c:pt idx="63">
                  <c:v>50.6721</c:v>
                </c:pt>
                <c:pt idx="64">
                  <c:v>50.491500000000002</c:v>
                </c:pt>
                <c:pt idx="65">
                  <c:v>50.370000000000005</c:v>
                </c:pt>
                <c:pt idx="66">
                  <c:v>50.170899999999996</c:v>
                </c:pt>
                <c:pt idx="67">
                  <c:v>49.9178</c:v>
                </c:pt>
                <c:pt idx="68">
                  <c:v>49.6081</c:v>
                </c:pt>
                <c:pt idx="69">
                  <c:v>49.2791</c:v>
                </c:pt>
                <c:pt idx="70">
                  <c:v>48.931899999999999</c:v>
                </c:pt>
                <c:pt idx="71">
                  <c:v>48.182399999999994</c:v>
                </c:pt>
                <c:pt idx="72">
                  <c:v>47.752400000000002</c:v>
                </c:pt>
                <c:pt idx="73">
                  <c:v>46.556999999999995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2.4445100000000002</c:v>
                </c:pt>
                <c:pt idx="1">
                  <c:v>2.4709700000000003</c:v>
                </c:pt>
                <c:pt idx="2">
                  <c:v>2.4995000000000003</c:v>
                </c:pt>
                <c:pt idx="3">
                  <c:v>2.5309500000000003</c:v>
                </c:pt>
                <c:pt idx="4">
                  <c:v>2.5631399999999998</c:v>
                </c:pt>
                <c:pt idx="5">
                  <c:v>2.6001099999999999</c:v>
                </c:pt>
                <c:pt idx="6">
                  <c:v>2.6387999999999998</c:v>
                </c:pt>
                <c:pt idx="7">
                  <c:v>2.6777299999999999</c:v>
                </c:pt>
                <c:pt idx="8">
                  <c:v>2.7137099999999998</c:v>
                </c:pt>
                <c:pt idx="9">
                  <c:v>2.74892</c:v>
                </c:pt>
                <c:pt idx="10">
                  <c:v>2.7839900000000002</c:v>
                </c:pt>
                <c:pt idx="11">
                  <c:v>2.8191100000000002</c:v>
                </c:pt>
                <c:pt idx="12">
                  <c:v>2.8556399999999997</c:v>
                </c:pt>
                <c:pt idx="13">
                  <c:v>2.8934700000000002</c:v>
                </c:pt>
                <c:pt idx="14">
                  <c:v>2.93085</c:v>
                </c:pt>
                <c:pt idx="15">
                  <c:v>2.9643599999999997</c:v>
                </c:pt>
                <c:pt idx="16">
                  <c:v>2.9974699999999999</c:v>
                </c:pt>
                <c:pt idx="17">
                  <c:v>3.02664</c:v>
                </c:pt>
                <c:pt idx="18">
                  <c:v>3.0534699999999999</c:v>
                </c:pt>
                <c:pt idx="19">
                  <c:v>3.07877</c:v>
                </c:pt>
                <c:pt idx="20">
                  <c:v>3.1025700000000001</c:v>
                </c:pt>
                <c:pt idx="21">
                  <c:v>3.12561</c:v>
                </c:pt>
                <c:pt idx="22">
                  <c:v>3.14337</c:v>
                </c:pt>
                <c:pt idx="23">
                  <c:v>3.1548700000000003</c:v>
                </c:pt>
                <c:pt idx="24">
                  <c:v>3.1609799999999999</c:v>
                </c:pt>
                <c:pt idx="25">
                  <c:v>3.1656599999999999</c:v>
                </c:pt>
                <c:pt idx="26">
                  <c:v>3.1712800000000003</c:v>
                </c:pt>
                <c:pt idx="27">
                  <c:v>3.1765100000000004</c:v>
                </c:pt>
                <c:pt idx="28">
                  <c:v>3.1798700000000002</c:v>
                </c:pt>
                <c:pt idx="29">
                  <c:v>3.1816699999999996</c:v>
                </c:pt>
                <c:pt idx="30">
                  <c:v>3.1807800000000004</c:v>
                </c:pt>
                <c:pt idx="31">
                  <c:v>3.1781600000000001</c:v>
                </c:pt>
                <c:pt idx="32">
                  <c:v>3.1762200000000003</c:v>
                </c:pt>
                <c:pt idx="33">
                  <c:v>3.1737500000000001</c:v>
                </c:pt>
                <c:pt idx="34">
                  <c:v>3.169</c:v>
                </c:pt>
                <c:pt idx="35">
                  <c:v>3.1621999999999999</c:v>
                </c:pt>
                <c:pt idx="36">
                  <c:v>3.15273</c:v>
                </c:pt>
                <c:pt idx="37">
                  <c:v>3.1440200000000003</c:v>
                </c:pt>
                <c:pt idx="38">
                  <c:v>3.1360700000000001</c:v>
                </c:pt>
                <c:pt idx="39">
                  <c:v>3.1289299999999995</c:v>
                </c:pt>
                <c:pt idx="40">
                  <c:v>3.1252499999999999</c:v>
                </c:pt>
                <c:pt idx="41">
                  <c:v>3.1199599999999998</c:v>
                </c:pt>
                <c:pt idx="42">
                  <c:v>3.1126399999999999</c:v>
                </c:pt>
                <c:pt idx="43">
                  <c:v>3.1069200000000001</c:v>
                </c:pt>
                <c:pt idx="44">
                  <c:v>3.1008400000000003</c:v>
                </c:pt>
                <c:pt idx="45">
                  <c:v>3.09572</c:v>
                </c:pt>
                <c:pt idx="46">
                  <c:v>3.0918800000000002</c:v>
                </c:pt>
                <c:pt idx="47">
                  <c:v>3.0918000000000001</c:v>
                </c:pt>
                <c:pt idx="48">
                  <c:v>3.0910199999999999</c:v>
                </c:pt>
                <c:pt idx="49">
                  <c:v>3.0914000000000001</c:v>
                </c:pt>
                <c:pt idx="50">
                  <c:v>3.0899799999999997</c:v>
                </c:pt>
                <c:pt idx="51">
                  <c:v>3.0901899999999998</c:v>
                </c:pt>
                <c:pt idx="52">
                  <c:v>3.0888200000000001</c:v>
                </c:pt>
                <c:pt idx="53">
                  <c:v>3.0867699999999996</c:v>
                </c:pt>
                <c:pt idx="54">
                  <c:v>3.0859900000000002</c:v>
                </c:pt>
                <c:pt idx="55">
                  <c:v>3.0845899999999999</c:v>
                </c:pt>
                <c:pt idx="56">
                  <c:v>3.0824600000000002</c:v>
                </c:pt>
                <c:pt idx="57">
                  <c:v>3.0806899999999997</c:v>
                </c:pt>
                <c:pt idx="58">
                  <c:v>3.0808900000000001</c:v>
                </c:pt>
                <c:pt idx="59">
                  <c:v>3.0830200000000003</c:v>
                </c:pt>
                <c:pt idx="60">
                  <c:v>3.0868600000000002</c:v>
                </c:pt>
                <c:pt idx="61">
                  <c:v>3.0956099999999998</c:v>
                </c:pt>
                <c:pt idx="62">
                  <c:v>3.1016700000000004</c:v>
                </c:pt>
                <c:pt idx="63">
                  <c:v>3.1033899999999996</c:v>
                </c:pt>
                <c:pt idx="64">
                  <c:v>3.1023800000000001</c:v>
                </c:pt>
                <c:pt idx="65">
                  <c:v>3.0990899999999999</c:v>
                </c:pt>
                <c:pt idx="66">
                  <c:v>3.0966500000000003</c:v>
                </c:pt>
                <c:pt idx="67">
                  <c:v>3.10229</c:v>
                </c:pt>
                <c:pt idx="68">
                  <c:v>3.1016899999999996</c:v>
                </c:pt>
                <c:pt idx="69">
                  <c:v>3.1027300000000002</c:v>
                </c:pt>
                <c:pt idx="70">
                  <c:v>3.0989100000000001</c:v>
                </c:pt>
                <c:pt idx="71">
                  <c:v>3.0828299999999995</c:v>
                </c:pt>
                <c:pt idx="72">
                  <c:v>3.05105</c:v>
                </c:pt>
                <c:pt idx="73">
                  <c:v>3.0424199999999999</c:v>
                </c:pt>
                <c:pt idx="74">
                  <c:v>3.0276300000000003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46.556999999999995</c:v>
                </c:pt>
                <c:pt idx="1">
                  <c:v>45.768799999999999</c:v>
                </c:pt>
                <c:pt idx="2">
                  <c:v>44.9482</c:v>
                </c:pt>
                <c:pt idx="3">
                  <c:v>44.090800000000002</c:v>
                </c:pt>
                <c:pt idx="4">
                  <c:v>43.225700000000003</c:v>
                </c:pt>
                <c:pt idx="5">
                  <c:v>42.246499999999997</c:v>
                </c:pt>
                <c:pt idx="6">
                  <c:v>41.235199999999999</c:v>
                </c:pt>
                <c:pt idx="7">
                  <c:v>40.400000000000006</c:v>
                </c:pt>
                <c:pt idx="8">
                  <c:v>39.721499999999999</c:v>
                </c:pt>
                <c:pt idx="9">
                  <c:v>39.072499999999998</c:v>
                </c:pt>
                <c:pt idx="10">
                  <c:v>38.475300000000004</c:v>
                </c:pt>
                <c:pt idx="11">
                  <c:v>37.9681</c:v>
                </c:pt>
                <c:pt idx="12">
                  <c:v>37.498899999999999</c:v>
                </c:pt>
                <c:pt idx="13">
                  <c:v>37.068100000000001</c:v>
                </c:pt>
                <c:pt idx="14">
                  <c:v>36.697499999999998</c:v>
                </c:pt>
                <c:pt idx="15">
                  <c:v>36.440400000000004</c:v>
                </c:pt>
                <c:pt idx="16">
                  <c:v>36.1218</c:v>
                </c:pt>
                <c:pt idx="17">
                  <c:v>35.874400000000001</c:v>
                </c:pt>
                <c:pt idx="18">
                  <c:v>35.593899999999998</c:v>
                </c:pt>
                <c:pt idx="19">
                  <c:v>35.316800000000001</c:v>
                </c:pt>
                <c:pt idx="20">
                  <c:v>35.080099999999995</c:v>
                </c:pt>
                <c:pt idx="21">
                  <c:v>34.894399999999997</c:v>
                </c:pt>
                <c:pt idx="22">
                  <c:v>34.848199999999999</c:v>
                </c:pt>
                <c:pt idx="23">
                  <c:v>34.823</c:v>
                </c:pt>
                <c:pt idx="24">
                  <c:v>34.792899999999996</c:v>
                </c:pt>
                <c:pt idx="25">
                  <c:v>34.757399999999997</c:v>
                </c:pt>
                <c:pt idx="26">
                  <c:v>34.718199999999996</c:v>
                </c:pt>
                <c:pt idx="27">
                  <c:v>34.694199999999995</c:v>
                </c:pt>
                <c:pt idx="28">
                  <c:v>34.674700000000001</c:v>
                </c:pt>
                <c:pt idx="29">
                  <c:v>34.690599999999996</c:v>
                </c:pt>
                <c:pt idx="30">
                  <c:v>34.756300000000003</c:v>
                </c:pt>
                <c:pt idx="31">
                  <c:v>34.869499999999995</c:v>
                </c:pt>
                <c:pt idx="32">
                  <c:v>34.971499999999999</c:v>
                </c:pt>
                <c:pt idx="33">
                  <c:v>35.097999999999999</c:v>
                </c:pt>
                <c:pt idx="34">
                  <c:v>35.276800000000001</c:v>
                </c:pt>
                <c:pt idx="35">
                  <c:v>35.4465</c:v>
                </c:pt>
                <c:pt idx="36">
                  <c:v>35.604999999999997</c:v>
                </c:pt>
                <c:pt idx="37">
                  <c:v>35.772999999999996</c:v>
                </c:pt>
                <c:pt idx="38">
                  <c:v>35.958300000000001</c:v>
                </c:pt>
                <c:pt idx="39">
                  <c:v>36.110999999999997</c:v>
                </c:pt>
                <c:pt idx="40">
                  <c:v>36.221800000000002</c:v>
                </c:pt>
                <c:pt idx="41">
                  <c:v>36.417400000000001</c:v>
                </c:pt>
                <c:pt idx="42">
                  <c:v>36.590499999999999</c:v>
                </c:pt>
                <c:pt idx="43">
                  <c:v>36.769500000000001</c:v>
                </c:pt>
                <c:pt idx="44">
                  <c:v>36.991800000000005</c:v>
                </c:pt>
                <c:pt idx="45">
                  <c:v>37.209399999999995</c:v>
                </c:pt>
                <c:pt idx="46">
                  <c:v>37.371300000000005</c:v>
                </c:pt>
                <c:pt idx="47">
                  <c:v>37.4054</c:v>
                </c:pt>
                <c:pt idx="48">
                  <c:v>37.439799999999998</c:v>
                </c:pt>
                <c:pt idx="49">
                  <c:v>37.476199999999999</c:v>
                </c:pt>
                <c:pt idx="50">
                  <c:v>37.505400000000002</c:v>
                </c:pt>
                <c:pt idx="51">
                  <c:v>37.539299999999997</c:v>
                </c:pt>
                <c:pt idx="52">
                  <c:v>37.5869</c:v>
                </c:pt>
                <c:pt idx="53">
                  <c:v>37.648299999999999</c:v>
                </c:pt>
                <c:pt idx="54">
                  <c:v>37.705300000000001</c:v>
                </c:pt>
                <c:pt idx="55">
                  <c:v>37.754800000000003</c:v>
                </c:pt>
                <c:pt idx="56">
                  <c:v>37.816100000000006</c:v>
                </c:pt>
                <c:pt idx="57">
                  <c:v>37.862699999999997</c:v>
                </c:pt>
                <c:pt idx="58">
                  <c:v>37.838200000000001</c:v>
                </c:pt>
                <c:pt idx="59">
                  <c:v>37.767499999999998</c:v>
                </c:pt>
                <c:pt idx="60">
                  <c:v>37.680900000000001</c:v>
                </c:pt>
                <c:pt idx="61">
                  <c:v>37.543599999999998</c:v>
                </c:pt>
                <c:pt idx="62">
                  <c:v>37.417499999999997</c:v>
                </c:pt>
                <c:pt idx="63">
                  <c:v>37.278500000000001</c:v>
                </c:pt>
                <c:pt idx="64">
                  <c:v>37.2119</c:v>
                </c:pt>
                <c:pt idx="65">
                  <c:v>37.189799999999998</c:v>
                </c:pt>
                <c:pt idx="66">
                  <c:v>37.202600000000004</c:v>
                </c:pt>
                <c:pt idx="67">
                  <c:v>37.117400000000004</c:v>
                </c:pt>
                <c:pt idx="68">
                  <c:v>37.100699999999996</c:v>
                </c:pt>
                <c:pt idx="69">
                  <c:v>36.9925</c:v>
                </c:pt>
                <c:pt idx="70">
                  <c:v>36.898399999999995</c:v>
                </c:pt>
                <c:pt idx="71">
                  <c:v>36.991500000000002</c:v>
                </c:pt>
                <c:pt idx="72">
                  <c:v>37.248100000000001</c:v>
                </c:pt>
                <c:pt idx="73">
                  <c:v>37.251600000000003</c:v>
                </c:pt>
                <c:pt idx="74">
                  <c:v>37.204000000000001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2.4093236486486491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52.156968918918913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3.0295659459459454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37.227710810810812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3.0295659459459454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37.227710810810812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0.24240052669317969</c:v>
                </c:pt>
                <c:pt idx="1">
                  <c:v>0.29113885592464661</c:v>
                </c:pt>
                <c:pt idx="2">
                  <c:v>0.46646061738217376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0.38757200000000003</c:v>
                </c:pt>
                <c:pt idx="2">
                  <c:v>0.79322300000000001</c:v>
                </c:pt>
                <c:pt idx="3">
                  <c:v>1.1972499999999999</c:v>
                </c:pt>
                <c:pt idx="4">
                  <c:v>1.6061799999999999</c:v>
                </c:pt>
                <c:pt idx="5">
                  <c:v>2.0120499999999999</c:v>
                </c:pt>
                <c:pt idx="6">
                  <c:v>2.4148999999999998</c:v>
                </c:pt>
                <c:pt idx="7">
                  <c:v>2.82409</c:v>
                </c:pt>
                <c:pt idx="8">
                  <c:v>3.23184</c:v>
                </c:pt>
                <c:pt idx="9">
                  <c:v>3.63768</c:v>
                </c:pt>
                <c:pt idx="10">
                  <c:v>4.0446200000000001</c:v>
                </c:pt>
                <c:pt idx="11">
                  <c:v>4.44658</c:v>
                </c:pt>
                <c:pt idx="12">
                  <c:v>4.8525</c:v>
                </c:pt>
                <c:pt idx="13">
                  <c:v>5.2643300000000002</c:v>
                </c:pt>
                <c:pt idx="14">
                  <c:v>5.6702899999999996</c:v>
                </c:pt>
                <c:pt idx="15">
                  <c:v>6.0741699999999996</c:v>
                </c:pt>
                <c:pt idx="16">
                  <c:v>6.4800899999999997</c:v>
                </c:pt>
                <c:pt idx="17">
                  <c:v>6.8830799999999996</c:v>
                </c:pt>
                <c:pt idx="18">
                  <c:v>7.2899099999999999</c:v>
                </c:pt>
                <c:pt idx="19">
                  <c:v>7.7017499999999997</c:v>
                </c:pt>
                <c:pt idx="20">
                  <c:v>8.1076899999999998</c:v>
                </c:pt>
                <c:pt idx="21">
                  <c:v>8.5096500000000006</c:v>
                </c:pt>
                <c:pt idx="22">
                  <c:v>8.9159000000000006</c:v>
                </c:pt>
                <c:pt idx="23">
                  <c:v>9.3244799999999994</c:v>
                </c:pt>
                <c:pt idx="24">
                  <c:v>9.7303899999999999</c:v>
                </c:pt>
                <c:pt idx="25">
                  <c:v>10.1396</c:v>
                </c:pt>
                <c:pt idx="26">
                  <c:v>10.5403</c:v>
                </c:pt>
                <c:pt idx="27">
                  <c:v>10.9442</c:v>
                </c:pt>
                <c:pt idx="28">
                  <c:v>11.3581</c:v>
                </c:pt>
                <c:pt idx="29">
                  <c:v>11.763999999999999</c:v>
                </c:pt>
                <c:pt idx="30">
                  <c:v>12.1699</c:v>
                </c:pt>
                <c:pt idx="31">
                  <c:v>12.5739</c:v>
                </c:pt>
                <c:pt idx="32">
                  <c:v>12.9777</c:v>
                </c:pt>
                <c:pt idx="33">
                  <c:v>13.3818</c:v>
                </c:pt>
                <c:pt idx="34">
                  <c:v>13.7957</c:v>
                </c:pt>
                <c:pt idx="35">
                  <c:v>14.199400000000001</c:v>
                </c:pt>
                <c:pt idx="36">
                  <c:v>14.605600000000001</c:v>
                </c:pt>
                <c:pt idx="37">
                  <c:v>15.013299999999999</c:v>
                </c:pt>
                <c:pt idx="38">
                  <c:v>15.4152</c:v>
                </c:pt>
                <c:pt idx="39">
                  <c:v>15.8223</c:v>
                </c:pt>
                <c:pt idx="40">
                  <c:v>16.225999999999999</c:v>
                </c:pt>
                <c:pt idx="41">
                  <c:v>16.634</c:v>
                </c:pt>
                <c:pt idx="42">
                  <c:v>17.044</c:v>
                </c:pt>
                <c:pt idx="43">
                  <c:v>17.448799999999999</c:v>
                </c:pt>
                <c:pt idx="44">
                  <c:v>17.8538</c:v>
                </c:pt>
                <c:pt idx="45">
                  <c:v>18.258600000000001</c:v>
                </c:pt>
                <c:pt idx="46">
                  <c:v>18.669499999999999</c:v>
                </c:pt>
                <c:pt idx="47">
                  <c:v>19.074400000000001</c:v>
                </c:pt>
                <c:pt idx="48">
                  <c:v>19.479299999999999</c:v>
                </c:pt>
                <c:pt idx="49">
                  <c:v>19.8873</c:v>
                </c:pt>
                <c:pt idx="50">
                  <c:v>20.293399999999998</c:v>
                </c:pt>
                <c:pt idx="51">
                  <c:v>20.696200000000001</c:v>
                </c:pt>
                <c:pt idx="52">
                  <c:v>21.109000000000002</c:v>
                </c:pt>
                <c:pt idx="53">
                  <c:v>21.509899999999998</c:v>
                </c:pt>
                <c:pt idx="54">
                  <c:v>21.915900000000001</c:v>
                </c:pt>
                <c:pt idx="55">
                  <c:v>22.3248</c:v>
                </c:pt>
                <c:pt idx="56">
                  <c:v>22.7317</c:v>
                </c:pt>
                <c:pt idx="57">
                  <c:v>23.137499999999999</c:v>
                </c:pt>
                <c:pt idx="58">
                  <c:v>23.546500000000002</c:v>
                </c:pt>
                <c:pt idx="59">
                  <c:v>23.948399999999999</c:v>
                </c:pt>
                <c:pt idx="60">
                  <c:v>24.353300000000001</c:v>
                </c:pt>
                <c:pt idx="61">
                  <c:v>24.7623</c:v>
                </c:pt>
                <c:pt idx="62">
                  <c:v>25.1661</c:v>
                </c:pt>
                <c:pt idx="63">
                  <c:v>25.574999999999999</c:v>
                </c:pt>
                <c:pt idx="64">
                  <c:v>25.981000000000002</c:v>
                </c:pt>
                <c:pt idx="65">
                  <c:v>26.384</c:v>
                </c:pt>
                <c:pt idx="66">
                  <c:v>26.790099999999999</c:v>
                </c:pt>
                <c:pt idx="67">
                  <c:v>27.1967</c:v>
                </c:pt>
                <c:pt idx="68">
                  <c:v>27.605899999999998</c:v>
                </c:pt>
                <c:pt idx="69">
                  <c:v>28.009599999999999</c:v>
                </c:pt>
                <c:pt idx="70">
                  <c:v>28.415500000000002</c:v>
                </c:pt>
                <c:pt idx="71">
                  <c:v>28.8233</c:v>
                </c:pt>
                <c:pt idx="72">
                  <c:v>29.2273</c:v>
                </c:pt>
                <c:pt idx="73">
                  <c:v>29.638300000000001</c:v>
                </c:pt>
                <c:pt idx="74">
                  <c:v>30.043099999999999</c:v>
                </c:pt>
                <c:pt idx="75">
                  <c:v>30.508900000000001</c:v>
                </c:pt>
                <c:pt idx="76">
                  <c:v>30.907399999999999</c:v>
                </c:pt>
                <c:pt idx="77">
                  <c:v>31.310700000000001</c:v>
                </c:pt>
                <c:pt idx="78">
                  <c:v>31.710699999999999</c:v>
                </c:pt>
                <c:pt idx="79">
                  <c:v>32.120600000000003</c:v>
                </c:pt>
                <c:pt idx="80">
                  <c:v>32.522599999999997</c:v>
                </c:pt>
                <c:pt idx="81">
                  <c:v>32.933399999999999</c:v>
                </c:pt>
                <c:pt idx="82">
                  <c:v>33.338500000000003</c:v>
                </c:pt>
                <c:pt idx="83">
                  <c:v>33.745199999999997</c:v>
                </c:pt>
                <c:pt idx="84">
                  <c:v>34.149299999999997</c:v>
                </c:pt>
                <c:pt idx="85">
                  <c:v>34.561</c:v>
                </c:pt>
                <c:pt idx="86">
                  <c:v>34.965000000000003</c:v>
                </c:pt>
                <c:pt idx="87">
                  <c:v>35.370899999999999</c:v>
                </c:pt>
                <c:pt idx="88">
                  <c:v>35.774900000000002</c:v>
                </c:pt>
                <c:pt idx="89">
                  <c:v>36.182000000000002</c:v>
                </c:pt>
                <c:pt idx="90">
                  <c:v>36.588999999999999</c:v>
                </c:pt>
                <c:pt idx="91">
                  <c:v>36.993600000000001</c:v>
                </c:pt>
                <c:pt idx="92">
                  <c:v>37.403500000000001</c:v>
                </c:pt>
                <c:pt idx="93">
                  <c:v>37.807400000000001</c:v>
                </c:pt>
                <c:pt idx="94">
                  <c:v>38.212299999999999</c:v>
                </c:pt>
                <c:pt idx="95">
                  <c:v>38.619199999999999</c:v>
                </c:pt>
                <c:pt idx="96">
                  <c:v>39.0261</c:v>
                </c:pt>
                <c:pt idx="97">
                  <c:v>39.431100000000001</c:v>
                </c:pt>
                <c:pt idx="98">
                  <c:v>39.8369</c:v>
                </c:pt>
                <c:pt idx="99">
                  <c:v>40.247799999999998</c:v>
                </c:pt>
                <c:pt idx="100">
                  <c:v>40.650700000000001</c:v>
                </c:pt>
                <c:pt idx="101">
                  <c:v>41.057699999999997</c:v>
                </c:pt>
                <c:pt idx="102">
                  <c:v>41.462899999999998</c:v>
                </c:pt>
                <c:pt idx="103">
                  <c:v>41.873600000000003</c:v>
                </c:pt>
                <c:pt idx="104">
                  <c:v>42.278399999999998</c:v>
                </c:pt>
                <c:pt idx="105">
                  <c:v>42.683300000000003</c:v>
                </c:pt>
                <c:pt idx="106">
                  <c:v>43.0852</c:v>
                </c:pt>
                <c:pt idx="107">
                  <c:v>43.496299999999998</c:v>
                </c:pt>
                <c:pt idx="108">
                  <c:v>43.9041</c:v>
                </c:pt>
                <c:pt idx="109">
                  <c:v>44.31</c:v>
                </c:pt>
                <c:pt idx="110">
                  <c:v>44.715800000000002</c:v>
                </c:pt>
                <c:pt idx="111">
                  <c:v>45.119799999999998</c:v>
                </c:pt>
                <c:pt idx="112">
                  <c:v>45.5259</c:v>
                </c:pt>
                <c:pt idx="113">
                  <c:v>45.933799999999998</c:v>
                </c:pt>
                <c:pt idx="114">
                  <c:v>46.3416</c:v>
                </c:pt>
                <c:pt idx="115">
                  <c:v>46.7455</c:v>
                </c:pt>
                <c:pt idx="116">
                  <c:v>47.1494</c:v>
                </c:pt>
                <c:pt idx="117">
                  <c:v>47.557499999999997</c:v>
                </c:pt>
                <c:pt idx="118">
                  <c:v>47.963200000000001</c:v>
                </c:pt>
                <c:pt idx="119">
                  <c:v>48.369100000000003</c:v>
                </c:pt>
                <c:pt idx="120">
                  <c:v>48.776000000000003</c:v>
                </c:pt>
                <c:pt idx="121">
                  <c:v>49.182000000000002</c:v>
                </c:pt>
                <c:pt idx="122">
                  <c:v>49.586799999999997</c:v>
                </c:pt>
                <c:pt idx="123">
                  <c:v>49.996699999999997</c:v>
                </c:pt>
                <c:pt idx="124">
                  <c:v>50.404699999999998</c:v>
                </c:pt>
                <c:pt idx="125">
                  <c:v>50.808500000000002</c:v>
                </c:pt>
                <c:pt idx="126">
                  <c:v>51.214500000000001</c:v>
                </c:pt>
                <c:pt idx="127">
                  <c:v>51.621699999999997</c:v>
                </c:pt>
                <c:pt idx="128">
                  <c:v>52.026299999999999</c:v>
                </c:pt>
                <c:pt idx="129">
                  <c:v>52.430199999999999</c:v>
                </c:pt>
                <c:pt idx="130">
                  <c:v>52.841200000000001</c:v>
                </c:pt>
                <c:pt idx="131">
                  <c:v>53.243099999999998</c:v>
                </c:pt>
                <c:pt idx="132">
                  <c:v>53.652200000000001</c:v>
                </c:pt>
                <c:pt idx="133">
                  <c:v>54.058900000000001</c:v>
                </c:pt>
                <c:pt idx="134">
                  <c:v>54.462800000000001</c:v>
                </c:pt>
                <c:pt idx="135">
                  <c:v>54.873899999999999</c:v>
                </c:pt>
                <c:pt idx="136">
                  <c:v>55.276600000000002</c:v>
                </c:pt>
                <c:pt idx="137">
                  <c:v>55.679600000000001</c:v>
                </c:pt>
                <c:pt idx="138">
                  <c:v>56.087600000000002</c:v>
                </c:pt>
                <c:pt idx="139">
                  <c:v>56.493400000000001</c:v>
                </c:pt>
                <c:pt idx="140">
                  <c:v>56.903300000000002</c:v>
                </c:pt>
                <c:pt idx="141">
                  <c:v>57.307299999999998</c:v>
                </c:pt>
                <c:pt idx="142">
                  <c:v>57.713200000000001</c:v>
                </c:pt>
                <c:pt idx="143">
                  <c:v>58.118200000000002</c:v>
                </c:pt>
                <c:pt idx="144">
                  <c:v>58.527999999999999</c:v>
                </c:pt>
                <c:pt idx="145">
                  <c:v>58.934800000000003</c:v>
                </c:pt>
                <c:pt idx="146">
                  <c:v>59.340800000000002</c:v>
                </c:pt>
                <c:pt idx="147">
                  <c:v>59.745699999999999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1.7713200000000002</c:v>
                </c:pt>
                <c:pt idx="1">
                  <c:v>1.8244400000000001</c:v>
                </c:pt>
                <c:pt idx="2">
                  <c:v>1.8739700000000001</c:v>
                </c:pt>
                <c:pt idx="3">
                  <c:v>1.92276</c:v>
                </c:pt>
                <c:pt idx="4">
                  <c:v>1.97018</c:v>
                </c:pt>
                <c:pt idx="5">
                  <c:v>2.0167099999999998</c:v>
                </c:pt>
                <c:pt idx="6">
                  <c:v>2.0634399999999999</c:v>
                </c:pt>
                <c:pt idx="7">
                  <c:v>2.11049</c:v>
                </c:pt>
                <c:pt idx="8">
                  <c:v>2.1558700000000002</c:v>
                </c:pt>
                <c:pt idx="9">
                  <c:v>2.2002099999999998</c:v>
                </c:pt>
                <c:pt idx="10">
                  <c:v>2.2468499999999998</c:v>
                </c:pt>
                <c:pt idx="11">
                  <c:v>2.2920099999999999</c:v>
                </c:pt>
                <c:pt idx="12">
                  <c:v>2.3376099999999997</c:v>
                </c:pt>
                <c:pt idx="13">
                  <c:v>2.3796600000000003</c:v>
                </c:pt>
                <c:pt idx="14">
                  <c:v>2.41736</c:v>
                </c:pt>
                <c:pt idx="15">
                  <c:v>2.4490700000000003</c:v>
                </c:pt>
                <c:pt idx="16">
                  <c:v>2.4779100000000001</c:v>
                </c:pt>
                <c:pt idx="17">
                  <c:v>2.5042799999999996</c:v>
                </c:pt>
                <c:pt idx="18">
                  <c:v>2.5296800000000004</c:v>
                </c:pt>
                <c:pt idx="19">
                  <c:v>2.5545499999999999</c:v>
                </c:pt>
                <c:pt idx="20">
                  <c:v>2.5728099999999996</c:v>
                </c:pt>
                <c:pt idx="21">
                  <c:v>2.5886199999999997</c:v>
                </c:pt>
                <c:pt idx="22">
                  <c:v>2.5984499999999997</c:v>
                </c:pt>
                <c:pt idx="23">
                  <c:v>2.6012600000000003</c:v>
                </c:pt>
                <c:pt idx="24">
                  <c:v>2.6048399999999998</c:v>
                </c:pt>
                <c:pt idx="25">
                  <c:v>2.6089099999999998</c:v>
                </c:pt>
                <c:pt idx="26">
                  <c:v>2.61164</c:v>
                </c:pt>
                <c:pt idx="27">
                  <c:v>2.6144499999999997</c:v>
                </c:pt>
                <c:pt idx="28">
                  <c:v>2.6155299999999997</c:v>
                </c:pt>
                <c:pt idx="29">
                  <c:v>2.61442</c:v>
                </c:pt>
                <c:pt idx="30">
                  <c:v>2.6118299999999999</c:v>
                </c:pt>
                <c:pt idx="31">
                  <c:v>2.6097900000000003</c:v>
                </c:pt>
                <c:pt idx="32">
                  <c:v>2.6051700000000002</c:v>
                </c:pt>
                <c:pt idx="33">
                  <c:v>2.5992999999999999</c:v>
                </c:pt>
                <c:pt idx="34">
                  <c:v>2.5918999999999999</c:v>
                </c:pt>
                <c:pt idx="35">
                  <c:v>2.5819599999999996</c:v>
                </c:pt>
                <c:pt idx="36">
                  <c:v>2.5710199999999999</c:v>
                </c:pt>
                <c:pt idx="37">
                  <c:v>2.5567299999999999</c:v>
                </c:pt>
                <c:pt idx="38">
                  <c:v>2.5441799999999999</c:v>
                </c:pt>
                <c:pt idx="39">
                  <c:v>2.53287</c:v>
                </c:pt>
                <c:pt idx="40">
                  <c:v>2.5247700000000002</c:v>
                </c:pt>
                <c:pt idx="41">
                  <c:v>2.5184299999999999</c:v>
                </c:pt>
                <c:pt idx="42">
                  <c:v>2.5095800000000001</c:v>
                </c:pt>
                <c:pt idx="43">
                  <c:v>2.4972599999999998</c:v>
                </c:pt>
                <c:pt idx="44">
                  <c:v>2.4852699999999999</c:v>
                </c:pt>
                <c:pt idx="45">
                  <c:v>2.47621</c:v>
                </c:pt>
                <c:pt idx="46">
                  <c:v>2.4680200000000001</c:v>
                </c:pt>
                <c:pt idx="47">
                  <c:v>2.4626600000000001</c:v>
                </c:pt>
                <c:pt idx="48">
                  <c:v>2.4599599999999997</c:v>
                </c:pt>
                <c:pt idx="49">
                  <c:v>2.4543499999999998</c:v>
                </c:pt>
                <c:pt idx="50">
                  <c:v>2.4494600000000002</c:v>
                </c:pt>
                <c:pt idx="51">
                  <c:v>2.4428299999999998</c:v>
                </c:pt>
                <c:pt idx="52">
                  <c:v>2.4331399999999999</c:v>
                </c:pt>
                <c:pt idx="53">
                  <c:v>2.4275600000000002</c:v>
                </c:pt>
                <c:pt idx="54">
                  <c:v>2.4212800000000003</c:v>
                </c:pt>
                <c:pt idx="55">
                  <c:v>2.4150800000000001</c:v>
                </c:pt>
                <c:pt idx="56">
                  <c:v>2.4043000000000001</c:v>
                </c:pt>
                <c:pt idx="57">
                  <c:v>2.3984000000000001</c:v>
                </c:pt>
                <c:pt idx="58">
                  <c:v>2.3944000000000001</c:v>
                </c:pt>
                <c:pt idx="59">
                  <c:v>2.39181</c:v>
                </c:pt>
                <c:pt idx="60">
                  <c:v>2.3860600000000001</c:v>
                </c:pt>
                <c:pt idx="61">
                  <c:v>2.38042</c:v>
                </c:pt>
                <c:pt idx="62">
                  <c:v>2.3761099999999997</c:v>
                </c:pt>
                <c:pt idx="63">
                  <c:v>2.3694200000000003</c:v>
                </c:pt>
                <c:pt idx="64">
                  <c:v>2.3624200000000002</c:v>
                </c:pt>
                <c:pt idx="65">
                  <c:v>2.3586</c:v>
                </c:pt>
                <c:pt idx="66">
                  <c:v>2.3571300000000002</c:v>
                </c:pt>
                <c:pt idx="67">
                  <c:v>2.3605400000000003</c:v>
                </c:pt>
                <c:pt idx="68">
                  <c:v>2.3662399999999999</c:v>
                </c:pt>
                <c:pt idx="69">
                  <c:v>2.3723800000000002</c:v>
                </c:pt>
                <c:pt idx="70">
                  <c:v>2.3798400000000002</c:v>
                </c:pt>
                <c:pt idx="71">
                  <c:v>2.39893</c:v>
                </c:pt>
                <c:pt idx="72">
                  <c:v>2.4085300000000003</c:v>
                </c:pt>
                <c:pt idx="73">
                  <c:v>2.4445100000000002</c:v>
                </c:pt>
                <c:pt idx="74">
                  <c:v>2.4709700000000003</c:v>
                </c:pt>
                <c:pt idx="75">
                  <c:v>2.4995000000000003</c:v>
                </c:pt>
                <c:pt idx="76">
                  <c:v>2.5309500000000003</c:v>
                </c:pt>
                <c:pt idx="77">
                  <c:v>2.5631399999999998</c:v>
                </c:pt>
                <c:pt idx="78">
                  <c:v>2.6001099999999999</c:v>
                </c:pt>
                <c:pt idx="79">
                  <c:v>2.6387999999999998</c:v>
                </c:pt>
                <c:pt idx="80">
                  <c:v>2.6777299999999999</c:v>
                </c:pt>
                <c:pt idx="81">
                  <c:v>2.7137099999999998</c:v>
                </c:pt>
                <c:pt idx="82">
                  <c:v>2.74892</c:v>
                </c:pt>
                <c:pt idx="83">
                  <c:v>2.7839900000000002</c:v>
                </c:pt>
                <c:pt idx="84">
                  <c:v>2.8191100000000002</c:v>
                </c:pt>
                <c:pt idx="85">
                  <c:v>2.8556399999999997</c:v>
                </c:pt>
                <c:pt idx="86">
                  <c:v>2.8934700000000002</c:v>
                </c:pt>
                <c:pt idx="87">
                  <c:v>2.93085</c:v>
                </c:pt>
                <c:pt idx="88">
                  <c:v>2.9643599999999997</c:v>
                </c:pt>
                <c:pt idx="89">
                  <c:v>2.9974699999999999</c:v>
                </c:pt>
                <c:pt idx="90">
                  <c:v>3.02664</c:v>
                </c:pt>
                <c:pt idx="91">
                  <c:v>3.0534699999999999</c:v>
                </c:pt>
                <c:pt idx="92">
                  <c:v>3.07877</c:v>
                </c:pt>
                <c:pt idx="93">
                  <c:v>3.1025700000000001</c:v>
                </c:pt>
                <c:pt idx="94">
                  <c:v>3.12561</c:v>
                </c:pt>
                <c:pt idx="95">
                  <c:v>3.14337</c:v>
                </c:pt>
                <c:pt idx="96">
                  <c:v>3.1548700000000003</c:v>
                </c:pt>
                <c:pt idx="97">
                  <c:v>3.1609799999999999</c:v>
                </c:pt>
                <c:pt idx="98">
                  <c:v>3.1656599999999999</c:v>
                </c:pt>
                <c:pt idx="99">
                  <c:v>3.1712800000000003</c:v>
                </c:pt>
                <c:pt idx="100">
                  <c:v>3.1765100000000004</c:v>
                </c:pt>
                <c:pt idx="101">
                  <c:v>3.1798700000000002</c:v>
                </c:pt>
                <c:pt idx="102">
                  <c:v>3.1816699999999996</c:v>
                </c:pt>
                <c:pt idx="103">
                  <c:v>3.1807800000000004</c:v>
                </c:pt>
                <c:pt idx="104">
                  <c:v>3.1781600000000001</c:v>
                </c:pt>
                <c:pt idx="105">
                  <c:v>3.1762200000000003</c:v>
                </c:pt>
                <c:pt idx="106">
                  <c:v>3.1737500000000001</c:v>
                </c:pt>
                <c:pt idx="107">
                  <c:v>3.169</c:v>
                </c:pt>
                <c:pt idx="108">
                  <c:v>3.1621999999999999</c:v>
                </c:pt>
                <c:pt idx="109">
                  <c:v>3.15273</c:v>
                </c:pt>
                <c:pt idx="110">
                  <c:v>3.1440200000000003</c:v>
                </c:pt>
                <c:pt idx="111">
                  <c:v>3.1360700000000001</c:v>
                </c:pt>
                <c:pt idx="112">
                  <c:v>3.1289299999999995</c:v>
                </c:pt>
                <c:pt idx="113">
                  <c:v>3.1252499999999999</c:v>
                </c:pt>
                <c:pt idx="114">
                  <c:v>3.1199599999999998</c:v>
                </c:pt>
                <c:pt idx="115">
                  <c:v>3.1126399999999999</c:v>
                </c:pt>
                <c:pt idx="116">
                  <c:v>3.1069200000000001</c:v>
                </c:pt>
                <c:pt idx="117">
                  <c:v>3.1008400000000003</c:v>
                </c:pt>
                <c:pt idx="118">
                  <c:v>3.09572</c:v>
                </c:pt>
                <c:pt idx="119">
                  <c:v>3.0918800000000002</c:v>
                </c:pt>
                <c:pt idx="120">
                  <c:v>3.0918000000000001</c:v>
                </c:pt>
                <c:pt idx="121">
                  <c:v>3.0910199999999999</c:v>
                </c:pt>
                <c:pt idx="122">
                  <c:v>3.0914000000000001</c:v>
                </c:pt>
                <c:pt idx="123">
                  <c:v>3.0899799999999997</c:v>
                </c:pt>
                <c:pt idx="124">
                  <c:v>3.0901899999999998</c:v>
                </c:pt>
                <c:pt idx="125">
                  <c:v>3.0888200000000001</c:v>
                </c:pt>
                <c:pt idx="126">
                  <c:v>3.0867699999999996</c:v>
                </c:pt>
                <c:pt idx="127">
                  <c:v>3.0859900000000002</c:v>
                </c:pt>
                <c:pt idx="128">
                  <c:v>3.0845899999999999</c:v>
                </c:pt>
                <c:pt idx="129">
                  <c:v>3.0824600000000002</c:v>
                </c:pt>
                <c:pt idx="130">
                  <c:v>3.0806899999999997</c:v>
                </c:pt>
                <c:pt idx="131">
                  <c:v>3.0808900000000001</c:v>
                </c:pt>
                <c:pt idx="132">
                  <c:v>3.0830200000000003</c:v>
                </c:pt>
                <c:pt idx="133">
                  <c:v>3.0868600000000002</c:v>
                </c:pt>
                <c:pt idx="134">
                  <c:v>3.0956099999999998</c:v>
                </c:pt>
                <c:pt idx="135">
                  <c:v>3.1016700000000004</c:v>
                </c:pt>
                <c:pt idx="136">
                  <c:v>3.1033899999999996</c:v>
                </c:pt>
                <c:pt idx="137">
                  <c:v>3.1023800000000001</c:v>
                </c:pt>
                <c:pt idx="138">
                  <c:v>3.0990899999999999</c:v>
                </c:pt>
                <c:pt idx="139">
                  <c:v>3.0966500000000003</c:v>
                </c:pt>
                <c:pt idx="140">
                  <c:v>3.10229</c:v>
                </c:pt>
                <c:pt idx="141">
                  <c:v>3.1016899999999996</c:v>
                </c:pt>
                <c:pt idx="142">
                  <c:v>3.1027300000000002</c:v>
                </c:pt>
                <c:pt idx="143">
                  <c:v>3.0989100000000001</c:v>
                </c:pt>
                <c:pt idx="144">
                  <c:v>3.0828299999999995</c:v>
                </c:pt>
                <c:pt idx="145">
                  <c:v>3.05105</c:v>
                </c:pt>
                <c:pt idx="146">
                  <c:v>3.0424199999999999</c:v>
                </c:pt>
                <c:pt idx="147">
                  <c:v>3.0276300000000003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0.38757200000000003</c:v>
                </c:pt>
                <c:pt idx="2">
                  <c:v>0.79322300000000001</c:v>
                </c:pt>
                <c:pt idx="3">
                  <c:v>1.1972499999999999</c:v>
                </c:pt>
                <c:pt idx="4">
                  <c:v>1.6061799999999999</c:v>
                </c:pt>
                <c:pt idx="5">
                  <c:v>2.0120499999999999</c:v>
                </c:pt>
                <c:pt idx="6">
                  <c:v>2.4148999999999998</c:v>
                </c:pt>
                <c:pt idx="7">
                  <c:v>2.82409</c:v>
                </c:pt>
                <c:pt idx="8">
                  <c:v>3.23184</c:v>
                </c:pt>
                <c:pt idx="9">
                  <c:v>3.63768</c:v>
                </c:pt>
                <c:pt idx="10">
                  <c:v>4.0446200000000001</c:v>
                </c:pt>
                <c:pt idx="11">
                  <c:v>4.44658</c:v>
                </c:pt>
                <c:pt idx="12">
                  <c:v>4.8525</c:v>
                </c:pt>
                <c:pt idx="13">
                  <c:v>5.2643300000000002</c:v>
                </c:pt>
                <c:pt idx="14">
                  <c:v>5.6702899999999996</c:v>
                </c:pt>
                <c:pt idx="15">
                  <c:v>6.0741699999999996</c:v>
                </c:pt>
                <c:pt idx="16">
                  <c:v>6.4800899999999997</c:v>
                </c:pt>
                <c:pt idx="17">
                  <c:v>6.8830799999999996</c:v>
                </c:pt>
                <c:pt idx="18">
                  <c:v>7.2899099999999999</c:v>
                </c:pt>
                <c:pt idx="19">
                  <c:v>7.7017499999999997</c:v>
                </c:pt>
                <c:pt idx="20">
                  <c:v>8.1076899999999998</c:v>
                </c:pt>
                <c:pt idx="21">
                  <c:v>8.5096500000000006</c:v>
                </c:pt>
                <c:pt idx="22">
                  <c:v>8.9159000000000006</c:v>
                </c:pt>
                <c:pt idx="23">
                  <c:v>9.3244799999999994</c:v>
                </c:pt>
                <c:pt idx="24">
                  <c:v>9.7303899999999999</c:v>
                </c:pt>
                <c:pt idx="25">
                  <c:v>10.1396</c:v>
                </c:pt>
                <c:pt idx="26">
                  <c:v>10.5403</c:v>
                </c:pt>
                <c:pt idx="27">
                  <c:v>10.9442</c:v>
                </c:pt>
                <c:pt idx="28">
                  <c:v>11.3581</c:v>
                </c:pt>
                <c:pt idx="29">
                  <c:v>11.763999999999999</c:v>
                </c:pt>
                <c:pt idx="30">
                  <c:v>12.1699</c:v>
                </c:pt>
                <c:pt idx="31">
                  <c:v>12.5739</c:v>
                </c:pt>
                <c:pt idx="32">
                  <c:v>12.9777</c:v>
                </c:pt>
                <c:pt idx="33">
                  <c:v>13.3818</c:v>
                </c:pt>
                <c:pt idx="34">
                  <c:v>13.7957</c:v>
                </c:pt>
                <c:pt idx="35">
                  <c:v>14.199400000000001</c:v>
                </c:pt>
                <c:pt idx="36">
                  <c:v>14.605600000000001</c:v>
                </c:pt>
                <c:pt idx="37">
                  <c:v>15.013299999999999</c:v>
                </c:pt>
                <c:pt idx="38">
                  <c:v>15.4152</c:v>
                </c:pt>
                <c:pt idx="39">
                  <c:v>15.8223</c:v>
                </c:pt>
                <c:pt idx="40">
                  <c:v>16.225999999999999</c:v>
                </c:pt>
                <c:pt idx="41">
                  <c:v>16.634</c:v>
                </c:pt>
                <c:pt idx="42">
                  <c:v>17.044</c:v>
                </c:pt>
                <c:pt idx="43">
                  <c:v>17.448799999999999</c:v>
                </c:pt>
                <c:pt idx="44">
                  <c:v>17.8538</c:v>
                </c:pt>
                <c:pt idx="45">
                  <c:v>18.258600000000001</c:v>
                </c:pt>
                <c:pt idx="46">
                  <c:v>18.669499999999999</c:v>
                </c:pt>
                <c:pt idx="47">
                  <c:v>19.074400000000001</c:v>
                </c:pt>
                <c:pt idx="48">
                  <c:v>19.479299999999999</c:v>
                </c:pt>
                <c:pt idx="49">
                  <c:v>19.8873</c:v>
                </c:pt>
                <c:pt idx="50">
                  <c:v>20.293399999999998</c:v>
                </c:pt>
                <c:pt idx="51">
                  <c:v>20.696200000000001</c:v>
                </c:pt>
                <c:pt idx="52">
                  <c:v>21.109000000000002</c:v>
                </c:pt>
                <c:pt idx="53">
                  <c:v>21.509899999999998</c:v>
                </c:pt>
                <c:pt idx="54">
                  <c:v>21.915900000000001</c:v>
                </c:pt>
                <c:pt idx="55">
                  <c:v>22.3248</c:v>
                </c:pt>
                <c:pt idx="56">
                  <c:v>22.7317</c:v>
                </c:pt>
                <c:pt idx="57">
                  <c:v>23.137499999999999</c:v>
                </c:pt>
                <c:pt idx="58">
                  <c:v>23.546500000000002</c:v>
                </c:pt>
                <c:pt idx="59">
                  <c:v>23.948399999999999</c:v>
                </c:pt>
                <c:pt idx="60">
                  <c:v>24.353300000000001</c:v>
                </c:pt>
                <c:pt idx="61">
                  <c:v>24.7623</c:v>
                </c:pt>
                <c:pt idx="62">
                  <c:v>25.1661</c:v>
                </c:pt>
                <c:pt idx="63">
                  <c:v>25.574999999999999</c:v>
                </c:pt>
                <c:pt idx="64">
                  <c:v>25.981000000000002</c:v>
                </c:pt>
                <c:pt idx="65">
                  <c:v>26.384</c:v>
                </c:pt>
                <c:pt idx="66">
                  <c:v>26.790099999999999</c:v>
                </c:pt>
                <c:pt idx="67">
                  <c:v>27.1967</c:v>
                </c:pt>
                <c:pt idx="68">
                  <c:v>27.605899999999998</c:v>
                </c:pt>
                <c:pt idx="69">
                  <c:v>28.009599999999999</c:v>
                </c:pt>
                <c:pt idx="70">
                  <c:v>28.415500000000002</c:v>
                </c:pt>
                <c:pt idx="71">
                  <c:v>28.8233</c:v>
                </c:pt>
                <c:pt idx="72">
                  <c:v>29.2273</c:v>
                </c:pt>
                <c:pt idx="73">
                  <c:v>29.638300000000001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1.7713200000000002</c:v>
                </c:pt>
                <c:pt idx="1">
                  <c:v>1.8244400000000001</c:v>
                </c:pt>
                <c:pt idx="2">
                  <c:v>1.8739700000000001</c:v>
                </c:pt>
                <c:pt idx="3">
                  <c:v>1.92276</c:v>
                </c:pt>
                <c:pt idx="4">
                  <c:v>1.97018</c:v>
                </c:pt>
                <c:pt idx="5">
                  <c:v>2.0167099999999998</c:v>
                </c:pt>
                <c:pt idx="6">
                  <c:v>2.0634399999999999</c:v>
                </c:pt>
                <c:pt idx="7">
                  <c:v>2.11049</c:v>
                </c:pt>
                <c:pt idx="8">
                  <c:v>2.1558700000000002</c:v>
                </c:pt>
                <c:pt idx="9">
                  <c:v>2.2002099999999998</c:v>
                </c:pt>
                <c:pt idx="10">
                  <c:v>2.2468499999999998</c:v>
                </c:pt>
                <c:pt idx="11">
                  <c:v>2.2920099999999999</c:v>
                </c:pt>
                <c:pt idx="12">
                  <c:v>2.3376099999999997</c:v>
                </c:pt>
                <c:pt idx="13">
                  <c:v>2.3796600000000003</c:v>
                </c:pt>
                <c:pt idx="14">
                  <c:v>2.41736</c:v>
                </c:pt>
                <c:pt idx="15">
                  <c:v>2.4490700000000003</c:v>
                </c:pt>
                <c:pt idx="16">
                  <c:v>2.4779100000000001</c:v>
                </c:pt>
                <c:pt idx="17">
                  <c:v>2.5042799999999996</c:v>
                </c:pt>
                <c:pt idx="18">
                  <c:v>2.5296800000000004</c:v>
                </c:pt>
                <c:pt idx="19">
                  <c:v>2.5545499999999999</c:v>
                </c:pt>
                <c:pt idx="20">
                  <c:v>2.5728099999999996</c:v>
                </c:pt>
                <c:pt idx="21">
                  <c:v>2.5886199999999997</c:v>
                </c:pt>
                <c:pt idx="22">
                  <c:v>2.5984499999999997</c:v>
                </c:pt>
                <c:pt idx="23">
                  <c:v>2.6012600000000003</c:v>
                </c:pt>
                <c:pt idx="24">
                  <c:v>2.6048399999999998</c:v>
                </c:pt>
                <c:pt idx="25">
                  <c:v>2.6089099999999998</c:v>
                </c:pt>
                <c:pt idx="26">
                  <c:v>2.61164</c:v>
                </c:pt>
                <c:pt idx="27">
                  <c:v>2.6144499999999997</c:v>
                </c:pt>
                <c:pt idx="28">
                  <c:v>2.6155299999999997</c:v>
                </c:pt>
                <c:pt idx="29">
                  <c:v>2.61442</c:v>
                </c:pt>
                <c:pt idx="30">
                  <c:v>2.6118299999999999</c:v>
                </c:pt>
                <c:pt idx="31">
                  <c:v>2.6097900000000003</c:v>
                </c:pt>
                <c:pt idx="32">
                  <c:v>2.6051700000000002</c:v>
                </c:pt>
                <c:pt idx="33">
                  <c:v>2.5992999999999999</c:v>
                </c:pt>
                <c:pt idx="34">
                  <c:v>2.5918999999999999</c:v>
                </c:pt>
                <c:pt idx="35">
                  <c:v>2.5819599999999996</c:v>
                </c:pt>
                <c:pt idx="36">
                  <c:v>2.5710199999999999</c:v>
                </c:pt>
                <c:pt idx="37">
                  <c:v>2.5567299999999999</c:v>
                </c:pt>
                <c:pt idx="38">
                  <c:v>2.5441799999999999</c:v>
                </c:pt>
                <c:pt idx="39">
                  <c:v>2.53287</c:v>
                </c:pt>
                <c:pt idx="40">
                  <c:v>2.5247700000000002</c:v>
                </c:pt>
                <c:pt idx="41">
                  <c:v>2.5184299999999999</c:v>
                </c:pt>
                <c:pt idx="42">
                  <c:v>2.5095800000000001</c:v>
                </c:pt>
                <c:pt idx="43">
                  <c:v>2.4972599999999998</c:v>
                </c:pt>
                <c:pt idx="44">
                  <c:v>2.4852699999999999</c:v>
                </c:pt>
                <c:pt idx="45">
                  <c:v>2.47621</c:v>
                </c:pt>
                <c:pt idx="46">
                  <c:v>2.4680200000000001</c:v>
                </c:pt>
                <c:pt idx="47">
                  <c:v>2.4626600000000001</c:v>
                </c:pt>
                <c:pt idx="48">
                  <c:v>2.4599599999999997</c:v>
                </c:pt>
                <c:pt idx="49">
                  <c:v>2.4543499999999998</c:v>
                </c:pt>
                <c:pt idx="50">
                  <c:v>2.4494600000000002</c:v>
                </c:pt>
                <c:pt idx="51">
                  <c:v>2.4428299999999998</c:v>
                </c:pt>
                <c:pt idx="52">
                  <c:v>2.4331399999999999</c:v>
                </c:pt>
                <c:pt idx="53">
                  <c:v>2.4275600000000002</c:v>
                </c:pt>
                <c:pt idx="54">
                  <c:v>2.4212800000000003</c:v>
                </c:pt>
                <c:pt idx="55">
                  <c:v>2.4150800000000001</c:v>
                </c:pt>
                <c:pt idx="56">
                  <c:v>2.4043000000000001</c:v>
                </c:pt>
                <c:pt idx="57">
                  <c:v>2.3984000000000001</c:v>
                </c:pt>
                <c:pt idx="58">
                  <c:v>2.3944000000000001</c:v>
                </c:pt>
                <c:pt idx="59">
                  <c:v>2.39181</c:v>
                </c:pt>
                <c:pt idx="60">
                  <c:v>2.3860600000000001</c:v>
                </c:pt>
                <c:pt idx="61">
                  <c:v>2.38042</c:v>
                </c:pt>
                <c:pt idx="62">
                  <c:v>2.3761099999999997</c:v>
                </c:pt>
                <c:pt idx="63">
                  <c:v>2.3694200000000003</c:v>
                </c:pt>
                <c:pt idx="64">
                  <c:v>2.3624200000000002</c:v>
                </c:pt>
                <c:pt idx="65">
                  <c:v>2.3586</c:v>
                </c:pt>
                <c:pt idx="66">
                  <c:v>2.3571300000000002</c:v>
                </c:pt>
                <c:pt idx="67">
                  <c:v>2.3605400000000003</c:v>
                </c:pt>
                <c:pt idx="68">
                  <c:v>2.3662399999999999</c:v>
                </c:pt>
                <c:pt idx="69">
                  <c:v>2.3723800000000002</c:v>
                </c:pt>
                <c:pt idx="70">
                  <c:v>2.3798400000000002</c:v>
                </c:pt>
                <c:pt idx="71">
                  <c:v>2.39893</c:v>
                </c:pt>
                <c:pt idx="72">
                  <c:v>2.4085300000000003</c:v>
                </c:pt>
                <c:pt idx="73">
                  <c:v>2.4445100000000002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29.638300000000001</c:v>
                </c:pt>
                <c:pt idx="1">
                  <c:v>30.043099999999999</c:v>
                </c:pt>
                <c:pt idx="2">
                  <c:v>30.508900000000001</c:v>
                </c:pt>
                <c:pt idx="3">
                  <c:v>30.907399999999999</c:v>
                </c:pt>
                <c:pt idx="4">
                  <c:v>31.310700000000001</c:v>
                </c:pt>
                <c:pt idx="5">
                  <c:v>31.710699999999999</c:v>
                </c:pt>
                <c:pt idx="6">
                  <c:v>32.120600000000003</c:v>
                </c:pt>
                <c:pt idx="7">
                  <c:v>32.522599999999997</c:v>
                </c:pt>
                <c:pt idx="8">
                  <c:v>32.933399999999999</c:v>
                </c:pt>
                <c:pt idx="9">
                  <c:v>33.338500000000003</c:v>
                </c:pt>
                <c:pt idx="10">
                  <c:v>33.745199999999997</c:v>
                </c:pt>
                <c:pt idx="11">
                  <c:v>34.149299999999997</c:v>
                </c:pt>
                <c:pt idx="12">
                  <c:v>34.561</c:v>
                </c:pt>
                <c:pt idx="13">
                  <c:v>34.965000000000003</c:v>
                </c:pt>
                <c:pt idx="14">
                  <c:v>35.370899999999999</c:v>
                </c:pt>
                <c:pt idx="15">
                  <c:v>35.774900000000002</c:v>
                </c:pt>
                <c:pt idx="16">
                  <c:v>36.182000000000002</c:v>
                </c:pt>
                <c:pt idx="17">
                  <c:v>36.588999999999999</c:v>
                </c:pt>
                <c:pt idx="18">
                  <c:v>36.993600000000001</c:v>
                </c:pt>
                <c:pt idx="19">
                  <c:v>37.403500000000001</c:v>
                </c:pt>
                <c:pt idx="20">
                  <c:v>37.807400000000001</c:v>
                </c:pt>
                <c:pt idx="21">
                  <c:v>38.212299999999999</c:v>
                </c:pt>
                <c:pt idx="22">
                  <c:v>38.619199999999999</c:v>
                </c:pt>
                <c:pt idx="23">
                  <c:v>39.0261</c:v>
                </c:pt>
                <c:pt idx="24">
                  <c:v>39.431100000000001</c:v>
                </c:pt>
                <c:pt idx="25">
                  <c:v>39.8369</c:v>
                </c:pt>
                <c:pt idx="26">
                  <c:v>40.247799999999998</c:v>
                </c:pt>
                <c:pt idx="27">
                  <c:v>40.650700000000001</c:v>
                </c:pt>
                <c:pt idx="28">
                  <c:v>41.057699999999997</c:v>
                </c:pt>
                <c:pt idx="29">
                  <c:v>41.462899999999998</c:v>
                </c:pt>
                <c:pt idx="30">
                  <c:v>41.873600000000003</c:v>
                </c:pt>
                <c:pt idx="31">
                  <c:v>42.278399999999998</c:v>
                </c:pt>
                <c:pt idx="32">
                  <c:v>42.683300000000003</c:v>
                </c:pt>
                <c:pt idx="33">
                  <c:v>43.0852</c:v>
                </c:pt>
                <c:pt idx="34">
                  <c:v>43.496299999999998</c:v>
                </c:pt>
                <c:pt idx="35">
                  <c:v>43.9041</c:v>
                </c:pt>
                <c:pt idx="36">
                  <c:v>44.31</c:v>
                </c:pt>
                <c:pt idx="37">
                  <c:v>44.715800000000002</c:v>
                </c:pt>
                <c:pt idx="38">
                  <c:v>45.119799999999998</c:v>
                </c:pt>
                <c:pt idx="39">
                  <c:v>45.5259</c:v>
                </c:pt>
                <c:pt idx="40">
                  <c:v>45.933799999999998</c:v>
                </c:pt>
                <c:pt idx="41">
                  <c:v>46.3416</c:v>
                </c:pt>
                <c:pt idx="42">
                  <c:v>46.7455</c:v>
                </c:pt>
                <c:pt idx="43">
                  <c:v>47.1494</c:v>
                </c:pt>
                <c:pt idx="44">
                  <c:v>47.557499999999997</c:v>
                </c:pt>
                <c:pt idx="45">
                  <c:v>47.963200000000001</c:v>
                </c:pt>
                <c:pt idx="46">
                  <c:v>48.369100000000003</c:v>
                </c:pt>
                <c:pt idx="47">
                  <c:v>48.776000000000003</c:v>
                </c:pt>
                <c:pt idx="48">
                  <c:v>49.182000000000002</c:v>
                </c:pt>
                <c:pt idx="49">
                  <c:v>49.586799999999997</c:v>
                </c:pt>
                <c:pt idx="50">
                  <c:v>49.996699999999997</c:v>
                </c:pt>
                <c:pt idx="51">
                  <c:v>50.404699999999998</c:v>
                </c:pt>
                <c:pt idx="52">
                  <c:v>50.808500000000002</c:v>
                </c:pt>
                <c:pt idx="53">
                  <c:v>51.214500000000001</c:v>
                </c:pt>
                <c:pt idx="54">
                  <c:v>51.621699999999997</c:v>
                </c:pt>
                <c:pt idx="55">
                  <c:v>52.026299999999999</c:v>
                </c:pt>
                <c:pt idx="56">
                  <c:v>52.430199999999999</c:v>
                </c:pt>
                <c:pt idx="57">
                  <c:v>52.841200000000001</c:v>
                </c:pt>
                <c:pt idx="58">
                  <c:v>53.243099999999998</c:v>
                </c:pt>
                <c:pt idx="59">
                  <c:v>53.652200000000001</c:v>
                </c:pt>
                <c:pt idx="60">
                  <c:v>54.058900000000001</c:v>
                </c:pt>
                <c:pt idx="61">
                  <c:v>54.462800000000001</c:v>
                </c:pt>
                <c:pt idx="62">
                  <c:v>54.873899999999999</c:v>
                </c:pt>
                <c:pt idx="63">
                  <c:v>55.276600000000002</c:v>
                </c:pt>
                <c:pt idx="64">
                  <c:v>55.679600000000001</c:v>
                </c:pt>
                <c:pt idx="65">
                  <c:v>56.087600000000002</c:v>
                </c:pt>
                <c:pt idx="66">
                  <c:v>56.493400000000001</c:v>
                </c:pt>
                <c:pt idx="67">
                  <c:v>56.903300000000002</c:v>
                </c:pt>
                <c:pt idx="68">
                  <c:v>57.307299999999998</c:v>
                </c:pt>
                <c:pt idx="69">
                  <c:v>57.713200000000001</c:v>
                </c:pt>
                <c:pt idx="70">
                  <c:v>58.118200000000002</c:v>
                </c:pt>
                <c:pt idx="71">
                  <c:v>58.527999999999999</c:v>
                </c:pt>
                <c:pt idx="72">
                  <c:v>58.934800000000003</c:v>
                </c:pt>
                <c:pt idx="73">
                  <c:v>59.340800000000002</c:v>
                </c:pt>
                <c:pt idx="74">
                  <c:v>59.745699999999999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2.4445100000000002</c:v>
                </c:pt>
                <c:pt idx="1">
                  <c:v>2.4709700000000003</c:v>
                </c:pt>
                <c:pt idx="2">
                  <c:v>2.4995000000000003</c:v>
                </c:pt>
                <c:pt idx="3">
                  <c:v>2.5309500000000003</c:v>
                </c:pt>
                <c:pt idx="4">
                  <c:v>2.5631399999999998</c:v>
                </c:pt>
                <c:pt idx="5">
                  <c:v>2.6001099999999999</c:v>
                </c:pt>
                <c:pt idx="6">
                  <c:v>2.6387999999999998</c:v>
                </c:pt>
                <c:pt idx="7">
                  <c:v>2.6777299999999999</c:v>
                </c:pt>
                <c:pt idx="8">
                  <c:v>2.7137099999999998</c:v>
                </c:pt>
                <c:pt idx="9">
                  <c:v>2.74892</c:v>
                </c:pt>
                <c:pt idx="10">
                  <c:v>2.7839900000000002</c:v>
                </c:pt>
                <c:pt idx="11">
                  <c:v>2.8191100000000002</c:v>
                </c:pt>
                <c:pt idx="12">
                  <c:v>2.8556399999999997</c:v>
                </c:pt>
                <c:pt idx="13">
                  <c:v>2.8934700000000002</c:v>
                </c:pt>
                <c:pt idx="14">
                  <c:v>2.93085</c:v>
                </c:pt>
                <c:pt idx="15">
                  <c:v>2.9643599999999997</c:v>
                </c:pt>
                <c:pt idx="16">
                  <c:v>2.9974699999999999</c:v>
                </c:pt>
                <c:pt idx="17">
                  <c:v>3.02664</c:v>
                </c:pt>
                <c:pt idx="18">
                  <c:v>3.0534699999999999</c:v>
                </c:pt>
                <c:pt idx="19">
                  <c:v>3.07877</c:v>
                </c:pt>
                <c:pt idx="20">
                  <c:v>3.1025700000000001</c:v>
                </c:pt>
                <c:pt idx="21">
                  <c:v>3.12561</c:v>
                </c:pt>
                <c:pt idx="22">
                  <c:v>3.14337</c:v>
                </c:pt>
                <c:pt idx="23">
                  <c:v>3.1548700000000003</c:v>
                </c:pt>
                <c:pt idx="24">
                  <c:v>3.1609799999999999</c:v>
                </c:pt>
                <c:pt idx="25">
                  <c:v>3.1656599999999999</c:v>
                </c:pt>
                <c:pt idx="26">
                  <c:v>3.1712800000000003</c:v>
                </c:pt>
                <c:pt idx="27">
                  <c:v>3.1765100000000004</c:v>
                </c:pt>
                <c:pt idx="28">
                  <c:v>3.1798700000000002</c:v>
                </c:pt>
                <c:pt idx="29">
                  <c:v>3.1816699999999996</c:v>
                </c:pt>
                <c:pt idx="30">
                  <c:v>3.1807800000000004</c:v>
                </c:pt>
                <c:pt idx="31">
                  <c:v>3.1781600000000001</c:v>
                </c:pt>
                <c:pt idx="32">
                  <c:v>3.1762200000000003</c:v>
                </c:pt>
                <c:pt idx="33">
                  <c:v>3.1737500000000001</c:v>
                </c:pt>
                <c:pt idx="34">
                  <c:v>3.169</c:v>
                </c:pt>
                <c:pt idx="35">
                  <c:v>3.1621999999999999</c:v>
                </c:pt>
                <c:pt idx="36">
                  <c:v>3.15273</c:v>
                </c:pt>
                <c:pt idx="37">
                  <c:v>3.1440200000000003</c:v>
                </c:pt>
                <c:pt idx="38">
                  <c:v>3.1360700000000001</c:v>
                </c:pt>
                <c:pt idx="39">
                  <c:v>3.1289299999999995</c:v>
                </c:pt>
                <c:pt idx="40">
                  <c:v>3.1252499999999999</c:v>
                </c:pt>
                <c:pt idx="41">
                  <c:v>3.1199599999999998</c:v>
                </c:pt>
                <c:pt idx="42">
                  <c:v>3.1126399999999999</c:v>
                </c:pt>
                <c:pt idx="43">
                  <c:v>3.1069200000000001</c:v>
                </c:pt>
                <c:pt idx="44">
                  <c:v>3.1008400000000003</c:v>
                </c:pt>
                <c:pt idx="45">
                  <c:v>3.09572</c:v>
                </c:pt>
                <c:pt idx="46">
                  <c:v>3.0918800000000002</c:v>
                </c:pt>
                <c:pt idx="47">
                  <c:v>3.0918000000000001</c:v>
                </c:pt>
                <c:pt idx="48">
                  <c:v>3.0910199999999999</c:v>
                </c:pt>
                <c:pt idx="49">
                  <c:v>3.0914000000000001</c:v>
                </c:pt>
                <c:pt idx="50">
                  <c:v>3.0899799999999997</c:v>
                </c:pt>
                <c:pt idx="51">
                  <c:v>3.0901899999999998</c:v>
                </c:pt>
                <c:pt idx="52">
                  <c:v>3.0888200000000001</c:v>
                </c:pt>
                <c:pt idx="53">
                  <c:v>3.0867699999999996</c:v>
                </c:pt>
                <c:pt idx="54">
                  <c:v>3.0859900000000002</c:v>
                </c:pt>
                <c:pt idx="55">
                  <c:v>3.0845899999999999</c:v>
                </c:pt>
                <c:pt idx="56">
                  <c:v>3.0824600000000002</c:v>
                </c:pt>
                <c:pt idx="57">
                  <c:v>3.0806899999999997</c:v>
                </c:pt>
                <c:pt idx="58">
                  <c:v>3.0808900000000001</c:v>
                </c:pt>
                <c:pt idx="59">
                  <c:v>3.0830200000000003</c:v>
                </c:pt>
                <c:pt idx="60">
                  <c:v>3.0868600000000002</c:v>
                </c:pt>
                <c:pt idx="61">
                  <c:v>3.0956099999999998</c:v>
                </c:pt>
                <c:pt idx="62">
                  <c:v>3.1016700000000004</c:v>
                </c:pt>
                <c:pt idx="63">
                  <c:v>3.1033899999999996</c:v>
                </c:pt>
                <c:pt idx="64">
                  <c:v>3.1023800000000001</c:v>
                </c:pt>
                <c:pt idx="65">
                  <c:v>3.0990899999999999</c:v>
                </c:pt>
                <c:pt idx="66">
                  <c:v>3.0966500000000003</c:v>
                </c:pt>
                <c:pt idx="67">
                  <c:v>3.10229</c:v>
                </c:pt>
                <c:pt idx="68">
                  <c:v>3.1016899999999996</c:v>
                </c:pt>
                <c:pt idx="69">
                  <c:v>3.1027300000000002</c:v>
                </c:pt>
                <c:pt idx="70">
                  <c:v>3.0989100000000001</c:v>
                </c:pt>
                <c:pt idx="71">
                  <c:v>3.0828299999999995</c:v>
                </c:pt>
                <c:pt idx="72">
                  <c:v>3.05105</c:v>
                </c:pt>
                <c:pt idx="73">
                  <c:v>3.0424199999999999</c:v>
                </c:pt>
                <c:pt idx="74">
                  <c:v>3.0276300000000003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14.936425</c:v>
                </c:pt>
                <c:pt idx="1">
                  <c:v>44.809275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2.4093236486486491</c:v>
                </c:pt>
                <c:pt idx="1">
                  <c:v>3.0295659459459454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0.38757200000000003</c:v>
                </c:pt>
                <c:pt idx="2">
                  <c:v>0.79322300000000001</c:v>
                </c:pt>
                <c:pt idx="3">
                  <c:v>1.1972499999999999</c:v>
                </c:pt>
                <c:pt idx="4">
                  <c:v>1.6061799999999999</c:v>
                </c:pt>
                <c:pt idx="5">
                  <c:v>2.0120499999999999</c:v>
                </c:pt>
                <c:pt idx="6">
                  <c:v>2.4148999999999998</c:v>
                </c:pt>
                <c:pt idx="7">
                  <c:v>2.82409</c:v>
                </c:pt>
                <c:pt idx="8">
                  <c:v>3.23184</c:v>
                </c:pt>
                <c:pt idx="9">
                  <c:v>3.63768</c:v>
                </c:pt>
                <c:pt idx="10">
                  <c:v>4.0446200000000001</c:v>
                </c:pt>
                <c:pt idx="11">
                  <c:v>4.44658</c:v>
                </c:pt>
                <c:pt idx="12">
                  <c:v>4.8525</c:v>
                </c:pt>
                <c:pt idx="13">
                  <c:v>5.2643300000000002</c:v>
                </c:pt>
                <c:pt idx="14">
                  <c:v>5.6702899999999996</c:v>
                </c:pt>
                <c:pt idx="15">
                  <c:v>6.0741699999999996</c:v>
                </c:pt>
                <c:pt idx="16">
                  <c:v>6.4800899999999997</c:v>
                </c:pt>
                <c:pt idx="17">
                  <c:v>6.8830799999999996</c:v>
                </c:pt>
                <c:pt idx="18">
                  <c:v>7.2899099999999999</c:v>
                </c:pt>
                <c:pt idx="19">
                  <c:v>7.7017499999999997</c:v>
                </c:pt>
                <c:pt idx="20">
                  <c:v>8.1076899999999998</c:v>
                </c:pt>
                <c:pt idx="21">
                  <c:v>8.5096500000000006</c:v>
                </c:pt>
                <c:pt idx="22">
                  <c:v>8.9159000000000006</c:v>
                </c:pt>
                <c:pt idx="23">
                  <c:v>9.3244799999999994</c:v>
                </c:pt>
                <c:pt idx="24">
                  <c:v>9.7303899999999999</c:v>
                </c:pt>
                <c:pt idx="25">
                  <c:v>10.1396</c:v>
                </c:pt>
                <c:pt idx="26">
                  <c:v>10.5403</c:v>
                </c:pt>
                <c:pt idx="27">
                  <c:v>10.9442</c:v>
                </c:pt>
                <c:pt idx="28">
                  <c:v>11.3581</c:v>
                </c:pt>
                <c:pt idx="29">
                  <c:v>11.763999999999999</c:v>
                </c:pt>
                <c:pt idx="30">
                  <c:v>12.1699</c:v>
                </c:pt>
                <c:pt idx="31">
                  <c:v>12.5739</c:v>
                </c:pt>
                <c:pt idx="32">
                  <c:v>12.9777</c:v>
                </c:pt>
                <c:pt idx="33">
                  <c:v>13.3818</c:v>
                </c:pt>
                <c:pt idx="34">
                  <c:v>13.7957</c:v>
                </c:pt>
                <c:pt idx="35">
                  <c:v>14.199400000000001</c:v>
                </c:pt>
                <c:pt idx="36">
                  <c:v>14.605600000000001</c:v>
                </c:pt>
                <c:pt idx="37">
                  <c:v>15.013299999999999</c:v>
                </c:pt>
                <c:pt idx="38">
                  <c:v>15.4152</c:v>
                </c:pt>
                <c:pt idx="39">
                  <c:v>15.8223</c:v>
                </c:pt>
                <c:pt idx="40">
                  <c:v>16.225999999999999</c:v>
                </c:pt>
                <c:pt idx="41">
                  <c:v>16.634</c:v>
                </c:pt>
                <c:pt idx="42">
                  <c:v>17.044</c:v>
                </c:pt>
                <c:pt idx="43">
                  <c:v>17.448799999999999</c:v>
                </c:pt>
                <c:pt idx="44">
                  <c:v>17.8538</c:v>
                </c:pt>
                <c:pt idx="45">
                  <c:v>18.258600000000001</c:v>
                </c:pt>
                <c:pt idx="46">
                  <c:v>18.669499999999999</c:v>
                </c:pt>
                <c:pt idx="47">
                  <c:v>19.074400000000001</c:v>
                </c:pt>
                <c:pt idx="48">
                  <c:v>19.479299999999999</c:v>
                </c:pt>
                <c:pt idx="49">
                  <c:v>19.8873</c:v>
                </c:pt>
                <c:pt idx="50">
                  <c:v>20.293399999999998</c:v>
                </c:pt>
                <c:pt idx="51">
                  <c:v>20.696200000000001</c:v>
                </c:pt>
                <c:pt idx="52">
                  <c:v>21.109000000000002</c:v>
                </c:pt>
                <c:pt idx="53">
                  <c:v>21.509899999999998</c:v>
                </c:pt>
                <c:pt idx="54">
                  <c:v>21.915900000000001</c:v>
                </c:pt>
                <c:pt idx="55">
                  <c:v>22.3248</c:v>
                </c:pt>
                <c:pt idx="56">
                  <c:v>22.7317</c:v>
                </c:pt>
                <c:pt idx="57">
                  <c:v>23.137499999999999</c:v>
                </c:pt>
                <c:pt idx="58">
                  <c:v>23.546500000000002</c:v>
                </c:pt>
                <c:pt idx="59">
                  <c:v>23.948399999999999</c:v>
                </c:pt>
                <c:pt idx="60">
                  <c:v>24.353300000000001</c:v>
                </c:pt>
                <c:pt idx="61">
                  <c:v>24.7623</c:v>
                </c:pt>
                <c:pt idx="62">
                  <c:v>25.1661</c:v>
                </c:pt>
                <c:pt idx="63">
                  <c:v>25.574999999999999</c:v>
                </c:pt>
                <c:pt idx="64">
                  <c:v>25.981000000000002</c:v>
                </c:pt>
                <c:pt idx="65">
                  <c:v>26.384</c:v>
                </c:pt>
                <c:pt idx="66">
                  <c:v>26.790099999999999</c:v>
                </c:pt>
                <c:pt idx="67">
                  <c:v>27.1967</c:v>
                </c:pt>
                <c:pt idx="68">
                  <c:v>27.605899999999998</c:v>
                </c:pt>
                <c:pt idx="69">
                  <c:v>28.009599999999999</c:v>
                </c:pt>
                <c:pt idx="70">
                  <c:v>28.415500000000002</c:v>
                </c:pt>
                <c:pt idx="71">
                  <c:v>28.8233</c:v>
                </c:pt>
                <c:pt idx="72">
                  <c:v>29.2273</c:v>
                </c:pt>
                <c:pt idx="73">
                  <c:v>29.638300000000001</c:v>
                </c:pt>
                <c:pt idx="74">
                  <c:v>30.043099999999999</c:v>
                </c:pt>
                <c:pt idx="75">
                  <c:v>30.508900000000001</c:v>
                </c:pt>
                <c:pt idx="76">
                  <c:v>30.907399999999999</c:v>
                </c:pt>
                <c:pt idx="77">
                  <c:v>31.310700000000001</c:v>
                </c:pt>
                <c:pt idx="78">
                  <c:v>31.710699999999999</c:v>
                </c:pt>
                <c:pt idx="79">
                  <c:v>32.120600000000003</c:v>
                </c:pt>
                <c:pt idx="80">
                  <c:v>32.522599999999997</c:v>
                </c:pt>
                <c:pt idx="81">
                  <c:v>32.933399999999999</c:v>
                </c:pt>
                <c:pt idx="82">
                  <c:v>33.338500000000003</c:v>
                </c:pt>
                <c:pt idx="83">
                  <c:v>33.745199999999997</c:v>
                </c:pt>
                <c:pt idx="84">
                  <c:v>34.149299999999997</c:v>
                </c:pt>
                <c:pt idx="85">
                  <c:v>34.561</c:v>
                </c:pt>
                <c:pt idx="86">
                  <c:v>34.965000000000003</c:v>
                </c:pt>
                <c:pt idx="87">
                  <c:v>35.370899999999999</c:v>
                </c:pt>
                <c:pt idx="88">
                  <c:v>35.774900000000002</c:v>
                </c:pt>
                <c:pt idx="89">
                  <c:v>36.182000000000002</c:v>
                </c:pt>
                <c:pt idx="90">
                  <c:v>36.588999999999999</c:v>
                </c:pt>
                <c:pt idx="91">
                  <c:v>36.993600000000001</c:v>
                </c:pt>
                <c:pt idx="92">
                  <c:v>37.403500000000001</c:v>
                </c:pt>
                <c:pt idx="93">
                  <c:v>37.807400000000001</c:v>
                </c:pt>
                <c:pt idx="94">
                  <c:v>38.212299999999999</c:v>
                </c:pt>
                <c:pt idx="95">
                  <c:v>38.619199999999999</c:v>
                </c:pt>
                <c:pt idx="96">
                  <c:v>39.0261</c:v>
                </c:pt>
                <c:pt idx="97">
                  <c:v>39.431100000000001</c:v>
                </c:pt>
                <c:pt idx="98">
                  <c:v>39.8369</c:v>
                </c:pt>
                <c:pt idx="99">
                  <c:v>40.247799999999998</c:v>
                </c:pt>
                <c:pt idx="100">
                  <c:v>40.650700000000001</c:v>
                </c:pt>
                <c:pt idx="101">
                  <c:v>41.057699999999997</c:v>
                </c:pt>
                <c:pt idx="102">
                  <c:v>41.462899999999998</c:v>
                </c:pt>
                <c:pt idx="103">
                  <c:v>41.873600000000003</c:v>
                </c:pt>
                <c:pt idx="104">
                  <c:v>42.278399999999998</c:v>
                </c:pt>
                <c:pt idx="105">
                  <c:v>42.683300000000003</c:v>
                </c:pt>
                <c:pt idx="106">
                  <c:v>43.0852</c:v>
                </c:pt>
                <c:pt idx="107">
                  <c:v>43.496299999999998</c:v>
                </c:pt>
                <c:pt idx="108">
                  <c:v>43.9041</c:v>
                </c:pt>
                <c:pt idx="109">
                  <c:v>44.31</c:v>
                </c:pt>
                <c:pt idx="110">
                  <c:v>44.715800000000002</c:v>
                </c:pt>
                <c:pt idx="111">
                  <c:v>45.119799999999998</c:v>
                </c:pt>
                <c:pt idx="112">
                  <c:v>45.5259</c:v>
                </c:pt>
                <c:pt idx="113">
                  <c:v>45.933799999999998</c:v>
                </c:pt>
                <c:pt idx="114">
                  <c:v>46.3416</c:v>
                </c:pt>
                <c:pt idx="115">
                  <c:v>46.7455</c:v>
                </c:pt>
                <c:pt idx="116">
                  <c:v>47.1494</c:v>
                </c:pt>
                <c:pt idx="117">
                  <c:v>47.557499999999997</c:v>
                </c:pt>
                <c:pt idx="118">
                  <c:v>47.963200000000001</c:v>
                </c:pt>
                <c:pt idx="119">
                  <c:v>48.369100000000003</c:v>
                </c:pt>
                <c:pt idx="120">
                  <c:v>48.776000000000003</c:v>
                </c:pt>
                <c:pt idx="121">
                  <c:v>49.182000000000002</c:v>
                </c:pt>
                <c:pt idx="122">
                  <c:v>49.586799999999997</c:v>
                </c:pt>
                <c:pt idx="123">
                  <c:v>49.996699999999997</c:v>
                </c:pt>
                <c:pt idx="124">
                  <c:v>50.404699999999998</c:v>
                </c:pt>
                <c:pt idx="125">
                  <c:v>50.808500000000002</c:v>
                </c:pt>
                <c:pt idx="126">
                  <c:v>51.214500000000001</c:v>
                </c:pt>
                <c:pt idx="127">
                  <c:v>51.621699999999997</c:v>
                </c:pt>
                <c:pt idx="128">
                  <c:v>52.026299999999999</c:v>
                </c:pt>
                <c:pt idx="129">
                  <c:v>52.430199999999999</c:v>
                </c:pt>
                <c:pt idx="130">
                  <c:v>52.841200000000001</c:v>
                </c:pt>
                <c:pt idx="131">
                  <c:v>53.243099999999998</c:v>
                </c:pt>
                <c:pt idx="132">
                  <c:v>53.652200000000001</c:v>
                </c:pt>
                <c:pt idx="133">
                  <c:v>54.058900000000001</c:v>
                </c:pt>
                <c:pt idx="134">
                  <c:v>54.462800000000001</c:v>
                </c:pt>
                <c:pt idx="135">
                  <c:v>54.873899999999999</c:v>
                </c:pt>
                <c:pt idx="136">
                  <c:v>55.276600000000002</c:v>
                </c:pt>
                <c:pt idx="137">
                  <c:v>55.679600000000001</c:v>
                </c:pt>
                <c:pt idx="138">
                  <c:v>56.087600000000002</c:v>
                </c:pt>
                <c:pt idx="139">
                  <c:v>56.493400000000001</c:v>
                </c:pt>
                <c:pt idx="140">
                  <c:v>56.903300000000002</c:v>
                </c:pt>
                <c:pt idx="141">
                  <c:v>57.307299999999998</c:v>
                </c:pt>
                <c:pt idx="142">
                  <c:v>57.713200000000001</c:v>
                </c:pt>
                <c:pt idx="143">
                  <c:v>58.118200000000002</c:v>
                </c:pt>
                <c:pt idx="144">
                  <c:v>58.527999999999999</c:v>
                </c:pt>
                <c:pt idx="145">
                  <c:v>58.934800000000003</c:v>
                </c:pt>
                <c:pt idx="146">
                  <c:v>59.340800000000002</c:v>
                </c:pt>
                <c:pt idx="147">
                  <c:v>59.745699999999999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59.516599999999997</c:v>
                </c:pt>
                <c:pt idx="1">
                  <c:v>58.749099999999999</c:v>
                </c:pt>
                <c:pt idx="2">
                  <c:v>58.034399999999998</c:v>
                </c:pt>
                <c:pt idx="3">
                  <c:v>57.356999999999999</c:v>
                </c:pt>
                <c:pt idx="4">
                  <c:v>56.793400000000005</c:v>
                </c:pt>
                <c:pt idx="5">
                  <c:v>56.264499999999998</c:v>
                </c:pt>
                <c:pt idx="6">
                  <c:v>55.758399999999995</c:v>
                </c:pt>
                <c:pt idx="7">
                  <c:v>55.269199999999998</c:v>
                </c:pt>
                <c:pt idx="8">
                  <c:v>54.816800000000001</c:v>
                </c:pt>
                <c:pt idx="9">
                  <c:v>54.425900000000006</c:v>
                </c:pt>
                <c:pt idx="10">
                  <c:v>53.925400000000003</c:v>
                </c:pt>
                <c:pt idx="11">
                  <c:v>53.455500000000001</c:v>
                </c:pt>
                <c:pt idx="12">
                  <c:v>52.955100000000002</c:v>
                </c:pt>
                <c:pt idx="13">
                  <c:v>52.601799999999997</c:v>
                </c:pt>
                <c:pt idx="14">
                  <c:v>52.337100000000007</c:v>
                </c:pt>
                <c:pt idx="15">
                  <c:v>52.223500000000001</c:v>
                </c:pt>
                <c:pt idx="16">
                  <c:v>52.1586</c:v>
                </c:pt>
                <c:pt idx="17">
                  <c:v>52.116500000000002</c:v>
                </c:pt>
                <c:pt idx="18">
                  <c:v>51.970300000000002</c:v>
                </c:pt>
                <c:pt idx="19">
                  <c:v>51.843399999999995</c:v>
                </c:pt>
                <c:pt idx="20">
                  <c:v>51.740900000000003</c:v>
                </c:pt>
                <c:pt idx="21">
                  <c:v>51.647600000000004</c:v>
                </c:pt>
                <c:pt idx="22">
                  <c:v>51.548000000000002</c:v>
                </c:pt>
                <c:pt idx="23">
                  <c:v>51.434000000000005</c:v>
                </c:pt>
                <c:pt idx="24">
                  <c:v>51.321300000000001</c:v>
                </c:pt>
                <c:pt idx="25">
                  <c:v>51.207100000000004</c:v>
                </c:pt>
                <c:pt idx="26">
                  <c:v>51.111200000000004</c:v>
                </c:pt>
                <c:pt idx="27">
                  <c:v>51.025699999999993</c:v>
                </c:pt>
                <c:pt idx="28">
                  <c:v>50.973400000000005</c:v>
                </c:pt>
                <c:pt idx="29">
                  <c:v>50.947299999999998</c:v>
                </c:pt>
                <c:pt idx="30">
                  <c:v>50.954799999999999</c:v>
                </c:pt>
                <c:pt idx="31">
                  <c:v>50.989899999999999</c:v>
                </c:pt>
                <c:pt idx="32">
                  <c:v>51.0563</c:v>
                </c:pt>
                <c:pt idx="33">
                  <c:v>51.1267</c:v>
                </c:pt>
                <c:pt idx="34">
                  <c:v>51.206600000000002</c:v>
                </c:pt>
                <c:pt idx="35">
                  <c:v>51.358800000000002</c:v>
                </c:pt>
                <c:pt idx="36">
                  <c:v>51.543199999999999</c:v>
                </c:pt>
                <c:pt idx="37">
                  <c:v>51.755899999999997</c:v>
                </c:pt>
                <c:pt idx="38">
                  <c:v>51.941099999999999</c:v>
                </c:pt>
                <c:pt idx="39">
                  <c:v>52.112299999999998</c:v>
                </c:pt>
                <c:pt idx="40">
                  <c:v>52.190099999999994</c:v>
                </c:pt>
                <c:pt idx="41">
                  <c:v>52.205999999999996</c:v>
                </c:pt>
                <c:pt idx="42">
                  <c:v>52.226599999999998</c:v>
                </c:pt>
                <c:pt idx="43">
                  <c:v>52.324300000000001</c:v>
                </c:pt>
                <c:pt idx="44">
                  <c:v>52.4255</c:v>
                </c:pt>
                <c:pt idx="45">
                  <c:v>52.456599999999995</c:v>
                </c:pt>
                <c:pt idx="46">
                  <c:v>52.517299999999999</c:v>
                </c:pt>
                <c:pt idx="47">
                  <c:v>52.539400000000001</c:v>
                </c:pt>
                <c:pt idx="48">
                  <c:v>52.519400000000005</c:v>
                </c:pt>
                <c:pt idx="49">
                  <c:v>52.509399999999992</c:v>
                </c:pt>
                <c:pt idx="50">
                  <c:v>52.525100000000002</c:v>
                </c:pt>
                <c:pt idx="51">
                  <c:v>52.476599999999998</c:v>
                </c:pt>
                <c:pt idx="52">
                  <c:v>52.413499999999999</c:v>
                </c:pt>
                <c:pt idx="53">
                  <c:v>52.408600000000007</c:v>
                </c:pt>
                <c:pt idx="54">
                  <c:v>52.353000000000009</c:v>
                </c:pt>
                <c:pt idx="55">
                  <c:v>52.242800000000003</c:v>
                </c:pt>
                <c:pt idx="56">
                  <c:v>52.050399999999996</c:v>
                </c:pt>
                <c:pt idx="57">
                  <c:v>51.832000000000001</c:v>
                </c:pt>
                <c:pt idx="58">
                  <c:v>51.584600000000002</c:v>
                </c:pt>
                <c:pt idx="59">
                  <c:v>51.412800000000004</c:v>
                </c:pt>
                <c:pt idx="60">
                  <c:v>51.147799999999997</c:v>
                </c:pt>
                <c:pt idx="61">
                  <c:v>50.937600000000003</c:v>
                </c:pt>
                <c:pt idx="62">
                  <c:v>50.808500000000002</c:v>
                </c:pt>
                <c:pt idx="63">
                  <c:v>50.6721</c:v>
                </c:pt>
                <c:pt idx="64">
                  <c:v>50.491500000000002</c:v>
                </c:pt>
                <c:pt idx="65">
                  <c:v>50.370000000000005</c:v>
                </c:pt>
                <c:pt idx="66">
                  <c:v>50.170899999999996</c:v>
                </c:pt>
                <c:pt idx="67">
                  <c:v>49.9178</c:v>
                </c:pt>
                <c:pt idx="68">
                  <c:v>49.6081</c:v>
                </c:pt>
                <c:pt idx="69">
                  <c:v>49.2791</c:v>
                </c:pt>
                <c:pt idx="70">
                  <c:v>48.931899999999999</c:v>
                </c:pt>
                <c:pt idx="71">
                  <c:v>48.182399999999994</c:v>
                </c:pt>
                <c:pt idx="72">
                  <c:v>47.752400000000002</c:v>
                </c:pt>
                <c:pt idx="73">
                  <c:v>46.556999999999995</c:v>
                </c:pt>
                <c:pt idx="74">
                  <c:v>45.768799999999999</c:v>
                </c:pt>
                <c:pt idx="75">
                  <c:v>44.9482</c:v>
                </c:pt>
                <c:pt idx="76">
                  <c:v>44.090800000000002</c:v>
                </c:pt>
                <c:pt idx="77">
                  <c:v>43.225700000000003</c:v>
                </c:pt>
                <c:pt idx="78">
                  <c:v>42.246499999999997</c:v>
                </c:pt>
                <c:pt idx="79">
                  <c:v>41.235199999999999</c:v>
                </c:pt>
                <c:pt idx="80">
                  <c:v>40.400000000000006</c:v>
                </c:pt>
                <c:pt idx="81">
                  <c:v>39.721499999999999</c:v>
                </c:pt>
                <c:pt idx="82">
                  <c:v>39.072499999999998</c:v>
                </c:pt>
                <c:pt idx="83">
                  <c:v>38.475300000000004</c:v>
                </c:pt>
                <c:pt idx="84">
                  <c:v>37.9681</c:v>
                </c:pt>
                <c:pt idx="85">
                  <c:v>37.498899999999999</c:v>
                </c:pt>
                <c:pt idx="86">
                  <c:v>37.068100000000001</c:v>
                </c:pt>
                <c:pt idx="87">
                  <c:v>36.697499999999998</c:v>
                </c:pt>
                <c:pt idx="88">
                  <c:v>36.440400000000004</c:v>
                </c:pt>
                <c:pt idx="89">
                  <c:v>36.1218</c:v>
                </c:pt>
                <c:pt idx="90">
                  <c:v>35.874400000000001</c:v>
                </c:pt>
                <c:pt idx="91">
                  <c:v>35.593899999999998</c:v>
                </c:pt>
                <c:pt idx="92">
                  <c:v>35.316800000000001</c:v>
                </c:pt>
                <c:pt idx="93">
                  <c:v>35.080099999999995</c:v>
                </c:pt>
                <c:pt idx="94">
                  <c:v>34.894399999999997</c:v>
                </c:pt>
                <c:pt idx="95">
                  <c:v>34.848199999999999</c:v>
                </c:pt>
                <c:pt idx="96">
                  <c:v>34.823</c:v>
                </c:pt>
                <c:pt idx="97">
                  <c:v>34.792899999999996</c:v>
                </c:pt>
                <c:pt idx="98">
                  <c:v>34.757399999999997</c:v>
                </c:pt>
                <c:pt idx="99">
                  <c:v>34.718199999999996</c:v>
                </c:pt>
                <c:pt idx="100">
                  <c:v>34.694199999999995</c:v>
                </c:pt>
                <c:pt idx="101">
                  <c:v>34.674700000000001</c:v>
                </c:pt>
                <c:pt idx="102">
                  <c:v>34.690599999999996</c:v>
                </c:pt>
                <c:pt idx="103">
                  <c:v>34.756300000000003</c:v>
                </c:pt>
                <c:pt idx="104">
                  <c:v>34.869499999999995</c:v>
                </c:pt>
                <c:pt idx="105">
                  <c:v>34.971499999999999</c:v>
                </c:pt>
                <c:pt idx="106">
                  <c:v>35.097999999999999</c:v>
                </c:pt>
                <c:pt idx="107">
                  <c:v>35.276800000000001</c:v>
                </c:pt>
                <c:pt idx="108">
                  <c:v>35.4465</c:v>
                </c:pt>
                <c:pt idx="109">
                  <c:v>35.604999999999997</c:v>
                </c:pt>
                <c:pt idx="110">
                  <c:v>35.772999999999996</c:v>
                </c:pt>
                <c:pt idx="111">
                  <c:v>35.958300000000001</c:v>
                </c:pt>
                <c:pt idx="112">
                  <c:v>36.110999999999997</c:v>
                </c:pt>
                <c:pt idx="113">
                  <c:v>36.221800000000002</c:v>
                </c:pt>
                <c:pt idx="114">
                  <c:v>36.417400000000001</c:v>
                </c:pt>
                <c:pt idx="115">
                  <c:v>36.590499999999999</c:v>
                </c:pt>
                <c:pt idx="116">
                  <c:v>36.769500000000001</c:v>
                </c:pt>
                <c:pt idx="117">
                  <c:v>36.991800000000005</c:v>
                </c:pt>
                <c:pt idx="118">
                  <c:v>37.209399999999995</c:v>
                </c:pt>
                <c:pt idx="119">
                  <c:v>37.371300000000005</c:v>
                </c:pt>
                <c:pt idx="120">
                  <c:v>37.4054</c:v>
                </c:pt>
                <c:pt idx="121">
                  <c:v>37.439799999999998</c:v>
                </c:pt>
                <c:pt idx="122">
                  <c:v>37.476199999999999</c:v>
                </c:pt>
                <c:pt idx="123">
                  <c:v>37.505400000000002</c:v>
                </c:pt>
                <c:pt idx="124">
                  <c:v>37.539299999999997</c:v>
                </c:pt>
                <c:pt idx="125">
                  <c:v>37.5869</c:v>
                </c:pt>
                <c:pt idx="126">
                  <c:v>37.648299999999999</c:v>
                </c:pt>
                <c:pt idx="127">
                  <c:v>37.705300000000001</c:v>
                </c:pt>
                <c:pt idx="128">
                  <c:v>37.754800000000003</c:v>
                </c:pt>
                <c:pt idx="129">
                  <c:v>37.816100000000006</c:v>
                </c:pt>
                <c:pt idx="130">
                  <c:v>37.862699999999997</c:v>
                </c:pt>
                <c:pt idx="131">
                  <c:v>37.838200000000001</c:v>
                </c:pt>
                <c:pt idx="132">
                  <c:v>37.767499999999998</c:v>
                </c:pt>
                <c:pt idx="133">
                  <c:v>37.680900000000001</c:v>
                </c:pt>
                <c:pt idx="134">
                  <c:v>37.543599999999998</c:v>
                </c:pt>
                <c:pt idx="135">
                  <c:v>37.417499999999997</c:v>
                </c:pt>
                <c:pt idx="136">
                  <c:v>37.278500000000001</c:v>
                </c:pt>
                <c:pt idx="137">
                  <c:v>37.2119</c:v>
                </c:pt>
                <c:pt idx="138">
                  <c:v>37.189799999999998</c:v>
                </c:pt>
                <c:pt idx="139">
                  <c:v>37.202600000000004</c:v>
                </c:pt>
                <c:pt idx="140">
                  <c:v>37.117400000000004</c:v>
                </c:pt>
                <c:pt idx="141">
                  <c:v>37.100699999999996</c:v>
                </c:pt>
                <c:pt idx="142">
                  <c:v>36.9925</c:v>
                </c:pt>
                <c:pt idx="143">
                  <c:v>36.898399999999995</c:v>
                </c:pt>
                <c:pt idx="144">
                  <c:v>36.991500000000002</c:v>
                </c:pt>
                <c:pt idx="145">
                  <c:v>37.248100000000001</c:v>
                </c:pt>
                <c:pt idx="146">
                  <c:v>37.251600000000003</c:v>
                </c:pt>
                <c:pt idx="147">
                  <c:v>37.204000000000001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0.38757200000000003</c:v>
                </c:pt>
                <c:pt idx="2">
                  <c:v>0.79322300000000001</c:v>
                </c:pt>
                <c:pt idx="3">
                  <c:v>1.1972499999999999</c:v>
                </c:pt>
                <c:pt idx="4">
                  <c:v>1.6061799999999999</c:v>
                </c:pt>
                <c:pt idx="5">
                  <c:v>2.0120499999999999</c:v>
                </c:pt>
                <c:pt idx="6">
                  <c:v>2.4148999999999998</c:v>
                </c:pt>
                <c:pt idx="7">
                  <c:v>2.82409</c:v>
                </c:pt>
                <c:pt idx="8">
                  <c:v>3.23184</c:v>
                </c:pt>
                <c:pt idx="9">
                  <c:v>3.63768</c:v>
                </c:pt>
                <c:pt idx="10">
                  <c:v>4.0446200000000001</c:v>
                </c:pt>
                <c:pt idx="11">
                  <c:v>4.44658</c:v>
                </c:pt>
                <c:pt idx="12">
                  <c:v>4.8525</c:v>
                </c:pt>
                <c:pt idx="13">
                  <c:v>5.2643300000000002</c:v>
                </c:pt>
                <c:pt idx="14">
                  <c:v>5.6702899999999996</c:v>
                </c:pt>
                <c:pt idx="15">
                  <c:v>6.0741699999999996</c:v>
                </c:pt>
                <c:pt idx="16">
                  <c:v>6.4800899999999997</c:v>
                </c:pt>
                <c:pt idx="17">
                  <c:v>6.8830799999999996</c:v>
                </c:pt>
                <c:pt idx="18">
                  <c:v>7.2899099999999999</c:v>
                </c:pt>
                <c:pt idx="19">
                  <c:v>7.7017499999999997</c:v>
                </c:pt>
                <c:pt idx="20">
                  <c:v>8.1076899999999998</c:v>
                </c:pt>
                <c:pt idx="21">
                  <c:v>8.5096500000000006</c:v>
                </c:pt>
                <c:pt idx="22">
                  <c:v>8.9159000000000006</c:v>
                </c:pt>
                <c:pt idx="23">
                  <c:v>9.3244799999999994</c:v>
                </c:pt>
                <c:pt idx="24">
                  <c:v>9.7303899999999999</c:v>
                </c:pt>
                <c:pt idx="25">
                  <c:v>10.1396</c:v>
                </c:pt>
                <c:pt idx="26">
                  <c:v>10.5403</c:v>
                </c:pt>
                <c:pt idx="27">
                  <c:v>10.9442</c:v>
                </c:pt>
                <c:pt idx="28">
                  <c:v>11.3581</c:v>
                </c:pt>
                <c:pt idx="29">
                  <c:v>11.763999999999999</c:v>
                </c:pt>
                <c:pt idx="30">
                  <c:v>12.1699</c:v>
                </c:pt>
                <c:pt idx="31">
                  <c:v>12.5739</c:v>
                </c:pt>
                <c:pt idx="32">
                  <c:v>12.9777</c:v>
                </c:pt>
                <c:pt idx="33">
                  <c:v>13.3818</c:v>
                </c:pt>
                <c:pt idx="34">
                  <c:v>13.7957</c:v>
                </c:pt>
                <c:pt idx="35">
                  <c:v>14.199400000000001</c:v>
                </c:pt>
                <c:pt idx="36">
                  <c:v>14.605600000000001</c:v>
                </c:pt>
                <c:pt idx="37">
                  <c:v>15.013299999999999</c:v>
                </c:pt>
                <c:pt idx="38">
                  <c:v>15.4152</c:v>
                </c:pt>
                <c:pt idx="39">
                  <c:v>15.8223</c:v>
                </c:pt>
                <c:pt idx="40">
                  <c:v>16.225999999999999</c:v>
                </c:pt>
                <c:pt idx="41">
                  <c:v>16.634</c:v>
                </c:pt>
                <c:pt idx="42">
                  <c:v>17.044</c:v>
                </c:pt>
                <c:pt idx="43">
                  <c:v>17.448799999999999</c:v>
                </c:pt>
                <c:pt idx="44">
                  <c:v>17.8538</c:v>
                </c:pt>
                <c:pt idx="45">
                  <c:v>18.258600000000001</c:v>
                </c:pt>
                <c:pt idx="46">
                  <c:v>18.669499999999999</c:v>
                </c:pt>
                <c:pt idx="47">
                  <c:v>19.074400000000001</c:v>
                </c:pt>
                <c:pt idx="48">
                  <c:v>19.479299999999999</c:v>
                </c:pt>
                <c:pt idx="49">
                  <c:v>19.8873</c:v>
                </c:pt>
                <c:pt idx="50">
                  <c:v>20.293399999999998</c:v>
                </c:pt>
                <c:pt idx="51">
                  <c:v>20.696200000000001</c:v>
                </c:pt>
                <c:pt idx="52">
                  <c:v>21.109000000000002</c:v>
                </c:pt>
                <c:pt idx="53">
                  <c:v>21.509899999999998</c:v>
                </c:pt>
                <c:pt idx="54">
                  <c:v>21.915900000000001</c:v>
                </c:pt>
                <c:pt idx="55">
                  <c:v>22.3248</c:v>
                </c:pt>
                <c:pt idx="56">
                  <c:v>22.7317</c:v>
                </c:pt>
                <c:pt idx="57">
                  <c:v>23.137499999999999</c:v>
                </c:pt>
                <c:pt idx="58">
                  <c:v>23.546500000000002</c:v>
                </c:pt>
                <c:pt idx="59">
                  <c:v>23.948399999999999</c:v>
                </c:pt>
                <c:pt idx="60">
                  <c:v>24.353300000000001</c:v>
                </c:pt>
                <c:pt idx="61">
                  <c:v>24.7623</c:v>
                </c:pt>
                <c:pt idx="62">
                  <c:v>25.1661</c:v>
                </c:pt>
                <c:pt idx="63">
                  <c:v>25.574999999999999</c:v>
                </c:pt>
                <c:pt idx="64">
                  <c:v>25.981000000000002</c:v>
                </c:pt>
                <c:pt idx="65">
                  <c:v>26.384</c:v>
                </c:pt>
                <c:pt idx="66">
                  <c:v>26.790099999999999</c:v>
                </c:pt>
                <c:pt idx="67">
                  <c:v>27.1967</c:v>
                </c:pt>
                <c:pt idx="68">
                  <c:v>27.605899999999998</c:v>
                </c:pt>
                <c:pt idx="69">
                  <c:v>28.009599999999999</c:v>
                </c:pt>
                <c:pt idx="70">
                  <c:v>28.415500000000002</c:v>
                </c:pt>
                <c:pt idx="71">
                  <c:v>28.8233</c:v>
                </c:pt>
                <c:pt idx="72">
                  <c:v>29.2273</c:v>
                </c:pt>
                <c:pt idx="73">
                  <c:v>29.638300000000001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59.516599999999997</c:v>
                </c:pt>
                <c:pt idx="1">
                  <c:v>58.749099999999999</c:v>
                </c:pt>
                <c:pt idx="2">
                  <c:v>58.034399999999998</c:v>
                </c:pt>
                <c:pt idx="3">
                  <c:v>57.356999999999999</c:v>
                </c:pt>
                <c:pt idx="4">
                  <c:v>56.793400000000005</c:v>
                </c:pt>
                <c:pt idx="5">
                  <c:v>56.264499999999998</c:v>
                </c:pt>
                <c:pt idx="6">
                  <c:v>55.758399999999995</c:v>
                </c:pt>
                <c:pt idx="7">
                  <c:v>55.269199999999998</c:v>
                </c:pt>
                <c:pt idx="8">
                  <c:v>54.816800000000001</c:v>
                </c:pt>
                <c:pt idx="9">
                  <c:v>54.425900000000006</c:v>
                </c:pt>
                <c:pt idx="10">
                  <c:v>53.925400000000003</c:v>
                </c:pt>
                <c:pt idx="11">
                  <c:v>53.455500000000001</c:v>
                </c:pt>
                <c:pt idx="12">
                  <c:v>52.955100000000002</c:v>
                </c:pt>
                <c:pt idx="13">
                  <c:v>52.601799999999997</c:v>
                </c:pt>
                <c:pt idx="14">
                  <c:v>52.337100000000007</c:v>
                </c:pt>
                <c:pt idx="15">
                  <c:v>52.223500000000001</c:v>
                </c:pt>
                <c:pt idx="16">
                  <c:v>52.1586</c:v>
                </c:pt>
                <c:pt idx="17">
                  <c:v>52.116500000000002</c:v>
                </c:pt>
                <c:pt idx="18">
                  <c:v>51.970300000000002</c:v>
                </c:pt>
                <c:pt idx="19">
                  <c:v>51.843399999999995</c:v>
                </c:pt>
                <c:pt idx="20">
                  <c:v>51.740900000000003</c:v>
                </c:pt>
                <c:pt idx="21">
                  <c:v>51.647600000000004</c:v>
                </c:pt>
                <c:pt idx="22">
                  <c:v>51.548000000000002</c:v>
                </c:pt>
                <c:pt idx="23">
                  <c:v>51.434000000000005</c:v>
                </c:pt>
                <c:pt idx="24">
                  <c:v>51.321300000000001</c:v>
                </c:pt>
                <c:pt idx="25">
                  <c:v>51.207100000000004</c:v>
                </c:pt>
                <c:pt idx="26">
                  <c:v>51.111200000000004</c:v>
                </c:pt>
                <c:pt idx="27">
                  <c:v>51.025699999999993</c:v>
                </c:pt>
                <c:pt idx="28">
                  <c:v>50.973400000000005</c:v>
                </c:pt>
                <c:pt idx="29">
                  <c:v>50.947299999999998</c:v>
                </c:pt>
                <c:pt idx="30">
                  <c:v>50.954799999999999</c:v>
                </c:pt>
                <c:pt idx="31">
                  <c:v>50.989899999999999</c:v>
                </c:pt>
                <c:pt idx="32">
                  <c:v>51.0563</c:v>
                </c:pt>
                <c:pt idx="33">
                  <c:v>51.1267</c:v>
                </c:pt>
                <c:pt idx="34">
                  <c:v>51.206600000000002</c:v>
                </c:pt>
                <c:pt idx="35">
                  <c:v>51.358800000000002</c:v>
                </c:pt>
                <c:pt idx="36">
                  <c:v>51.543199999999999</c:v>
                </c:pt>
                <c:pt idx="37">
                  <c:v>51.755899999999997</c:v>
                </c:pt>
                <c:pt idx="38">
                  <c:v>51.941099999999999</c:v>
                </c:pt>
                <c:pt idx="39">
                  <c:v>52.112299999999998</c:v>
                </c:pt>
                <c:pt idx="40">
                  <c:v>52.190099999999994</c:v>
                </c:pt>
                <c:pt idx="41">
                  <c:v>52.205999999999996</c:v>
                </c:pt>
                <c:pt idx="42">
                  <c:v>52.226599999999998</c:v>
                </c:pt>
                <c:pt idx="43">
                  <c:v>52.324300000000001</c:v>
                </c:pt>
                <c:pt idx="44">
                  <c:v>52.4255</c:v>
                </c:pt>
                <c:pt idx="45">
                  <c:v>52.456599999999995</c:v>
                </c:pt>
                <c:pt idx="46">
                  <c:v>52.517299999999999</c:v>
                </c:pt>
                <c:pt idx="47">
                  <c:v>52.539400000000001</c:v>
                </c:pt>
                <c:pt idx="48">
                  <c:v>52.519400000000005</c:v>
                </c:pt>
                <c:pt idx="49">
                  <c:v>52.509399999999992</c:v>
                </c:pt>
                <c:pt idx="50">
                  <c:v>52.525100000000002</c:v>
                </c:pt>
                <c:pt idx="51">
                  <c:v>52.476599999999998</c:v>
                </c:pt>
                <c:pt idx="52">
                  <c:v>52.413499999999999</c:v>
                </c:pt>
                <c:pt idx="53">
                  <c:v>52.408600000000007</c:v>
                </c:pt>
                <c:pt idx="54">
                  <c:v>52.353000000000009</c:v>
                </c:pt>
                <c:pt idx="55">
                  <c:v>52.242800000000003</c:v>
                </c:pt>
                <c:pt idx="56">
                  <c:v>52.050399999999996</c:v>
                </c:pt>
                <c:pt idx="57">
                  <c:v>51.832000000000001</c:v>
                </c:pt>
                <c:pt idx="58">
                  <c:v>51.584600000000002</c:v>
                </c:pt>
                <c:pt idx="59">
                  <c:v>51.412800000000004</c:v>
                </c:pt>
                <c:pt idx="60">
                  <c:v>51.147799999999997</c:v>
                </c:pt>
                <c:pt idx="61">
                  <c:v>50.937600000000003</c:v>
                </c:pt>
                <c:pt idx="62">
                  <c:v>50.808500000000002</c:v>
                </c:pt>
                <c:pt idx="63">
                  <c:v>50.6721</c:v>
                </c:pt>
                <c:pt idx="64">
                  <c:v>50.491500000000002</c:v>
                </c:pt>
                <c:pt idx="65">
                  <c:v>50.370000000000005</c:v>
                </c:pt>
                <c:pt idx="66">
                  <c:v>50.170899999999996</c:v>
                </c:pt>
                <c:pt idx="67">
                  <c:v>49.9178</c:v>
                </c:pt>
                <c:pt idx="68">
                  <c:v>49.6081</c:v>
                </c:pt>
                <c:pt idx="69">
                  <c:v>49.2791</c:v>
                </c:pt>
                <c:pt idx="70">
                  <c:v>48.931899999999999</c:v>
                </c:pt>
                <c:pt idx="71">
                  <c:v>48.182399999999994</c:v>
                </c:pt>
                <c:pt idx="72">
                  <c:v>47.752400000000002</c:v>
                </c:pt>
                <c:pt idx="73">
                  <c:v>46.556999999999995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29.638300000000001</c:v>
                </c:pt>
                <c:pt idx="1">
                  <c:v>30.043099999999999</c:v>
                </c:pt>
                <c:pt idx="2">
                  <c:v>30.508900000000001</c:v>
                </c:pt>
                <c:pt idx="3">
                  <c:v>30.907399999999999</c:v>
                </c:pt>
                <c:pt idx="4">
                  <c:v>31.310700000000001</c:v>
                </c:pt>
                <c:pt idx="5">
                  <c:v>31.710699999999999</c:v>
                </c:pt>
                <c:pt idx="6">
                  <c:v>32.120600000000003</c:v>
                </c:pt>
                <c:pt idx="7">
                  <c:v>32.522599999999997</c:v>
                </c:pt>
                <c:pt idx="8">
                  <c:v>32.933399999999999</c:v>
                </c:pt>
                <c:pt idx="9">
                  <c:v>33.338500000000003</c:v>
                </c:pt>
                <c:pt idx="10">
                  <c:v>33.745199999999997</c:v>
                </c:pt>
                <c:pt idx="11">
                  <c:v>34.149299999999997</c:v>
                </c:pt>
                <c:pt idx="12">
                  <c:v>34.561</c:v>
                </c:pt>
                <c:pt idx="13">
                  <c:v>34.965000000000003</c:v>
                </c:pt>
                <c:pt idx="14">
                  <c:v>35.370899999999999</c:v>
                </c:pt>
                <c:pt idx="15">
                  <c:v>35.774900000000002</c:v>
                </c:pt>
                <c:pt idx="16">
                  <c:v>36.182000000000002</c:v>
                </c:pt>
                <c:pt idx="17">
                  <c:v>36.588999999999999</c:v>
                </c:pt>
                <c:pt idx="18">
                  <c:v>36.993600000000001</c:v>
                </c:pt>
                <c:pt idx="19">
                  <c:v>37.403500000000001</c:v>
                </c:pt>
                <c:pt idx="20">
                  <c:v>37.807400000000001</c:v>
                </c:pt>
                <c:pt idx="21">
                  <c:v>38.212299999999999</c:v>
                </c:pt>
                <c:pt idx="22">
                  <c:v>38.619199999999999</c:v>
                </c:pt>
                <c:pt idx="23">
                  <c:v>39.0261</c:v>
                </c:pt>
                <c:pt idx="24">
                  <c:v>39.431100000000001</c:v>
                </c:pt>
                <c:pt idx="25">
                  <c:v>39.8369</c:v>
                </c:pt>
                <c:pt idx="26">
                  <c:v>40.247799999999998</c:v>
                </c:pt>
                <c:pt idx="27">
                  <c:v>40.650700000000001</c:v>
                </c:pt>
                <c:pt idx="28">
                  <c:v>41.057699999999997</c:v>
                </c:pt>
                <c:pt idx="29">
                  <c:v>41.462899999999998</c:v>
                </c:pt>
                <c:pt idx="30">
                  <c:v>41.873600000000003</c:v>
                </c:pt>
                <c:pt idx="31">
                  <c:v>42.278399999999998</c:v>
                </c:pt>
                <c:pt idx="32">
                  <c:v>42.683300000000003</c:v>
                </c:pt>
                <c:pt idx="33">
                  <c:v>43.0852</c:v>
                </c:pt>
                <c:pt idx="34">
                  <c:v>43.496299999999998</c:v>
                </c:pt>
                <c:pt idx="35">
                  <c:v>43.9041</c:v>
                </c:pt>
                <c:pt idx="36">
                  <c:v>44.31</c:v>
                </c:pt>
                <c:pt idx="37">
                  <c:v>44.715800000000002</c:v>
                </c:pt>
                <c:pt idx="38">
                  <c:v>45.119799999999998</c:v>
                </c:pt>
                <c:pt idx="39">
                  <c:v>45.5259</c:v>
                </c:pt>
                <c:pt idx="40">
                  <c:v>45.933799999999998</c:v>
                </c:pt>
                <c:pt idx="41">
                  <c:v>46.3416</c:v>
                </c:pt>
                <c:pt idx="42">
                  <c:v>46.7455</c:v>
                </c:pt>
                <c:pt idx="43">
                  <c:v>47.1494</c:v>
                </c:pt>
                <c:pt idx="44">
                  <c:v>47.557499999999997</c:v>
                </c:pt>
                <c:pt idx="45">
                  <c:v>47.963200000000001</c:v>
                </c:pt>
                <c:pt idx="46">
                  <c:v>48.369100000000003</c:v>
                </c:pt>
                <c:pt idx="47">
                  <c:v>48.776000000000003</c:v>
                </c:pt>
                <c:pt idx="48">
                  <c:v>49.182000000000002</c:v>
                </c:pt>
                <c:pt idx="49">
                  <c:v>49.586799999999997</c:v>
                </c:pt>
                <c:pt idx="50">
                  <c:v>49.996699999999997</c:v>
                </c:pt>
                <c:pt idx="51">
                  <c:v>50.404699999999998</c:v>
                </c:pt>
                <c:pt idx="52">
                  <c:v>50.808500000000002</c:v>
                </c:pt>
                <c:pt idx="53">
                  <c:v>51.214500000000001</c:v>
                </c:pt>
                <c:pt idx="54">
                  <c:v>51.621699999999997</c:v>
                </c:pt>
                <c:pt idx="55">
                  <c:v>52.026299999999999</c:v>
                </c:pt>
                <c:pt idx="56">
                  <c:v>52.430199999999999</c:v>
                </c:pt>
                <c:pt idx="57">
                  <c:v>52.841200000000001</c:v>
                </c:pt>
                <c:pt idx="58">
                  <c:v>53.243099999999998</c:v>
                </c:pt>
                <c:pt idx="59">
                  <c:v>53.652200000000001</c:v>
                </c:pt>
                <c:pt idx="60">
                  <c:v>54.058900000000001</c:v>
                </c:pt>
                <c:pt idx="61">
                  <c:v>54.462800000000001</c:v>
                </c:pt>
                <c:pt idx="62">
                  <c:v>54.873899999999999</c:v>
                </c:pt>
                <c:pt idx="63">
                  <c:v>55.276600000000002</c:v>
                </c:pt>
                <c:pt idx="64">
                  <c:v>55.679600000000001</c:v>
                </c:pt>
                <c:pt idx="65">
                  <c:v>56.087600000000002</c:v>
                </c:pt>
                <c:pt idx="66">
                  <c:v>56.493400000000001</c:v>
                </c:pt>
                <c:pt idx="67">
                  <c:v>56.903300000000002</c:v>
                </c:pt>
                <c:pt idx="68">
                  <c:v>57.307299999999998</c:v>
                </c:pt>
                <c:pt idx="69">
                  <c:v>57.713200000000001</c:v>
                </c:pt>
                <c:pt idx="70">
                  <c:v>58.118200000000002</c:v>
                </c:pt>
                <c:pt idx="71">
                  <c:v>58.527999999999999</c:v>
                </c:pt>
                <c:pt idx="72">
                  <c:v>58.934800000000003</c:v>
                </c:pt>
                <c:pt idx="73">
                  <c:v>59.340800000000002</c:v>
                </c:pt>
                <c:pt idx="74">
                  <c:v>59.745699999999999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46.556999999999995</c:v>
                </c:pt>
                <c:pt idx="1">
                  <c:v>45.768799999999999</c:v>
                </c:pt>
                <c:pt idx="2">
                  <c:v>44.9482</c:v>
                </c:pt>
                <c:pt idx="3">
                  <c:v>44.090800000000002</c:v>
                </c:pt>
                <c:pt idx="4">
                  <c:v>43.225700000000003</c:v>
                </c:pt>
                <c:pt idx="5">
                  <c:v>42.246499999999997</c:v>
                </c:pt>
                <c:pt idx="6">
                  <c:v>41.235199999999999</c:v>
                </c:pt>
                <c:pt idx="7">
                  <c:v>40.400000000000006</c:v>
                </c:pt>
                <c:pt idx="8">
                  <c:v>39.721499999999999</c:v>
                </c:pt>
                <c:pt idx="9">
                  <c:v>39.072499999999998</c:v>
                </c:pt>
                <c:pt idx="10">
                  <c:v>38.475300000000004</c:v>
                </c:pt>
                <c:pt idx="11">
                  <c:v>37.9681</c:v>
                </c:pt>
                <c:pt idx="12">
                  <c:v>37.498899999999999</c:v>
                </c:pt>
                <c:pt idx="13">
                  <c:v>37.068100000000001</c:v>
                </c:pt>
                <c:pt idx="14">
                  <c:v>36.697499999999998</c:v>
                </c:pt>
                <c:pt idx="15">
                  <c:v>36.440400000000004</c:v>
                </c:pt>
                <c:pt idx="16">
                  <c:v>36.1218</c:v>
                </c:pt>
                <c:pt idx="17">
                  <c:v>35.874400000000001</c:v>
                </c:pt>
                <c:pt idx="18">
                  <c:v>35.593899999999998</c:v>
                </c:pt>
                <c:pt idx="19">
                  <c:v>35.316800000000001</c:v>
                </c:pt>
                <c:pt idx="20">
                  <c:v>35.080099999999995</c:v>
                </c:pt>
                <c:pt idx="21">
                  <c:v>34.894399999999997</c:v>
                </c:pt>
                <c:pt idx="22">
                  <c:v>34.848199999999999</c:v>
                </c:pt>
                <c:pt idx="23">
                  <c:v>34.823</c:v>
                </c:pt>
                <c:pt idx="24">
                  <c:v>34.792899999999996</c:v>
                </c:pt>
                <c:pt idx="25">
                  <c:v>34.757399999999997</c:v>
                </c:pt>
                <c:pt idx="26">
                  <c:v>34.718199999999996</c:v>
                </c:pt>
                <c:pt idx="27">
                  <c:v>34.694199999999995</c:v>
                </c:pt>
                <c:pt idx="28">
                  <c:v>34.674700000000001</c:v>
                </c:pt>
                <c:pt idx="29">
                  <c:v>34.690599999999996</c:v>
                </c:pt>
                <c:pt idx="30">
                  <c:v>34.756300000000003</c:v>
                </c:pt>
                <c:pt idx="31">
                  <c:v>34.869499999999995</c:v>
                </c:pt>
                <c:pt idx="32">
                  <c:v>34.971499999999999</c:v>
                </c:pt>
                <c:pt idx="33">
                  <c:v>35.097999999999999</c:v>
                </c:pt>
                <c:pt idx="34">
                  <c:v>35.276800000000001</c:v>
                </c:pt>
                <c:pt idx="35">
                  <c:v>35.4465</c:v>
                </c:pt>
                <c:pt idx="36">
                  <c:v>35.604999999999997</c:v>
                </c:pt>
                <c:pt idx="37">
                  <c:v>35.772999999999996</c:v>
                </c:pt>
                <c:pt idx="38">
                  <c:v>35.958300000000001</c:v>
                </c:pt>
                <c:pt idx="39">
                  <c:v>36.110999999999997</c:v>
                </c:pt>
                <c:pt idx="40">
                  <c:v>36.221800000000002</c:v>
                </c:pt>
                <c:pt idx="41">
                  <c:v>36.417400000000001</c:v>
                </c:pt>
                <c:pt idx="42">
                  <c:v>36.590499999999999</c:v>
                </c:pt>
                <c:pt idx="43">
                  <c:v>36.769500000000001</c:v>
                </c:pt>
                <c:pt idx="44">
                  <c:v>36.991800000000005</c:v>
                </c:pt>
                <c:pt idx="45">
                  <c:v>37.209399999999995</c:v>
                </c:pt>
                <c:pt idx="46">
                  <c:v>37.371300000000005</c:v>
                </c:pt>
                <c:pt idx="47">
                  <c:v>37.4054</c:v>
                </c:pt>
                <c:pt idx="48">
                  <c:v>37.439799999999998</c:v>
                </c:pt>
                <c:pt idx="49">
                  <c:v>37.476199999999999</c:v>
                </c:pt>
                <c:pt idx="50">
                  <c:v>37.505400000000002</c:v>
                </c:pt>
                <c:pt idx="51">
                  <c:v>37.539299999999997</c:v>
                </c:pt>
                <c:pt idx="52">
                  <c:v>37.5869</c:v>
                </c:pt>
                <c:pt idx="53">
                  <c:v>37.648299999999999</c:v>
                </c:pt>
                <c:pt idx="54">
                  <c:v>37.705300000000001</c:v>
                </c:pt>
                <c:pt idx="55">
                  <c:v>37.754800000000003</c:v>
                </c:pt>
                <c:pt idx="56">
                  <c:v>37.816100000000006</c:v>
                </c:pt>
                <c:pt idx="57">
                  <c:v>37.862699999999997</c:v>
                </c:pt>
                <c:pt idx="58">
                  <c:v>37.838200000000001</c:v>
                </c:pt>
                <c:pt idx="59">
                  <c:v>37.767499999999998</c:v>
                </c:pt>
                <c:pt idx="60">
                  <c:v>37.680900000000001</c:v>
                </c:pt>
                <c:pt idx="61">
                  <c:v>37.543599999999998</c:v>
                </c:pt>
                <c:pt idx="62">
                  <c:v>37.417499999999997</c:v>
                </c:pt>
                <c:pt idx="63">
                  <c:v>37.278500000000001</c:v>
                </c:pt>
                <c:pt idx="64">
                  <c:v>37.2119</c:v>
                </c:pt>
                <c:pt idx="65">
                  <c:v>37.189799999999998</c:v>
                </c:pt>
                <c:pt idx="66">
                  <c:v>37.202600000000004</c:v>
                </c:pt>
                <c:pt idx="67">
                  <c:v>37.117400000000004</c:v>
                </c:pt>
                <c:pt idx="68">
                  <c:v>37.100699999999996</c:v>
                </c:pt>
                <c:pt idx="69">
                  <c:v>36.9925</c:v>
                </c:pt>
                <c:pt idx="70">
                  <c:v>36.898399999999995</c:v>
                </c:pt>
                <c:pt idx="71">
                  <c:v>36.991500000000002</c:v>
                </c:pt>
                <c:pt idx="72">
                  <c:v>37.248100000000001</c:v>
                </c:pt>
                <c:pt idx="73">
                  <c:v>37.251600000000003</c:v>
                </c:pt>
                <c:pt idx="74">
                  <c:v>37.204000000000001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14.936425</c:v>
                </c:pt>
                <c:pt idx="1">
                  <c:v>44.809275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52.156968918918913</c:v>
                </c:pt>
                <c:pt idx="1">
                  <c:v>37.227710810810812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31.795300000000001</c:v>
                </c:pt>
                <c:pt idx="1">
                  <c:v>43.216099999999997</c:v>
                </c:pt>
                <c:pt idx="2">
                  <c:v>24.155999999999999</c:v>
                </c:pt>
                <c:pt idx="3">
                  <c:v>32.912700000000001</c:v>
                </c:pt>
                <c:pt idx="4">
                  <c:v>73.712800000000001</c:v>
                </c:pt>
                <c:pt idx="5">
                  <c:v>63.5824</c:v>
                </c:pt>
                <c:pt idx="6">
                  <c:v>15.133900000000001</c:v>
                </c:pt>
                <c:pt idx="7">
                  <c:v>66.899500000000003</c:v>
                </c:pt>
                <c:pt idx="8">
                  <c:v>15.0608</c:v>
                </c:pt>
                <c:pt idx="9">
                  <c:v>25.3718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41.714500000000001</c:v>
                </c:pt>
                <c:pt idx="1">
                  <c:v>43.363300000000002</c:v>
                </c:pt>
                <c:pt idx="2">
                  <c:v>32.227699999999999</c:v>
                </c:pt>
                <c:pt idx="3">
                  <c:v>37.592700000000001</c:v>
                </c:pt>
                <c:pt idx="4">
                  <c:v>70.493499999999997</c:v>
                </c:pt>
                <c:pt idx="5">
                  <c:v>47.357199999999999</c:v>
                </c:pt>
                <c:pt idx="6">
                  <c:v>18.053899999999999</c:v>
                </c:pt>
                <c:pt idx="7">
                  <c:v>59.732500000000002</c:v>
                </c:pt>
                <c:pt idx="8">
                  <c:v>14.645799999999999</c:v>
                </c:pt>
                <c:pt idx="9">
                  <c:v>24.8584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0.50738339742464211</c:v>
                </c:pt>
                <c:pt idx="1">
                  <c:v>0.30554724678033995</c:v>
                </c:pt>
                <c:pt idx="2">
                  <c:v>0.18706935579501793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9859</c:v>
                </c:pt>
                <c:pt idx="7">
                  <c:v>0</c:v>
                </c:pt>
                <c:pt idx="8">
                  <c:v>15224</c:v>
                </c:pt>
                <c:pt idx="9">
                  <c:v>0</c:v>
                </c:pt>
                <c:pt idx="10">
                  <c:v>0</c:v>
                </c:pt>
                <c:pt idx="11">
                  <c:v>19461</c:v>
                </c:pt>
                <c:pt idx="12">
                  <c:v>0</c:v>
                </c:pt>
                <c:pt idx="13">
                  <c:v>30512</c:v>
                </c:pt>
                <c:pt idx="14">
                  <c:v>0</c:v>
                </c:pt>
                <c:pt idx="15">
                  <c:v>0</c:v>
                </c:pt>
                <c:pt idx="16">
                  <c:v>32095</c:v>
                </c:pt>
                <c:pt idx="17">
                  <c:v>0</c:v>
                </c:pt>
                <c:pt idx="18">
                  <c:v>0</c:v>
                </c:pt>
                <c:pt idx="19">
                  <c:v>36310</c:v>
                </c:pt>
                <c:pt idx="20">
                  <c:v>0</c:v>
                </c:pt>
                <c:pt idx="21">
                  <c:v>37402</c:v>
                </c:pt>
                <c:pt idx="22">
                  <c:v>0</c:v>
                </c:pt>
                <c:pt idx="23">
                  <c:v>0</c:v>
                </c:pt>
                <c:pt idx="24">
                  <c:v>45428</c:v>
                </c:pt>
                <c:pt idx="25">
                  <c:v>0</c:v>
                </c:pt>
                <c:pt idx="26">
                  <c:v>46878</c:v>
                </c:pt>
                <c:pt idx="27">
                  <c:v>0</c:v>
                </c:pt>
                <c:pt idx="28">
                  <c:v>0</c:v>
                </c:pt>
                <c:pt idx="29">
                  <c:v>51107</c:v>
                </c:pt>
                <c:pt idx="30">
                  <c:v>0</c:v>
                </c:pt>
                <c:pt idx="31">
                  <c:v>52194</c:v>
                </c:pt>
                <c:pt idx="32">
                  <c:v>0</c:v>
                </c:pt>
                <c:pt idx="33">
                  <c:v>0</c:v>
                </c:pt>
                <c:pt idx="34">
                  <c:v>52728</c:v>
                </c:pt>
                <c:pt idx="35">
                  <c:v>0</c:v>
                </c:pt>
                <c:pt idx="36">
                  <c:v>0</c:v>
                </c:pt>
                <c:pt idx="37">
                  <c:v>57453</c:v>
                </c:pt>
                <c:pt idx="38">
                  <c:v>0</c:v>
                </c:pt>
                <c:pt idx="39">
                  <c:v>58974</c:v>
                </c:pt>
                <c:pt idx="40">
                  <c:v>0</c:v>
                </c:pt>
                <c:pt idx="41">
                  <c:v>0</c:v>
                </c:pt>
                <c:pt idx="42">
                  <c:v>64463</c:v>
                </c:pt>
                <c:pt idx="43">
                  <c:v>0</c:v>
                </c:pt>
                <c:pt idx="44">
                  <c:v>68189</c:v>
                </c:pt>
                <c:pt idx="45">
                  <c:v>0</c:v>
                </c:pt>
                <c:pt idx="46">
                  <c:v>0</c:v>
                </c:pt>
                <c:pt idx="47">
                  <c:v>63657</c:v>
                </c:pt>
                <c:pt idx="48">
                  <c:v>0</c:v>
                </c:pt>
                <c:pt idx="49">
                  <c:v>70178</c:v>
                </c:pt>
                <c:pt idx="50">
                  <c:v>0</c:v>
                </c:pt>
                <c:pt idx="51">
                  <c:v>0</c:v>
                </c:pt>
                <c:pt idx="52">
                  <c:v>72973</c:v>
                </c:pt>
                <c:pt idx="53">
                  <c:v>0</c:v>
                </c:pt>
                <c:pt idx="54">
                  <c:v>0</c:v>
                </c:pt>
                <c:pt idx="55">
                  <c:v>82910</c:v>
                </c:pt>
                <c:pt idx="56">
                  <c:v>0</c:v>
                </c:pt>
                <c:pt idx="57">
                  <c:v>81667</c:v>
                </c:pt>
                <c:pt idx="58">
                  <c:v>0</c:v>
                </c:pt>
                <c:pt idx="59">
                  <c:v>0</c:v>
                </c:pt>
                <c:pt idx="60">
                  <c:v>87533</c:v>
                </c:pt>
                <c:pt idx="61">
                  <c:v>0</c:v>
                </c:pt>
                <c:pt idx="62">
                  <c:v>83508</c:v>
                </c:pt>
                <c:pt idx="63">
                  <c:v>0</c:v>
                </c:pt>
                <c:pt idx="64">
                  <c:v>0</c:v>
                </c:pt>
                <c:pt idx="65">
                  <c:v>85950</c:v>
                </c:pt>
                <c:pt idx="66">
                  <c:v>0</c:v>
                </c:pt>
                <c:pt idx="67">
                  <c:v>91981</c:v>
                </c:pt>
                <c:pt idx="68">
                  <c:v>0</c:v>
                </c:pt>
                <c:pt idx="69">
                  <c:v>0</c:v>
                </c:pt>
                <c:pt idx="70">
                  <c:v>88813</c:v>
                </c:pt>
                <c:pt idx="71">
                  <c:v>0</c:v>
                </c:pt>
                <c:pt idx="72">
                  <c:v>0</c:v>
                </c:pt>
                <c:pt idx="73">
                  <c:v>87979</c:v>
                </c:pt>
                <c:pt idx="74">
                  <c:v>0</c:v>
                </c:pt>
                <c:pt idx="75">
                  <c:v>86662</c:v>
                </c:pt>
                <c:pt idx="76">
                  <c:v>0</c:v>
                </c:pt>
                <c:pt idx="77">
                  <c:v>0</c:v>
                </c:pt>
                <c:pt idx="78">
                  <c:v>77120</c:v>
                </c:pt>
                <c:pt idx="79">
                  <c:v>0</c:v>
                </c:pt>
                <c:pt idx="80">
                  <c:v>72704</c:v>
                </c:pt>
                <c:pt idx="81">
                  <c:v>0</c:v>
                </c:pt>
                <c:pt idx="82">
                  <c:v>0</c:v>
                </c:pt>
                <c:pt idx="83">
                  <c:v>62159</c:v>
                </c:pt>
                <c:pt idx="84">
                  <c:v>0</c:v>
                </c:pt>
                <c:pt idx="85">
                  <c:v>0</c:v>
                </c:pt>
                <c:pt idx="86">
                  <c:v>56428</c:v>
                </c:pt>
                <c:pt idx="87">
                  <c:v>0</c:v>
                </c:pt>
                <c:pt idx="88">
                  <c:v>53978</c:v>
                </c:pt>
                <c:pt idx="89">
                  <c:v>0</c:v>
                </c:pt>
                <c:pt idx="90">
                  <c:v>0</c:v>
                </c:pt>
                <c:pt idx="91">
                  <c:v>46331</c:v>
                </c:pt>
                <c:pt idx="92">
                  <c:v>0</c:v>
                </c:pt>
                <c:pt idx="93">
                  <c:v>37335</c:v>
                </c:pt>
                <c:pt idx="94">
                  <c:v>0</c:v>
                </c:pt>
                <c:pt idx="95">
                  <c:v>0</c:v>
                </c:pt>
                <c:pt idx="96">
                  <c:v>34954</c:v>
                </c:pt>
                <c:pt idx="97">
                  <c:v>0</c:v>
                </c:pt>
                <c:pt idx="98">
                  <c:v>28949</c:v>
                </c:pt>
                <c:pt idx="99">
                  <c:v>0</c:v>
                </c:pt>
                <c:pt idx="100">
                  <c:v>0</c:v>
                </c:pt>
                <c:pt idx="101">
                  <c:v>23606</c:v>
                </c:pt>
                <c:pt idx="102">
                  <c:v>0</c:v>
                </c:pt>
                <c:pt idx="103">
                  <c:v>0</c:v>
                </c:pt>
                <c:pt idx="104">
                  <c:v>21081</c:v>
                </c:pt>
                <c:pt idx="105">
                  <c:v>0</c:v>
                </c:pt>
                <c:pt idx="106">
                  <c:v>13990</c:v>
                </c:pt>
                <c:pt idx="107">
                  <c:v>0</c:v>
                </c:pt>
                <c:pt idx="108">
                  <c:v>0</c:v>
                </c:pt>
                <c:pt idx="109">
                  <c:v>10502</c:v>
                </c:pt>
                <c:pt idx="110">
                  <c:v>0</c:v>
                </c:pt>
                <c:pt idx="111">
                  <c:v>8107</c:v>
                </c:pt>
                <c:pt idx="112">
                  <c:v>0</c:v>
                </c:pt>
                <c:pt idx="113">
                  <c:v>0</c:v>
                </c:pt>
                <c:pt idx="114">
                  <c:v>6088</c:v>
                </c:pt>
                <c:pt idx="115">
                  <c:v>0</c:v>
                </c:pt>
                <c:pt idx="116">
                  <c:v>7698</c:v>
                </c:pt>
                <c:pt idx="117">
                  <c:v>0</c:v>
                </c:pt>
                <c:pt idx="118">
                  <c:v>0</c:v>
                </c:pt>
                <c:pt idx="119">
                  <c:v>4892</c:v>
                </c:pt>
                <c:pt idx="120">
                  <c:v>0</c:v>
                </c:pt>
                <c:pt idx="121">
                  <c:v>0</c:v>
                </c:pt>
                <c:pt idx="122">
                  <c:v>3184</c:v>
                </c:pt>
                <c:pt idx="123">
                  <c:v>0</c:v>
                </c:pt>
                <c:pt idx="124">
                  <c:v>2290</c:v>
                </c:pt>
                <c:pt idx="125">
                  <c:v>0</c:v>
                </c:pt>
                <c:pt idx="126">
                  <c:v>0</c:v>
                </c:pt>
                <c:pt idx="127">
                  <c:v>1505</c:v>
                </c:pt>
                <c:pt idx="128">
                  <c:v>0</c:v>
                </c:pt>
                <c:pt idx="129">
                  <c:v>1578</c:v>
                </c:pt>
                <c:pt idx="130">
                  <c:v>0</c:v>
                </c:pt>
                <c:pt idx="131">
                  <c:v>0</c:v>
                </c:pt>
                <c:pt idx="132">
                  <c:v>1615</c:v>
                </c:pt>
                <c:pt idx="133">
                  <c:v>0</c:v>
                </c:pt>
                <c:pt idx="134">
                  <c:v>1394</c:v>
                </c:pt>
                <c:pt idx="135">
                  <c:v>0</c:v>
                </c:pt>
                <c:pt idx="136">
                  <c:v>0</c:v>
                </c:pt>
                <c:pt idx="137">
                  <c:v>956</c:v>
                </c:pt>
                <c:pt idx="138">
                  <c:v>0</c:v>
                </c:pt>
                <c:pt idx="139">
                  <c:v>0</c:v>
                </c:pt>
                <c:pt idx="140">
                  <c:v>1049</c:v>
                </c:pt>
                <c:pt idx="141">
                  <c:v>0</c:v>
                </c:pt>
                <c:pt idx="142">
                  <c:v>1028</c:v>
                </c:pt>
                <c:pt idx="143">
                  <c:v>0</c:v>
                </c:pt>
                <c:pt idx="144">
                  <c:v>0</c:v>
                </c:pt>
                <c:pt idx="145">
                  <c:v>299</c:v>
                </c:pt>
                <c:pt idx="146">
                  <c:v>0</c:v>
                </c:pt>
                <c:pt idx="147">
                  <c:v>111</c:v>
                </c:pt>
                <c:pt idx="148">
                  <c:v>0</c:v>
                </c:pt>
                <c:pt idx="149">
                  <c:v>0</c:v>
                </c:pt>
                <c:pt idx="150">
                  <c:v>56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8084</c:v>
                </c:pt>
                <c:pt idx="7">
                  <c:v>0</c:v>
                </c:pt>
                <c:pt idx="8">
                  <c:v>11342</c:v>
                </c:pt>
                <c:pt idx="9">
                  <c:v>0</c:v>
                </c:pt>
                <c:pt idx="10">
                  <c:v>0</c:v>
                </c:pt>
                <c:pt idx="11">
                  <c:v>18019</c:v>
                </c:pt>
                <c:pt idx="12">
                  <c:v>0</c:v>
                </c:pt>
                <c:pt idx="13">
                  <c:v>22216</c:v>
                </c:pt>
                <c:pt idx="14">
                  <c:v>0</c:v>
                </c:pt>
                <c:pt idx="15">
                  <c:v>0</c:v>
                </c:pt>
                <c:pt idx="16">
                  <c:v>30396</c:v>
                </c:pt>
                <c:pt idx="17">
                  <c:v>0</c:v>
                </c:pt>
                <c:pt idx="18">
                  <c:v>0</c:v>
                </c:pt>
                <c:pt idx="19">
                  <c:v>35068</c:v>
                </c:pt>
                <c:pt idx="20">
                  <c:v>0</c:v>
                </c:pt>
                <c:pt idx="21">
                  <c:v>35238</c:v>
                </c:pt>
                <c:pt idx="22">
                  <c:v>0</c:v>
                </c:pt>
                <c:pt idx="23">
                  <c:v>0</c:v>
                </c:pt>
                <c:pt idx="24">
                  <c:v>35013</c:v>
                </c:pt>
                <c:pt idx="25">
                  <c:v>0</c:v>
                </c:pt>
                <c:pt idx="26">
                  <c:v>40375</c:v>
                </c:pt>
                <c:pt idx="27">
                  <c:v>0</c:v>
                </c:pt>
                <c:pt idx="28">
                  <c:v>0</c:v>
                </c:pt>
                <c:pt idx="29">
                  <c:v>43142</c:v>
                </c:pt>
                <c:pt idx="30">
                  <c:v>0</c:v>
                </c:pt>
                <c:pt idx="31">
                  <c:v>46086</c:v>
                </c:pt>
                <c:pt idx="32">
                  <c:v>0</c:v>
                </c:pt>
                <c:pt idx="33">
                  <c:v>0</c:v>
                </c:pt>
                <c:pt idx="34">
                  <c:v>47638</c:v>
                </c:pt>
                <c:pt idx="35">
                  <c:v>0</c:v>
                </c:pt>
                <c:pt idx="36">
                  <c:v>0</c:v>
                </c:pt>
                <c:pt idx="37">
                  <c:v>46504</c:v>
                </c:pt>
                <c:pt idx="38">
                  <c:v>0</c:v>
                </c:pt>
                <c:pt idx="39">
                  <c:v>45366</c:v>
                </c:pt>
                <c:pt idx="40">
                  <c:v>0</c:v>
                </c:pt>
                <c:pt idx="41">
                  <c:v>0</c:v>
                </c:pt>
                <c:pt idx="42">
                  <c:v>49028</c:v>
                </c:pt>
                <c:pt idx="43">
                  <c:v>0</c:v>
                </c:pt>
                <c:pt idx="44">
                  <c:v>57489</c:v>
                </c:pt>
                <c:pt idx="45">
                  <c:v>0</c:v>
                </c:pt>
                <c:pt idx="46">
                  <c:v>0</c:v>
                </c:pt>
                <c:pt idx="47">
                  <c:v>54192</c:v>
                </c:pt>
                <c:pt idx="48">
                  <c:v>0</c:v>
                </c:pt>
                <c:pt idx="49">
                  <c:v>66119</c:v>
                </c:pt>
                <c:pt idx="50">
                  <c:v>0</c:v>
                </c:pt>
                <c:pt idx="51">
                  <c:v>0</c:v>
                </c:pt>
                <c:pt idx="52">
                  <c:v>64358</c:v>
                </c:pt>
                <c:pt idx="53">
                  <c:v>0</c:v>
                </c:pt>
                <c:pt idx="54">
                  <c:v>0</c:v>
                </c:pt>
                <c:pt idx="55">
                  <c:v>63538</c:v>
                </c:pt>
                <c:pt idx="56">
                  <c:v>0</c:v>
                </c:pt>
                <c:pt idx="57">
                  <c:v>72480</c:v>
                </c:pt>
                <c:pt idx="58">
                  <c:v>0</c:v>
                </c:pt>
                <c:pt idx="59">
                  <c:v>0</c:v>
                </c:pt>
                <c:pt idx="60">
                  <c:v>83992</c:v>
                </c:pt>
                <c:pt idx="61">
                  <c:v>0</c:v>
                </c:pt>
                <c:pt idx="62">
                  <c:v>83194</c:v>
                </c:pt>
                <c:pt idx="63">
                  <c:v>0</c:v>
                </c:pt>
                <c:pt idx="64">
                  <c:v>0</c:v>
                </c:pt>
                <c:pt idx="65">
                  <c:v>83107</c:v>
                </c:pt>
                <c:pt idx="66">
                  <c:v>0</c:v>
                </c:pt>
                <c:pt idx="67">
                  <c:v>87630</c:v>
                </c:pt>
                <c:pt idx="68">
                  <c:v>0</c:v>
                </c:pt>
                <c:pt idx="69">
                  <c:v>0</c:v>
                </c:pt>
                <c:pt idx="70">
                  <c:v>87313</c:v>
                </c:pt>
                <c:pt idx="71">
                  <c:v>0</c:v>
                </c:pt>
                <c:pt idx="72">
                  <c:v>0</c:v>
                </c:pt>
                <c:pt idx="73">
                  <c:v>87504</c:v>
                </c:pt>
                <c:pt idx="74">
                  <c:v>0</c:v>
                </c:pt>
                <c:pt idx="75">
                  <c:v>82791</c:v>
                </c:pt>
                <c:pt idx="76">
                  <c:v>0</c:v>
                </c:pt>
                <c:pt idx="77">
                  <c:v>0</c:v>
                </c:pt>
                <c:pt idx="78">
                  <c:v>77230</c:v>
                </c:pt>
                <c:pt idx="79">
                  <c:v>0</c:v>
                </c:pt>
                <c:pt idx="80">
                  <c:v>79603</c:v>
                </c:pt>
                <c:pt idx="81">
                  <c:v>0</c:v>
                </c:pt>
                <c:pt idx="82">
                  <c:v>0</c:v>
                </c:pt>
                <c:pt idx="83">
                  <c:v>77482</c:v>
                </c:pt>
                <c:pt idx="84">
                  <c:v>0</c:v>
                </c:pt>
                <c:pt idx="85">
                  <c:v>0</c:v>
                </c:pt>
                <c:pt idx="86">
                  <c:v>81148</c:v>
                </c:pt>
                <c:pt idx="87">
                  <c:v>0</c:v>
                </c:pt>
                <c:pt idx="88">
                  <c:v>92599</c:v>
                </c:pt>
                <c:pt idx="89">
                  <c:v>0</c:v>
                </c:pt>
                <c:pt idx="90">
                  <c:v>0</c:v>
                </c:pt>
                <c:pt idx="91">
                  <c:v>93127</c:v>
                </c:pt>
                <c:pt idx="92">
                  <c:v>0</c:v>
                </c:pt>
                <c:pt idx="93">
                  <c:v>90377</c:v>
                </c:pt>
                <c:pt idx="94">
                  <c:v>0</c:v>
                </c:pt>
                <c:pt idx="95">
                  <c:v>0</c:v>
                </c:pt>
                <c:pt idx="96">
                  <c:v>78831</c:v>
                </c:pt>
                <c:pt idx="97">
                  <c:v>0</c:v>
                </c:pt>
                <c:pt idx="98">
                  <c:v>72647</c:v>
                </c:pt>
                <c:pt idx="99">
                  <c:v>0</c:v>
                </c:pt>
                <c:pt idx="100">
                  <c:v>0</c:v>
                </c:pt>
                <c:pt idx="101">
                  <c:v>65012</c:v>
                </c:pt>
                <c:pt idx="102">
                  <c:v>0</c:v>
                </c:pt>
                <c:pt idx="103">
                  <c:v>0</c:v>
                </c:pt>
                <c:pt idx="104">
                  <c:v>60630</c:v>
                </c:pt>
                <c:pt idx="105">
                  <c:v>0</c:v>
                </c:pt>
                <c:pt idx="106">
                  <c:v>58953</c:v>
                </c:pt>
                <c:pt idx="107">
                  <c:v>0</c:v>
                </c:pt>
                <c:pt idx="108">
                  <c:v>0</c:v>
                </c:pt>
                <c:pt idx="109">
                  <c:v>49225</c:v>
                </c:pt>
                <c:pt idx="110">
                  <c:v>0</c:v>
                </c:pt>
                <c:pt idx="111">
                  <c:v>45328</c:v>
                </c:pt>
                <c:pt idx="112">
                  <c:v>0</c:v>
                </c:pt>
                <c:pt idx="113">
                  <c:v>0</c:v>
                </c:pt>
                <c:pt idx="114">
                  <c:v>44810</c:v>
                </c:pt>
                <c:pt idx="115">
                  <c:v>0</c:v>
                </c:pt>
                <c:pt idx="116">
                  <c:v>40473</c:v>
                </c:pt>
                <c:pt idx="117">
                  <c:v>0</c:v>
                </c:pt>
                <c:pt idx="118">
                  <c:v>0</c:v>
                </c:pt>
                <c:pt idx="119">
                  <c:v>35626</c:v>
                </c:pt>
                <c:pt idx="120">
                  <c:v>0</c:v>
                </c:pt>
                <c:pt idx="121">
                  <c:v>0</c:v>
                </c:pt>
                <c:pt idx="122">
                  <c:v>26502</c:v>
                </c:pt>
                <c:pt idx="123">
                  <c:v>0</c:v>
                </c:pt>
                <c:pt idx="124">
                  <c:v>23276</c:v>
                </c:pt>
                <c:pt idx="125">
                  <c:v>0</c:v>
                </c:pt>
                <c:pt idx="126">
                  <c:v>0</c:v>
                </c:pt>
                <c:pt idx="127">
                  <c:v>24986</c:v>
                </c:pt>
                <c:pt idx="128">
                  <c:v>0</c:v>
                </c:pt>
                <c:pt idx="129">
                  <c:v>25358</c:v>
                </c:pt>
                <c:pt idx="130">
                  <c:v>0</c:v>
                </c:pt>
                <c:pt idx="131">
                  <c:v>0</c:v>
                </c:pt>
                <c:pt idx="132">
                  <c:v>22513</c:v>
                </c:pt>
                <c:pt idx="133">
                  <c:v>0</c:v>
                </c:pt>
                <c:pt idx="134">
                  <c:v>19400</c:v>
                </c:pt>
                <c:pt idx="135">
                  <c:v>0</c:v>
                </c:pt>
                <c:pt idx="136">
                  <c:v>0</c:v>
                </c:pt>
                <c:pt idx="137">
                  <c:v>18638</c:v>
                </c:pt>
                <c:pt idx="138">
                  <c:v>0</c:v>
                </c:pt>
                <c:pt idx="139">
                  <c:v>0</c:v>
                </c:pt>
                <c:pt idx="140">
                  <c:v>17402</c:v>
                </c:pt>
                <c:pt idx="141">
                  <c:v>0</c:v>
                </c:pt>
                <c:pt idx="142">
                  <c:v>14060</c:v>
                </c:pt>
                <c:pt idx="143">
                  <c:v>0</c:v>
                </c:pt>
                <c:pt idx="144">
                  <c:v>0</c:v>
                </c:pt>
                <c:pt idx="145">
                  <c:v>10240</c:v>
                </c:pt>
                <c:pt idx="146">
                  <c:v>0</c:v>
                </c:pt>
                <c:pt idx="147">
                  <c:v>9731</c:v>
                </c:pt>
                <c:pt idx="148">
                  <c:v>0</c:v>
                </c:pt>
                <c:pt idx="149">
                  <c:v>0</c:v>
                </c:pt>
                <c:pt idx="150">
                  <c:v>5423</c:v>
                </c:pt>
                <c:pt idx="151">
                  <c:v>0</c:v>
                </c:pt>
                <c:pt idx="152">
                  <c:v>5739</c:v>
                </c:pt>
                <c:pt idx="153">
                  <c:v>0</c:v>
                </c:pt>
                <c:pt idx="154">
                  <c:v>0</c:v>
                </c:pt>
                <c:pt idx="155">
                  <c:v>4316</c:v>
                </c:pt>
                <c:pt idx="156">
                  <c:v>0</c:v>
                </c:pt>
                <c:pt idx="157">
                  <c:v>0</c:v>
                </c:pt>
                <c:pt idx="158">
                  <c:v>3119</c:v>
                </c:pt>
                <c:pt idx="159">
                  <c:v>0</c:v>
                </c:pt>
                <c:pt idx="160">
                  <c:v>611</c:v>
                </c:pt>
                <c:pt idx="161">
                  <c:v>0</c:v>
                </c:pt>
                <c:pt idx="162">
                  <c:v>0</c:v>
                </c:pt>
                <c:pt idx="163">
                  <c:v>121</c:v>
                </c:pt>
                <c:pt idx="164">
                  <c:v>0</c:v>
                </c:pt>
                <c:pt idx="165">
                  <c:v>179</c:v>
                </c:pt>
                <c:pt idx="166">
                  <c:v>0</c:v>
                </c:pt>
                <c:pt idx="167">
                  <c:v>0</c:v>
                </c:pt>
                <c:pt idx="168">
                  <c:v>120</c:v>
                </c:pt>
                <c:pt idx="169">
                  <c:v>0</c:v>
                </c:pt>
                <c:pt idx="170">
                  <c:v>0</c:v>
                </c:pt>
                <c:pt idx="171">
                  <c:v>60</c:v>
                </c:pt>
                <c:pt idx="172">
                  <c:v>0</c:v>
                </c:pt>
                <c:pt idx="173">
                  <c:v>296</c:v>
                </c:pt>
                <c:pt idx="174">
                  <c:v>0</c:v>
                </c:pt>
                <c:pt idx="175">
                  <c:v>0</c:v>
                </c:pt>
                <c:pt idx="176">
                  <c:v>1072</c:v>
                </c:pt>
                <c:pt idx="177">
                  <c:v>0</c:v>
                </c:pt>
                <c:pt idx="178">
                  <c:v>243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0.21638631490714649</c:v>
                </c:pt>
                <c:pt idx="1">
                  <c:v>0.29466249494873081</c:v>
                </c:pt>
                <c:pt idx="2">
                  <c:v>0.48895119014412269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0.4554533101055841</c:v>
                </c:pt>
                <c:pt idx="1">
                  <c:v>0.36061103910964126</c:v>
                </c:pt>
                <c:pt idx="2">
                  <c:v>0.18393565078477461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8.3816124999999992</c:v>
                </c:pt>
                <c:pt idx="1">
                  <c:v>11.806380000000001</c:v>
                </c:pt>
                <c:pt idx="2">
                  <c:v>25.262450000000001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0.38757200000000003</c:v>
                </c:pt>
                <c:pt idx="2">
                  <c:v>0.79322300000000001</c:v>
                </c:pt>
                <c:pt idx="3">
                  <c:v>1.1972499999999999</c:v>
                </c:pt>
                <c:pt idx="4">
                  <c:v>1.6061799999999999</c:v>
                </c:pt>
                <c:pt idx="5">
                  <c:v>2.0120499999999999</c:v>
                </c:pt>
                <c:pt idx="6">
                  <c:v>2.4148999999999998</c:v>
                </c:pt>
                <c:pt idx="7">
                  <c:v>2.82409</c:v>
                </c:pt>
                <c:pt idx="8">
                  <c:v>3.23184</c:v>
                </c:pt>
                <c:pt idx="9">
                  <c:v>3.63768</c:v>
                </c:pt>
                <c:pt idx="10">
                  <c:v>4.0446200000000001</c:v>
                </c:pt>
                <c:pt idx="11">
                  <c:v>4.44658</c:v>
                </c:pt>
                <c:pt idx="12">
                  <c:v>4.8525</c:v>
                </c:pt>
                <c:pt idx="13">
                  <c:v>5.2643300000000002</c:v>
                </c:pt>
                <c:pt idx="14">
                  <c:v>5.6702899999999996</c:v>
                </c:pt>
                <c:pt idx="15">
                  <c:v>6.0741699999999996</c:v>
                </c:pt>
                <c:pt idx="16">
                  <c:v>6.4800899999999997</c:v>
                </c:pt>
                <c:pt idx="17">
                  <c:v>6.8830799999999996</c:v>
                </c:pt>
                <c:pt idx="18">
                  <c:v>7.2899099999999999</c:v>
                </c:pt>
                <c:pt idx="19">
                  <c:v>7.7017499999999997</c:v>
                </c:pt>
                <c:pt idx="20">
                  <c:v>8.1076899999999998</c:v>
                </c:pt>
                <c:pt idx="21">
                  <c:v>8.5096500000000006</c:v>
                </c:pt>
                <c:pt idx="22">
                  <c:v>8.9159000000000006</c:v>
                </c:pt>
                <c:pt idx="23">
                  <c:v>9.3244799999999994</c:v>
                </c:pt>
                <c:pt idx="24">
                  <c:v>9.7303899999999999</c:v>
                </c:pt>
                <c:pt idx="25">
                  <c:v>10.1396</c:v>
                </c:pt>
                <c:pt idx="26">
                  <c:v>10.5403</c:v>
                </c:pt>
                <c:pt idx="27">
                  <c:v>10.9442</c:v>
                </c:pt>
                <c:pt idx="28">
                  <c:v>11.3581</c:v>
                </c:pt>
                <c:pt idx="29">
                  <c:v>11.763999999999999</c:v>
                </c:pt>
                <c:pt idx="30">
                  <c:v>12.1699</c:v>
                </c:pt>
                <c:pt idx="31">
                  <c:v>12.5739</c:v>
                </c:pt>
                <c:pt idx="32">
                  <c:v>12.9777</c:v>
                </c:pt>
                <c:pt idx="33">
                  <c:v>13.3818</c:v>
                </c:pt>
                <c:pt idx="34">
                  <c:v>13.7957</c:v>
                </c:pt>
                <c:pt idx="35">
                  <c:v>14.199400000000001</c:v>
                </c:pt>
                <c:pt idx="36">
                  <c:v>14.605600000000001</c:v>
                </c:pt>
                <c:pt idx="37">
                  <c:v>15.013299999999999</c:v>
                </c:pt>
                <c:pt idx="38">
                  <c:v>15.4152</c:v>
                </c:pt>
                <c:pt idx="39">
                  <c:v>15.8223</c:v>
                </c:pt>
                <c:pt idx="40">
                  <c:v>16.225999999999999</c:v>
                </c:pt>
                <c:pt idx="41">
                  <c:v>16.634</c:v>
                </c:pt>
                <c:pt idx="42">
                  <c:v>17.044</c:v>
                </c:pt>
                <c:pt idx="43">
                  <c:v>17.448799999999999</c:v>
                </c:pt>
                <c:pt idx="44">
                  <c:v>17.8538</c:v>
                </c:pt>
                <c:pt idx="45">
                  <c:v>18.258600000000001</c:v>
                </c:pt>
                <c:pt idx="46">
                  <c:v>18.669499999999999</c:v>
                </c:pt>
                <c:pt idx="47">
                  <c:v>19.074400000000001</c:v>
                </c:pt>
                <c:pt idx="48">
                  <c:v>19.479299999999999</c:v>
                </c:pt>
                <c:pt idx="49">
                  <c:v>19.8873</c:v>
                </c:pt>
                <c:pt idx="50">
                  <c:v>20.293399999999998</c:v>
                </c:pt>
                <c:pt idx="51">
                  <c:v>20.696200000000001</c:v>
                </c:pt>
                <c:pt idx="52">
                  <c:v>21.109000000000002</c:v>
                </c:pt>
                <c:pt idx="53">
                  <c:v>21.509899999999998</c:v>
                </c:pt>
                <c:pt idx="54">
                  <c:v>21.915900000000001</c:v>
                </c:pt>
                <c:pt idx="55">
                  <c:v>22.3248</c:v>
                </c:pt>
                <c:pt idx="56">
                  <c:v>22.7317</c:v>
                </c:pt>
                <c:pt idx="57">
                  <c:v>23.137499999999999</c:v>
                </c:pt>
                <c:pt idx="58">
                  <c:v>23.546500000000002</c:v>
                </c:pt>
                <c:pt idx="59">
                  <c:v>23.948399999999999</c:v>
                </c:pt>
                <c:pt idx="60">
                  <c:v>24.353300000000001</c:v>
                </c:pt>
                <c:pt idx="61">
                  <c:v>24.7623</c:v>
                </c:pt>
                <c:pt idx="62">
                  <c:v>25.1661</c:v>
                </c:pt>
                <c:pt idx="63">
                  <c:v>25.574999999999999</c:v>
                </c:pt>
                <c:pt idx="64">
                  <c:v>25.981000000000002</c:v>
                </c:pt>
                <c:pt idx="65">
                  <c:v>26.384</c:v>
                </c:pt>
                <c:pt idx="66">
                  <c:v>26.790099999999999</c:v>
                </c:pt>
                <c:pt idx="67">
                  <c:v>27.1967</c:v>
                </c:pt>
                <c:pt idx="68">
                  <c:v>27.605899999999998</c:v>
                </c:pt>
                <c:pt idx="69">
                  <c:v>28.009599999999999</c:v>
                </c:pt>
                <c:pt idx="70">
                  <c:v>28.415500000000002</c:v>
                </c:pt>
                <c:pt idx="71">
                  <c:v>28.8233</c:v>
                </c:pt>
                <c:pt idx="72">
                  <c:v>29.2273</c:v>
                </c:pt>
                <c:pt idx="73">
                  <c:v>29.638300000000001</c:v>
                </c:pt>
                <c:pt idx="74">
                  <c:v>30.043099999999999</c:v>
                </c:pt>
                <c:pt idx="75">
                  <c:v>30.508900000000001</c:v>
                </c:pt>
                <c:pt idx="76">
                  <c:v>30.907399999999999</c:v>
                </c:pt>
                <c:pt idx="77">
                  <c:v>31.310700000000001</c:v>
                </c:pt>
                <c:pt idx="78">
                  <c:v>31.710699999999999</c:v>
                </c:pt>
                <c:pt idx="79">
                  <c:v>32.120600000000003</c:v>
                </c:pt>
                <c:pt idx="80">
                  <c:v>32.522599999999997</c:v>
                </c:pt>
                <c:pt idx="81">
                  <c:v>32.933399999999999</c:v>
                </c:pt>
                <c:pt idx="82">
                  <c:v>33.338500000000003</c:v>
                </c:pt>
                <c:pt idx="83">
                  <c:v>33.745199999999997</c:v>
                </c:pt>
                <c:pt idx="84">
                  <c:v>34.149299999999997</c:v>
                </c:pt>
                <c:pt idx="85">
                  <c:v>34.561</c:v>
                </c:pt>
                <c:pt idx="86">
                  <c:v>34.965000000000003</c:v>
                </c:pt>
                <c:pt idx="87">
                  <c:v>35.370899999999999</c:v>
                </c:pt>
                <c:pt idx="88">
                  <c:v>35.774900000000002</c:v>
                </c:pt>
                <c:pt idx="89">
                  <c:v>36.182000000000002</c:v>
                </c:pt>
                <c:pt idx="90">
                  <c:v>36.588999999999999</c:v>
                </c:pt>
                <c:pt idx="91">
                  <c:v>36.993600000000001</c:v>
                </c:pt>
                <c:pt idx="92">
                  <c:v>37.403500000000001</c:v>
                </c:pt>
                <c:pt idx="93">
                  <c:v>37.807400000000001</c:v>
                </c:pt>
                <c:pt idx="94">
                  <c:v>38.212299999999999</c:v>
                </c:pt>
                <c:pt idx="95">
                  <c:v>38.619199999999999</c:v>
                </c:pt>
                <c:pt idx="96">
                  <c:v>39.0261</c:v>
                </c:pt>
                <c:pt idx="97">
                  <c:v>39.431100000000001</c:v>
                </c:pt>
                <c:pt idx="98">
                  <c:v>39.8369</c:v>
                </c:pt>
                <c:pt idx="99">
                  <c:v>40.247799999999998</c:v>
                </c:pt>
                <c:pt idx="100">
                  <c:v>40.650700000000001</c:v>
                </c:pt>
                <c:pt idx="101">
                  <c:v>41.057699999999997</c:v>
                </c:pt>
                <c:pt idx="102">
                  <c:v>41.462899999999998</c:v>
                </c:pt>
                <c:pt idx="103">
                  <c:v>41.873600000000003</c:v>
                </c:pt>
                <c:pt idx="104">
                  <c:v>42.278399999999998</c:v>
                </c:pt>
                <c:pt idx="105">
                  <c:v>42.683300000000003</c:v>
                </c:pt>
                <c:pt idx="106">
                  <c:v>43.0852</c:v>
                </c:pt>
                <c:pt idx="107">
                  <c:v>43.496299999999998</c:v>
                </c:pt>
                <c:pt idx="108">
                  <c:v>43.9041</c:v>
                </c:pt>
                <c:pt idx="109">
                  <c:v>44.31</c:v>
                </c:pt>
                <c:pt idx="110">
                  <c:v>44.715800000000002</c:v>
                </c:pt>
                <c:pt idx="111">
                  <c:v>45.119799999999998</c:v>
                </c:pt>
                <c:pt idx="112">
                  <c:v>45.5259</c:v>
                </c:pt>
                <c:pt idx="113">
                  <c:v>45.933799999999998</c:v>
                </c:pt>
                <c:pt idx="114">
                  <c:v>46.3416</c:v>
                </c:pt>
                <c:pt idx="115">
                  <c:v>46.7455</c:v>
                </c:pt>
                <c:pt idx="116">
                  <c:v>47.1494</c:v>
                </c:pt>
                <c:pt idx="117">
                  <c:v>47.557499999999997</c:v>
                </c:pt>
                <c:pt idx="118">
                  <c:v>47.963200000000001</c:v>
                </c:pt>
                <c:pt idx="119">
                  <c:v>48.369100000000003</c:v>
                </c:pt>
                <c:pt idx="120">
                  <c:v>48.776000000000003</c:v>
                </c:pt>
                <c:pt idx="121">
                  <c:v>49.182000000000002</c:v>
                </c:pt>
                <c:pt idx="122">
                  <c:v>49.586799999999997</c:v>
                </c:pt>
                <c:pt idx="123">
                  <c:v>49.996699999999997</c:v>
                </c:pt>
                <c:pt idx="124">
                  <c:v>50.404699999999998</c:v>
                </c:pt>
                <c:pt idx="125">
                  <c:v>50.808500000000002</c:v>
                </c:pt>
                <c:pt idx="126">
                  <c:v>51.214500000000001</c:v>
                </c:pt>
                <c:pt idx="127">
                  <c:v>51.621699999999997</c:v>
                </c:pt>
                <c:pt idx="128">
                  <c:v>52.026299999999999</c:v>
                </c:pt>
                <c:pt idx="129">
                  <c:v>52.430199999999999</c:v>
                </c:pt>
                <c:pt idx="130">
                  <c:v>52.841200000000001</c:v>
                </c:pt>
                <c:pt idx="131">
                  <c:v>53.243099999999998</c:v>
                </c:pt>
                <c:pt idx="132">
                  <c:v>53.652200000000001</c:v>
                </c:pt>
                <c:pt idx="133">
                  <c:v>54.058900000000001</c:v>
                </c:pt>
                <c:pt idx="134">
                  <c:v>54.462800000000001</c:v>
                </c:pt>
                <c:pt idx="135">
                  <c:v>54.873899999999999</c:v>
                </c:pt>
                <c:pt idx="136">
                  <c:v>55.276600000000002</c:v>
                </c:pt>
                <c:pt idx="137">
                  <c:v>55.679600000000001</c:v>
                </c:pt>
                <c:pt idx="138">
                  <c:v>56.087600000000002</c:v>
                </c:pt>
                <c:pt idx="139">
                  <c:v>56.493400000000001</c:v>
                </c:pt>
                <c:pt idx="140">
                  <c:v>56.903300000000002</c:v>
                </c:pt>
                <c:pt idx="141">
                  <c:v>57.307299999999998</c:v>
                </c:pt>
                <c:pt idx="142">
                  <c:v>57.713200000000001</c:v>
                </c:pt>
                <c:pt idx="143">
                  <c:v>58.118200000000002</c:v>
                </c:pt>
                <c:pt idx="144">
                  <c:v>58.527999999999999</c:v>
                </c:pt>
                <c:pt idx="145">
                  <c:v>58.934800000000003</c:v>
                </c:pt>
                <c:pt idx="146">
                  <c:v>59.340800000000002</c:v>
                </c:pt>
                <c:pt idx="147">
                  <c:v>59.745699999999999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1.7713200000000002</c:v>
                </c:pt>
                <c:pt idx="1">
                  <c:v>1.8244400000000001</c:v>
                </c:pt>
                <c:pt idx="2">
                  <c:v>1.8739700000000001</c:v>
                </c:pt>
                <c:pt idx="3">
                  <c:v>1.92276</c:v>
                </c:pt>
                <c:pt idx="4">
                  <c:v>1.97018</c:v>
                </c:pt>
                <c:pt idx="5">
                  <c:v>2.0167099999999998</c:v>
                </c:pt>
                <c:pt idx="6">
                  <c:v>2.0634399999999999</c:v>
                </c:pt>
                <c:pt idx="7">
                  <c:v>2.11049</c:v>
                </c:pt>
                <c:pt idx="8">
                  <c:v>2.1558700000000002</c:v>
                </c:pt>
                <c:pt idx="9">
                  <c:v>2.2002099999999998</c:v>
                </c:pt>
                <c:pt idx="10">
                  <c:v>2.2468499999999998</c:v>
                </c:pt>
                <c:pt idx="11">
                  <c:v>2.2920099999999999</c:v>
                </c:pt>
                <c:pt idx="12">
                  <c:v>2.3376099999999997</c:v>
                </c:pt>
                <c:pt idx="13">
                  <c:v>2.3796600000000003</c:v>
                </c:pt>
                <c:pt idx="14">
                  <c:v>2.41736</c:v>
                </c:pt>
                <c:pt idx="15">
                  <c:v>2.4490700000000003</c:v>
                </c:pt>
                <c:pt idx="16">
                  <c:v>2.4779100000000001</c:v>
                </c:pt>
                <c:pt idx="17">
                  <c:v>2.5042799999999996</c:v>
                </c:pt>
                <c:pt idx="18">
                  <c:v>2.5296800000000004</c:v>
                </c:pt>
                <c:pt idx="19">
                  <c:v>2.5545499999999999</c:v>
                </c:pt>
                <c:pt idx="20">
                  <c:v>2.5728099999999996</c:v>
                </c:pt>
                <c:pt idx="21">
                  <c:v>2.5886199999999997</c:v>
                </c:pt>
                <c:pt idx="22">
                  <c:v>2.5984499999999997</c:v>
                </c:pt>
                <c:pt idx="23">
                  <c:v>2.6012600000000003</c:v>
                </c:pt>
                <c:pt idx="24">
                  <c:v>2.6048399999999998</c:v>
                </c:pt>
                <c:pt idx="25">
                  <c:v>2.6089099999999998</c:v>
                </c:pt>
                <c:pt idx="26">
                  <c:v>2.61164</c:v>
                </c:pt>
                <c:pt idx="27">
                  <c:v>2.6144499999999997</c:v>
                </c:pt>
                <c:pt idx="28">
                  <c:v>2.6155299999999997</c:v>
                </c:pt>
                <c:pt idx="29">
                  <c:v>2.61442</c:v>
                </c:pt>
                <c:pt idx="30">
                  <c:v>2.6118299999999999</c:v>
                </c:pt>
                <c:pt idx="31">
                  <c:v>2.6097900000000003</c:v>
                </c:pt>
                <c:pt idx="32">
                  <c:v>2.6051700000000002</c:v>
                </c:pt>
                <c:pt idx="33">
                  <c:v>2.5992999999999999</c:v>
                </c:pt>
                <c:pt idx="34">
                  <c:v>2.5918999999999999</c:v>
                </c:pt>
                <c:pt idx="35">
                  <c:v>2.5819599999999996</c:v>
                </c:pt>
                <c:pt idx="36">
                  <c:v>2.5710199999999999</c:v>
                </c:pt>
                <c:pt idx="37">
                  <c:v>2.5567299999999999</c:v>
                </c:pt>
                <c:pt idx="38">
                  <c:v>2.5441799999999999</c:v>
                </c:pt>
                <c:pt idx="39">
                  <c:v>2.53287</c:v>
                </c:pt>
                <c:pt idx="40">
                  <c:v>2.5247700000000002</c:v>
                </c:pt>
                <c:pt idx="41">
                  <c:v>2.5184299999999999</c:v>
                </c:pt>
                <c:pt idx="42">
                  <c:v>2.5095800000000001</c:v>
                </c:pt>
                <c:pt idx="43">
                  <c:v>2.4972599999999998</c:v>
                </c:pt>
                <c:pt idx="44">
                  <c:v>2.4852699999999999</c:v>
                </c:pt>
                <c:pt idx="45">
                  <c:v>2.47621</c:v>
                </c:pt>
                <c:pt idx="46">
                  <c:v>2.4680200000000001</c:v>
                </c:pt>
                <c:pt idx="47">
                  <c:v>2.4626600000000001</c:v>
                </c:pt>
                <c:pt idx="48">
                  <c:v>2.4599599999999997</c:v>
                </c:pt>
                <c:pt idx="49">
                  <c:v>2.4543499999999998</c:v>
                </c:pt>
                <c:pt idx="50">
                  <c:v>2.4494600000000002</c:v>
                </c:pt>
                <c:pt idx="51">
                  <c:v>2.4428299999999998</c:v>
                </c:pt>
                <c:pt idx="52">
                  <c:v>2.4331399999999999</c:v>
                </c:pt>
                <c:pt idx="53">
                  <c:v>2.4275600000000002</c:v>
                </c:pt>
                <c:pt idx="54">
                  <c:v>2.4212800000000003</c:v>
                </c:pt>
                <c:pt idx="55">
                  <c:v>2.4150800000000001</c:v>
                </c:pt>
                <c:pt idx="56">
                  <c:v>2.4043000000000001</c:v>
                </c:pt>
                <c:pt idx="57">
                  <c:v>2.3984000000000001</c:v>
                </c:pt>
                <c:pt idx="58">
                  <c:v>2.3944000000000001</c:v>
                </c:pt>
                <c:pt idx="59">
                  <c:v>2.39181</c:v>
                </c:pt>
                <c:pt idx="60">
                  <c:v>2.3860600000000001</c:v>
                </c:pt>
                <c:pt idx="61">
                  <c:v>2.38042</c:v>
                </c:pt>
                <c:pt idx="62">
                  <c:v>2.3761099999999997</c:v>
                </c:pt>
                <c:pt idx="63">
                  <c:v>2.3694200000000003</c:v>
                </c:pt>
                <c:pt idx="64">
                  <c:v>2.3624200000000002</c:v>
                </c:pt>
                <c:pt idx="65">
                  <c:v>2.3586</c:v>
                </c:pt>
                <c:pt idx="66">
                  <c:v>2.3571300000000002</c:v>
                </c:pt>
                <c:pt idx="67">
                  <c:v>2.3605400000000003</c:v>
                </c:pt>
                <c:pt idx="68">
                  <c:v>2.3662399999999999</c:v>
                </c:pt>
                <c:pt idx="69">
                  <c:v>2.3723800000000002</c:v>
                </c:pt>
                <c:pt idx="70">
                  <c:v>2.3798400000000002</c:v>
                </c:pt>
                <c:pt idx="71">
                  <c:v>2.39893</c:v>
                </c:pt>
                <c:pt idx="72">
                  <c:v>2.4085300000000003</c:v>
                </c:pt>
                <c:pt idx="73">
                  <c:v>2.4445100000000002</c:v>
                </c:pt>
                <c:pt idx="74">
                  <c:v>2.4709700000000003</c:v>
                </c:pt>
                <c:pt idx="75">
                  <c:v>2.4995000000000003</c:v>
                </c:pt>
                <c:pt idx="76">
                  <c:v>2.5309500000000003</c:v>
                </c:pt>
                <c:pt idx="77">
                  <c:v>2.5631399999999998</c:v>
                </c:pt>
                <c:pt idx="78">
                  <c:v>2.6001099999999999</c:v>
                </c:pt>
                <c:pt idx="79">
                  <c:v>2.6387999999999998</c:v>
                </c:pt>
                <c:pt idx="80">
                  <c:v>2.6777299999999999</c:v>
                </c:pt>
                <c:pt idx="81">
                  <c:v>2.7137099999999998</c:v>
                </c:pt>
                <c:pt idx="82">
                  <c:v>2.74892</c:v>
                </c:pt>
                <c:pt idx="83">
                  <c:v>2.7839900000000002</c:v>
                </c:pt>
                <c:pt idx="84">
                  <c:v>2.8191100000000002</c:v>
                </c:pt>
                <c:pt idx="85">
                  <c:v>2.8556399999999997</c:v>
                </c:pt>
                <c:pt idx="86">
                  <c:v>2.8934700000000002</c:v>
                </c:pt>
                <c:pt idx="87">
                  <c:v>2.93085</c:v>
                </c:pt>
                <c:pt idx="88">
                  <c:v>2.9643599999999997</c:v>
                </c:pt>
                <c:pt idx="89">
                  <c:v>2.9974699999999999</c:v>
                </c:pt>
                <c:pt idx="90">
                  <c:v>3.02664</c:v>
                </c:pt>
                <c:pt idx="91">
                  <c:v>3.0534699999999999</c:v>
                </c:pt>
                <c:pt idx="92">
                  <c:v>3.07877</c:v>
                </c:pt>
                <c:pt idx="93">
                  <c:v>3.1025700000000001</c:v>
                </c:pt>
                <c:pt idx="94">
                  <c:v>3.12561</c:v>
                </c:pt>
                <c:pt idx="95">
                  <c:v>3.14337</c:v>
                </c:pt>
                <c:pt idx="96">
                  <c:v>3.1548700000000003</c:v>
                </c:pt>
                <c:pt idx="97">
                  <c:v>3.1609799999999999</c:v>
                </c:pt>
                <c:pt idx="98">
                  <c:v>3.1656599999999999</c:v>
                </c:pt>
                <c:pt idx="99">
                  <c:v>3.1712800000000003</c:v>
                </c:pt>
                <c:pt idx="100">
                  <c:v>3.1765100000000004</c:v>
                </c:pt>
                <c:pt idx="101">
                  <c:v>3.1798700000000002</c:v>
                </c:pt>
                <c:pt idx="102">
                  <c:v>3.1816699999999996</c:v>
                </c:pt>
                <c:pt idx="103">
                  <c:v>3.1807800000000004</c:v>
                </c:pt>
                <c:pt idx="104">
                  <c:v>3.1781600000000001</c:v>
                </c:pt>
                <c:pt idx="105">
                  <c:v>3.1762200000000003</c:v>
                </c:pt>
                <c:pt idx="106">
                  <c:v>3.1737500000000001</c:v>
                </c:pt>
                <c:pt idx="107">
                  <c:v>3.169</c:v>
                </c:pt>
                <c:pt idx="108">
                  <c:v>3.1621999999999999</c:v>
                </c:pt>
                <c:pt idx="109">
                  <c:v>3.15273</c:v>
                </c:pt>
                <c:pt idx="110">
                  <c:v>3.1440200000000003</c:v>
                </c:pt>
                <c:pt idx="111">
                  <c:v>3.1360700000000001</c:v>
                </c:pt>
                <c:pt idx="112">
                  <c:v>3.1289299999999995</c:v>
                </c:pt>
                <c:pt idx="113">
                  <c:v>3.1252499999999999</c:v>
                </c:pt>
                <c:pt idx="114">
                  <c:v>3.1199599999999998</c:v>
                </c:pt>
                <c:pt idx="115">
                  <c:v>3.1126399999999999</c:v>
                </c:pt>
                <c:pt idx="116">
                  <c:v>3.1069200000000001</c:v>
                </c:pt>
                <c:pt idx="117">
                  <c:v>3.1008400000000003</c:v>
                </c:pt>
                <c:pt idx="118">
                  <c:v>3.09572</c:v>
                </c:pt>
                <c:pt idx="119">
                  <c:v>3.0918800000000002</c:v>
                </c:pt>
                <c:pt idx="120">
                  <c:v>3.0918000000000001</c:v>
                </c:pt>
                <c:pt idx="121">
                  <c:v>3.0910199999999999</c:v>
                </c:pt>
                <c:pt idx="122">
                  <c:v>3.0914000000000001</c:v>
                </c:pt>
                <c:pt idx="123">
                  <c:v>3.0899799999999997</c:v>
                </c:pt>
                <c:pt idx="124">
                  <c:v>3.0901899999999998</c:v>
                </c:pt>
                <c:pt idx="125">
                  <c:v>3.0888200000000001</c:v>
                </c:pt>
                <c:pt idx="126">
                  <c:v>3.0867699999999996</c:v>
                </c:pt>
                <c:pt idx="127">
                  <c:v>3.0859900000000002</c:v>
                </c:pt>
                <c:pt idx="128">
                  <c:v>3.0845899999999999</c:v>
                </c:pt>
                <c:pt idx="129">
                  <c:v>3.0824600000000002</c:v>
                </c:pt>
                <c:pt idx="130">
                  <c:v>3.0806899999999997</c:v>
                </c:pt>
                <c:pt idx="131">
                  <c:v>3.0808900000000001</c:v>
                </c:pt>
                <c:pt idx="132">
                  <c:v>3.0830200000000003</c:v>
                </c:pt>
                <c:pt idx="133">
                  <c:v>3.0868600000000002</c:v>
                </c:pt>
                <c:pt idx="134">
                  <c:v>3.0956099999999998</c:v>
                </c:pt>
                <c:pt idx="135">
                  <c:v>3.1016700000000004</c:v>
                </c:pt>
                <c:pt idx="136">
                  <c:v>3.1033899999999996</c:v>
                </c:pt>
                <c:pt idx="137">
                  <c:v>3.1023800000000001</c:v>
                </c:pt>
                <c:pt idx="138">
                  <c:v>3.0990899999999999</c:v>
                </c:pt>
                <c:pt idx="139">
                  <c:v>3.0966500000000003</c:v>
                </c:pt>
                <c:pt idx="140">
                  <c:v>3.10229</c:v>
                </c:pt>
                <c:pt idx="141">
                  <c:v>3.1016899999999996</c:v>
                </c:pt>
                <c:pt idx="142">
                  <c:v>3.1027300000000002</c:v>
                </c:pt>
                <c:pt idx="143">
                  <c:v>3.0989100000000001</c:v>
                </c:pt>
                <c:pt idx="144">
                  <c:v>3.0828299999999995</c:v>
                </c:pt>
                <c:pt idx="145">
                  <c:v>3.05105</c:v>
                </c:pt>
                <c:pt idx="146">
                  <c:v>3.0424199999999999</c:v>
                </c:pt>
                <c:pt idx="147">
                  <c:v>3.0276300000000003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0.38757200000000003</c:v>
                </c:pt>
                <c:pt idx="2">
                  <c:v>0.79322300000000001</c:v>
                </c:pt>
                <c:pt idx="3">
                  <c:v>1.1972499999999999</c:v>
                </c:pt>
                <c:pt idx="4">
                  <c:v>1.6061799999999999</c:v>
                </c:pt>
                <c:pt idx="5">
                  <c:v>2.0120499999999999</c:v>
                </c:pt>
                <c:pt idx="6">
                  <c:v>2.4148999999999998</c:v>
                </c:pt>
                <c:pt idx="7">
                  <c:v>2.82409</c:v>
                </c:pt>
                <c:pt idx="8">
                  <c:v>3.23184</c:v>
                </c:pt>
                <c:pt idx="9">
                  <c:v>3.63768</c:v>
                </c:pt>
                <c:pt idx="10">
                  <c:v>4.0446200000000001</c:v>
                </c:pt>
                <c:pt idx="11">
                  <c:v>4.44658</c:v>
                </c:pt>
                <c:pt idx="12">
                  <c:v>4.8525</c:v>
                </c:pt>
                <c:pt idx="13">
                  <c:v>5.2643300000000002</c:v>
                </c:pt>
                <c:pt idx="14">
                  <c:v>5.6702899999999996</c:v>
                </c:pt>
                <c:pt idx="15">
                  <c:v>6.0741699999999996</c:v>
                </c:pt>
                <c:pt idx="16">
                  <c:v>6.4800899999999997</c:v>
                </c:pt>
                <c:pt idx="17">
                  <c:v>6.8830799999999996</c:v>
                </c:pt>
                <c:pt idx="18">
                  <c:v>7.2899099999999999</c:v>
                </c:pt>
                <c:pt idx="19">
                  <c:v>7.7017499999999997</c:v>
                </c:pt>
                <c:pt idx="20">
                  <c:v>8.1076899999999998</c:v>
                </c:pt>
                <c:pt idx="21">
                  <c:v>8.5096500000000006</c:v>
                </c:pt>
                <c:pt idx="22">
                  <c:v>8.9159000000000006</c:v>
                </c:pt>
                <c:pt idx="23">
                  <c:v>9.3244799999999994</c:v>
                </c:pt>
                <c:pt idx="24">
                  <c:v>9.7303899999999999</c:v>
                </c:pt>
                <c:pt idx="25">
                  <c:v>10.1396</c:v>
                </c:pt>
                <c:pt idx="26">
                  <c:v>10.5403</c:v>
                </c:pt>
                <c:pt idx="27">
                  <c:v>10.9442</c:v>
                </c:pt>
                <c:pt idx="28">
                  <c:v>11.3581</c:v>
                </c:pt>
                <c:pt idx="29">
                  <c:v>11.763999999999999</c:v>
                </c:pt>
                <c:pt idx="30">
                  <c:v>12.1699</c:v>
                </c:pt>
                <c:pt idx="31">
                  <c:v>12.5739</c:v>
                </c:pt>
                <c:pt idx="32">
                  <c:v>12.9777</c:v>
                </c:pt>
                <c:pt idx="33">
                  <c:v>13.3818</c:v>
                </c:pt>
                <c:pt idx="34">
                  <c:v>13.7957</c:v>
                </c:pt>
                <c:pt idx="35">
                  <c:v>14.199400000000001</c:v>
                </c:pt>
                <c:pt idx="36">
                  <c:v>14.605600000000001</c:v>
                </c:pt>
                <c:pt idx="37">
                  <c:v>15.013299999999999</c:v>
                </c:pt>
                <c:pt idx="38">
                  <c:v>15.4152</c:v>
                </c:pt>
                <c:pt idx="39">
                  <c:v>15.8223</c:v>
                </c:pt>
                <c:pt idx="40">
                  <c:v>16.225999999999999</c:v>
                </c:pt>
                <c:pt idx="41">
                  <c:v>16.634</c:v>
                </c:pt>
                <c:pt idx="42">
                  <c:v>17.044</c:v>
                </c:pt>
                <c:pt idx="43">
                  <c:v>17.448799999999999</c:v>
                </c:pt>
                <c:pt idx="44">
                  <c:v>17.8538</c:v>
                </c:pt>
                <c:pt idx="45">
                  <c:v>18.258600000000001</c:v>
                </c:pt>
                <c:pt idx="46">
                  <c:v>18.669499999999999</c:v>
                </c:pt>
                <c:pt idx="47">
                  <c:v>19.074400000000001</c:v>
                </c:pt>
                <c:pt idx="48">
                  <c:v>19.479299999999999</c:v>
                </c:pt>
                <c:pt idx="49">
                  <c:v>19.8873</c:v>
                </c:pt>
                <c:pt idx="50">
                  <c:v>20.293399999999998</c:v>
                </c:pt>
                <c:pt idx="51">
                  <c:v>20.696200000000001</c:v>
                </c:pt>
                <c:pt idx="52">
                  <c:v>21.109000000000002</c:v>
                </c:pt>
                <c:pt idx="53">
                  <c:v>21.509899999999998</c:v>
                </c:pt>
                <c:pt idx="54">
                  <c:v>21.915900000000001</c:v>
                </c:pt>
                <c:pt idx="55">
                  <c:v>22.3248</c:v>
                </c:pt>
                <c:pt idx="56">
                  <c:v>22.7317</c:v>
                </c:pt>
                <c:pt idx="57">
                  <c:v>23.137499999999999</c:v>
                </c:pt>
                <c:pt idx="58">
                  <c:v>23.546500000000002</c:v>
                </c:pt>
                <c:pt idx="59">
                  <c:v>23.948399999999999</c:v>
                </c:pt>
                <c:pt idx="60">
                  <c:v>24.353300000000001</c:v>
                </c:pt>
                <c:pt idx="61">
                  <c:v>24.7623</c:v>
                </c:pt>
                <c:pt idx="62">
                  <c:v>25.1661</c:v>
                </c:pt>
                <c:pt idx="63">
                  <c:v>25.574999999999999</c:v>
                </c:pt>
                <c:pt idx="64">
                  <c:v>25.981000000000002</c:v>
                </c:pt>
                <c:pt idx="65">
                  <c:v>26.384</c:v>
                </c:pt>
                <c:pt idx="66">
                  <c:v>26.790099999999999</c:v>
                </c:pt>
                <c:pt idx="67">
                  <c:v>27.1967</c:v>
                </c:pt>
                <c:pt idx="68">
                  <c:v>27.605899999999998</c:v>
                </c:pt>
                <c:pt idx="69">
                  <c:v>28.009599999999999</c:v>
                </c:pt>
                <c:pt idx="70">
                  <c:v>28.415500000000002</c:v>
                </c:pt>
                <c:pt idx="71">
                  <c:v>28.8233</c:v>
                </c:pt>
                <c:pt idx="72">
                  <c:v>29.2273</c:v>
                </c:pt>
                <c:pt idx="73">
                  <c:v>29.638300000000001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1.7713200000000002</c:v>
                </c:pt>
                <c:pt idx="1">
                  <c:v>1.8244400000000001</c:v>
                </c:pt>
                <c:pt idx="2">
                  <c:v>1.8739700000000001</c:v>
                </c:pt>
                <c:pt idx="3">
                  <c:v>1.92276</c:v>
                </c:pt>
                <c:pt idx="4">
                  <c:v>1.97018</c:v>
                </c:pt>
                <c:pt idx="5">
                  <c:v>2.0167099999999998</c:v>
                </c:pt>
                <c:pt idx="6">
                  <c:v>2.0634399999999999</c:v>
                </c:pt>
                <c:pt idx="7">
                  <c:v>2.11049</c:v>
                </c:pt>
                <c:pt idx="8">
                  <c:v>2.1558700000000002</c:v>
                </c:pt>
                <c:pt idx="9">
                  <c:v>2.2002099999999998</c:v>
                </c:pt>
                <c:pt idx="10">
                  <c:v>2.2468499999999998</c:v>
                </c:pt>
                <c:pt idx="11">
                  <c:v>2.2920099999999999</c:v>
                </c:pt>
                <c:pt idx="12">
                  <c:v>2.3376099999999997</c:v>
                </c:pt>
                <c:pt idx="13">
                  <c:v>2.3796600000000003</c:v>
                </c:pt>
                <c:pt idx="14">
                  <c:v>2.41736</c:v>
                </c:pt>
                <c:pt idx="15">
                  <c:v>2.4490700000000003</c:v>
                </c:pt>
                <c:pt idx="16">
                  <c:v>2.4779100000000001</c:v>
                </c:pt>
                <c:pt idx="17">
                  <c:v>2.5042799999999996</c:v>
                </c:pt>
                <c:pt idx="18">
                  <c:v>2.5296800000000004</c:v>
                </c:pt>
                <c:pt idx="19">
                  <c:v>2.5545499999999999</c:v>
                </c:pt>
                <c:pt idx="20">
                  <c:v>2.5728099999999996</c:v>
                </c:pt>
                <c:pt idx="21">
                  <c:v>2.5886199999999997</c:v>
                </c:pt>
                <c:pt idx="22">
                  <c:v>2.5984499999999997</c:v>
                </c:pt>
                <c:pt idx="23">
                  <c:v>2.6012600000000003</c:v>
                </c:pt>
                <c:pt idx="24">
                  <c:v>2.6048399999999998</c:v>
                </c:pt>
                <c:pt idx="25">
                  <c:v>2.6089099999999998</c:v>
                </c:pt>
                <c:pt idx="26">
                  <c:v>2.61164</c:v>
                </c:pt>
                <c:pt idx="27">
                  <c:v>2.6144499999999997</c:v>
                </c:pt>
                <c:pt idx="28">
                  <c:v>2.6155299999999997</c:v>
                </c:pt>
                <c:pt idx="29">
                  <c:v>2.61442</c:v>
                </c:pt>
                <c:pt idx="30">
                  <c:v>2.6118299999999999</c:v>
                </c:pt>
                <c:pt idx="31">
                  <c:v>2.6097900000000003</c:v>
                </c:pt>
                <c:pt idx="32">
                  <c:v>2.6051700000000002</c:v>
                </c:pt>
                <c:pt idx="33">
                  <c:v>2.5992999999999999</c:v>
                </c:pt>
                <c:pt idx="34">
                  <c:v>2.5918999999999999</c:v>
                </c:pt>
                <c:pt idx="35">
                  <c:v>2.5819599999999996</c:v>
                </c:pt>
                <c:pt idx="36">
                  <c:v>2.5710199999999999</c:v>
                </c:pt>
                <c:pt idx="37">
                  <c:v>2.5567299999999999</c:v>
                </c:pt>
                <c:pt idx="38">
                  <c:v>2.5441799999999999</c:v>
                </c:pt>
                <c:pt idx="39">
                  <c:v>2.53287</c:v>
                </c:pt>
                <c:pt idx="40">
                  <c:v>2.5247700000000002</c:v>
                </c:pt>
                <c:pt idx="41">
                  <c:v>2.5184299999999999</c:v>
                </c:pt>
                <c:pt idx="42">
                  <c:v>2.5095800000000001</c:v>
                </c:pt>
                <c:pt idx="43">
                  <c:v>2.4972599999999998</c:v>
                </c:pt>
                <c:pt idx="44">
                  <c:v>2.4852699999999999</c:v>
                </c:pt>
                <c:pt idx="45">
                  <c:v>2.47621</c:v>
                </c:pt>
                <c:pt idx="46">
                  <c:v>2.4680200000000001</c:v>
                </c:pt>
                <c:pt idx="47">
                  <c:v>2.4626600000000001</c:v>
                </c:pt>
                <c:pt idx="48">
                  <c:v>2.4599599999999997</c:v>
                </c:pt>
                <c:pt idx="49">
                  <c:v>2.4543499999999998</c:v>
                </c:pt>
                <c:pt idx="50">
                  <c:v>2.4494600000000002</c:v>
                </c:pt>
                <c:pt idx="51">
                  <c:v>2.4428299999999998</c:v>
                </c:pt>
                <c:pt idx="52">
                  <c:v>2.4331399999999999</c:v>
                </c:pt>
                <c:pt idx="53">
                  <c:v>2.4275600000000002</c:v>
                </c:pt>
                <c:pt idx="54">
                  <c:v>2.4212800000000003</c:v>
                </c:pt>
                <c:pt idx="55">
                  <c:v>2.4150800000000001</c:v>
                </c:pt>
                <c:pt idx="56">
                  <c:v>2.4043000000000001</c:v>
                </c:pt>
                <c:pt idx="57">
                  <c:v>2.3984000000000001</c:v>
                </c:pt>
                <c:pt idx="58">
                  <c:v>2.3944000000000001</c:v>
                </c:pt>
                <c:pt idx="59">
                  <c:v>2.39181</c:v>
                </c:pt>
                <c:pt idx="60">
                  <c:v>2.3860600000000001</c:v>
                </c:pt>
                <c:pt idx="61">
                  <c:v>2.38042</c:v>
                </c:pt>
                <c:pt idx="62">
                  <c:v>2.3761099999999997</c:v>
                </c:pt>
                <c:pt idx="63">
                  <c:v>2.3694200000000003</c:v>
                </c:pt>
                <c:pt idx="64">
                  <c:v>2.3624200000000002</c:v>
                </c:pt>
                <c:pt idx="65">
                  <c:v>2.3586</c:v>
                </c:pt>
                <c:pt idx="66">
                  <c:v>2.3571300000000002</c:v>
                </c:pt>
                <c:pt idx="67">
                  <c:v>2.3605400000000003</c:v>
                </c:pt>
                <c:pt idx="68">
                  <c:v>2.3662399999999999</c:v>
                </c:pt>
                <c:pt idx="69">
                  <c:v>2.3723800000000002</c:v>
                </c:pt>
                <c:pt idx="70">
                  <c:v>2.3798400000000002</c:v>
                </c:pt>
                <c:pt idx="71">
                  <c:v>2.39893</c:v>
                </c:pt>
                <c:pt idx="72">
                  <c:v>2.4085300000000003</c:v>
                </c:pt>
                <c:pt idx="73">
                  <c:v>2.4445100000000002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29.638300000000001</c:v>
                </c:pt>
                <c:pt idx="1">
                  <c:v>30.043099999999999</c:v>
                </c:pt>
                <c:pt idx="2">
                  <c:v>30.508900000000001</c:v>
                </c:pt>
                <c:pt idx="3">
                  <c:v>30.907399999999999</c:v>
                </c:pt>
                <c:pt idx="4">
                  <c:v>31.310700000000001</c:v>
                </c:pt>
                <c:pt idx="5">
                  <c:v>31.710699999999999</c:v>
                </c:pt>
                <c:pt idx="6">
                  <c:v>32.120600000000003</c:v>
                </c:pt>
                <c:pt idx="7">
                  <c:v>32.522599999999997</c:v>
                </c:pt>
                <c:pt idx="8">
                  <c:v>32.933399999999999</c:v>
                </c:pt>
                <c:pt idx="9">
                  <c:v>33.338500000000003</c:v>
                </c:pt>
                <c:pt idx="10">
                  <c:v>33.745199999999997</c:v>
                </c:pt>
                <c:pt idx="11">
                  <c:v>34.149299999999997</c:v>
                </c:pt>
                <c:pt idx="12">
                  <c:v>34.561</c:v>
                </c:pt>
                <c:pt idx="13">
                  <c:v>34.965000000000003</c:v>
                </c:pt>
                <c:pt idx="14">
                  <c:v>35.370899999999999</c:v>
                </c:pt>
                <c:pt idx="15">
                  <c:v>35.774900000000002</c:v>
                </c:pt>
                <c:pt idx="16">
                  <c:v>36.182000000000002</c:v>
                </c:pt>
                <c:pt idx="17">
                  <c:v>36.588999999999999</c:v>
                </c:pt>
                <c:pt idx="18">
                  <c:v>36.993600000000001</c:v>
                </c:pt>
                <c:pt idx="19">
                  <c:v>37.403500000000001</c:v>
                </c:pt>
                <c:pt idx="20">
                  <c:v>37.807400000000001</c:v>
                </c:pt>
                <c:pt idx="21">
                  <c:v>38.212299999999999</c:v>
                </c:pt>
                <c:pt idx="22">
                  <c:v>38.619199999999999</c:v>
                </c:pt>
                <c:pt idx="23">
                  <c:v>39.0261</c:v>
                </c:pt>
                <c:pt idx="24">
                  <c:v>39.431100000000001</c:v>
                </c:pt>
                <c:pt idx="25">
                  <c:v>39.8369</c:v>
                </c:pt>
                <c:pt idx="26">
                  <c:v>40.247799999999998</c:v>
                </c:pt>
                <c:pt idx="27">
                  <c:v>40.650700000000001</c:v>
                </c:pt>
                <c:pt idx="28">
                  <c:v>41.057699999999997</c:v>
                </c:pt>
                <c:pt idx="29">
                  <c:v>41.462899999999998</c:v>
                </c:pt>
                <c:pt idx="30">
                  <c:v>41.873600000000003</c:v>
                </c:pt>
                <c:pt idx="31">
                  <c:v>42.278399999999998</c:v>
                </c:pt>
                <c:pt idx="32">
                  <c:v>42.683300000000003</c:v>
                </c:pt>
                <c:pt idx="33">
                  <c:v>43.0852</c:v>
                </c:pt>
                <c:pt idx="34">
                  <c:v>43.496299999999998</c:v>
                </c:pt>
                <c:pt idx="35">
                  <c:v>43.9041</c:v>
                </c:pt>
                <c:pt idx="36">
                  <c:v>44.31</c:v>
                </c:pt>
                <c:pt idx="37">
                  <c:v>44.715800000000002</c:v>
                </c:pt>
                <c:pt idx="38">
                  <c:v>45.119799999999998</c:v>
                </c:pt>
                <c:pt idx="39">
                  <c:v>45.5259</c:v>
                </c:pt>
                <c:pt idx="40">
                  <c:v>45.933799999999998</c:v>
                </c:pt>
                <c:pt idx="41">
                  <c:v>46.3416</c:v>
                </c:pt>
                <c:pt idx="42">
                  <c:v>46.7455</c:v>
                </c:pt>
                <c:pt idx="43">
                  <c:v>47.1494</c:v>
                </c:pt>
                <c:pt idx="44">
                  <c:v>47.557499999999997</c:v>
                </c:pt>
                <c:pt idx="45">
                  <c:v>47.963200000000001</c:v>
                </c:pt>
                <c:pt idx="46">
                  <c:v>48.369100000000003</c:v>
                </c:pt>
                <c:pt idx="47">
                  <c:v>48.776000000000003</c:v>
                </c:pt>
                <c:pt idx="48">
                  <c:v>49.182000000000002</c:v>
                </c:pt>
                <c:pt idx="49">
                  <c:v>49.586799999999997</c:v>
                </c:pt>
                <c:pt idx="50">
                  <c:v>49.996699999999997</c:v>
                </c:pt>
                <c:pt idx="51">
                  <c:v>50.404699999999998</c:v>
                </c:pt>
                <c:pt idx="52">
                  <c:v>50.808500000000002</c:v>
                </c:pt>
                <c:pt idx="53">
                  <c:v>51.214500000000001</c:v>
                </c:pt>
                <c:pt idx="54">
                  <c:v>51.621699999999997</c:v>
                </c:pt>
                <c:pt idx="55">
                  <c:v>52.026299999999999</c:v>
                </c:pt>
                <c:pt idx="56">
                  <c:v>52.430199999999999</c:v>
                </c:pt>
                <c:pt idx="57">
                  <c:v>52.841200000000001</c:v>
                </c:pt>
                <c:pt idx="58">
                  <c:v>53.243099999999998</c:v>
                </c:pt>
                <c:pt idx="59">
                  <c:v>53.652200000000001</c:v>
                </c:pt>
                <c:pt idx="60">
                  <c:v>54.058900000000001</c:v>
                </c:pt>
                <c:pt idx="61">
                  <c:v>54.462800000000001</c:v>
                </c:pt>
                <c:pt idx="62">
                  <c:v>54.873899999999999</c:v>
                </c:pt>
                <c:pt idx="63">
                  <c:v>55.276600000000002</c:v>
                </c:pt>
                <c:pt idx="64">
                  <c:v>55.679600000000001</c:v>
                </c:pt>
                <c:pt idx="65">
                  <c:v>56.087600000000002</c:v>
                </c:pt>
                <c:pt idx="66">
                  <c:v>56.493400000000001</c:v>
                </c:pt>
                <c:pt idx="67">
                  <c:v>56.903300000000002</c:v>
                </c:pt>
                <c:pt idx="68">
                  <c:v>57.307299999999998</c:v>
                </c:pt>
                <c:pt idx="69">
                  <c:v>57.713200000000001</c:v>
                </c:pt>
                <c:pt idx="70">
                  <c:v>58.118200000000002</c:v>
                </c:pt>
                <c:pt idx="71">
                  <c:v>58.527999999999999</c:v>
                </c:pt>
                <c:pt idx="72">
                  <c:v>58.934800000000003</c:v>
                </c:pt>
                <c:pt idx="73">
                  <c:v>59.340800000000002</c:v>
                </c:pt>
                <c:pt idx="74">
                  <c:v>59.745699999999999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2.4445100000000002</c:v>
                </c:pt>
                <c:pt idx="1">
                  <c:v>2.4709700000000003</c:v>
                </c:pt>
                <c:pt idx="2">
                  <c:v>2.4995000000000003</c:v>
                </c:pt>
                <c:pt idx="3">
                  <c:v>2.5309500000000003</c:v>
                </c:pt>
                <c:pt idx="4">
                  <c:v>2.5631399999999998</c:v>
                </c:pt>
                <c:pt idx="5">
                  <c:v>2.6001099999999999</c:v>
                </c:pt>
                <c:pt idx="6">
                  <c:v>2.6387999999999998</c:v>
                </c:pt>
                <c:pt idx="7">
                  <c:v>2.6777299999999999</c:v>
                </c:pt>
                <c:pt idx="8">
                  <c:v>2.7137099999999998</c:v>
                </c:pt>
                <c:pt idx="9">
                  <c:v>2.74892</c:v>
                </c:pt>
                <c:pt idx="10">
                  <c:v>2.7839900000000002</c:v>
                </c:pt>
                <c:pt idx="11">
                  <c:v>2.8191100000000002</c:v>
                </c:pt>
                <c:pt idx="12">
                  <c:v>2.8556399999999997</c:v>
                </c:pt>
                <c:pt idx="13">
                  <c:v>2.8934700000000002</c:v>
                </c:pt>
                <c:pt idx="14">
                  <c:v>2.93085</c:v>
                </c:pt>
                <c:pt idx="15">
                  <c:v>2.9643599999999997</c:v>
                </c:pt>
                <c:pt idx="16">
                  <c:v>2.9974699999999999</c:v>
                </c:pt>
                <c:pt idx="17">
                  <c:v>3.02664</c:v>
                </c:pt>
                <c:pt idx="18">
                  <c:v>3.0534699999999999</c:v>
                </c:pt>
                <c:pt idx="19">
                  <c:v>3.07877</c:v>
                </c:pt>
                <c:pt idx="20">
                  <c:v>3.1025700000000001</c:v>
                </c:pt>
                <c:pt idx="21">
                  <c:v>3.12561</c:v>
                </c:pt>
                <c:pt idx="22">
                  <c:v>3.14337</c:v>
                </c:pt>
                <c:pt idx="23">
                  <c:v>3.1548700000000003</c:v>
                </c:pt>
                <c:pt idx="24">
                  <c:v>3.1609799999999999</c:v>
                </c:pt>
                <c:pt idx="25">
                  <c:v>3.1656599999999999</c:v>
                </c:pt>
                <c:pt idx="26">
                  <c:v>3.1712800000000003</c:v>
                </c:pt>
                <c:pt idx="27">
                  <c:v>3.1765100000000004</c:v>
                </c:pt>
                <c:pt idx="28">
                  <c:v>3.1798700000000002</c:v>
                </c:pt>
                <c:pt idx="29">
                  <c:v>3.1816699999999996</c:v>
                </c:pt>
                <c:pt idx="30">
                  <c:v>3.1807800000000004</c:v>
                </c:pt>
                <c:pt idx="31">
                  <c:v>3.1781600000000001</c:v>
                </c:pt>
                <c:pt idx="32">
                  <c:v>3.1762200000000003</c:v>
                </c:pt>
                <c:pt idx="33">
                  <c:v>3.1737500000000001</c:v>
                </c:pt>
                <c:pt idx="34">
                  <c:v>3.169</c:v>
                </c:pt>
                <c:pt idx="35">
                  <c:v>3.1621999999999999</c:v>
                </c:pt>
                <c:pt idx="36">
                  <c:v>3.15273</c:v>
                </c:pt>
                <c:pt idx="37">
                  <c:v>3.1440200000000003</c:v>
                </c:pt>
                <c:pt idx="38">
                  <c:v>3.1360700000000001</c:v>
                </c:pt>
                <c:pt idx="39">
                  <c:v>3.1289299999999995</c:v>
                </c:pt>
                <c:pt idx="40">
                  <c:v>3.1252499999999999</c:v>
                </c:pt>
                <c:pt idx="41">
                  <c:v>3.1199599999999998</c:v>
                </c:pt>
                <c:pt idx="42">
                  <c:v>3.1126399999999999</c:v>
                </c:pt>
                <c:pt idx="43">
                  <c:v>3.1069200000000001</c:v>
                </c:pt>
                <c:pt idx="44">
                  <c:v>3.1008400000000003</c:v>
                </c:pt>
                <c:pt idx="45">
                  <c:v>3.09572</c:v>
                </c:pt>
                <c:pt idx="46">
                  <c:v>3.0918800000000002</c:v>
                </c:pt>
                <c:pt idx="47">
                  <c:v>3.0918000000000001</c:v>
                </c:pt>
                <c:pt idx="48">
                  <c:v>3.0910199999999999</c:v>
                </c:pt>
                <c:pt idx="49">
                  <c:v>3.0914000000000001</c:v>
                </c:pt>
                <c:pt idx="50">
                  <c:v>3.0899799999999997</c:v>
                </c:pt>
                <c:pt idx="51">
                  <c:v>3.0901899999999998</c:v>
                </c:pt>
                <c:pt idx="52">
                  <c:v>3.0888200000000001</c:v>
                </c:pt>
                <c:pt idx="53">
                  <c:v>3.0867699999999996</c:v>
                </c:pt>
                <c:pt idx="54">
                  <c:v>3.0859900000000002</c:v>
                </c:pt>
                <c:pt idx="55">
                  <c:v>3.0845899999999999</c:v>
                </c:pt>
                <c:pt idx="56">
                  <c:v>3.0824600000000002</c:v>
                </c:pt>
                <c:pt idx="57">
                  <c:v>3.0806899999999997</c:v>
                </c:pt>
                <c:pt idx="58">
                  <c:v>3.0808900000000001</c:v>
                </c:pt>
                <c:pt idx="59">
                  <c:v>3.0830200000000003</c:v>
                </c:pt>
                <c:pt idx="60">
                  <c:v>3.0868600000000002</c:v>
                </c:pt>
                <c:pt idx="61">
                  <c:v>3.0956099999999998</c:v>
                </c:pt>
                <c:pt idx="62">
                  <c:v>3.1016700000000004</c:v>
                </c:pt>
                <c:pt idx="63">
                  <c:v>3.1033899999999996</c:v>
                </c:pt>
                <c:pt idx="64">
                  <c:v>3.1023800000000001</c:v>
                </c:pt>
                <c:pt idx="65">
                  <c:v>3.0990899999999999</c:v>
                </c:pt>
                <c:pt idx="66">
                  <c:v>3.0966500000000003</c:v>
                </c:pt>
                <c:pt idx="67">
                  <c:v>3.10229</c:v>
                </c:pt>
                <c:pt idx="68">
                  <c:v>3.1016899999999996</c:v>
                </c:pt>
                <c:pt idx="69">
                  <c:v>3.1027300000000002</c:v>
                </c:pt>
                <c:pt idx="70">
                  <c:v>3.0989100000000001</c:v>
                </c:pt>
                <c:pt idx="71">
                  <c:v>3.0828299999999995</c:v>
                </c:pt>
                <c:pt idx="72">
                  <c:v>3.05105</c:v>
                </c:pt>
                <c:pt idx="73">
                  <c:v>3.0424199999999999</c:v>
                </c:pt>
                <c:pt idx="74">
                  <c:v>3.0276300000000003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14.936425</c:v>
                </c:pt>
                <c:pt idx="1">
                  <c:v>44.809275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2.4093236486486491</c:v>
                </c:pt>
                <c:pt idx="1">
                  <c:v>3.0295659459459454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0.38757200000000003</c:v>
                </c:pt>
                <c:pt idx="2">
                  <c:v>0.79322300000000001</c:v>
                </c:pt>
                <c:pt idx="3">
                  <c:v>1.1972499999999999</c:v>
                </c:pt>
                <c:pt idx="4">
                  <c:v>1.6061799999999999</c:v>
                </c:pt>
                <c:pt idx="5">
                  <c:v>2.0120499999999999</c:v>
                </c:pt>
                <c:pt idx="6">
                  <c:v>2.4148999999999998</c:v>
                </c:pt>
                <c:pt idx="7">
                  <c:v>2.82409</c:v>
                </c:pt>
                <c:pt idx="8">
                  <c:v>3.23184</c:v>
                </c:pt>
                <c:pt idx="9">
                  <c:v>3.63768</c:v>
                </c:pt>
                <c:pt idx="10">
                  <c:v>4.0446200000000001</c:v>
                </c:pt>
                <c:pt idx="11">
                  <c:v>4.44658</c:v>
                </c:pt>
                <c:pt idx="12">
                  <c:v>4.8525</c:v>
                </c:pt>
                <c:pt idx="13">
                  <c:v>5.2643300000000002</c:v>
                </c:pt>
                <c:pt idx="14">
                  <c:v>5.6702899999999996</c:v>
                </c:pt>
                <c:pt idx="15">
                  <c:v>6.0741699999999996</c:v>
                </c:pt>
                <c:pt idx="16">
                  <c:v>6.4800899999999997</c:v>
                </c:pt>
                <c:pt idx="17">
                  <c:v>6.8830799999999996</c:v>
                </c:pt>
                <c:pt idx="18">
                  <c:v>7.2899099999999999</c:v>
                </c:pt>
                <c:pt idx="19">
                  <c:v>7.7017499999999997</c:v>
                </c:pt>
                <c:pt idx="20">
                  <c:v>8.1076899999999998</c:v>
                </c:pt>
                <c:pt idx="21">
                  <c:v>8.5096500000000006</c:v>
                </c:pt>
                <c:pt idx="22">
                  <c:v>8.9159000000000006</c:v>
                </c:pt>
                <c:pt idx="23">
                  <c:v>9.3244799999999994</c:v>
                </c:pt>
                <c:pt idx="24">
                  <c:v>9.7303899999999999</c:v>
                </c:pt>
                <c:pt idx="25">
                  <c:v>10.1396</c:v>
                </c:pt>
                <c:pt idx="26">
                  <c:v>10.5403</c:v>
                </c:pt>
                <c:pt idx="27">
                  <c:v>10.9442</c:v>
                </c:pt>
                <c:pt idx="28">
                  <c:v>11.3581</c:v>
                </c:pt>
                <c:pt idx="29">
                  <c:v>11.763999999999999</c:v>
                </c:pt>
                <c:pt idx="30">
                  <c:v>12.1699</c:v>
                </c:pt>
                <c:pt idx="31">
                  <c:v>12.5739</c:v>
                </c:pt>
                <c:pt idx="32">
                  <c:v>12.9777</c:v>
                </c:pt>
                <c:pt idx="33">
                  <c:v>13.3818</c:v>
                </c:pt>
                <c:pt idx="34">
                  <c:v>13.7957</c:v>
                </c:pt>
                <c:pt idx="35">
                  <c:v>14.199400000000001</c:v>
                </c:pt>
                <c:pt idx="36">
                  <c:v>14.605600000000001</c:v>
                </c:pt>
                <c:pt idx="37">
                  <c:v>15.013299999999999</c:v>
                </c:pt>
                <c:pt idx="38">
                  <c:v>15.4152</c:v>
                </c:pt>
                <c:pt idx="39">
                  <c:v>15.8223</c:v>
                </c:pt>
                <c:pt idx="40">
                  <c:v>16.225999999999999</c:v>
                </c:pt>
                <c:pt idx="41">
                  <c:v>16.634</c:v>
                </c:pt>
                <c:pt idx="42">
                  <c:v>17.044</c:v>
                </c:pt>
                <c:pt idx="43">
                  <c:v>17.448799999999999</c:v>
                </c:pt>
                <c:pt idx="44">
                  <c:v>17.8538</c:v>
                </c:pt>
                <c:pt idx="45">
                  <c:v>18.258600000000001</c:v>
                </c:pt>
                <c:pt idx="46">
                  <c:v>18.669499999999999</c:v>
                </c:pt>
                <c:pt idx="47">
                  <c:v>19.074400000000001</c:v>
                </c:pt>
                <c:pt idx="48">
                  <c:v>19.479299999999999</c:v>
                </c:pt>
                <c:pt idx="49">
                  <c:v>19.8873</c:v>
                </c:pt>
                <c:pt idx="50">
                  <c:v>20.293399999999998</c:v>
                </c:pt>
                <c:pt idx="51">
                  <c:v>20.696200000000001</c:v>
                </c:pt>
                <c:pt idx="52">
                  <c:v>21.109000000000002</c:v>
                </c:pt>
                <c:pt idx="53">
                  <c:v>21.509899999999998</c:v>
                </c:pt>
                <c:pt idx="54">
                  <c:v>21.915900000000001</c:v>
                </c:pt>
                <c:pt idx="55">
                  <c:v>22.3248</c:v>
                </c:pt>
                <c:pt idx="56">
                  <c:v>22.7317</c:v>
                </c:pt>
                <c:pt idx="57">
                  <c:v>23.137499999999999</c:v>
                </c:pt>
                <c:pt idx="58">
                  <c:v>23.546500000000002</c:v>
                </c:pt>
                <c:pt idx="59">
                  <c:v>23.948399999999999</c:v>
                </c:pt>
                <c:pt idx="60">
                  <c:v>24.353300000000001</c:v>
                </c:pt>
                <c:pt idx="61">
                  <c:v>24.7623</c:v>
                </c:pt>
                <c:pt idx="62">
                  <c:v>25.1661</c:v>
                </c:pt>
                <c:pt idx="63">
                  <c:v>25.574999999999999</c:v>
                </c:pt>
                <c:pt idx="64">
                  <c:v>25.981000000000002</c:v>
                </c:pt>
                <c:pt idx="65">
                  <c:v>26.384</c:v>
                </c:pt>
                <c:pt idx="66">
                  <c:v>26.790099999999999</c:v>
                </c:pt>
                <c:pt idx="67">
                  <c:v>27.1967</c:v>
                </c:pt>
                <c:pt idx="68">
                  <c:v>27.605899999999998</c:v>
                </c:pt>
                <c:pt idx="69">
                  <c:v>28.009599999999999</c:v>
                </c:pt>
                <c:pt idx="70">
                  <c:v>28.415500000000002</c:v>
                </c:pt>
                <c:pt idx="71">
                  <c:v>28.8233</c:v>
                </c:pt>
                <c:pt idx="72">
                  <c:v>29.2273</c:v>
                </c:pt>
                <c:pt idx="73">
                  <c:v>29.638300000000001</c:v>
                </c:pt>
                <c:pt idx="74">
                  <c:v>30.043099999999999</c:v>
                </c:pt>
                <c:pt idx="75">
                  <c:v>30.508900000000001</c:v>
                </c:pt>
                <c:pt idx="76">
                  <c:v>30.907399999999999</c:v>
                </c:pt>
                <c:pt idx="77">
                  <c:v>31.310700000000001</c:v>
                </c:pt>
                <c:pt idx="78">
                  <c:v>31.710699999999999</c:v>
                </c:pt>
                <c:pt idx="79">
                  <c:v>32.120600000000003</c:v>
                </c:pt>
                <c:pt idx="80">
                  <c:v>32.522599999999997</c:v>
                </c:pt>
                <c:pt idx="81">
                  <c:v>32.933399999999999</c:v>
                </c:pt>
                <c:pt idx="82">
                  <c:v>33.338500000000003</c:v>
                </c:pt>
                <c:pt idx="83">
                  <c:v>33.745199999999997</c:v>
                </c:pt>
                <c:pt idx="84">
                  <c:v>34.149299999999997</c:v>
                </c:pt>
                <c:pt idx="85">
                  <c:v>34.561</c:v>
                </c:pt>
                <c:pt idx="86">
                  <c:v>34.965000000000003</c:v>
                </c:pt>
                <c:pt idx="87">
                  <c:v>35.370899999999999</c:v>
                </c:pt>
                <c:pt idx="88">
                  <c:v>35.774900000000002</c:v>
                </c:pt>
                <c:pt idx="89">
                  <c:v>36.182000000000002</c:v>
                </c:pt>
                <c:pt idx="90">
                  <c:v>36.588999999999999</c:v>
                </c:pt>
                <c:pt idx="91">
                  <c:v>36.993600000000001</c:v>
                </c:pt>
                <c:pt idx="92">
                  <c:v>37.403500000000001</c:v>
                </c:pt>
                <c:pt idx="93">
                  <c:v>37.807400000000001</c:v>
                </c:pt>
                <c:pt idx="94">
                  <c:v>38.212299999999999</c:v>
                </c:pt>
                <c:pt idx="95">
                  <c:v>38.619199999999999</c:v>
                </c:pt>
                <c:pt idx="96">
                  <c:v>39.0261</c:v>
                </c:pt>
                <c:pt idx="97">
                  <c:v>39.431100000000001</c:v>
                </c:pt>
                <c:pt idx="98">
                  <c:v>39.8369</c:v>
                </c:pt>
                <c:pt idx="99">
                  <c:v>40.247799999999998</c:v>
                </c:pt>
                <c:pt idx="100">
                  <c:v>40.650700000000001</c:v>
                </c:pt>
                <c:pt idx="101">
                  <c:v>41.057699999999997</c:v>
                </c:pt>
                <c:pt idx="102">
                  <c:v>41.462899999999998</c:v>
                </c:pt>
                <c:pt idx="103">
                  <c:v>41.873600000000003</c:v>
                </c:pt>
                <c:pt idx="104">
                  <c:v>42.278399999999998</c:v>
                </c:pt>
                <c:pt idx="105">
                  <c:v>42.683300000000003</c:v>
                </c:pt>
                <c:pt idx="106">
                  <c:v>43.0852</c:v>
                </c:pt>
                <c:pt idx="107">
                  <c:v>43.496299999999998</c:v>
                </c:pt>
                <c:pt idx="108">
                  <c:v>43.9041</c:v>
                </c:pt>
                <c:pt idx="109">
                  <c:v>44.31</c:v>
                </c:pt>
                <c:pt idx="110">
                  <c:v>44.715800000000002</c:v>
                </c:pt>
                <c:pt idx="111">
                  <c:v>45.119799999999998</c:v>
                </c:pt>
                <c:pt idx="112">
                  <c:v>45.5259</c:v>
                </c:pt>
                <c:pt idx="113">
                  <c:v>45.933799999999998</c:v>
                </c:pt>
                <c:pt idx="114">
                  <c:v>46.3416</c:v>
                </c:pt>
                <c:pt idx="115">
                  <c:v>46.7455</c:v>
                </c:pt>
                <c:pt idx="116">
                  <c:v>47.1494</c:v>
                </c:pt>
                <c:pt idx="117">
                  <c:v>47.557499999999997</c:v>
                </c:pt>
                <c:pt idx="118">
                  <c:v>47.963200000000001</c:v>
                </c:pt>
                <c:pt idx="119">
                  <c:v>48.369100000000003</c:v>
                </c:pt>
                <c:pt idx="120">
                  <c:v>48.776000000000003</c:v>
                </c:pt>
                <c:pt idx="121">
                  <c:v>49.182000000000002</c:v>
                </c:pt>
                <c:pt idx="122">
                  <c:v>49.586799999999997</c:v>
                </c:pt>
                <c:pt idx="123">
                  <c:v>49.996699999999997</c:v>
                </c:pt>
                <c:pt idx="124">
                  <c:v>50.404699999999998</c:v>
                </c:pt>
                <c:pt idx="125">
                  <c:v>50.808500000000002</c:v>
                </c:pt>
                <c:pt idx="126">
                  <c:v>51.214500000000001</c:v>
                </c:pt>
                <c:pt idx="127">
                  <c:v>51.621699999999997</c:v>
                </c:pt>
                <c:pt idx="128">
                  <c:v>52.026299999999999</c:v>
                </c:pt>
                <c:pt idx="129">
                  <c:v>52.430199999999999</c:v>
                </c:pt>
                <c:pt idx="130">
                  <c:v>52.841200000000001</c:v>
                </c:pt>
                <c:pt idx="131">
                  <c:v>53.243099999999998</c:v>
                </c:pt>
                <c:pt idx="132">
                  <c:v>53.652200000000001</c:v>
                </c:pt>
                <c:pt idx="133">
                  <c:v>54.058900000000001</c:v>
                </c:pt>
                <c:pt idx="134">
                  <c:v>54.462800000000001</c:v>
                </c:pt>
                <c:pt idx="135">
                  <c:v>54.873899999999999</c:v>
                </c:pt>
                <c:pt idx="136">
                  <c:v>55.276600000000002</c:v>
                </c:pt>
                <c:pt idx="137">
                  <c:v>55.679600000000001</c:v>
                </c:pt>
                <c:pt idx="138">
                  <c:v>56.087600000000002</c:v>
                </c:pt>
                <c:pt idx="139">
                  <c:v>56.493400000000001</c:v>
                </c:pt>
                <c:pt idx="140">
                  <c:v>56.903300000000002</c:v>
                </c:pt>
                <c:pt idx="141">
                  <c:v>57.307299999999998</c:v>
                </c:pt>
                <c:pt idx="142">
                  <c:v>57.713200000000001</c:v>
                </c:pt>
                <c:pt idx="143">
                  <c:v>58.118200000000002</c:v>
                </c:pt>
                <c:pt idx="144">
                  <c:v>58.527999999999999</c:v>
                </c:pt>
                <c:pt idx="145">
                  <c:v>58.934800000000003</c:v>
                </c:pt>
                <c:pt idx="146">
                  <c:v>59.340800000000002</c:v>
                </c:pt>
                <c:pt idx="147">
                  <c:v>59.745699999999999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59.516599999999997</c:v>
                </c:pt>
                <c:pt idx="1">
                  <c:v>58.749099999999999</c:v>
                </c:pt>
                <c:pt idx="2">
                  <c:v>58.034399999999998</c:v>
                </c:pt>
                <c:pt idx="3">
                  <c:v>57.356999999999999</c:v>
                </c:pt>
                <c:pt idx="4">
                  <c:v>56.793400000000005</c:v>
                </c:pt>
                <c:pt idx="5">
                  <c:v>56.264499999999998</c:v>
                </c:pt>
                <c:pt idx="6">
                  <c:v>55.758399999999995</c:v>
                </c:pt>
                <c:pt idx="7">
                  <c:v>55.269199999999998</c:v>
                </c:pt>
                <c:pt idx="8">
                  <c:v>54.816800000000001</c:v>
                </c:pt>
                <c:pt idx="9">
                  <c:v>54.425900000000006</c:v>
                </c:pt>
                <c:pt idx="10">
                  <c:v>53.925400000000003</c:v>
                </c:pt>
                <c:pt idx="11">
                  <c:v>53.455500000000001</c:v>
                </c:pt>
                <c:pt idx="12">
                  <c:v>52.955100000000002</c:v>
                </c:pt>
                <c:pt idx="13">
                  <c:v>52.601799999999997</c:v>
                </c:pt>
                <c:pt idx="14">
                  <c:v>52.337100000000007</c:v>
                </c:pt>
                <c:pt idx="15">
                  <c:v>52.223500000000001</c:v>
                </c:pt>
                <c:pt idx="16">
                  <c:v>52.1586</c:v>
                </c:pt>
                <c:pt idx="17">
                  <c:v>52.116500000000002</c:v>
                </c:pt>
                <c:pt idx="18">
                  <c:v>51.970300000000002</c:v>
                </c:pt>
                <c:pt idx="19">
                  <c:v>51.843399999999995</c:v>
                </c:pt>
                <c:pt idx="20">
                  <c:v>51.740900000000003</c:v>
                </c:pt>
                <c:pt idx="21">
                  <c:v>51.647600000000004</c:v>
                </c:pt>
                <c:pt idx="22">
                  <c:v>51.548000000000002</c:v>
                </c:pt>
                <c:pt idx="23">
                  <c:v>51.434000000000005</c:v>
                </c:pt>
                <c:pt idx="24">
                  <c:v>51.321300000000001</c:v>
                </c:pt>
                <c:pt idx="25">
                  <c:v>51.207100000000004</c:v>
                </c:pt>
                <c:pt idx="26">
                  <c:v>51.111200000000004</c:v>
                </c:pt>
                <c:pt idx="27">
                  <c:v>51.025699999999993</c:v>
                </c:pt>
                <c:pt idx="28">
                  <c:v>50.973400000000005</c:v>
                </c:pt>
                <c:pt idx="29">
                  <c:v>50.947299999999998</c:v>
                </c:pt>
                <c:pt idx="30">
                  <c:v>50.954799999999999</c:v>
                </c:pt>
                <c:pt idx="31">
                  <c:v>50.989899999999999</c:v>
                </c:pt>
                <c:pt idx="32">
                  <c:v>51.0563</c:v>
                </c:pt>
                <c:pt idx="33">
                  <c:v>51.1267</c:v>
                </c:pt>
                <c:pt idx="34">
                  <c:v>51.206600000000002</c:v>
                </c:pt>
                <c:pt idx="35">
                  <c:v>51.358800000000002</c:v>
                </c:pt>
                <c:pt idx="36">
                  <c:v>51.543199999999999</c:v>
                </c:pt>
                <c:pt idx="37">
                  <c:v>51.755899999999997</c:v>
                </c:pt>
                <c:pt idx="38">
                  <c:v>51.941099999999999</c:v>
                </c:pt>
                <c:pt idx="39">
                  <c:v>52.112299999999998</c:v>
                </c:pt>
                <c:pt idx="40">
                  <c:v>52.190099999999994</c:v>
                </c:pt>
                <c:pt idx="41">
                  <c:v>52.205999999999996</c:v>
                </c:pt>
                <c:pt idx="42">
                  <c:v>52.226599999999998</c:v>
                </c:pt>
                <c:pt idx="43">
                  <c:v>52.324300000000001</c:v>
                </c:pt>
                <c:pt idx="44">
                  <c:v>52.4255</c:v>
                </c:pt>
                <c:pt idx="45">
                  <c:v>52.456599999999995</c:v>
                </c:pt>
                <c:pt idx="46">
                  <c:v>52.517299999999999</c:v>
                </c:pt>
                <c:pt idx="47">
                  <c:v>52.539400000000001</c:v>
                </c:pt>
                <c:pt idx="48">
                  <c:v>52.519400000000005</c:v>
                </c:pt>
                <c:pt idx="49">
                  <c:v>52.509399999999992</c:v>
                </c:pt>
                <c:pt idx="50">
                  <c:v>52.525100000000002</c:v>
                </c:pt>
                <c:pt idx="51">
                  <c:v>52.476599999999998</c:v>
                </c:pt>
                <c:pt idx="52">
                  <c:v>52.413499999999999</c:v>
                </c:pt>
                <c:pt idx="53">
                  <c:v>52.408600000000007</c:v>
                </c:pt>
                <c:pt idx="54">
                  <c:v>52.353000000000009</c:v>
                </c:pt>
                <c:pt idx="55">
                  <c:v>52.242800000000003</c:v>
                </c:pt>
                <c:pt idx="56">
                  <c:v>52.050399999999996</c:v>
                </c:pt>
                <c:pt idx="57">
                  <c:v>51.832000000000001</c:v>
                </c:pt>
                <c:pt idx="58">
                  <c:v>51.584600000000002</c:v>
                </c:pt>
                <c:pt idx="59">
                  <c:v>51.412800000000004</c:v>
                </c:pt>
                <c:pt idx="60">
                  <c:v>51.147799999999997</c:v>
                </c:pt>
                <c:pt idx="61">
                  <c:v>50.937600000000003</c:v>
                </c:pt>
                <c:pt idx="62">
                  <c:v>50.808500000000002</c:v>
                </c:pt>
                <c:pt idx="63">
                  <c:v>50.6721</c:v>
                </c:pt>
                <c:pt idx="64">
                  <c:v>50.491500000000002</c:v>
                </c:pt>
                <c:pt idx="65">
                  <c:v>50.370000000000005</c:v>
                </c:pt>
                <c:pt idx="66">
                  <c:v>50.170899999999996</c:v>
                </c:pt>
                <c:pt idx="67">
                  <c:v>49.9178</c:v>
                </c:pt>
                <c:pt idx="68">
                  <c:v>49.6081</c:v>
                </c:pt>
                <c:pt idx="69">
                  <c:v>49.2791</c:v>
                </c:pt>
                <c:pt idx="70">
                  <c:v>48.931899999999999</c:v>
                </c:pt>
                <c:pt idx="71">
                  <c:v>48.182399999999994</c:v>
                </c:pt>
                <c:pt idx="72">
                  <c:v>47.752400000000002</c:v>
                </c:pt>
                <c:pt idx="73">
                  <c:v>46.556999999999995</c:v>
                </c:pt>
                <c:pt idx="74">
                  <c:v>45.768799999999999</c:v>
                </c:pt>
                <c:pt idx="75">
                  <c:v>44.9482</c:v>
                </c:pt>
                <c:pt idx="76">
                  <c:v>44.090800000000002</c:v>
                </c:pt>
                <c:pt idx="77">
                  <c:v>43.225700000000003</c:v>
                </c:pt>
                <c:pt idx="78">
                  <c:v>42.246499999999997</c:v>
                </c:pt>
                <c:pt idx="79">
                  <c:v>41.235199999999999</c:v>
                </c:pt>
                <c:pt idx="80">
                  <c:v>40.400000000000006</c:v>
                </c:pt>
                <c:pt idx="81">
                  <c:v>39.721499999999999</c:v>
                </c:pt>
                <c:pt idx="82">
                  <c:v>39.072499999999998</c:v>
                </c:pt>
                <c:pt idx="83">
                  <c:v>38.475300000000004</c:v>
                </c:pt>
                <c:pt idx="84">
                  <c:v>37.9681</c:v>
                </c:pt>
                <c:pt idx="85">
                  <c:v>37.498899999999999</c:v>
                </c:pt>
                <c:pt idx="86">
                  <c:v>37.068100000000001</c:v>
                </c:pt>
                <c:pt idx="87">
                  <c:v>36.697499999999998</c:v>
                </c:pt>
                <c:pt idx="88">
                  <c:v>36.440400000000004</c:v>
                </c:pt>
                <c:pt idx="89">
                  <c:v>36.1218</c:v>
                </c:pt>
                <c:pt idx="90">
                  <c:v>35.874400000000001</c:v>
                </c:pt>
                <c:pt idx="91">
                  <c:v>35.593899999999998</c:v>
                </c:pt>
                <c:pt idx="92">
                  <c:v>35.316800000000001</c:v>
                </c:pt>
                <c:pt idx="93">
                  <c:v>35.080099999999995</c:v>
                </c:pt>
                <c:pt idx="94">
                  <c:v>34.894399999999997</c:v>
                </c:pt>
                <c:pt idx="95">
                  <c:v>34.848199999999999</c:v>
                </c:pt>
                <c:pt idx="96">
                  <c:v>34.823</c:v>
                </c:pt>
                <c:pt idx="97">
                  <c:v>34.792899999999996</c:v>
                </c:pt>
                <c:pt idx="98">
                  <c:v>34.757399999999997</c:v>
                </c:pt>
                <c:pt idx="99">
                  <c:v>34.718199999999996</c:v>
                </c:pt>
                <c:pt idx="100">
                  <c:v>34.694199999999995</c:v>
                </c:pt>
                <c:pt idx="101">
                  <c:v>34.674700000000001</c:v>
                </c:pt>
                <c:pt idx="102">
                  <c:v>34.690599999999996</c:v>
                </c:pt>
                <c:pt idx="103">
                  <c:v>34.756300000000003</c:v>
                </c:pt>
                <c:pt idx="104">
                  <c:v>34.869499999999995</c:v>
                </c:pt>
                <c:pt idx="105">
                  <c:v>34.971499999999999</c:v>
                </c:pt>
                <c:pt idx="106">
                  <c:v>35.097999999999999</c:v>
                </c:pt>
                <c:pt idx="107">
                  <c:v>35.276800000000001</c:v>
                </c:pt>
                <c:pt idx="108">
                  <c:v>35.4465</c:v>
                </c:pt>
                <c:pt idx="109">
                  <c:v>35.604999999999997</c:v>
                </c:pt>
                <c:pt idx="110">
                  <c:v>35.772999999999996</c:v>
                </c:pt>
                <c:pt idx="111">
                  <c:v>35.958300000000001</c:v>
                </c:pt>
                <c:pt idx="112">
                  <c:v>36.110999999999997</c:v>
                </c:pt>
                <c:pt idx="113">
                  <c:v>36.221800000000002</c:v>
                </c:pt>
                <c:pt idx="114">
                  <c:v>36.417400000000001</c:v>
                </c:pt>
                <c:pt idx="115">
                  <c:v>36.590499999999999</c:v>
                </c:pt>
                <c:pt idx="116">
                  <c:v>36.769500000000001</c:v>
                </c:pt>
                <c:pt idx="117">
                  <c:v>36.991800000000005</c:v>
                </c:pt>
                <c:pt idx="118">
                  <c:v>37.209399999999995</c:v>
                </c:pt>
                <c:pt idx="119">
                  <c:v>37.371300000000005</c:v>
                </c:pt>
                <c:pt idx="120">
                  <c:v>37.4054</c:v>
                </c:pt>
                <c:pt idx="121">
                  <c:v>37.439799999999998</c:v>
                </c:pt>
                <c:pt idx="122">
                  <c:v>37.476199999999999</c:v>
                </c:pt>
                <c:pt idx="123">
                  <c:v>37.505400000000002</c:v>
                </c:pt>
                <c:pt idx="124">
                  <c:v>37.539299999999997</c:v>
                </c:pt>
                <c:pt idx="125">
                  <c:v>37.5869</c:v>
                </c:pt>
                <c:pt idx="126">
                  <c:v>37.648299999999999</c:v>
                </c:pt>
                <c:pt idx="127">
                  <c:v>37.705300000000001</c:v>
                </c:pt>
                <c:pt idx="128">
                  <c:v>37.754800000000003</c:v>
                </c:pt>
                <c:pt idx="129">
                  <c:v>37.816100000000006</c:v>
                </c:pt>
                <c:pt idx="130">
                  <c:v>37.862699999999997</c:v>
                </c:pt>
                <c:pt idx="131">
                  <c:v>37.838200000000001</c:v>
                </c:pt>
                <c:pt idx="132">
                  <c:v>37.767499999999998</c:v>
                </c:pt>
                <c:pt idx="133">
                  <c:v>37.680900000000001</c:v>
                </c:pt>
                <c:pt idx="134">
                  <c:v>37.543599999999998</c:v>
                </c:pt>
                <c:pt idx="135">
                  <c:v>37.417499999999997</c:v>
                </c:pt>
                <c:pt idx="136">
                  <c:v>37.278500000000001</c:v>
                </c:pt>
                <c:pt idx="137">
                  <c:v>37.2119</c:v>
                </c:pt>
                <c:pt idx="138">
                  <c:v>37.189799999999998</c:v>
                </c:pt>
                <c:pt idx="139">
                  <c:v>37.202600000000004</c:v>
                </c:pt>
                <c:pt idx="140">
                  <c:v>37.117400000000004</c:v>
                </c:pt>
                <c:pt idx="141">
                  <c:v>37.100699999999996</c:v>
                </c:pt>
                <c:pt idx="142">
                  <c:v>36.9925</c:v>
                </c:pt>
                <c:pt idx="143">
                  <c:v>36.898399999999995</c:v>
                </c:pt>
                <c:pt idx="144">
                  <c:v>36.991500000000002</c:v>
                </c:pt>
                <c:pt idx="145">
                  <c:v>37.248100000000001</c:v>
                </c:pt>
                <c:pt idx="146">
                  <c:v>37.251600000000003</c:v>
                </c:pt>
                <c:pt idx="147">
                  <c:v>37.204000000000001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0.38757200000000003</c:v>
                </c:pt>
                <c:pt idx="2">
                  <c:v>0.79322300000000001</c:v>
                </c:pt>
                <c:pt idx="3">
                  <c:v>1.1972499999999999</c:v>
                </c:pt>
                <c:pt idx="4">
                  <c:v>1.6061799999999999</c:v>
                </c:pt>
                <c:pt idx="5">
                  <c:v>2.0120499999999999</c:v>
                </c:pt>
                <c:pt idx="6">
                  <c:v>2.4148999999999998</c:v>
                </c:pt>
                <c:pt idx="7">
                  <c:v>2.82409</c:v>
                </c:pt>
                <c:pt idx="8">
                  <c:v>3.23184</c:v>
                </c:pt>
                <c:pt idx="9">
                  <c:v>3.63768</c:v>
                </c:pt>
                <c:pt idx="10">
                  <c:v>4.0446200000000001</c:v>
                </c:pt>
                <c:pt idx="11">
                  <c:v>4.44658</c:v>
                </c:pt>
                <c:pt idx="12">
                  <c:v>4.8525</c:v>
                </c:pt>
                <c:pt idx="13">
                  <c:v>5.2643300000000002</c:v>
                </c:pt>
                <c:pt idx="14">
                  <c:v>5.6702899999999996</c:v>
                </c:pt>
                <c:pt idx="15">
                  <c:v>6.0741699999999996</c:v>
                </c:pt>
                <c:pt idx="16">
                  <c:v>6.4800899999999997</c:v>
                </c:pt>
                <c:pt idx="17">
                  <c:v>6.8830799999999996</c:v>
                </c:pt>
                <c:pt idx="18">
                  <c:v>7.2899099999999999</c:v>
                </c:pt>
                <c:pt idx="19">
                  <c:v>7.7017499999999997</c:v>
                </c:pt>
                <c:pt idx="20">
                  <c:v>8.1076899999999998</c:v>
                </c:pt>
                <c:pt idx="21">
                  <c:v>8.5096500000000006</c:v>
                </c:pt>
                <c:pt idx="22">
                  <c:v>8.9159000000000006</c:v>
                </c:pt>
                <c:pt idx="23">
                  <c:v>9.3244799999999994</c:v>
                </c:pt>
                <c:pt idx="24">
                  <c:v>9.7303899999999999</c:v>
                </c:pt>
                <c:pt idx="25">
                  <c:v>10.1396</c:v>
                </c:pt>
                <c:pt idx="26">
                  <c:v>10.5403</c:v>
                </c:pt>
                <c:pt idx="27">
                  <c:v>10.9442</c:v>
                </c:pt>
                <c:pt idx="28">
                  <c:v>11.3581</c:v>
                </c:pt>
                <c:pt idx="29">
                  <c:v>11.763999999999999</c:v>
                </c:pt>
                <c:pt idx="30">
                  <c:v>12.1699</c:v>
                </c:pt>
                <c:pt idx="31">
                  <c:v>12.5739</c:v>
                </c:pt>
                <c:pt idx="32">
                  <c:v>12.9777</c:v>
                </c:pt>
                <c:pt idx="33">
                  <c:v>13.3818</c:v>
                </c:pt>
                <c:pt idx="34">
                  <c:v>13.7957</c:v>
                </c:pt>
                <c:pt idx="35">
                  <c:v>14.199400000000001</c:v>
                </c:pt>
                <c:pt idx="36">
                  <c:v>14.605600000000001</c:v>
                </c:pt>
                <c:pt idx="37">
                  <c:v>15.013299999999999</c:v>
                </c:pt>
                <c:pt idx="38">
                  <c:v>15.4152</c:v>
                </c:pt>
                <c:pt idx="39">
                  <c:v>15.8223</c:v>
                </c:pt>
                <c:pt idx="40">
                  <c:v>16.225999999999999</c:v>
                </c:pt>
                <c:pt idx="41">
                  <c:v>16.634</c:v>
                </c:pt>
                <c:pt idx="42">
                  <c:v>17.044</c:v>
                </c:pt>
                <c:pt idx="43">
                  <c:v>17.448799999999999</c:v>
                </c:pt>
                <c:pt idx="44">
                  <c:v>17.8538</c:v>
                </c:pt>
                <c:pt idx="45">
                  <c:v>18.258600000000001</c:v>
                </c:pt>
                <c:pt idx="46">
                  <c:v>18.669499999999999</c:v>
                </c:pt>
                <c:pt idx="47">
                  <c:v>19.074400000000001</c:v>
                </c:pt>
                <c:pt idx="48">
                  <c:v>19.479299999999999</c:v>
                </c:pt>
                <c:pt idx="49">
                  <c:v>19.8873</c:v>
                </c:pt>
                <c:pt idx="50">
                  <c:v>20.293399999999998</c:v>
                </c:pt>
                <c:pt idx="51">
                  <c:v>20.696200000000001</c:v>
                </c:pt>
                <c:pt idx="52">
                  <c:v>21.109000000000002</c:v>
                </c:pt>
                <c:pt idx="53">
                  <c:v>21.509899999999998</c:v>
                </c:pt>
                <c:pt idx="54">
                  <c:v>21.915900000000001</c:v>
                </c:pt>
                <c:pt idx="55">
                  <c:v>22.3248</c:v>
                </c:pt>
                <c:pt idx="56">
                  <c:v>22.7317</c:v>
                </c:pt>
                <c:pt idx="57">
                  <c:v>23.137499999999999</c:v>
                </c:pt>
                <c:pt idx="58">
                  <c:v>23.546500000000002</c:v>
                </c:pt>
                <c:pt idx="59">
                  <c:v>23.948399999999999</c:v>
                </c:pt>
                <c:pt idx="60">
                  <c:v>24.353300000000001</c:v>
                </c:pt>
                <c:pt idx="61">
                  <c:v>24.7623</c:v>
                </c:pt>
                <c:pt idx="62">
                  <c:v>25.1661</c:v>
                </c:pt>
                <c:pt idx="63">
                  <c:v>25.574999999999999</c:v>
                </c:pt>
                <c:pt idx="64">
                  <c:v>25.981000000000002</c:v>
                </c:pt>
                <c:pt idx="65">
                  <c:v>26.384</c:v>
                </c:pt>
                <c:pt idx="66">
                  <c:v>26.790099999999999</c:v>
                </c:pt>
                <c:pt idx="67">
                  <c:v>27.1967</c:v>
                </c:pt>
                <c:pt idx="68">
                  <c:v>27.605899999999998</c:v>
                </c:pt>
                <c:pt idx="69">
                  <c:v>28.009599999999999</c:v>
                </c:pt>
                <c:pt idx="70">
                  <c:v>28.415500000000002</c:v>
                </c:pt>
                <c:pt idx="71">
                  <c:v>28.8233</c:v>
                </c:pt>
                <c:pt idx="72">
                  <c:v>29.2273</c:v>
                </c:pt>
                <c:pt idx="73">
                  <c:v>29.638300000000001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59.516599999999997</c:v>
                </c:pt>
                <c:pt idx="1">
                  <c:v>58.749099999999999</c:v>
                </c:pt>
                <c:pt idx="2">
                  <c:v>58.034399999999998</c:v>
                </c:pt>
                <c:pt idx="3">
                  <c:v>57.356999999999999</c:v>
                </c:pt>
                <c:pt idx="4">
                  <c:v>56.793400000000005</c:v>
                </c:pt>
                <c:pt idx="5">
                  <c:v>56.264499999999998</c:v>
                </c:pt>
                <c:pt idx="6">
                  <c:v>55.758399999999995</c:v>
                </c:pt>
                <c:pt idx="7">
                  <c:v>55.269199999999998</c:v>
                </c:pt>
                <c:pt idx="8">
                  <c:v>54.816800000000001</c:v>
                </c:pt>
                <c:pt idx="9">
                  <c:v>54.425900000000006</c:v>
                </c:pt>
                <c:pt idx="10">
                  <c:v>53.925400000000003</c:v>
                </c:pt>
                <c:pt idx="11">
                  <c:v>53.455500000000001</c:v>
                </c:pt>
                <c:pt idx="12">
                  <c:v>52.955100000000002</c:v>
                </c:pt>
                <c:pt idx="13">
                  <c:v>52.601799999999997</c:v>
                </c:pt>
                <c:pt idx="14">
                  <c:v>52.337100000000007</c:v>
                </c:pt>
                <c:pt idx="15">
                  <c:v>52.223500000000001</c:v>
                </c:pt>
                <c:pt idx="16">
                  <c:v>52.1586</c:v>
                </c:pt>
                <c:pt idx="17">
                  <c:v>52.116500000000002</c:v>
                </c:pt>
                <c:pt idx="18">
                  <c:v>51.970300000000002</c:v>
                </c:pt>
                <c:pt idx="19">
                  <c:v>51.843399999999995</c:v>
                </c:pt>
                <c:pt idx="20">
                  <c:v>51.740900000000003</c:v>
                </c:pt>
                <c:pt idx="21">
                  <c:v>51.647600000000004</c:v>
                </c:pt>
                <c:pt idx="22">
                  <c:v>51.548000000000002</c:v>
                </c:pt>
                <c:pt idx="23">
                  <c:v>51.434000000000005</c:v>
                </c:pt>
                <c:pt idx="24">
                  <c:v>51.321300000000001</c:v>
                </c:pt>
                <c:pt idx="25">
                  <c:v>51.207100000000004</c:v>
                </c:pt>
                <c:pt idx="26">
                  <c:v>51.111200000000004</c:v>
                </c:pt>
                <c:pt idx="27">
                  <c:v>51.025699999999993</c:v>
                </c:pt>
                <c:pt idx="28">
                  <c:v>50.973400000000005</c:v>
                </c:pt>
                <c:pt idx="29">
                  <c:v>50.947299999999998</c:v>
                </c:pt>
                <c:pt idx="30">
                  <c:v>50.954799999999999</c:v>
                </c:pt>
                <c:pt idx="31">
                  <c:v>50.989899999999999</c:v>
                </c:pt>
                <c:pt idx="32">
                  <c:v>51.0563</c:v>
                </c:pt>
                <c:pt idx="33">
                  <c:v>51.1267</c:v>
                </c:pt>
                <c:pt idx="34">
                  <c:v>51.206600000000002</c:v>
                </c:pt>
                <c:pt idx="35">
                  <c:v>51.358800000000002</c:v>
                </c:pt>
                <c:pt idx="36">
                  <c:v>51.543199999999999</c:v>
                </c:pt>
                <c:pt idx="37">
                  <c:v>51.755899999999997</c:v>
                </c:pt>
                <c:pt idx="38">
                  <c:v>51.941099999999999</c:v>
                </c:pt>
                <c:pt idx="39">
                  <c:v>52.112299999999998</c:v>
                </c:pt>
                <c:pt idx="40">
                  <c:v>52.190099999999994</c:v>
                </c:pt>
                <c:pt idx="41">
                  <c:v>52.205999999999996</c:v>
                </c:pt>
                <c:pt idx="42">
                  <c:v>52.226599999999998</c:v>
                </c:pt>
                <c:pt idx="43">
                  <c:v>52.324300000000001</c:v>
                </c:pt>
                <c:pt idx="44">
                  <c:v>52.4255</c:v>
                </c:pt>
                <c:pt idx="45">
                  <c:v>52.456599999999995</c:v>
                </c:pt>
                <c:pt idx="46">
                  <c:v>52.517299999999999</c:v>
                </c:pt>
                <c:pt idx="47">
                  <c:v>52.539400000000001</c:v>
                </c:pt>
                <c:pt idx="48">
                  <c:v>52.519400000000005</c:v>
                </c:pt>
                <c:pt idx="49">
                  <c:v>52.509399999999992</c:v>
                </c:pt>
                <c:pt idx="50">
                  <c:v>52.525100000000002</c:v>
                </c:pt>
                <c:pt idx="51">
                  <c:v>52.476599999999998</c:v>
                </c:pt>
                <c:pt idx="52">
                  <c:v>52.413499999999999</c:v>
                </c:pt>
                <c:pt idx="53">
                  <c:v>52.408600000000007</c:v>
                </c:pt>
                <c:pt idx="54">
                  <c:v>52.353000000000009</c:v>
                </c:pt>
                <c:pt idx="55">
                  <c:v>52.242800000000003</c:v>
                </c:pt>
                <c:pt idx="56">
                  <c:v>52.050399999999996</c:v>
                </c:pt>
                <c:pt idx="57">
                  <c:v>51.832000000000001</c:v>
                </c:pt>
                <c:pt idx="58">
                  <c:v>51.584600000000002</c:v>
                </c:pt>
                <c:pt idx="59">
                  <c:v>51.412800000000004</c:v>
                </c:pt>
                <c:pt idx="60">
                  <c:v>51.147799999999997</c:v>
                </c:pt>
                <c:pt idx="61">
                  <c:v>50.937600000000003</c:v>
                </c:pt>
                <c:pt idx="62">
                  <c:v>50.808500000000002</c:v>
                </c:pt>
                <c:pt idx="63">
                  <c:v>50.6721</c:v>
                </c:pt>
                <c:pt idx="64">
                  <c:v>50.491500000000002</c:v>
                </c:pt>
                <c:pt idx="65">
                  <c:v>50.370000000000005</c:v>
                </c:pt>
                <c:pt idx="66">
                  <c:v>50.170899999999996</c:v>
                </c:pt>
                <c:pt idx="67">
                  <c:v>49.9178</c:v>
                </c:pt>
                <c:pt idx="68">
                  <c:v>49.6081</c:v>
                </c:pt>
                <c:pt idx="69">
                  <c:v>49.2791</c:v>
                </c:pt>
                <c:pt idx="70">
                  <c:v>48.931899999999999</c:v>
                </c:pt>
                <c:pt idx="71">
                  <c:v>48.182399999999994</c:v>
                </c:pt>
                <c:pt idx="72">
                  <c:v>47.752400000000002</c:v>
                </c:pt>
                <c:pt idx="73">
                  <c:v>46.556999999999995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29.638300000000001</c:v>
                </c:pt>
                <c:pt idx="1">
                  <c:v>30.043099999999999</c:v>
                </c:pt>
                <c:pt idx="2">
                  <c:v>30.508900000000001</c:v>
                </c:pt>
                <c:pt idx="3">
                  <c:v>30.907399999999999</c:v>
                </c:pt>
                <c:pt idx="4">
                  <c:v>31.310700000000001</c:v>
                </c:pt>
                <c:pt idx="5">
                  <c:v>31.710699999999999</c:v>
                </c:pt>
                <c:pt idx="6">
                  <c:v>32.120600000000003</c:v>
                </c:pt>
                <c:pt idx="7">
                  <c:v>32.522599999999997</c:v>
                </c:pt>
                <c:pt idx="8">
                  <c:v>32.933399999999999</c:v>
                </c:pt>
                <c:pt idx="9">
                  <c:v>33.338500000000003</c:v>
                </c:pt>
                <c:pt idx="10">
                  <c:v>33.745199999999997</c:v>
                </c:pt>
                <c:pt idx="11">
                  <c:v>34.149299999999997</c:v>
                </c:pt>
                <c:pt idx="12">
                  <c:v>34.561</c:v>
                </c:pt>
                <c:pt idx="13">
                  <c:v>34.965000000000003</c:v>
                </c:pt>
                <c:pt idx="14">
                  <c:v>35.370899999999999</c:v>
                </c:pt>
                <c:pt idx="15">
                  <c:v>35.774900000000002</c:v>
                </c:pt>
                <c:pt idx="16">
                  <c:v>36.182000000000002</c:v>
                </c:pt>
                <c:pt idx="17">
                  <c:v>36.588999999999999</c:v>
                </c:pt>
                <c:pt idx="18">
                  <c:v>36.993600000000001</c:v>
                </c:pt>
                <c:pt idx="19">
                  <c:v>37.403500000000001</c:v>
                </c:pt>
                <c:pt idx="20">
                  <c:v>37.807400000000001</c:v>
                </c:pt>
                <c:pt idx="21">
                  <c:v>38.212299999999999</c:v>
                </c:pt>
                <c:pt idx="22">
                  <c:v>38.619199999999999</c:v>
                </c:pt>
                <c:pt idx="23">
                  <c:v>39.0261</c:v>
                </c:pt>
                <c:pt idx="24">
                  <c:v>39.431100000000001</c:v>
                </c:pt>
                <c:pt idx="25">
                  <c:v>39.8369</c:v>
                </c:pt>
                <c:pt idx="26">
                  <c:v>40.247799999999998</c:v>
                </c:pt>
                <c:pt idx="27">
                  <c:v>40.650700000000001</c:v>
                </c:pt>
                <c:pt idx="28">
                  <c:v>41.057699999999997</c:v>
                </c:pt>
                <c:pt idx="29">
                  <c:v>41.462899999999998</c:v>
                </c:pt>
                <c:pt idx="30">
                  <c:v>41.873600000000003</c:v>
                </c:pt>
                <c:pt idx="31">
                  <c:v>42.278399999999998</c:v>
                </c:pt>
                <c:pt idx="32">
                  <c:v>42.683300000000003</c:v>
                </c:pt>
                <c:pt idx="33">
                  <c:v>43.0852</c:v>
                </c:pt>
                <c:pt idx="34">
                  <c:v>43.496299999999998</c:v>
                </c:pt>
                <c:pt idx="35">
                  <c:v>43.9041</c:v>
                </c:pt>
                <c:pt idx="36">
                  <c:v>44.31</c:v>
                </c:pt>
                <c:pt idx="37">
                  <c:v>44.715800000000002</c:v>
                </c:pt>
                <c:pt idx="38">
                  <c:v>45.119799999999998</c:v>
                </c:pt>
                <c:pt idx="39">
                  <c:v>45.5259</c:v>
                </c:pt>
                <c:pt idx="40">
                  <c:v>45.933799999999998</c:v>
                </c:pt>
                <c:pt idx="41">
                  <c:v>46.3416</c:v>
                </c:pt>
                <c:pt idx="42">
                  <c:v>46.7455</c:v>
                </c:pt>
                <c:pt idx="43">
                  <c:v>47.1494</c:v>
                </c:pt>
                <c:pt idx="44">
                  <c:v>47.557499999999997</c:v>
                </c:pt>
                <c:pt idx="45">
                  <c:v>47.963200000000001</c:v>
                </c:pt>
                <c:pt idx="46">
                  <c:v>48.369100000000003</c:v>
                </c:pt>
                <c:pt idx="47">
                  <c:v>48.776000000000003</c:v>
                </c:pt>
                <c:pt idx="48">
                  <c:v>49.182000000000002</c:v>
                </c:pt>
                <c:pt idx="49">
                  <c:v>49.586799999999997</c:v>
                </c:pt>
                <c:pt idx="50">
                  <c:v>49.996699999999997</c:v>
                </c:pt>
                <c:pt idx="51">
                  <c:v>50.404699999999998</c:v>
                </c:pt>
                <c:pt idx="52">
                  <c:v>50.808500000000002</c:v>
                </c:pt>
                <c:pt idx="53">
                  <c:v>51.214500000000001</c:v>
                </c:pt>
                <c:pt idx="54">
                  <c:v>51.621699999999997</c:v>
                </c:pt>
                <c:pt idx="55">
                  <c:v>52.026299999999999</c:v>
                </c:pt>
                <c:pt idx="56">
                  <c:v>52.430199999999999</c:v>
                </c:pt>
                <c:pt idx="57">
                  <c:v>52.841200000000001</c:v>
                </c:pt>
                <c:pt idx="58">
                  <c:v>53.243099999999998</c:v>
                </c:pt>
                <c:pt idx="59">
                  <c:v>53.652200000000001</c:v>
                </c:pt>
                <c:pt idx="60">
                  <c:v>54.058900000000001</c:v>
                </c:pt>
                <c:pt idx="61">
                  <c:v>54.462800000000001</c:v>
                </c:pt>
                <c:pt idx="62">
                  <c:v>54.873899999999999</c:v>
                </c:pt>
                <c:pt idx="63">
                  <c:v>55.276600000000002</c:v>
                </c:pt>
                <c:pt idx="64">
                  <c:v>55.679600000000001</c:v>
                </c:pt>
                <c:pt idx="65">
                  <c:v>56.087600000000002</c:v>
                </c:pt>
                <c:pt idx="66">
                  <c:v>56.493400000000001</c:v>
                </c:pt>
                <c:pt idx="67">
                  <c:v>56.903300000000002</c:v>
                </c:pt>
                <c:pt idx="68">
                  <c:v>57.307299999999998</c:v>
                </c:pt>
                <c:pt idx="69">
                  <c:v>57.713200000000001</c:v>
                </c:pt>
                <c:pt idx="70">
                  <c:v>58.118200000000002</c:v>
                </c:pt>
                <c:pt idx="71">
                  <c:v>58.527999999999999</c:v>
                </c:pt>
                <c:pt idx="72">
                  <c:v>58.934800000000003</c:v>
                </c:pt>
                <c:pt idx="73">
                  <c:v>59.340800000000002</c:v>
                </c:pt>
                <c:pt idx="74">
                  <c:v>59.745699999999999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46.556999999999995</c:v>
                </c:pt>
                <c:pt idx="1">
                  <c:v>45.768799999999999</c:v>
                </c:pt>
                <c:pt idx="2">
                  <c:v>44.9482</c:v>
                </c:pt>
                <c:pt idx="3">
                  <c:v>44.090800000000002</c:v>
                </c:pt>
                <c:pt idx="4">
                  <c:v>43.225700000000003</c:v>
                </c:pt>
                <c:pt idx="5">
                  <c:v>42.246499999999997</c:v>
                </c:pt>
                <c:pt idx="6">
                  <c:v>41.235199999999999</c:v>
                </c:pt>
                <c:pt idx="7">
                  <c:v>40.400000000000006</c:v>
                </c:pt>
                <c:pt idx="8">
                  <c:v>39.721499999999999</c:v>
                </c:pt>
                <c:pt idx="9">
                  <c:v>39.072499999999998</c:v>
                </c:pt>
                <c:pt idx="10">
                  <c:v>38.475300000000004</c:v>
                </c:pt>
                <c:pt idx="11">
                  <c:v>37.9681</c:v>
                </c:pt>
                <c:pt idx="12">
                  <c:v>37.498899999999999</c:v>
                </c:pt>
                <c:pt idx="13">
                  <c:v>37.068100000000001</c:v>
                </c:pt>
                <c:pt idx="14">
                  <c:v>36.697499999999998</c:v>
                </c:pt>
                <c:pt idx="15">
                  <c:v>36.440400000000004</c:v>
                </c:pt>
                <c:pt idx="16">
                  <c:v>36.1218</c:v>
                </c:pt>
                <c:pt idx="17">
                  <c:v>35.874400000000001</c:v>
                </c:pt>
                <c:pt idx="18">
                  <c:v>35.593899999999998</c:v>
                </c:pt>
                <c:pt idx="19">
                  <c:v>35.316800000000001</c:v>
                </c:pt>
                <c:pt idx="20">
                  <c:v>35.080099999999995</c:v>
                </c:pt>
                <c:pt idx="21">
                  <c:v>34.894399999999997</c:v>
                </c:pt>
                <c:pt idx="22">
                  <c:v>34.848199999999999</c:v>
                </c:pt>
                <c:pt idx="23">
                  <c:v>34.823</c:v>
                </c:pt>
                <c:pt idx="24">
                  <c:v>34.792899999999996</c:v>
                </c:pt>
                <c:pt idx="25">
                  <c:v>34.757399999999997</c:v>
                </c:pt>
                <c:pt idx="26">
                  <c:v>34.718199999999996</c:v>
                </c:pt>
                <c:pt idx="27">
                  <c:v>34.694199999999995</c:v>
                </c:pt>
                <c:pt idx="28">
                  <c:v>34.674700000000001</c:v>
                </c:pt>
                <c:pt idx="29">
                  <c:v>34.690599999999996</c:v>
                </c:pt>
                <c:pt idx="30">
                  <c:v>34.756300000000003</c:v>
                </c:pt>
                <c:pt idx="31">
                  <c:v>34.869499999999995</c:v>
                </c:pt>
                <c:pt idx="32">
                  <c:v>34.971499999999999</c:v>
                </c:pt>
                <c:pt idx="33">
                  <c:v>35.097999999999999</c:v>
                </c:pt>
                <c:pt idx="34">
                  <c:v>35.276800000000001</c:v>
                </c:pt>
                <c:pt idx="35">
                  <c:v>35.4465</c:v>
                </c:pt>
                <c:pt idx="36">
                  <c:v>35.604999999999997</c:v>
                </c:pt>
                <c:pt idx="37">
                  <c:v>35.772999999999996</c:v>
                </c:pt>
                <c:pt idx="38">
                  <c:v>35.958300000000001</c:v>
                </c:pt>
                <c:pt idx="39">
                  <c:v>36.110999999999997</c:v>
                </c:pt>
                <c:pt idx="40">
                  <c:v>36.221800000000002</c:v>
                </c:pt>
                <c:pt idx="41">
                  <c:v>36.417400000000001</c:v>
                </c:pt>
                <c:pt idx="42">
                  <c:v>36.590499999999999</c:v>
                </c:pt>
                <c:pt idx="43">
                  <c:v>36.769500000000001</c:v>
                </c:pt>
                <c:pt idx="44">
                  <c:v>36.991800000000005</c:v>
                </c:pt>
                <c:pt idx="45">
                  <c:v>37.209399999999995</c:v>
                </c:pt>
                <c:pt idx="46">
                  <c:v>37.371300000000005</c:v>
                </c:pt>
                <c:pt idx="47">
                  <c:v>37.4054</c:v>
                </c:pt>
                <c:pt idx="48">
                  <c:v>37.439799999999998</c:v>
                </c:pt>
                <c:pt idx="49">
                  <c:v>37.476199999999999</c:v>
                </c:pt>
                <c:pt idx="50">
                  <c:v>37.505400000000002</c:v>
                </c:pt>
                <c:pt idx="51">
                  <c:v>37.539299999999997</c:v>
                </c:pt>
                <c:pt idx="52">
                  <c:v>37.5869</c:v>
                </c:pt>
                <c:pt idx="53">
                  <c:v>37.648299999999999</c:v>
                </c:pt>
                <c:pt idx="54">
                  <c:v>37.705300000000001</c:v>
                </c:pt>
                <c:pt idx="55">
                  <c:v>37.754800000000003</c:v>
                </c:pt>
                <c:pt idx="56">
                  <c:v>37.816100000000006</c:v>
                </c:pt>
                <c:pt idx="57">
                  <c:v>37.862699999999997</c:v>
                </c:pt>
                <c:pt idx="58">
                  <c:v>37.838200000000001</c:v>
                </c:pt>
                <c:pt idx="59">
                  <c:v>37.767499999999998</c:v>
                </c:pt>
                <c:pt idx="60">
                  <c:v>37.680900000000001</c:v>
                </c:pt>
                <c:pt idx="61">
                  <c:v>37.543599999999998</c:v>
                </c:pt>
                <c:pt idx="62">
                  <c:v>37.417499999999997</c:v>
                </c:pt>
                <c:pt idx="63">
                  <c:v>37.278500000000001</c:v>
                </c:pt>
                <c:pt idx="64">
                  <c:v>37.2119</c:v>
                </c:pt>
                <c:pt idx="65">
                  <c:v>37.189799999999998</c:v>
                </c:pt>
                <c:pt idx="66">
                  <c:v>37.202600000000004</c:v>
                </c:pt>
                <c:pt idx="67">
                  <c:v>37.117400000000004</c:v>
                </c:pt>
                <c:pt idx="68">
                  <c:v>37.100699999999996</c:v>
                </c:pt>
                <c:pt idx="69">
                  <c:v>36.9925</c:v>
                </c:pt>
                <c:pt idx="70">
                  <c:v>36.898399999999995</c:v>
                </c:pt>
                <c:pt idx="71">
                  <c:v>36.991500000000002</c:v>
                </c:pt>
                <c:pt idx="72">
                  <c:v>37.248100000000001</c:v>
                </c:pt>
                <c:pt idx="73">
                  <c:v>37.251600000000003</c:v>
                </c:pt>
                <c:pt idx="74">
                  <c:v>37.204000000000001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14.936425</c:v>
                </c:pt>
                <c:pt idx="1">
                  <c:v>44.809275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52.156968918918913</c:v>
                </c:pt>
                <c:pt idx="1">
                  <c:v>37.227710810810812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1.7713200000000002</c:v>
                </c:pt>
                <c:pt idx="1">
                  <c:v>1.8244400000000001</c:v>
                </c:pt>
                <c:pt idx="2">
                  <c:v>1.8739700000000001</c:v>
                </c:pt>
                <c:pt idx="3">
                  <c:v>1.92276</c:v>
                </c:pt>
                <c:pt idx="4">
                  <c:v>1.97018</c:v>
                </c:pt>
                <c:pt idx="5">
                  <c:v>2.0167099999999998</c:v>
                </c:pt>
                <c:pt idx="6">
                  <c:v>2.0634399999999999</c:v>
                </c:pt>
                <c:pt idx="7">
                  <c:v>2.11049</c:v>
                </c:pt>
                <c:pt idx="8">
                  <c:v>2.1558700000000002</c:v>
                </c:pt>
                <c:pt idx="9">
                  <c:v>2.2002099999999998</c:v>
                </c:pt>
                <c:pt idx="10">
                  <c:v>2.2468499999999998</c:v>
                </c:pt>
                <c:pt idx="11">
                  <c:v>2.2920099999999999</c:v>
                </c:pt>
                <c:pt idx="12">
                  <c:v>2.3376099999999997</c:v>
                </c:pt>
                <c:pt idx="13">
                  <c:v>2.3796600000000003</c:v>
                </c:pt>
                <c:pt idx="14">
                  <c:v>2.41736</c:v>
                </c:pt>
                <c:pt idx="15">
                  <c:v>2.4490700000000003</c:v>
                </c:pt>
                <c:pt idx="16">
                  <c:v>2.4779100000000001</c:v>
                </c:pt>
                <c:pt idx="17">
                  <c:v>2.5042799999999996</c:v>
                </c:pt>
                <c:pt idx="18">
                  <c:v>2.5296800000000004</c:v>
                </c:pt>
                <c:pt idx="19">
                  <c:v>2.5545499999999999</c:v>
                </c:pt>
                <c:pt idx="20">
                  <c:v>2.5728099999999996</c:v>
                </c:pt>
                <c:pt idx="21">
                  <c:v>2.5886199999999997</c:v>
                </c:pt>
                <c:pt idx="22">
                  <c:v>2.5984499999999997</c:v>
                </c:pt>
                <c:pt idx="23">
                  <c:v>2.6012600000000003</c:v>
                </c:pt>
                <c:pt idx="24">
                  <c:v>2.6048399999999998</c:v>
                </c:pt>
                <c:pt idx="25">
                  <c:v>2.6089099999999998</c:v>
                </c:pt>
                <c:pt idx="26">
                  <c:v>2.61164</c:v>
                </c:pt>
                <c:pt idx="27">
                  <c:v>2.6144499999999997</c:v>
                </c:pt>
                <c:pt idx="28">
                  <c:v>2.6155299999999997</c:v>
                </c:pt>
                <c:pt idx="29">
                  <c:v>2.61442</c:v>
                </c:pt>
                <c:pt idx="30">
                  <c:v>2.6118299999999999</c:v>
                </c:pt>
                <c:pt idx="31">
                  <c:v>2.6097900000000003</c:v>
                </c:pt>
                <c:pt idx="32">
                  <c:v>2.6051700000000002</c:v>
                </c:pt>
                <c:pt idx="33">
                  <c:v>2.5992999999999999</c:v>
                </c:pt>
                <c:pt idx="34">
                  <c:v>2.5918999999999999</c:v>
                </c:pt>
                <c:pt idx="35">
                  <c:v>2.5819599999999996</c:v>
                </c:pt>
                <c:pt idx="36">
                  <c:v>2.5710199999999999</c:v>
                </c:pt>
                <c:pt idx="37">
                  <c:v>2.5567299999999999</c:v>
                </c:pt>
                <c:pt idx="38">
                  <c:v>2.5441799999999999</c:v>
                </c:pt>
                <c:pt idx="39">
                  <c:v>2.53287</c:v>
                </c:pt>
                <c:pt idx="40">
                  <c:v>2.5247700000000002</c:v>
                </c:pt>
                <c:pt idx="41">
                  <c:v>2.5184299999999999</c:v>
                </c:pt>
                <c:pt idx="42">
                  <c:v>2.5095800000000001</c:v>
                </c:pt>
                <c:pt idx="43">
                  <c:v>2.4972599999999998</c:v>
                </c:pt>
                <c:pt idx="44">
                  <c:v>2.4852699999999999</c:v>
                </c:pt>
                <c:pt idx="45">
                  <c:v>2.47621</c:v>
                </c:pt>
                <c:pt idx="46">
                  <c:v>2.4680200000000001</c:v>
                </c:pt>
                <c:pt idx="47">
                  <c:v>2.4626600000000001</c:v>
                </c:pt>
                <c:pt idx="48">
                  <c:v>2.4599599999999997</c:v>
                </c:pt>
                <c:pt idx="49">
                  <c:v>2.4543499999999998</c:v>
                </c:pt>
                <c:pt idx="50">
                  <c:v>2.4494600000000002</c:v>
                </c:pt>
                <c:pt idx="51">
                  <c:v>2.4428299999999998</c:v>
                </c:pt>
                <c:pt idx="52">
                  <c:v>2.4331399999999999</c:v>
                </c:pt>
                <c:pt idx="53">
                  <c:v>2.4275600000000002</c:v>
                </c:pt>
                <c:pt idx="54">
                  <c:v>2.4212800000000003</c:v>
                </c:pt>
                <c:pt idx="55">
                  <c:v>2.4150800000000001</c:v>
                </c:pt>
                <c:pt idx="56">
                  <c:v>2.4043000000000001</c:v>
                </c:pt>
                <c:pt idx="57">
                  <c:v>2.3984000000000001</c:v>
                </c:pt>
                <c:pt idx="58">
                  <c:v>2.3944000000000001</c:v>
                </c:pt>
                <c:pt idx="59">
                  <c:v>2.39181</c:v>
                </c:pt>
                <c:pt idx="60">
                  <c:v>2.3860600000000001</c:v>
                </c:pt>
                <c:pt idx="61">
                  <c:v>2.38042</c:v>
                </c:pt>
                <c:pt idx="62">
                  <c:v>2.3761099999999997</c:v>
                </c:pt>
                <c:pt idx="63">
                  <c:v>2.3694200000000003</c:v>
                </c:pt>
                <c:pt idx="64">
                  <c:v>2.3624200000000002</c:v>
                </c:pt>
                <c:pt idx="65">
                  <c:v>2.3586</c:v>
                </c:pt>
                <c:pt idx="66">
                  <c:v>2.3571300000000002</c:v>
                </c:pt>
                <c:pt idx="67">
                  <c:v>2.3605400000000003</c:v>
                </c:pt>
                <c:pt idx="68">
                  <c:v>2.3662399999999999</c:v>
                </c:pt>
                <c:pt idx="69">
                  <c:v>2.3723800000000002</c:v>
                </c:pt>
                <c:pt idx="70">
                  <c:v>2.3798400000000002</c:v>
                </c:pt>
                <c:pt idx="71">
                  <c:v>2.39893</c:v>
                </c:pt>
                <c:pt idx="72">
                  <c:v>2.4085300000000003</c:v>
                </c:pt>
                <c:pt idx="73">
                  <c:v>2.4445100000000002</c:v>
                </c:pt>
                <c:pt idx="74">
                  <c:v>2.4709700000000003</c:v>
                </c:pt>
                <c:pt idx="75">
                  <c:v>2.4995000000000003</c:v>
                </c:pt>
                <c:pt idx="76">
                  <c:v>2.5309500000000003</c:v>
                </c:pt>
                <c:pt idx="77">
                  <c:v>2.5631399999999998</c:v>
                </c:pt>
                <c:pt idx="78">
                  <c:v>2.6001099999999999</c:v>
                </c:pt>
                <c:pt idx="79">
                  <c:v>2.6387999999999998</c:v>
                </c:pt>
                <c:pt idx="80">
                  <c:v>2.6777299999999999</c:v>
                </c:pt>
                <c:pt idx="81">
                  <c:v>2.7137099999999998</c:v>
                </c:pt>
                <c:pt idx="82">
                  <c:v>2.74892</c:v>
                </c:pt>
                <c:pt idx="83">
                  <c:v>2.7839900000000002</c:v>
                </c:pt>
                <c:pt idx="84">
                  <c:v>2.8191100000000002</c:v>
                </c:pt>
                <c:pt idx="85">
                  <c:v>2.8556399999999997</c:v>
                </c:pt>
                <c:pt idx="86">
                  <c:v>2.8934700000000002</c:v>
                </c:pt>
                <c:pt idx="87">
                  <c:v>2.93085</c:v>
                </c:pt>
                <c:pt idx="88">
                  <c:v>2.9643599999999997</c:v>
                </c:pt>
                <c:pt idx="89">
                  <c:v>2.9974699999999999</c:v>
                </c:pt>
                <c:pt idx="90">
                  <c:v>3.02664</c:v>
                </c:pt>
                <c:pt idx="91">
                  <c:v>3.0534699999999999</c:v>
                </c:pt>
                <c:pt idx="92">
                  <c:v>3.07877</c:v>
                </c:pt>
                <c:pt idx="93">
                  <c:v>3.1025700000000001</c:v>
                </c:pt>
                <c:pt idx="94">
                  <c:v>3.12561</c:v>
                </c:pt>
                <c:pt idx="95">
                  <c:v>3.14337</c:v>
                </c:pt>
                <c:pt idx="96">
                  <c:v>3.1548700000000003</c:v>
                </c:pt>
                <c:pt idx="97">
                  <c:v>3.1609799999999999</c:v>
                </c:pt>
                <c:pt idx="98">
                  <c:v>3.1656599999999999</c:v>
                </c:pt>
                <c:pt idx="99">
                  <c:v>3.1712800000000003</c:v>
                </c:pt>
                <c:pt idx="100">
                  <c:v>3.1765100000000004</c:v>
                </c:pt>
                <c:pt idx="101">
                  <c:v>3.1798700000000002</c:v>
                </c:pt>
                <c:pt idx="102">
                  <c:v>3.1816699999999996</c:v>
                </c:pt>
                <c:pt idx="103">
                  <c:v>3.1807800000000004</c:v>
                </c:pt>
                <c:pt idx="104">
                  <c:v>3.1781600000000001</c:v>
                </c:pt>
                <c:pt idx="105">
                  <c:v>3.1762200000000003</c:v>
                </c:pt>
                <c:pt idx="106">
                  <c:v>3.1737500000000001</c:v>
                </c:pt>
                <c:pt idx="107">
                  <c:v>3.169</c:v>
                </c:pt>
                <c:pt idx="108">
                  <c:v>3.1621999999999999</c:v>
                </c:pt>
                <c:pt idx="109">
                  <c:v>3.15273</c:v>
                </c:pt>
                <c:pt idx="110">
                  <c:v>3.1440200000000003</c:v>
                </c:pt>
                <c:pt idx="111">
                  <c:v>3.1360700000000001</c:v>
                </c:pt>
                <c:pt idx="112">
                  <c:v>3.1289299999999995</c:v>
                </c:pt>
                <c:pt idx="113">
                  <c:v>3.1252499999999999</c:v>
                </c:pt>
                <c:pt idx="114">
                  <c:v>3.1199599999999998</c:v>
                </c:pt>
                <c:pt idx="115">
                  <c:v>3.1126399999999999</c:v>
                </c:pt>
                <c:pt idx="116">
                  <c:v>3.1069200000000001</c:v>
                </c:pt>
                <c:pt idx="117">
                  <c:v>3.1008400000000003</c:v>
                </c:pt>
                <c:pt idx="118">
                  <c:v>3.09572</c:v>
                </c:pt>
                <c:pt idx="119">
                  <c:v>3.0918800000000002</c:v>
                </c:pt>
                <c:pt idx="120">
                  <c:v>3.0918000000000001</c:v>
                </c:pt>
                <c:pt idx="121">
                  <c:v>3.0910199999999999</c:v>
                </c:pt>
                <c:pt idx="122">
                  <c:v>3.0914000000000001</c:v>
                </c:pt>
                <c:pt idx="123">
                  <c:v>3.0899799999999997</c:v>
                </c:pt>
                <c:pt idx="124">
                  <c:v>3.0901899999999998</c:v>
                </c:pt>
                <c:pt idx="125">
                  <c:v>3.0888200000000001</c:v>
                </c:pt>
                <c:pt idx="126">
                  <c:v>3.0867699999999996</c:v>
                </c:pt>
                <c:pt idx="127">
                  <c:v>3.0859900000000002</c:v>
                </c:pt>
                <c:pt idx="128">
                  <c:v>3.0845899999999999</c:v>
                </c:pt>
                <c:pt idx="129">
                  <c:v>3.0824600000000002</c:v>
                </c:pt>
                <c:pt idx="130">
                  <c:v>3.0806899999999997</c:v>
                </c:pt>
                <c:pt idx="131">
                  <c:v>3.0808900000000001</c:v>
                </c:pt>
                <c:pt idx="132">
                  <c:v>3.0830200000000003</c:v>
                </c:pt>
                <c:pt idx="133">
                  <c:v>3.0868600000000002</c:v>
                </c:pt>
                <c:pt idx="134">
                  <c:v>3.0956099999999998</c:v>
                </c:pt>
                <c:pt idx="135">
                  <c:v>3.1016700000000004</c:v>
                </c:pt>
                <c:pt idx="136">
                  <c:v>3.1033899999999996</c:v>
                </c:pt>
                <c:pt idx="137">
                  <c:v>3.1023800000000001</c:v>
                </c:pt>
                <c:pt idx="138">
                  <c:v>3.0990899999999999</c:v>
                </c:pt>
                <c:pt idx="139">
                  <c:v>3.0966500000000003</c:v>
                </c:pt>
                <c:pt idx="140">
                  <c:v>3.10229</c:v>
                </c:pt>
                <c:pt idx="141">
                  <c:v>3.1016899999999996</c:v>
                </c:pt>
                <c:pt idx="142">
                  <c:v>3.1027300000000002</c:v>
                </c:pt>
                <c:pt idx="143">
                  <c:v>3.0989100000000001</c:v>
                </c:pt>
                <c:pt idx="144">
                  <c:v>3.0828299999999995</c:v>
                </c:pt>
                <c:pt idx="145">
                  <c:v>3.05105</c:v>
                </c:pt>
                <c:pt idx="146">
                  <c:v>3.0424199999999999</c:v>
                </c:pt>
                <c:pt idx="147">
                  <c:v>3.0276300000000003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59.516599999999997</c:v>
                </c:pt>
                <c:pt idx="1">
                  <c:v>58.749099999999999</c:v>
                </c:pt>
                <c:pt idx="2">
                  <c:v>58.034399999999998</c:v>
                </c:pt>
                <c:pt idx="3">
                  <c:v>57.356999999999999</c:v>
                </c:pt>
                <c:pt idx="4">
                  <c:v>56.793400000000005</c:v>
                </c:pt>
                <c:pt idx="5">
                  <c:v>56.264499999999998</c:v>
                </c:pt>
                <c:pt idx="6">
                  <c:v>55.758399999999995</c:v>
                </c:pt>
                <c:pt idx="7">
                  <c:v>55.269199999999998</c:v>
                </c:pt>
                <c:pt idx="8">
                  <c:v>54.816800000000001</c:v>
                </c:pt>
                <c:pt idx="9">
                  <c:v>54.425900000000006</c:v>
                </c:pt>
                <c:pt idx="10">
                  <c:v>53.925400000000003</c:v>
                </c:pt>
                <c:pt idx="11">
                  <c:v>53.455500000000001</c:v>
                </c:pt>
                <c:pt idx="12">
                  <c:v>52.955100000000002</c:v>
                </c:pt>
                <c:pt idx="13">
                  <c:v>52.601799999999997</c:v>
                </c:pt>
                <c:pt idx="14">
                  <c:v>52.337100000000007</c:v>
                </c:pt>
                <c:pt idx="15">
                  <c:v>52.223500000000001</c:v>
                </c:pt>
                <c:pt idx="16">
                  <c:v>52.1586</c:v>
                </c:pt>
                <c:pt idx="17">
                  <c:v>52.116500000000002</c:v>
                </c:pt>
                <c:pt idx="18">
                  <c:v>51.970300000000002</c:v>
                </c:pt>
                <c:pt idx="19">
                  <c:v>51.843399999999995</c:v>
                </c:pt>
                <c:pt idx="20">
                  <c:v>51.740900000000003</c:v>
                </c:pt>
                <c:pt idx="21">
                  <c:v>51.647600000000004</c:v>
                </c:pt>
                <c:pt idx="22">
                  <c:v>51.548000000000002</c:v>
                </c:pt>
                <c:pt idx="23">
                  <c:v>51.434000000000005</c:v>
                </c:pt>
                <c:pt idx="24">
                  <c:v>51.321300000000001</c:v>
                </c:pt>
                <c:pt idx="25">
                  <c:v>51.207100000000004</c:v>
                </c:pt>
                <c:pt idx="26">
                  <c:v>51.111200000000004</c:v>
                </c:pt>
                <c:pt idx="27">
                  <c:v>51.025699999999993</c:v>
                </c:pt>
                <c:pt idx="28">
                  <c:v>50.973400000000005</c:v>
                </c:pt>
                <c:pt idx="29">
                  <c:v>50.947299999999998</c:v>
                </c:pt>
                <c:pt idx="30">
                  <c:v>50.954799999999999</c:v>
                </c:pt>
                <c:pt idx="31">
                  <c:v>50.989899999999999</c:v>
                </c:pt>
                <c:pt idx="32">
                  <c:v>51.0563</c:v>
                </c:pt>
                <c:pt idx="33">
                  <c:v>51.1267</c:v>
                </c:pt>
                <c:pt idx="34">
                  <c:v>51.206600000000002</c:v>
                </c:pt>
                <c:pt idx="35">
                  <c:v>51.358800000000002</c:v>
                </c:pt>
                <c:pt idx="36">
                  <c:v>51.543199999999999</c:v>
                </c:pt>
                <c:pt idx="37">
                  <c:v>51.755899999999997</c:v>
                </c:pt>
                <c:pt idx="38">
                  <c:v>51.941099999999999</c:v>
                </c:pt>
                <c:pt idx="39">
                  <c:v>52.112299999999998</c:v>
                </c:pt>
                <c:pt idx="40">
                  <c:v>52.190099999999994</c:v>
                </c:pt>
                <c:pt idx="41">
                  <c:v>52.205999999999996</c:v>
                </c:pt>
                <c:pt idx="42">
                  <c:v>52.226599999999998</c:v>
                </c:pt>
                <c:pt idx="43">
                  <c:v>52.324300000000001</c:v>
                </c:pt>
                <c:pt idx="44">
                  <c:v>52.4255</c:v>
                </c:pt>
                <c:pt idx="45">
                  <c:v>52.456599999999995</c:v>
                </c:pt>
                <c:pt idx="46">
                  <c:v>52.517299999999999</c:v>
                </c:pt>
                <c:pt idx="47">
                  <c:v>52.539400000000001</c:v>
                </c:pt>
                <c:pt idx="48">
                  <c:v>52.519400000000005</c:v>
                </c:pt>
                <c:pt idx="49">
                  <c:v>52.509399999999992</c:v>
                </c:pt>
                <c:pt idx="50">
                  <c:v>52.525100000000002</c:v>
                </c:pt>
                <c:pt idx="51">
                  <c:v>52.476599999999998</c:v>
                </c:pt>
                <c:pt idx="52">
                  <c:v>52.413499999999999</c:v>
                </c:pt>
                <c:pt idx="53">
                  <c:v>52.408600000000007</c:v>
                </c:pt>
                <c:pt idx="54">
                  <c:v>52.353000000000009</c:v>
                </c:pt>
                <c:pt idx="55">
                  <c:v>52.242800000000003</c:v>
                </c:pt>
                <c:pt idx="56">
                  <c:v>52.050399999999996</c:v>
                </c:pt>
                <c:pt idx="57">
                  <c:v>51.832000000000001</c:v>
                </c:pt>
                <c:pt idx="58">
                  <c:v>51.584600000000002</c:v>
                </c:pt>
                <c:pt idx="59">
                  <c:v>51.412800000000004</c:v>
                </c:pt>
                <c:pt idx="60">
                  <c:v>51.147799999999997</c:v>
                </c:pt>
                <c:pt idx="61">
                  <c:v>50.937600000000003</c:v>
                </c:pt>
                <c:pt idx="62">
                  <c:v>50.808500000000002</c:v>
                </c:pt>
                <c:pt idx="63">
                  <c:v>50.6721</c:v>
                </c:pt>
                <c:pt idx="64">
                  <c:v>50.491500000000002</c:v>
                </c:pt>
                <c:pt idx="65">
                  <c:v>50.370000000000005</c:v>
                </c:pt>
                <c:pt idx="66">
                  <c:v>50.170899999999996</c:v>
                </c:pt>
                <c:pt idx="67">
                  <c:v>49.9178</c:v>
                </c:pt>
                <c:pt idx="68">
                  <c:v>49.6081</c:v>
                </c:pt>
                <c:pt idx="69">
                  <c:v>49.2791</c:v>
                </c:pt>
                <c:pt idx="70">
                  <c:v>48.931899999999999</c:v>
                </c:pt>
                <c:pt idx="71">
                  <c:v>48.182399999999994</c:v>
                </c:pt>
                <c:pt idx="72">
                  <c:v>47.752400000000002</c:v>
                </c:pt>
                <c:pt idx="73">
                  <c:v>46.556999999999995</c:v>
                </c:pt>
                <c:pt idx="74">
                  <c:v>45.768799999999999</c:v>
                </c:pt>
                <c:pt idx="75">
                  <c:v>44.9482</c:v>
                </c:pt>
                <c:pt idx="76">
                  <c:v>44.090800000000002</c:v>
                </c:pt>
                <c:pt idx="77">
                  <c:v>43.225700000000003</c:v>
                </c:pt>
                <c:pt idx="78">
                  <c:v>42.246499999999997</c:v>
                </c:pt>
                <c:pt idx="79">
                  <c:v>41.235199999999999</c:v>
                </c:pt>
                <c:pt idx="80">
                  <c:v>40.400000000000006</c:v>
                </c:pt>
                <c:pt idx="81">
                  <c:v>39.721499999999999</c:v>
                </c:pt>
                <c:pt idx="82">
                  <c:v>39.072499999999998</c:v>
                </c:pt>
                <c:pt idx="83">
                  <c:v>38.475300000000004</c:v>
                </c:pt>
                <c:pt idx="84">
                  <c:v>37.9681</c:v>
                </c:pt>
                <c:pt idx="85">
                  <c:v>37.498899999999999</c:v>
                </c:pt>
                <c:pt idx="86">
                  <c:v>37.068100000000001</c:v>
                </c:pt>
                <c:pt idx="87">
                  <c:v>36.697499999999998</c:v>
                </c:pt>
                <c:pt idx="88">
                  <c:v>36.440400000000004</c:v>
                </c:pt>
                <c:pt idx="89">
                  <c:v>36.1218</c:v>
                </c:pt>
                <c:pt idx="90">
                  <c:v>35.874400000000001</c:v>
                </c:pt>
                <c:pt idx="91">
                  <c:v>35.593899999999998</c:v>
                </c:pt>
                <c:pt idx="92">
                  <c:v>35.316800000000001</c:v>
                </c:pt>
                <c:pt idx="93">
                  <c:v>35.080099999999995</c:v>
                </c:pt>
                <c:pt idx="94">
                  <c:v>34.894399999999997</c:v>
                </c:pt>
                <c:pt idx="95">
                  <c:v>34.848199999999999</c:v>
                </c:pt>
                <c:pt idx="96">
                  <c:v>34.823</c:v>
                </c:pt>
                <c:pt idx="97">
                  <c:v>34.792899999999996</c:v>
                </c:pt>
                <c:pt idx="98">
                  <c:v>34.757399999999997</c:v>
                </c:pt>
                <c:pt idx="99">
                  <c:v>34.718199999999996</c:v>
                </c:pt>
                <c:pt idx="100">
                  <c:v>34.694199999999995</c:v>
                </c:pt>
                <c:pt idx="101">
                  <c:v>34.674700000000001</c:v>
                </c:pt>
                <c:pt idx="102">
                  <c:v>34.690599999999996</c:v>
                </c:pt>
                <c:pt idx="103">
                  <c:v>34.756300000000003</c:v>
                </c:pt>
                <c:pt idx="104">
                  <c:v>34.869499999999995</c:v>
                </c:pt>
                <c:pt idx="105">
                  <c:v>34.971499999999999</c:v>
                </c:pt>
                <c:pt idx="106">
                  <c:v>35.097999999999999</c:v>
                </c:pt>
                <c:pt idx="107">
                  <c:v>35.276800000000001</c:v>
                </c:pt>
                <c:pt idx="108">
                  <c:v>35.4465</c:v>
                </c:pt>
                <c:pt idx="109">
                  <c:v>35.604999999999997</c:v>
                </c:pt>
                <c:pt idx="110">
                  <c:v>35.772999999999996</c:v>
                </c:pt>
                <c:pt idx="111">
                  <c:v>35.958300000000001</c:v>
                </c:pt>
                <c:pt idx="112">
                  <c:v>36.110999999999997</c:v>
                </c:pt>
                <c:pt idx="113">
                  <c:v>36.221800000000002</c:v>
                </c:pt>
                <c:pt idx="114">
                  <c:v>36.417400000000001</c:v>
                </c:pt>
                <c:pt idx="115">
                  <c:v>36.590499999999999</c:v>
                </c:pt>
                <c:pt idx="116">
                  <c:v>36.769500000000001</c:v>
                </c:pt>
                <c:pt idx="117">
                  <c:v>36.991800000000005</c:v>
                </c:pt>
                <c:pt idx="118">
                  <c:v>37.209399999999995</c:v>
                </c:pt>
                <c:pt idx="119">
                  <c:v>37.371300000000005</c:v>
                </c:pt>
                <c:pt idx="120">
                  <c:v>37.4054</c:v>
                </c:pt>
                <c:pt idx="121">
                  <c:v>37.439799999999998</c:v>
                </c:pt>
                <c:pt idx="122">
                  <c:v>37.476199999999999</c:v>
                </c:pt>
                <c:pt idx="123">
                  <c:v>37.505400000000002</c:v>
                </c:pt>
                <c:pt idx="124">
                  <c:v>37.539299999999997</c:v>
                </c:pt>
                <c:pt idx="125">
                  <c:v>37.5869</c:v>
                </c:pt>
                <c:pt idx="126">
                  <c:v>37.648299999999999</c:v>
                </c:pt>
                <c:pt idx="127">
                  <c:v>37.705300000000001</c:v>
                </c:pt>
                <c:pt idx="128">
                  <c:v>37.754800000000003</c:v>
                </c:pt>
                <c:pt idx="129">
                  <c:v>37.816100000000006</c:v>
                </c:pt>
                <c:pt idx="130">
                  <c:v>37.862699999999997</c:v>
                </c:pt>
                <c:pt idx="131">
                  <c:v>37.838200000000001</c:v>
                </c:pt>
                <c:pt idx="132">
                  <c:v>37.767499999999998</c:v>
                </c:pt>
                <c:pt idx="133">
                  <c:v>37.680900000000001</c:v>
                </c:pt>
                <c:pt idx="134">
                  <c:v>37.543599999999998</c:v>
                </c:pt>
                <c:pt idx="135">
                  <c:v>37.417499999999997</c:v>
                </c:pt>
                <c:pt idx="136">
                  <c:v>37.278500000000001</c:v>
                </c:pt>
                <c:pt idx="137">
                  <c:v>37.2119</c:v>
                </c:pt>
                <c:pt idx="138">
                  <c:v>37.189799999999998</c:v>
                </c:pt>
                <c:pt idx="139">
                  <c:v>37.202600000000004</c:v>
                </c:pt>
                <c:pt idx="140">
                  <c:v>37.117400000000004</c:v>
                </c:pt>
                <c:pt idx="141">
                  <c:v>37.100699999999996</c:v>
                </c:pt>
                <c:pt idx="142">
                  <c:v>36.9925</c:v>
                </c:pt>
                <c:pt idx="143">
                  <c:v>36.898399999999995</c:v>
                </c:pt>
                <c:pt idx="144">
                  <c:v>36.991500000000002</c:v>
                </c:pt>
                <c:pt idx="145">
                  <c:v>37.248100000000001</c:v>
                </c:pt>
                <c:pt idx="146">
                  <c:v>37.251600000000003</c:v>
                </c:pt>
                <c:pt idx="147">
                  <c:v>37.204000000000001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1.7713200000000002</c:v>
                </c:pt>
                <c:pt idx="1">
                  <c:v>1.8244400000000001</c:v>
                </c:pt>
                <c:pt idx="2">
                  <c:v>1.8739700000000001</c:v>
                </c:pt>
                <c:pt idx="3">
                  <c:v>1.92276</c:v>
                </c:pt>
                <c:pt idx="4">
                  <c:v>1.97018</c:v>
                </c:pt>
                <c:pt idx="5">
                  <c:v>2.0167099999999998</c:v>
                </c:pt>
                <c:pt idx="6">
                  <c:v>2.0634399999999999</c:v>
                </c:pt>
                <c:pt idx="7">
                  <c:v>2.11049</c:v>
                </c:pt>
                <c:pt idx="8">
                  <c:v>2.1558700000000002</c:v>
                </c:pt>
                <c:pt idx="9">
                  <c:v>2.2002099999999998</c:v>
                </c:pt>
                <c:pt idx="10">
                  <c:v>2.2468499999999998</c:v>
                </c:pt>
                <c:pt idx="11">
                  <c:v>2.2920099999999999</c:v>
                </c:pt>
                <c:pt idx="12">
                  <c:v>2.3376099999999997</c:v>
                </c:pt>
                <c:pt idx="13">
                  <c:v>2.3796600000000003</c:v>
                </c:pt>
                <c:pt idx="14">
                  <c:v>2.41736</c:v>
                </c:pt>
                <c:pt idx="15">
                  <c:v>2.4490700000000003</c:v>
                </c:pt>
                <c:pt idx="16">
                  <c:v>2.4779100000000001</c:v>
                </c:pt>
                <c:pt idx="17">
                  <c:v>2.5042799999999996</c:v>
                </c:pt>
                <c:pt idx="18">
                  <c:v>2.5296800000000004</c:v>
                </c:pt>
                <c:pt idx="19">
                  <c:v>2.5545499999999999</c:v>
                </c:pt>
                <c:pt idx="20">
                  <c:v>2.5728099999999996</c:v>
                </c:pt>
                <c:pt idx="21">
                  <c:v>2.5886199999999997</c:v>
                </c:pt>
                <c:pt idx="22">
                  <c:v>2.5984499999999997</c:v>
                </c:pt>
                <c:pt idx="23">
                  <c:v>2.6012600000000003</c:v>
                </c:pt>
                <c:pt idx="24">
                  <c:v>2.6048399999999998</c:v>
                </c:pt>
                <c:pt idx="25">
                  <c:v>2.6089099999999998</c:v>
                </c:pt>
                <c:pt idx="26">
                  <c:v>2.61164</c:v>
                </c:pt>
                <c:pt idx="27">
                  <c:v>2.6144499999999997</c:v>
                </c:pt>
                <c:pt idx="28">
                  <c:v>2.6155299999999997</c:v>
                </c:pt>
                <c:pt idx="29">
                  <c:v>2.61442</c:v>
                </c:pt>
                <c:pt idx="30">
                  <c:v>2.6118299999999999</c:v>
                </c:pt>
                <c:pt idx="31">
                  <c:v>2.6097900000000003</c:v>
                </c:pt>
                <c:pt idx="32">
                  <c:v>2.6051700000000002</c:v>
                </c:pt>
                <c:pt idx="33">
                  <c:v>2.5992999999999999</c:v>
                </c:pt>
                <c:pt idx="34">
                  <c:v>2.5918999999999999</c:v>
                </c:pt>
                <c:pt idx="35">
                  <c:v>2.5819599999999996</c:v>
                </c:pt>
                <c:pt idx="36">
                  <c:v>2.5710199999999999</c:v>
                </c:pt>
                <c:pt idx="37">
                  <c:v>2.5567299999999999</c:v>
                </c:pt>
                <c:pt idx="38">
                  <c:v>2.5441799999999999</c:v>
                </c:pt>
                <c:pt idx="39">
                  <c:v>2.53287</c:v>
                </c:pt>
                <c:pt idx="40">
                  <c:v>2.5247700000000002</c:v>
                </c:pt>
                <c:pt idx="41">
                  <c:v>2.5184299999999999</c:v>
                </c:pt>
                <c:pt idx="42">
                  <c:v>2.5095800000000001</c:v>
                </c:pt>
                <c:pt idx="43">
                  <c:v>2.4972599999999998</c:v>
                </c:pt>
                <c:pt idx="44">
                  <c:v>2.4852699999999999</c:v>
                </c:pt>
                <c:pt idx="45">
                  <c:v>2.47621</c:v>
                </c:pt>
                <c:pt idx="46">
                  <c:v>2.4680200000000001</c:v>
                </c:pt>
                <c:pt idx="47">
                  <c:v>2.4626600000000001</c:v>
                </c:pt>
                <c:pt idx="48">
                  <c:v>2.4599599999999997</c:v>
                </c:pt>
                <c:pt idx="49">
                  <c:v>2.4543499999999998</c:v>
                </c:pt>
                <c:pt idx="50">
                  <c:v>2.4494600000000002</c:v>
                </c:pt>
                <c:pt idx="51">
                  <c:v>2.4428299999999998</c:v>
                </c:pt>
                <c:pt idx="52">
                  <c:v>2.4331399999999999</c:v>
                </c:pt>
                <c:pt idx="53">
                  <c:v>2.4275600000000002</c:v>
                </c:pt>
                <c:pt idx="54">
                  <c:v>2.4212800000000003</c:v>
                </c:pt>
                <c:pt idx="55">
                  <c:v>2.4150800000000001</c:v>
                </c:pt>
                <c:pt idx="56">
                  <c:v>2.4043000000000001</c:v>
                </c:pt>
                <c:pt idx="57">
                  <c:v>2.3984000000000001</c:v>
                </c:pt>
                <c:pt idx="58">
                  <c:v>2.3944000000000001</c:v>
                </c:pt>
                <c:pt idx="59">
                  <c:v>2.39181</c:v>
                </c:pt>
                <c:pt idx="60">
                  <c:v>2.3860600000000001</c:v>
                </c:pt>
                <c:pt idx="61">
                  <c:v>2.38042</c:v>
                </c:pt>
                <c:pt idx="62">
                  <c:v>2.3761099999999997</c:v>
                </c:pt>
                <c:pt idx="63">
                  <c:v>2.3694200000000003</c:v>
                </c:pt>
                <c:pt idx="64">
                  <c:v>2.3624200000000002</c:v>
                </c:pt>
                <c:pt idx="65">
                  <c:v>2.3586</c:v>
                </c:pt>
                <c:pt idx="66">
                  <c:v>2.3571300000000002</c:v>
                </c:pt>
                <c:pt idx="67">
                  <c:v>2.3605400000000003</c:v>
                </c:pt>
                <c:pt idx="68">
                  <c:v>2.3662399999999999</c:v>
                </c:pt>
                <c:pt idx="69">
                  <c:v>2.3723800000000002</c:v>
                </c:pt>
                <c:pt idx="70">
                  <c:v>2.3798400000000002</c:v>
                </c:pt>
                <c:pt idx="71">
                  <c:v>2.39893</c:v>
                </c:pt>
                <c:pt idx="72">
                  <c:v>2.4085300000000003</c:v>
                </c:pt>
                <c:pt idx="73">
                  <c:v>2.4445100000000002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59.516599999999997</c:v>
                </c:pt>
                <c:pt idx="1">
                  <c:v>58.749099999999999</c:v>
                </c:pt>
                <c:pt idx="2">
                  <c:v>58.034399999999998</c:v>
                </c:pt>
                <c:pt idx="3">
                  <c:v>57.356999999999999</c:v>
                </c:pt>
                <c:pt idx="4">
                  <c:v>56.793400000000005</c:v>
                </c:pt>
                <c:pt idx="5">
                  <c:v>56.264499999999998</c:v>
                </c:pt>
                <c:pt idx="6">
                  <c:v>55.758399999999995</c:v>
                </c:pt>
                <c:pt idx="7">
                  <c:v>55.269199999999998</c:v>
                </c:pt>
                <c:pt idx="8">
                  <c:v>54.816800000000001</c:v>
                </c:pt>
                <c:pt idx="9">
                  <c:v>54.425900000000006</c:v>
                </c:pt>
                <c:pt idx="10">
                  <c:v>53.925400000000003</c:v>
                </c:pt>
                <c:pt idx="11">
                  <c:v>53.455500000000001</c:v>
                </c:pt>
                <c:pt idx="12">
                  <c:v>52.955100000000002</c:v>
                </c:pt>
                <c:pt idx="13">
                  <c:v>52.601799999999997</c:v>
                </c:pt>
                <c:pt idx="14">
                  <c:v>52.337100000000007</c:v>
                </c:pt>
                <c:pt idx="15">
                  <c:v>52.223500000000001</c:v>
                </c:pt>
                <c:pt idx="16">
                  <c:v>52.1586</c:v>
                </c:pt>
                <c:pt idx="17">
                  <c:v>52.116500000000002</c:v>
                </c:pt>
                <c:pt idx="18">
                  <c:v>51.970300000000002</c:v>
                </c:pt>
                <c:pt idx="19">
                  <c:v>51.843399999999995</c:v>
                </c:pt>
                <c:pt idx="20">
                  <c:v>51.740900000000003</c:v>
                </c:pt>
                <c:pt idx="21">
                  <c:v>51.647600000000004</c:v>
                </c:pt>
                <c:pt idx="22">
                  <c:v>51.548000000000002</c:v>
                </c:pt>
                <c:pt idx="23">
                  <c:v>51.434000000000005</c:v>
                </c:pt>
                <c:pt idx="24">
                  <c:v>51.321300000000001</c:v>
                </c:pt>
                <c:pt idx="25">
                  <c:v>51.207100000000004</c:v>
                </c:pt>
                <c:pt idx="26">
                  <c:v>51.111200000000004</c:v>
                </c:pt>
                <c:pt idx="27">
                  <c:v>51.025699999999993</c:v>
                </c:pt>
                <c:pt idx="28">
                  <c:v>50.973400000000005</c:v>
                </c:pt>
                <c:pt idx="29">
                  <c:v>50.947299999999998</c:v>
                </c:pt>
                <c:pt idx="30">
                  <c:v>50.954799999999999</c:v>
                </c:pt>
                <c:pt idx="31">
                  <c:v>50.989899999999999</c:v>
                </c:pt>
                <c:pt idx="32">
                  <c:v>51.0563</c:v>
                </c:pt>
                <c:pt idx="33">
                  <c:v>51.1267</c:v>
                </c:pt>
                <c:pt idx="34">
                  <c:v>51.206600000000002</c:v>
                </c:pt>
                <c:pt idx="35">
                  <c:v>51.358800000000002</c:v>
                </c:pt>
                <c:pt idx="36">
                  <c:v>51.543199999999999</c:v>
                </c:pt>
                <c:pt idx="37">
                  <c:v>51.755899999999997</c:v>
                </c:pt>
                <c:pt idx="38">
                  <c:v>51.941099999999999</c:v>
                </c:pt>
                <c:pt idx="39">
                  <c:v>52.112299999999998</c:v>
                </c:pt>
                <c:pt idx="40">
                  <c:v>52.190099999999994</c:v>
                </c:pt>
                <c:pt idx="41">
                  <c:v>52.205999999999996</c:v>
                </c:pt>
                <c:pt idx="42">
                  <c:v>52.226599999999998</c:v>
                </c:pt>
                <c:pt idx="43">
                  <c:v>52.324300000000001</c:v>
                </c:pt>
                <c:pt idx="44">
                  <c:v>52.4255</c:v>
                </c:pt>
                <c:pt idx="45">
                  <c:v>52.456599999999995</c:v>
                </c:pt>
                <c:pt idx="46">
                  <c:v>52.517299999999999</c:v>
                </c:pt>
                <c:pt idx="47">
                  <c:v>52.539400000000001</c:v>
                </c:pt>
                <c:pt idx="48">
                  <c:v>52.519400000000005</c:v>
                </c:pt>
                <c:pt idx="49">
                  <c:v>52.509399999999992</c:v>
                </c:pt>
                <c:pt idx="50">
                  <c:v>52.525100000000002</c:v>
                </c:pt>
                <c:pt idx="51">
                  <c:v>52.476599999999998</c:v>
                </c:pt>
                <c:pt idx="52">
                  <c:v>52.413499999999999</c:v>
                </c:pt>
                <c:pt idx="53">
                  <c:v>52.408600000000007</c:v>
                </c:pt>
                <c:pt idx="54">
                  <c:v>52.353000000000009</c:v>
                </c:pt>
                <c:pt idx="55">
                  <c:v>52.242800000000003</c:v>
                </c:pt>
                <c:pt idx="56">
                  <c:v>52.050399999999996</c:v>
                </c:pt>
                <c:pt idx="57">
                  <c:v>51.832000000000001</c:v>
                </c:pt>
                <c:pt idx="58">
                  <c:v>51.584600000000002</c:v>
                </c:pt>
                <c:pt idx="59">
                  <c:v>51.412800000000004</c:v>
                </c:pt>
                <c:pt idx="60">
                  <c:v>51.147799999999997</c:v>
                </c:pt>
                <c:pt idx="61">
                  <c:v>50.937600000000003</c:v>
                </c:pt>
                <c:pt idx="62">
                  <c:v>50.808500000000002</c:v>
                </c:pt>
                <c:pt idx="63">
                  <c:v>50.6721</c:v>
                </c:pt>
                <c:pt idx="64">
                  <c:v>50.491500000000002</c:v>
                </c:pt>
                <c:pt idx="65">
                  <c:v>50.370000000000005</c:v>
                </c:pt>
                <c:pt idx="66">
                  <c:v>50.170899999999996</c:v>
                </c:pt>
                <c:pt idx="67">
                  <c:v>49.9178</c:v>
                </c:pt>
                <c:pt idx="68">
                  <c:v>49.6081</c:v>
                </c:pt>
                <c:pt idx="69">
                  <c:v>49.2791</c:v>
                </c:pt>
                <c:pt idx="70">
                  <c:v>48.931899999999999</c:v>
                </c:pt>
                <c:pt idx="71">
                  <c:v>48.182399999999994</c:v>
                </c:pt>
                <c:pt idx="72">
                  <c:v>47.752400000000002</c:v>
                </c:pt>
                <c:pt idx="73">
                  <c:v>46.556999999999995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2.4445100000000002</c:v>
                </c:pt>
                <c:pt idx="1">
                  <c:v>2.4709700000000003</c:v>
                </c:pt>
                <c:pt idx="2">
                  <c:v>2.4995000000000003</c:v>
                </c:pt>
                <c:pt idx="3">
                  <c:v>2.5309500000000003</c:v>
                </c:pt>
                <c:pt idx="4">
                  <c:v>2.5631399999999998</c:v>
                </c:pt>
                <c:pt idx="5">
                  <c:v>2.6001099999999999</c:v>
                </c:pt>
                <c:pt idx="6">
                  <c:v>2.6387999999999998</c:v>
                </c:pt>
                <c:pt idx="7">
                  <c:v>2.6777299999999999</c:v>
                </c:pt>
                <c:pt idx="8">
                  <c:v>2.7137099999999998</c:v>
                </c:pt>
                <c:pt idx="9">
                  <c:v>2.74892</c:v>
                </c:pt>
                <c:pt idx="10">
                  <c:v>2.7839900000000002</c:v>
                </c:pt>
                <c:pt idx="11">
                  <c:v>2.8191100000000002</c:v>
                </c:pt>
                <c:pt idx="12">
                  <c:v>2.8556399999999997</c:v>
                </c:pt>
                <c:pt idx="13">
                  <c:v>2.8934700000000002</c:v>
                </c:pt>
                <c:pt idx="14">
                  <c:v>2.93085</c:v>
                </c:pt>
                <c:pt idx="15">
                  <c:v>2.9643599999999997</c:v>
                </c:pt>
                <c:pt idx="16">
                  <c:v>2.9974699999999999</c:v>
                </c:pt>
                <c:pt idx="17">
                  <c:v>3.02664</c:v>
                </c:pt>
                <c:pt idx="18">
                  <c:v>3.0534699999999999</c:v>
                </c:pt>
                <c:pt idx="19">
                  <c:v>3.07877</c:v>
                </c:pt>
                <c:pt idx="20">
                  <c:v>3.1025700000000001</c:v>
                </c:pt>
                <c:pt idx="21">
                  <c:v>3.12561</c:v>
                </c:pt>
                <c:pt idx="22">
                  <c:v>3.14337</c:v>
                </c:pt>
                <c:pt idx="23">
                  <c:v>3.1548700000000003</c:v>
                </c:pt>
                <c:pt idx="24">
                  <c:v>3.1609799999999999</c:v>
                </c:pt>
                <c:pt idx="25">
                  <c:v>3.1656599999999999</c:v>
                </c:pt>
                <c:pt idx="26">
                  <c:v>3.1712800000000003</c:v>
                </c:pt>
                <c:pt idx="27">
                  <c:v>3.1765100000000004</c:v>
                </c:pt>
                <c:pt idx="28">
                  <c:v>3.1798700000000002</c:v>
                </c:pt>
                <c:pt idx="29">
                  <c:v>3.1816699999999996</c:v>
                </c:pt>
                <c:pt idx="30">
                  <c:v>3.1807800000000004</c:v>
                </c:pt>
                <c:pt idx="31">
                  <c:v>3.1781600000000001</c:v>
                </c:pt>
                <c:pt idx="32">
                  <c:v>3.1762200000000003</c:v>
                </c:pt>
                <c:pt idx="33">
                  <c:v>3.1737500000000001</c:v>
                </c:pt>
                <c:pt idx="34">
                  <c:v>3.169</c:v>
                </c:pt>
                <c:pt idx="35">
                  <c:v>3.1621999999999999</c:v>
                </c:pt>
                <c:pt idx="36">
                  <c:v>3.15273</c:v>
                </c:pt>
                <c:pt idx="37">
                  <c:v>3.1440200000000003</c:v>
                </c:pt>
                <c:pt idx="38">
                  <c:v>3.1360700000000001</c:v>
                </c:pt>
                <c:pt idx="39">
                  <c:v>3.1289299999999995</c:v>
                </c:pt>
                <c:pt idx="40">
                  <c:v>3.1252499999999999</c:v>
                </c:pt>
                <c:pt idx="41">
                  <c:v>3.1199599999999998</c:v>
                </c:pt>
                <c:pt idx="42">
                  <c:v>3.1126399999999999</c:v>
                </c:pt>
                <c:pt idx="43">
                  <c:v>3.1069200000000001</c:v>
                </c:pt>
                <c:pt idx="44">
                  <c:v>3.1008400000000003</c:v>
                </c:pt>
                <c:pt idx="45">
                  <c:v>3.09572</c:v>
                </c:pt>
                <c:pt idx="46">
                  <c:v>3.0918800000000002</c:v>
                </c:pt>
                <c:pt idx="47">
                  <c:v>3.0918000000000001</c:v>
                </c:pt>
                <c:pt idx="48">
                  <c:v>3.0910199999999999</c:v>
                </c:pt>
                <c:pt idx="49">
                  <c:v>3.0914000000000001</c:v>
                </c:pt>
                <c:pt idx="50">
                  <c:v>3.0899799999999997</c:v>
                </c:pt>
                <c:pt idx="51">
                  <c:v>3.0901899999999998</c:v>
                </c:pt>
                <c:pt idx="52">
                  <c:v>3.0888200000000001</c:v>
                </c:pt>
                <c:pt idx="53">
                  <c:v>3.0867699999999996</c:v>
                </c:pt>
                <c:pt idx="54">
                  <c:v>3.0859900000000002</c:v>
                </c:pt>
                <c:pt idx="55">
                  <c:v>3.0845899999999999</c:v>
                </c:pt>
                <c:pt idx="56">
                  <c:v>3.0824600000000002</c:v>
                </c:pt>
                <c:pt idx="57">
                  <c:v>3.0806899999999997</c:v>
                </c:pt>
                <c:pt idx="58">
                  <c:v>3.0808900000000001</c:v>
                </c:pt>
                <c:pt idx="59">
                  <c:v>3.0830200000000003</c:v>
                </c:pt>
                <c:pt idx="60">
                  <c:v>3.0868600000000002</c:v>
                </c:pt>
                <c:pt idx="61">
                  <c:v>3.0956099999999998</c:v>
                </c:pt>
                <c:pt idx="62">
                  <c:v>3.1016700000000004</c:v>
                </c:pt>
                <c:pt idx="63">
                  <c:v>3.1033899999999996</c:v>
                </c:pt>
                <c:pt idx="64">
                  <c:v>3.1023800000000001</c:v>
                </c:pt>
                <c:pt idx="65">
                  <c:v>3.0990899999999999</c:v>
                </c:pt>
                <c:pt idx="66">
                  <c:v>3.0966500000000003</c:v>
                </c:pt>
                <c:pt idx="67">
                  <c:v>3.10229</c:v>
                </c:pt>
                <c:pt idx="68">
                  <c:v>3.1016899999999996</c:v>
                </c:pt>
                <c:pt idx="69">
                  <c:v>3.1027300000000002</c:v>
                </c:pt>
                <c:pt idx="70">
                  <c:v>3.0989100000000001</c:v>
                </c:pt>
                <c:pt idx="71">
                  <c:v>3.0828299999999995</c:v>
                </c:pt>
                <c:pt idx="72">
                  <c:v>3.05105</c:v>
                </c:pt>
                <c:pt idx="73">
                  <c:v>3.0424199999999999</c:v>
                </c:pt>
                <c:pt idx="74">
                  <c:v>3.0276300000000003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46.556999999999995</c:v>
                </c:pt>
                <c:pt idx="1">
                  <c:v>45.768799999999999</c:v>
                </c:pt>
                <c:pt idx="2">
                  <c:v>44.9482</c:v>
                </c:pt>
                <c:pt idx="3">
                  <c:v>44.090800000000002</c:v>
                </c:pt>
                <c:pt idx="4">
                  <c:v>43.225700000000003</c:v>
                </c:pt>
                <c:pt idx="5">
                  <c:v>42.246499999999997</c:v>
                </c:pt>
                <c:pt idx="6">
                  <c:v>41.235199999999999</c:v>
                </c:pt>
                <c:pt idx="7">
                  <c:v>40.400000000000006</c:v>
                </c:pt>
                <c:pt idx="8">
                  <c:v>39.721499999999999</c:v>
                </c:pt>
                <c:pt idx="9">
                  <c:v>39.072499999999998</c:v>
                </c:pt>
                <c:pt idx="10">
                  <c:v>38.475300000000004</c:v>
                </c:pt>
                <c:pt idx="11">
                  <c:v>37.9681</c:v>
                </c:pt>
                <c:pt idx="12">
                  <c:v>37.498899999999999</c:v>
                </c:pt>
                <c:pt idx="13">
                  <c:v>37.068100000000001</c:v>
                </c:pt>
                <c:pt idx="14">
                  <c:v>36.697499999999998</c:v>
                </c:pt>
                <c:pt idx="15">
                  <c:v>36.440400000000004</c:v>
                </c:pt>
                <c:pt idx="16">
                  <c:v>36.1218</c:v>
                </c:pt>
                <c:pt idx="17">
                  <c:v>35.874400000000001</c:v>
                </c:pt>
                <c:pt idx="18">
                  <c:v>35.593899999999998</c:v>
                </c:pt>
                <c:pt idx="19">
                  <c:v>35.316800000000001</c:v>
                </c:pt>
                <c:pt idx="20">
                  <c:v>35.080099999999995</c:v>
                </c:pt>
                <c:pt idx="21">
                  <c:v>34.894399999999997</c:v>
                </c:pt>
                <c:pt idx="22">
                  <c:v>34.848199999999999</c:v>
                </c:pt>
                <c:pt idx="23">
                  <c:v>34.823</c:v>
                </c:pt>
                <c:pt idx="24">
                  <c:v>34.792899999999996</c:v>
                </c:pt>
                <c:pt idx="25">
                  <c:v>34.757399999999997</c:v>
                </c:pt>
                <c:pt idx="26">
                  <c:v>34.718199999999996</c:v>
                </c:pt>
                <c:pt idx="27">
                  <c:v>34.694199999999995</c:v>
                </c:pt>
                <c:pt idx="28">
                  <c:v>34.674700000000001</c:v>
                </c:pt>
                <c:pt idx="29">
                  <c:v>34.690599999999996</c:v>
                </c:pt>
                <c:pt idx="30">
                  <c:v>34.756300000000003</c:v>
                </c:pt>
                <c:pt idx="31">
                  <c:v>34.869499999999995</c:v>
                </c:pt>
                <c:pt idx="32">
                  <c:v>34.971499999999999</c:v>
                </c:pt>
                <c:pt idx="33">
                  <c:v>35.097999999999999</c:v>
                </c:pt>
                <c:pt idx="34">
                  <c:v>35.276800000000001</c:v>
                </c:pt>
                <c:pt idx="35">
                  <c:v>35.4465</c:v>
                </c:pt>
                <c:pt idx="36">
                  <c:v>35.604999999999997</c:v>
                </c:pt>
                <c:pt idx="37">
                  <c:v>35.772999999999996</c:v>
                </c:pt>
                <c:pt idx="38">
                  <c:v>35.958300000000001</c:v>
                </c:pt>
                <c:pt idx="39">
                  <c:v>36.110999999999997</c:v>
                </c:pt>
                <c:pt idx="40">
                  <c:v>36.221800000000002</c:v>
                </c:pt>
                <c:pt idx="41">
                  <c:v>36.417400000000001</c:v>
                </c:pt>
                <c:pt idx="42">
                  <c:v>36.590499999999999</c:v>
                </c:pt>
                <c:pt idx="43">
                  <c:v>36.769500000000001</c:v>
                </c:pt>
                <c:pt idx="44">
                  <c:v>36.991800000000005</c:v>
                </c:pt>
                <c:pt idx="45">
                  <c:v>37.209399999999995</c:v>
                </c:pt>
                <c:pt idx="46">
                  <c:v>37.371300000000005</c:v>
                </c:pt>
                <c:pt idx="47">
                  <c:v>37.4054</c:v>
                </c:pt>
                <c:pt idx="48">
                  <c:v>37.439799999999998</c:v>
                </c:pt>
                <c:pt idx="49">
                  <c:v>37.476199999999999</c:v>
                </c:pt>
                <c:pt idx="50">
                  <c:v>37.505400000000002</c:v>
                </c:pt>
                <c:pt idx="51">
                  <c:v>37.539299999999997</c:v>
                </c:pt>
                <c:pt idx="52">
                  <c:v>37.5869</c:v>
                </c:pt>
                <c:pt idx="53">
                  <c:v>37.648299999999999</c:v>
                </c:pt>
                <c:pt idx="54">
                  <c:v>37.705300000000001</c:v>
                </c:pt>
                <c:pt idx="55">
                  <c:v>37.754800000000003</c:v>
                </c:pt>
                <c:pt idx="56">
                  <c:v>37.816100000000006</c:v>
                </c:pt>
                <c:pt idx="57">
                  <c:v>37.862699999999997</c:v>
                </c:pt>
                <c:pt idx="58">
                  <c:v>37.838200000000001</c:v>
                </c:pt>
                <c:pt idx="59">
                  <c:v>37.767499999999998</c:v>
                </c:pt>
                <c:pt idx="60">
                  <c:v>37.680900000000001</c:v>
                </c:pt>
                <c:pt idx="61">
                  <c:v>37.543599999999998</c:v>
                </c:pt>
                <c:pt idx="62">
                  <c:v>37.417499999999997</c:v>
                </c:pt>
                <c:pt idx="63">
                  <c:v>37.278500000000001</c:v>
                </c:pt>
                <c:pt idx="64">
                  <c:v>37.2119</c:v>
                </c:pt>
                <c:pt idx="65">
                  <c:v>37.189799999999998</c:v>
                </c:pt>
                <c:pt idx="66">
                  <c:v>37.202600000000004</c:v>
                </c:pt>
                <c:pt idx="67">
                  <c:v>37.117400000000004</c:v>
                </c:pt>
                <c:pt idx="68">
                  <c:v>37.100699999999996</c:v>
                </c:pt>
                <c:pt idx="69">
                  <c:v>36.9925</c:v>
                </c:pt>
                <c:pt idx="70">
                  <c:v>36.898399999999995</c:v>
                </c:pt>
                <c:pt idx="71">
                  <c:v>36.991500000000002</c:v>
                </c:pt>
                <c:pt idx="72">
                  <c:v>37.248100000000001</c:v>
                </c:pt>
                <c:pt idx="73">
                  <c:v>37.251600000000003</c:v>
                </c:pt>
                <c:pt idx="74">
                  <c:v>37.204000000000001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1.7713200000000002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59.516599999999997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2.4093236486486491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52.156968918918913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3.0295659459459454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37.227710810810812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3.0295659459459454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37.227710810810812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H5" sqref="H5:K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570</v>
      </c>
      <c r="D5" s="191"/>
      <c r="E5" s="191"/>
      <c r="F5" s="192"/>
      <c r="G5" s="48" t="str">
        <f>lang!B27</f>
        <v>编号</v>
      </c>
      <c r="H5" s="190">
        <v>8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569</v>
      </c>
      <c r="D6" s="145"/>
      <c r="E6" s="145"/>
      <c r="F6" s="146"/>
      <c r="G6" s="49" t="str">
        <f>lang!B28</f>
        <v xml:space="preserve"> 日期</v>
      </c>
      <c r="H6" s="129">
        <f>FH_info!A2</f>
        <v>43608.385821759257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39</v>
      </c>
      <c r="D7" s="148"/>
      <c r="E7" s="148"/>
      <c r="F7" s="149"/>
      <c r="G7" s="50" t="str">
        <f>lang!B29</f>
        <v>误差率（%）</v>
      </c>
      <c r="H7" s="132">
        <f>M!B17*1</f>
        <v>16.884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33.112699999999997</v>
      </c>
      <c r="O8" s="59">
        <f>M!C5*1</f>
        <v>7.3593000000000002</v>
      </c>
      <c r="P8" s="59">
        <f>M!D5*1</f>
        <v>22.225000000000001</v>
      </c>
      <c r="Q8" s="59">
        <f>M!E5*1</f>
        <v>20</v>
      </c>
      <c r="R8" s="59">
        <f>M!F5*1</f>
        <v>13.4305</v>
      </c>
      <c r="S8" s="59">
        <f>M!G5*1</f>
        <v>50</v>
      </c>
      <c r="T8" s="59">
        <f>M!H5*1</f>
        <v>46.0488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43.272799999999997</v>
      </c>
      <c r="O9" s="59">
        <f>M!C6*1</f>
        <v>2.2232599999999998</v>
      </c>
      <c r="P9" s="59">
        <f>M!D6*1</f>
        <v>5.1377600000000001</v>
      </c>
      <c r="Q9" s="59">
        <f>M!E6*1</f>
        <v>20</v>
      </c>
      <c r="R9" s="59">
        <f>M!F6*1</f>
        <v>33.5077</v>
      </c>
      <c r="S9" s="59">
        <f>M!G6*1</f>
        <v>40</v>
      </c>
      <c r="T9" s="59">
        <f>M!H6*1</f>
        <v>46.851700000000001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13.4305</v>
      </c>
      <c r="D10" s="99">
        <f>N8</f>
        <v>33.112699999999997</v>
      </c>
      <c r="E10" s="100">
        <f>T8</f>
        <v>46.0488</v>
      </c>
      <c r="F10" s="91">
        <f>P8</f>
        <v>22.225000000000001</v>
      </c>
      <c r="G10" s="81" t="str">
        <f>CONCATENATE(M9,"
(20 ~ 40)")</f>
        <v>压力
(20 ~ 40)</v>
      </c>
      <c r="H10" s="98">
        <f>R9</f>
        <v>33.5077</v>
      </c>
      <c r="I10" s="108">
        <f>N9</f>
        <v>43.272799999999997</v>
      </c>
      <c r="J10" s="98">
        <f>T9</f>
        <v>46.851700000000001</v>
      </c>
      <c r="K10" s="92">
        <f>P9</f>
        <v>5.1377600000000001</v>
      </c>
      <c r="L10" s="6"/>
      <c r="M10" s="27" t="str">
        <f>lang!B16</f>
        <v>焦虑</v>
      </c>
      <c r="N10" s="59">
        <f>M!B7*1</f>
        <v>29.0288</v>
      </c>
      <c r="O10" s="59">
        <f>M!C7*1</f>
        <v>7.4013900000000001</v>
      </c>
      <c r="P10" s="59">
        <f>M!D7*1</f>
        <v>25.496700000000001</v>
      </c>
      <c r="Q10" s="59">
        <f>M!E7*1</f>
        <v>15</v>
      </c>
      <c r="R10" s="59">
        <f>M!F7*1</f>
        <v>10.907999999999999</v>
      </c>
      <c r="S10" s="59">
        <f>M!G7*1</f>
        <v>40</v>
      </c>
      <c r="T10" s="59">
        <f>M!H7*1</f>
        <v>42.980600000000003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10.907999999999999</v>
      </c>
      <c r="D11" s="102">
        <f>N10</f>
        <v>29.0288</v>
      </c>
      <c r="E11" s="103">
        <f>T10</f>
        <v>42.980600000000003</v>
      </c>
      <c r="F11" s="94">
        <f>P10</f>
        <v>25.496700000000001</v>
      </c>
      <c r="G11" s="52" t="str">
        <f>CONCATENATE(M11,"
(20 ~ 50)")</f>
        <v>可疑
(20 ~ 50)</v>
      </c>
      <c r="H11" s="101">
        <f>R11</f>
        <v>23.112500000000001</v>
      </c>
      <c r="I11" s="104">
        <f>N11</f>
        <v>33.896999999999998</v>
      </c>
      <c r="J11" s="101">
        <f>T11</f>
        <v>40.721800000000002</v>
      </c>
      <c r="K11" s="95">
        <f>P11</f>
        <v>11.2483</v>
      </c>
      <c r="L11" s="4"/>
      <c r="M11" s="27" t="str">
        <f>lang!B17</f>
        <v>可疑</v>
      </c>
      <c r="N11" s="59">
        <f>M!B8*1</f>
        <v>33.896999999999998</v>
      </c>
      <c r="O11" s="59">
        <f>M!C8*1</f>
        <v>3.8128199999999999</v>
      </c>
      <c r="P11" s="59">
        <f>M!D8*1</f>
        <v>11.2483</v>
      </c>
      <c r="Q11" s="59">
        <f>M!E8*1</f>
        <v>20</v>
      </c>
      <c r="R11" s="59">
        <f>M!F8*1</f>
        <v>23.112500000000001</v>
      </c>
      <c r="S11" s="59">
        <f>M!G8*1</f>
        <v>50</v>
      </c>
      <c r="T11" s="59">
        <f>M!H8*1</f>
        <v>40.721800000000002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60.647799999999997</v>
      </c>
      <c r="D12" s="104">
        <f>N12</f>
        <v>71.253699999999995</v>
      </c>
      <c r="E12" s="101">
        <f>T12</f>
        <v>84.483000000000004</v>
      </c>
      <c r="F12" s="93">
        <f>P12</f>
        <v>7.23637</v>
      </c>
      <c r="G12" s="52" t="str">
        <f>CONCATENATE(M13,"
(40 ~ 100)")</f>
        <v>自信
(40 ~ 100)</v>
      </c>
      <c r="H12" s="101">
        <f>R13</f>
        <v>35.540500000000002</v>
      </c>
      <c r="I12" s="104">
        <f>N13</f>
        <v>54.2684</v>
      </c>
      <c r="J12" s="101">
        <f>T13</f>
        <v>69.364800000000002</v>
      </c>
      <c r="K12" s="95">
        <f>P13</f>
        <v>17.6233</v>
      </c>
      <c r="L12" s="4"/>
      <c r="M12" s="27" t="str">
        <f>lang!B18</f>
        <v>平衡</v>
      </c>
      <c r="N12" s="59">
        <f>M!B9*1</f>
        <v>71.253699999999995</v>
      </c>
      <c r="O12" s="59">
        <f>M!C9*1</f>
        <v>5.1561899999999996</v>
      </c>
      <c r="P12" s="59">
        <f>M!D9*1</f>
        <v>7.23637</v>
      </c>
      <c r="Q12" s="59">
        <f>M!E9*1</f>
        <v>50</v>
      </c>
      <c r="R12" s="59">
        <f>M!F9*1</f>
        <v>60.647799999999997</v>
      </c>
      <c r="S12" s="59">
        <f>M!G9*1</f>
        <v>100</v>
      </c>
      <c r="T12" s="59">
        <f>M!H9*1</f>
        <v>84.483000000000004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6.6571600000000002</v>
      </c>
      <c r="D13" s="102">
        <f>N14</f>
        <v>15.547000000000001</v>
      </c>
      <c r="E13" s="103">
        <f>T14</f>
        <v>19.8353</v>
      </c>
      <c r="F13" s="94">
        <f>P14</f>
        <v>19.5884</v>
      </c>
      <c r="G13" s="52" t="str">
        <f>CONCATENATE(M15,"
(50 ~ 100)")</f>
        <v>自我调节
(50 ~ 100)</v>
      </c>
      <c r="H13" s="101">
        <f>R15</f>
        <v>51.923200000000001</v>
      </c>
      <c r="I13" s="104">
        <f>N15</f>
        <v>62.035299999999999</v>
      </c>
      <c r="J13" s="101">
        <f>T15</f>
        <v>75.877600000000001</v>
      </c>
      <c r="K13" s="95">
        <f>P15</f>
        <v>8.9276800000000005</v>
      </c>
      <c r="L13" s="4"/>
      <c r="M13" s="27" t="str">
        <f>lang!B19</f>
        <v>自信</v>
      </c>
      <c r="N13" s="59">
        <f>M!B10*1</f>
        <v>54.2684</v>
      </c>
      <c r="O13" s="59">
        <f>M!C10*1</f>
        <v>9.5639099999999999</v>
      </c>
      <c r="P13" s="59">
        <f>M!D10*1</f>
        <v>17.6233</v>
      </c>
      <c r="Q13" s="59">
        <f>M!E10*1</f>
        <v>40</v>
      </c>
      <c r="R13" s="59">
        <f>M!F10*1</f>
        <v>35.540500000000002</v>
      </c>
      <c r="S13" s="59">
        <f>M!G10*1</f>
        <v>100</v>
      </c>
      <c r="T13" s="59">
        <f>M!H10*1</f>
        <v>69.364800000000002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11.569100000000001</v>
      </c>
      <c r="D14" s="106">
        <f>N16</f>
        <v>14.896599999999999</v>
      </c>
      <c r="E14" s="107">
        <f>T16</f>
        <v>24.425000000000001</v>
      </c>
      <c r="F14" s="96">
        <f>P16</f>
        <v>16.934799999999999</v>
      </c>
      <c r="G14" s="112" t="str">
        <f>CONCATENATE(M17,"
(10 ~ 50)")</f>
        <v>神经质
(10 ~ 50)</v>
      </c>
      <c r="H14" s="105">
        <f>R17</f>
        <v>7.3976799999999995E-2</v>
      </c>
      <c r="I14" s="106">
        <f>N17</f>
        <v>25.2271</v>
      </c>
      <c r="J14" s="107">
        <f>T17</f>
        <v>29.2395</v>
      </c>
      <c r="K14" s="97">
        <f>P17</f>
        <v>34.421700000000001</v>
      </c>
      <c r="M14" s="27" t="str">
        <f>lang!B20</f>
        <v>活力</v>
      </c>
      <c r="N14" s="59">
        <f>M!B11*1</f>
        <v>15.547000000000001</v>
      </c>
      <c r="O14" s="59">
        <f>M!C11*1</f>
        <v>3.04541</v>
      </c>
      <c r="P14" s="59">
        <f>M!D11*1</f>
        <v>19.5884</v>
      </c>
      <c r="Q14" s="59">
        <f>M!E11*1</f>
        <v>10</v>
      </c>
      <c r="R14" s="59">
        <f>M!F11*1</f>
        <v>6.6571600000000002</v>
      </c>
      <c r="S14" s="59">
        <f>M!G11*1</f>
        <v>50</v>
      </c>
      <c r="T14" s="59">
        <f>M!H11*1</f>
        <v>19.8353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62.035299999999999</v>
      </c>
      <c r="O15" s="59">
        <f>M!C12*1</f>
        <v>5.5383100000000001</v>
      </c>
      <c r="P15" s="59">
        <f>M!D12*1</f>
        <v>8.9276800000000005</v>
      </c>
      <c r="Q15" s="59">
        <f>M!E12*1</f>
        <v>50</v>
      </c>
      <c r="R15" s="59">
        <f>M!F12*1</f>
        <v>51.923200000000001</v>
      </c>
      <c r="S15" s="59">
        <f>M!G12*1</f>
        <v>100</v>
      </c>
      <c r="T15" s="59">
        <f>M!H12*1</f>
        <v>75.877600000000001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14.896599999999999</v>
      </c>
      <c r="O16" s="59">
        <f>M!C13*1</f>
        <v>2.52271</v>
      </c>
      <c r="P16" s="59">
        <f>M!D13*1</f>
        <v>16.934799999999999</v>
      </c>
      <c r="Q16" s="59">
        <f>M!E13*1</f>
        <v>10</v>
      </c>
      <c r="R16" s="59">
        <f>M!F13*1</f>
        <v>11.569100000000001</v>
      </c>
      <c r="S16" s="59">
        <f>M!G13*1</f>
        <v>25</v>
      </c>
      <c r="T16" s="59">
        <f>M!H13*1</f>
        <v>24.425000000000001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25.2271</v>
      </c>
      <c r="O17" s="59">
        <f>M!C14*1</f>
        <v>8.6836000000000002</v>
      </c>
      <c r="P17" s="59">
        <f>M!D14*1</f>
        <v>34.421700000000001</v>
      </c>
      <c r="Q17" s="59">
        <f>M!E14*1</f>
        <v>10</v>
      </c>
      <c r="R17" s="59">
        <f>M!F14*1</f>
        <v>7.3976799999999995E-2</v>
      </c>
      <c r="S17" s="59">
        <f>M!G14*1</f>
        <v>50</v>
      </c>
      <c r="T17" s="59">
        <f>M!H14*1</f>
        <v>29.2395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50.7761</v>
      </c>
      <c r="O18" s="22">
        <f>N18/(N18+N19+N20)</f>
        <v>0.48053496981401972</v>
      </c>
      <c r="P18" s="65">
        <f>SUM(P12:P15)/4</f>
        <v>13.343937500000001</v>
      </c>
      <c r="Q18" s="22">
        <f>P18/(P18+P19+P20)</f>
        <v>0.24240052669317969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34.827824999999997</v>
      </c>
      <c r="O19" s="22">
        <f>N19/(N18+N19+N20)</f>
        <v>0.32960364886359844</v>
      </c>
      <c r="P19" s="18">
        <f>SUM(P8:P11)/4</f>
        <v>16.02694</v>
      </c>
      <c r="Q19" s="22">
        <f>P19/(P18+P19+P20)</f>
        <v>0.29113885592464661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20.06185</v>
      </c>
      <c r="O20" s="22">
        <f>N20/(N18+N19+N20)</f>
        <v>0.18986138132238181</v>
      </c>
      <c r="P20" s="18">
        <f>(P16+P17)/2</f>
        <v>25.678249999999998</v>
      </c>
      <c r="Q20" s="22">
        <f>P20/(P18+P19+P20)</f>
        <v>0.46646061738217376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-0.21131681081081061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1.3167226513731831</v>
      </c>
      <c r="D25" s="44" t="str">
        <f>lang!B11</f>
        <v>频率方差</v>
      </c>
      <c r="E25" s="182">
        <f ca="1">FH!L3</f>
        <v>0.58319121463803814</v>
      </c>
      <c r="F25" s="183"/>
      <c r="G25" s="174" t="str">
        <f>lang!B12</f>
        <v>生理变化率</v>
      </c>
      <c r="H25" s="175"/>
      <c r="I25" s="62" t="str">
        <f ca="1">CONCATENATE(info!M7,"-",info!M8)</f>
        <v>34.7-59.5</v>
      </c>
      <c r="J25" s="42" t="str">
        <f>lang!B13</f>
        <v>千卡l/分钟</v>
      </c>
      <c r="K25" s="41" t="str">
        <f ca="1">CONCATENATE(info!M5,"-",info!M6)</f>
        <v>1.8-3.2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64.526300000000006</v>
      </c>
      <c r="F28" s="121"/>
      <c r="G28" s="135" t="str">
        <f>lang!B33</f>
        <v>稳定性</v>
      </c>
      <c r="H28" s="136"/>
      <c r="I28" s="137"/>
      <c r="J28" s="138">
        <f>M!B19*100</f>
        <v>68.49260000000001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43608.385821759257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9.9192</v>
      </c>
      <c r="O7" s="59">
        <f t="shared" ref="O7:T7" si="2">AG7-X7</f>
        <v>-0.60791000000000039</v>
      </c>
      <c r="P7" s="59">
        <f t="shared" si="2"/>
        <v>-5.8387999999999991</v>
      </c>
      <c r="Q7" s="59">
        <f t="shared" si="2"/>
        <v>0</v>
      </c>
      <c r="R7" s="59">
        <f t="shared" si="2"/>
        <v>15.3514</v>
      </c>
      <c r="S7" s="59">
        <f t="shared" si="2"/>
        <v>0</v>
      </c>
      <c r="T7" s="59">
        <f t="shared" si="2"/>
        <v>8.6146999999999991</v>
      </c>
      <c r="U7" s="14"/>
      <c r="V7" s="27" t="str">
        <f>M7</f>
        <v>攻击性</v>
      </c>
      <c r="W7" s="59">
        <f>'M1'!B5*1</f>
        <v>31.795300000000001</v>
      </c>
      <c r="X7" s="59">
        <f>'M1'!C5*1</f>
        <v>5.8585200000000004</v>
      </c>
      <c r="Y7" s="59">
        <f>'M1'!D5*1</f>
        <v>18.425799999999999</v>
      </c>
      <c r="Z7" s="59">
        <f>'M1'!E5*1</f>
        <v>20</v>
      </c>
      <c r="AA7" s="59">
        <f>'M1'!F5*1</f>
        <v>13.4305</v>
      </c>
      <c r="AB7" s="59">
        <f>'M1'!G5*1</f>
        <v>50</v>
      </c>
      <c r="AC7" s="59">
        <f>'M1'!H5*1</f>
        <v>37.434100000000001</v>
      </c>
      <c r="AE7" s="27" t="str">
        <f>V7</f>
        <v>攻击性</v>
      </c>
      <c r="AF7" s="59">
        <f>'M2'!B5*1</f>
        <v>41.714500000000001</v>
      </c>
      <c r="AG7" s="59">
        <f>'M2'!C5*1</f>
        <v>5.25061</v>
      </c>
      <c r="AH7" s="59">
        <f>'M2'!D5*1</f>
        <v>12.587</v>
      </c>
      <c r="AI7" s="59">
        <f>'M2'!E5*1</f>
        <v>20</v>
      </c>
      <c r="AJ7" s="59">
        <f>'M2'!F5*1</f>
        <v>28.7819</v>
      </c>
      <c r="AK7" s="59">
        <f>'M2'!G5*1</f>
        <v>50</v>
      </c>
      <c r="AL7" s="59">
        <f>'M2'!H5*1</f>
        <v>46.0488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0.1472000000000051</v>
      </c>
      <c r="O8" s="59">
        <f t="shared" ref="O8:O16" si="5">AG8-X8</f>
        <v>-1.52949</v>
      </c>
      <c r="P8" s="59">
        <f t="shared" ref="P8:P16" si="6">AH8-Y8</f>
        <v>-3.5492799999999995</v>
      </c>
      <c r="Q8" s="59">
        <f t="shared" ref="Q8:Q16" si="7">AI8-Z8</f>
        <v>0</v>
      </c>
      <c r="R8" s="59">
        <f t="shared" ref="R8:R16" si="8">AJ8-AA8</f>
        <v>6.8759000000000015</v>
      </c>
      <c r="S8" s="59">
        <f t="shared" ref="S8:S16" si="9">AK8-AB8</f>
        <v>0</v>
      </c>
      <c r="T8" s="59">
        <f t="shared" ref="T8:T16" si="10">AL8-AC8</f>
        <v>-1.2227000000000032</v>
      </c>
      <c r="U8" s="15"/>
      <c r="V8" s="27" t="str">
        <f t="shared" ref="V8:V16" si="11">M8</f>
        <v>压力</v>
      </c>
      <c r="W8" s="59">
        <f>'M1'!B6*1</f>
        <v>43.216099999999997</v>
      </c>
      <c r="X8" s="59">
        <f>'M1'!C6*1</f>
        <v>2.8167599999999999</v>
      </c>
      <c r="Y8" s="59">
        <f>'M1'!D6*1</f>
        <v>6.5178399999999996</v>
      </c>
      <c r="Z8" s="59">
        <f>'M1'!E6*1</f>
        <v>20</v>
      </c>
      <c r="AA8" s="59">
        <f>'M1'!F6*1</f>
        <v>33.5077</v>
      </c>
      <c r="AB8" s="59">
        <f>'M1'!G6*1</f>
        <v>40</v>
      </c>
      <c r="AC8" s="59">
        <f>'M1'!H6*1</f>
        <v>46.851700000000001</v>
      </c>
      <c r="AE8" s="27" t="str">
        <f t="shared" ref="AE8:AE16" si="12">V8</f>
        <v>压力</v>
      </c>
      <c r="AF8" s="59">
        <f>'M2'!B6*1</f>
        <v>43.363300000000002</v>
      </c>
      <c r="AG8" s="59">
        <f>'M2'!C6*1</f>
        <v>1.2872699999999999</v>
      </c>
      <c r="AH8" s="59">
        <f>'M2'!D6*1</f>
        <v>2.9685600000000001</v>
      </c>
      <c r="AI8" s="59">
        <f>'M2'!E6*1</f>
        <v>20</v>
      </c>
      <c r="AJ8" s="59">
        <f>'M2'!F6*1</f>
        <v>40.383600000000001</v>
      </c>
      <c r="AK8" s="59">
        <f>'M2'!G6*1</f>
        <v>40</v>
      </c>
      <c r="AL8" s="59">
        <f>'M2'!H6*1</f>
        <v>45.628999999999998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15.3514</v>
      </c>
      <c r="D9" s="78">
        <f>N7</f>
        <v>9.9192</v>
      </c>
      <c r="E9" s="79">
        <f>T7</f>
        <v>8.6146999999999991</v>
      </c>
      <c r="F9" s="79">
        <f>P7</f>
        <v>-5.8387999999999991</v>
      </c>
      <c r="G9" s="80" t="str">
        <f>CONCATENATE(M8,"
(20 ~ 40)")</f>
        <v>压力
(20 ~ 40)</v>
      </c>
      <c r="H9" s="77">
        <f>R8</f>
        <v>6.8759000000000015</v>
      </c>
      <c r="I9" s="81">
        <f>N8</f>
        <v>0.1472000000000051</v>
      </c>
      <c r="J9" s="77">
        <f>T8</f>
        <v>-1.2227000000000032</v>
      </c>
      <c r="K9" s="82">
        <f>P8</f>
        <v>-3.5492799999999995</v>
      </c>
      <c r="L9" s="6"/>
      <c r="M9" s="27" t="str">
        <f>lang!B16</f>
        <v>焦虑</v>
      </c>
      <c r="N9" s="59">
        <f t="shared" si="4"/>
        <v>8.0716999999999999</v>
      </c>
      <c r="O9" s="59">
        <f t="shared" si="5"/>
        <v>1.07409</v>
      </c>
      <c r="P9" s="59">
        <f t="shared" si="6"/>
        <v>-3.6604000000000028</v>
      </c>
      <c r="Q9" s="59">
        <f t="shared" si="7"/>
        <v>0</v>
      </c>
      <c r="R9" s="59">
        <f t="shared" si="8"/>
        <v>-0.3985000000000003</v>
      </c>
      <c r="S9" s="59">
        <f t="shared" si="9"/>
        <v>0</v>
      </c>
      <c r="T9" s="59">
        <f t="shared" si="10"/>
        <v>-1.5191000000000017</v>
      </c>
      <c r="U9" s="14"/>
      <c r="V9" s="27" t="str">
        <f t="shared" si="11"/>
        <v>焦虑</v>
      </c>
      <c r="W9" s="59">
        <f>'M1'!B7*1</f>
        <v>24.155999999999999</v>
      </c>
      <c r="X9" s="59">
        <f>'M1'!C7*1</f>
        <v>6.7447299999999997</v>
      </c>
      <c r="Y9" s="59">
        <f>'M1'!D7*1</f>
        <v>27.921600000000002</v>
      </c>
      <c r="Z9" s="59">
        <f>'M1'!E7*1</f>
        <v>15</v>
      </c>
      <c r="AA9" s="59">
        <f>'M1'!F7*1</f>
        <v>11.3065</v>
      </c>
      <c r="AB9" s="59">
        <f>'M1'!G7*1</f>
        <v>40</v>
      </c>
      <c r="AC9" s="59">
        <f>'M1'!H7*1</f>
        <v>42.980600000000003</v>
      </c>
      <c r="AE9" s="27" t="str">
        <f t="shared" si="12"/>
        <v>焦虑</v>
      </c>
      <c r="AF9" s="59">
        <f>'M2'!B7*1</f>
        <v>32.227699999999999</v>
      </c>
      <c r="AG9" s="59">
        <f>'M2'!C7*1</f>
        <v>7.8188199999999997</v>
      </c>
      <c r="AH9" s="59">
        <f>'M2'!D7*1</f>
        <v>24.261199999999999</v>
      </c>
      <c r="AI9" s="59">
        <f>'M2'!E7*1</f>
        <v>15</v>
      </c>
      <c r="AJ9" s="59">
        <f>'M2'!F7*1</f>
        <v>10.907999999999999</v>
      </c>
      <c r="AK9" s="59">
        <f>'M2'!G7*1</f>
        <v>40</v>
      </c>
      <c r="AL9" s="59">
        <f>'M2'!H7*1</f>
        <v>41.461500000000001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-0.3985000000000003</v>
      </c>
      <c r="D10" s="51">
        <f>N9</f>
        <v>8.0716999999999999</v>
      </c>
      <c r="E10" s="53">
        <f>T9</f>
        <v>-1.5191000000000017</v>
      </c>
      <c r="F10" s="53">
        <f>P9</f>
        <v>-3.6604000000000028</v>
      </c>
      <c r="G10" s="73" t="str">
        <f>CONCATENATE(M10,"
(20 ~ 50)")</f>
        <v>可疑
(20 ~ 50)</v>
      </c>
      <c r="H10" s="24">
        <f>R10</f>
        <v>8.8783999999999992</v>
      </c>
      <c r="I10" s="52">
        <f>N10</f>
        <v>4.68</v>
      </c>
      <c r="J10" s="24">
        <f>T10</f>
        <v>2.3729000000000013</v>
      </c>
      <c r="K10" s="25">
        <f>P10</f>
        <v>-2.86564</v>
      </c>
      <c r="L10" s="4"/>
      <c r="M10" s="27" t="str">
        <f>lang!B17</f>
        <v>可疑</v>
      </c>
      <c r="N10" s="59">
        <f t="shared" si="4"/>
        <v>4.68</v>
      </c>
      <c r="O10" s="59">
        <f t="shared" si="5"/>
        <v>-0.5964400000000003</v>
      </c>
      <c r="P10" s="59">
        <f t="shared" si="6"/>
        <v>-2.86564</v>
      </c>
      <c r="Q10" s="59">
        <f t="shared" si="7"/>
        <v>0</v>
      </c>
      <c r="R10" s="59">
        <f t="shared" si="8"/>
        <v>8.8783999999999992</v>
      </c>
      <c r="S10" s="59">
        <f t="shared" si="9"/>
        <v>0</v>
      </c>
      <c r="T10" s="59">
        <f t="shared" si="10"/>
        <v>2.3729000000000013</v>
      </c>
      <c r="U10" s="14"/>
      <c r="V10" s="27" t="str">
        <f t="shared" si="11"/>
        <v>可疑</v>
      </c>
      <c r="W10" s="59">
        <f>'M1'!B8*1</f>
        <v>32.912700000000001</v>
      </c>
      <c r="X10" s="59">
        <f>'M1'!C8*1</f>
        <v>3.3815900000000001</v>
      </c>
      <c r="Y10" s="59">
        <f>'M1'!D8*1</f>
        <v>10.2744</v>
      </c>
      <c r="Z10" s="59">
        <f>'M1'!E8*1</f>
        <v>20</v>
      </c>
      <c r="AA10" s="59">
        <f>'M1'!F8*1</f>
        <v>23.112500000000001</v>
      </c>
      <c r="AB10" s="59">
        <f>'M1'!G8*1</f>
        <v>50</v>
      </c>
      <c r="AC10" s="59">
        <f>'M1'!H8*1</f>
        <v>38.3489</v>
      </c>
      <c r="AE10" s="27" t="str">
        <f t="shared" si="12"/>
        <v>可疑</v>
      </c>
      <c r="AF10" s="59">
        <f>'M2'!B8*1</f>
        <v>37.592700000000001</v>
      </c>
      <c r="AG10" s="59">
        <f>'M2'!C8*1</f>
        <v>2.7851499999999998</v>
      </c>
      <c r="AH10" s="59">
        <f>'M2'!D8*1</f>
        <v>7.40876</v>
      </c>
      <c r="AI10" s="59">
        <f>'M2'!E8*1</f>
        <v>20</v>
      </c>
      <c r="AJ10" s="59">
        <f>'M2'!F8*1</f>
        <v>31.9909</v>
      </c>
      <c r="AK10" s="59">
        <f>'M2'!G8*1</f>
        <v>50</v>
      </c>
      <c r="AL10" s="59">
        <f>'M2'!H8*1</f>
        <v>40.721800000000002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2.2913000000000068</v>
      </c>
      <c r="D11" s="52">
        <f>N11</f>
        <v>-3.219300000000004</v>
      </c>
      <c r="E11" s="24">
        <f>T11</f>
        <v>-5.8918000000000035</v>
      </c>
      <c r="F11" s="24">
        <f>P11</f>
        <v>-4.5220700000000003</v>
      </c>
      <c r="G11" s="73" t="str">
        <f>CONCATENATE(M12,"
(40 ~ 100)")</f>
        <v>自信
(40 ~ 100)</v>
      </c>
      <c r="H11" s="24">
        <f>R12</f>
        <v>-4.1993999999999971</v>
      </c>
      <c r="I11" s="52">
        <f>N12</f>
        <v>-16.225200000000001</v>
      </c>
      <c r="J11" s="24">
        <f>T12</f>
        <v>-13.748600000000003</v>
      </c>
      <c r="K11" s="25">
        <f>P12</f>
        <v>1.0669000000000004</v>
      </c>
      <c r="L11" s="4"/>
      <c r="M11" s="27" t="str">
        <f>lang!B18</f>
        <v>平衡</v>
      </c>
      <c r="N11" s="59">
        <f t="shared" si="4"/>
        <v>-3.219300000000004</v>
      </c>
      <c r="O11" s="59">
        <f t="shared" si="5"/>
        <v>-3.4714099999999997</v>
      </c>
      <c r="P11" s="59">
        <f t="shared" si="6"/>
        <v>-4.5220700000000003</v>
      </c>
      <c r="Q11" s="59">
        <f t="shared" si="7"/>
        <v>0</v>
      </c>
      <c r="R11" s="59">
        <f t="shared" si="8"/>
        <v>2.2913000000000068</v>
      </c>
      <c r="S11" s="59">
        <f t="shared" si="9"/>
        <v>0</v>
      </c>
      <c r="T11" s="59">
        <f t="shared" si="10"/>
        <v>-5.8918000000000035</v>
      </c>
      <c r="U11" s="14"/>
      <c r="V11" s="27" t="str">
        <f t="shared" si="11"/>
        <v>平衡</v>
      </c>
      <c r="W11" s="59">
        <f>'M1'!B9*1</f>
        <v>73.712800000000001</v>
      </c>
      <c r="X11" s="59">
        <f>'M1'!C9*1</f>
        <v>6.4945899999999996</v>
      </c>
      <c r="Y11" s="59">
        <f>'M1'!D9*1</f>
        <v>8.81067</v>
      </c>
      <c r="Z11" s="59">
        <f>'M1'!E9*1</f>
        <v>50</v>
      </c>
      <c r="AA11" s="59">
        <f>'M1'!F9*1</f>
        <v>60.647799999999997</v>
      </c>
      <c r="AB11" s="59">
        <f>'M1'!G9*1</f>
        <v>100</v>
      </c>
      <c r="AC11" s="59">
        <f>'M1'!H9*1</f>
        <v>84.483000000000004</v>
      </c>
      <c r="AE11" s="27" t="str">
        <f t="shared" si="12"/>
        <v>平衡</v>
      </c>
      <c r="AF11" s="59">
        <f>'M2'!B9*1</f>
        <v>70.493499999999997</v>
      </c>
      <c r="AG11" s="59">
        <f>'M2'!C9*1</f>
        <v>3.02318</v>
      </c>
      <c r="AH11" s="59">
        <f>'M2'!D9*1</f>
        <v>4.2885999999999997</v>
      </c>
      <c r="AI11" s="59">
        <f>'M2'!E9*1</f>
        <v>50</v>
      </c>
      <c r="AJ11" s="59">
        <f>'M2'!F9*1</f>
        <v>62.939100000000003</v>
      </c>
      <c r="AK11" s="59">
        <f>'M2'!G9*1</f>
        <v>100</v>
      </c>
      <c r="AL11" s="59">
        <f>'M2'!H9*1</f>
        <v>78.591200000000001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6.2132399999999999</v>
      </c>
      <c r="D12" s="51">
        <f>N13</f>
        <v>2.9199999999999982</v>
      </c>
      <c r="E12" s="53">
        <f>T13</f>
        <v>1.8024999999999984</v>
      </c>
      <c r="F12" s="53">
        <f>P13</f>
        <v>-6.8549000000000007</v>
      </c>
      <c r="G12" s="73" t="str">
        <f>CONCATENATE(M14,"
(50 ~ 100)")</f>
        <v>自我调节
(50 ~ 100)</v>
      </c>
      <c r="H12" s="24">
        <f>R14</f>
        <v>-4.7817000000000007</v>
      </c>
      <c r="I12" s="52">
        <f>N14</f>
        <v>-7.1670000000000016</v>
      </c>
      <c r="J12" s="24">
        <f>T14</f>
        <v>-12.321300000000001</v>
      </c>
      <c r="K12" s="25">
        <f>P14</f>
        <v>-2.5302699999999998</v>
      </c>
      <c r="L12" s="4"/>
      <c r="M12" s="27" t="str">
        <f>lang!B19</f>
        <v>自信</v>
      </c>
      <c r="N12" s="59">
        <f t="shared" si="4"/>
        <v>-16.225200000000001</v>
      </c>
      <c r="O12" s="59">
        <f t="shared" si="5"/>
        <v>-1.2924100000000003</v>
      </c>
      <c r="P12" s="59">
        <f t="shared" si="6"/>
        <v>1.0669000000000004</v>
      </c>
      <c r="Q12" s="59">
        <f t="shared" si="7"/>
        <v>0</v>
      </c>
      <c r="R12" s="59">
        <f t="shared" si="8"/>
        <v>-4.1993999999999971</v>
      </c>
      <c r="S12" s="59">
        <f t="shared" si="9"/>
        <v>0</v>
      </c>
      <c r="T12" s="59">
        <f t="shared" si="10"/>
        <v>-13.748600000000003</v>
      </c>
      <c r="U12" s="15"/>
      <c r="V12" s="27" t="str">
        <f t="shared" si="11"/>
        <v>自信</v>
      </c>
      <c r="W12" s="59">
        <f>'M1'!B10*1</f>
        <v>63.5824</v>
      </c>
      <c r="X12" s="59">
        <f>'M1'!C10*1</f>
        <v>7.04453</v>
      </c>
      <c r="Y12" s="59">
        <f>'M1'!D10*1</f>
        <v>11.0794</v>
      </c>
      <c r="Z12" s="59">
        <f>'M1'!E10*1</f>
        <v>40</v>
      </c>
      <c r="AA12" s="59">
        <f>'M1'!F10*1</f>
        <v>39.739899999999999</v>
      </c>
      <c r="AB12" s="59">
        <f>'M1'!G10*1</f>
        <v>100</v>
      </c>
      <c r="AC12" s="59">
        <f>'M1'!H10*1</f>
        <v>69.364800000000002</v>
      </c>
      <c r="AE12" s="27" t="str">
        <f t="shared" si="12"/>
        <v>自信</v>
      </c>
      <c r="AF12" s="59">
        <f>'M2'!B10*1</f>
        <v>47.357199999999999</v>
      </c>
      <c r="AG12" s="59">
        <f>'M2'!C10*1</f>
        <v>5.7521199999999997</v>
      </c>
      <c r="AH12" s="59">
        <f>'M2'!D10*1</f>
        <v>12.1463</v>
      </c>
      <c r="AI12" s="59">
        <f>'M2'!E10*1</f>
        <v>40</v>
      </c>
      <c r="AJ12" s="59">
        <f>'M2'!F10*1</f>
        <v>35.540500000000002</v>
      </c>
      <c r="AK12" s="59">
        <f>'M2'!G10*1</f>
        <v>100</v>
      </c>
      <c r="AL12" s="59">
        <f>'M2'!H10*1</f>
        <v>55.616199999999999</v>
      </c>
    </row>
    <row r="13" spans="2:38" ht="25.5" customHeight="1" thickBot="1">
      <c r="B13" s="72" t="str">
        <f>CONCATENATE(M15,"
(10 ~ 25)")</f>
        <v>抑郁
(10 ~ 25)</v>
      </c>
      <c r="C13" s="54">
        <f>R15</f>
        <v>-0.28849999999999909</v>
      </c>
      <c r="D13" s="55">
        <f>N15</f>
        <v>-0.41500000000000092</v>
      </c>
      <c r="E13" s="56">
        <f>T15</f>
        <v>-0.31259999999999977</v>
      </c>
      <c r="F13" s="56">
        <f>P15</f>
        <v>0.12679999999999936</v>
      </c>
      <c r="G13" s="74" t="str">
        <f>CONCATENATE(M16,"
(10 ~ 50)")</f>
        <v>神经质
(10 ~ 50)</v>
      </c>
      <c r="H13" s="54">
        <f>R16</f>
        <v>2.8926232000000001</v>
      </c>
      <c r="I13" s="55">
        <f>N16</f>
        <v>-0.51340000000000074</v>
      </c>
      <c r="J13" s="56">
        <f>T16</f>
        <v>-3.4602000000000004</v>
      </c>
      <c r="K13" s="57">
        <f>P16</f>
        <v>-1.9875999999999934</v>
      </c>
      <c r="M13" s="27" t="str">
        <f>lang!B20</f>
        <v>活力</v>
      </c>
      <c r="N13" s="59">
        <f t="shared" si="4"/>
        <v>2.9199999999999982</v>
      </c>
      <c r="O13" s="59">
        <f t="shared" si="5"/>
        <v>-0.66870999999999992</v>
      </c>
      <c r="P13" s="59">
        <f t="shared" si="6"/>
        <v>-6.8549000000000007</v>
      </c>
      <c r="Q13" s="59">
        <f t="shared" si="7"/>
        <v>0</v>
      </c>
      <c r="R13" s="59">
        <f t="shared" si="8"/>
        <v>6.2132399999999999</v>
      </c>
      <c r="S13" s="59">
        <f t="shared" si="9"/>
        <v>0</v>
      </c>
      <c r="T13" s="59">
        <f t="shared" si="10"/>
        <v>1.8024999999999984</v>
      </c>
      <c r="U13" s="14"/>
      <c r="V13" s="27" t="str">
        <f t="shared" si="11"/>
        <v>活力</v>
      </c>
      <c r="W13" s="59">
        <f>'M1'!B11*1</f>
        <v>15.133900000000001</v>
      </c>
      <c r="X13" s="59">
        <f>'M1'!C11*1</f>
        <v>2.9483299999999999</v>
      </c>
      <c r="Y13" s="59">
        <f>'M1'!D11*1</f>
        <v>19.4816</v>
      </c>
      <c r="Z13" s="59">
        <f>'M1'!E11*1</f>
        <v>10</v>
      </c>
      <c r="AA13" s="59">
        <f>'M1'!F11*1</f>
        <v>6.6571600000000002</v>
      </c>
      <c r="AB13" s="59">
        <f>'M1'!G11*1</f>
        <v>50</v>
      </c>
      <c r="AC13" s="59">
        <f>'M1'!H11*1</f>
        <v>18.032800000000002</v>
      </c>
      <c r="AE13" s="27" t="str">
        <f t="shared" si="12"/>
        <v>活力</v>
      </c>
      <c r="AF13" s="59">
        <f>'M2'!B11*1</f>
        <v>18.053899999999999</v>
      </c>
      <c r="AG13" s="59">
        <f>'M2'!C11*1</f>
        <v>2.27962</v>
      </c>
      <c r="AH13" s="59">
        <f>'M2'!D11*1</f>
        <v>12.6267</v>
      </c>
      <c r="AI13" s="59">
        <f>'M2'!E11*1</f>
        <v>10</v>
      </c>
      <c r="AJ13" s="59">
        <f>'M2'!F11*1</f>
        <v>12.8704</v>
      </c>
      <c r="AK13" s="59">
        <f>'M2'!G11*1</f>
        <v>50</v>
      </c>
      <c r="AL13" s="59">
        <f>'M2'!H11*1</f>
        <v>19.8353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-7.1670000000000016</v>
      </c>
      <c r="O14" s="59">
        <f t="shared" si="5"/>
        <v>-2.0127300000000004</v>
      </c>
      <c r="P14" s="59">
        <f t="shared" si="6"/>
        <v>-2.5302699999999998</v>
      </c>
      <c r="Q14" s="59">
        <f t="shared" si="7"/>
        <v>0</v>
      </c>
      <c r="R14" s="59">
        <f t="shared" si="8"/>
        <v>-4.7817000000000007</v>
      </c>
      <c r="S14" s="59">
        <f t="shared" si="9"/>
        <v>0</v>
      </c>
      <c r="T14" s="59">
        <f t="shared" si="10"/>
        <v>-12.321300000000001</v>
      </c>
      <c r="U14" s="14"/>
      <c r="V14" s="27" t="str">
        <f t="shared" si="11"/>
        <v>自我调节</v>
      </c>
      <c r="W14" s="59">
        <f>'M1'!B12*1</f>
        <v>66.899500000000003</v>
      </c>
      <c r="X14" s="59">
        <f>'M1'!C12*1</f>
        <v>4.6797000000000004</v>
      </c>
      <c r="Y14" s="59">
        <f>'M1'!D12*1</f>
        <v>6.99512</v>
      </c>
      <c r="Z14" s="59">
        <f>'M1'!E12*1</f>
        <v>50</v>
      </c>
      <c r="AA14" s="59">
        <f>'M1'!F12*1</f>
        <v>56.704900000000002</v>
      </c>
      <c r="AB14" s="59">
        <f>'M1'!G12*1</f>
        <v>100</v>
      </c>
      <c r="AC14" s="59">
        <f>'M1'!H12*1</f>
        <v>75.877600000000001</v>
      </c>
      <c r="AE14" s="27" t="str">
        <f t="shared" si="12"/>
        <v>自我调节</v>
      </c>
      <c r="AF14" s="59">
        <f>'M2'!B12*1</f>
        <v>59.732500000000002</v>
      </c>
      <c r="AG14" s="59">
        <f>'M2'!C12*1</f>
        <v>2.6669700000000001</v>
      </c>
      <c r="AH14" s="59">
        <f>'M2'!D12*1</f>
        <v>4.4648500000000002</v>
      </c>
      <c r="AI14" s="59">
        <f>'M2'!E12*1</f>
        <v>50</v>
      </c>
      <c r="AJ14" s="59">
        <f>'M2'!F12*1</f>
        <v>51.923200000000001</v>
      </c>
      <c r="AK14" s="59">
        <f>'M2'!G12*1</f>
        <v>100</v>
      </c>
      <c r="AL14" s="59">
        <f>'M2'!H12*1</f>
        <v>63.5563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-0.41500000000000092</v>
      </c>
      <c r="O15" s="59">
        <f t="shared" si="5"/>
        <v>-5.1340000000000163E-2</v>
      </c>
      <c r="P15" s="59">
        <f t="shared" si="6"/>
        <v>0.12679999999999936</v>
      </c>
      <c r="Q15" s="59">
        <f t="shared" si="7"/>
        <v>0</v>
      </c>
      <c r="R15" s="59">
        <f t="shared" si="8"/>
        <v>-0.28849999999999909</v>
      </c>
      <c r="S15" s="59">
        <f t="shared" si="9"/>
        <v>0</v>
      </c>
      <c r="T15" s="59">
        <f t="shared" si="10"/>
        <v>-0.31259999999999977</v>
      </c>
      <c r="U15" s="14"/>
      <c r="V15" s="27" t="str">
        <f t="shared" si="11"/>
        <v>抑郁</v>
      </c>
      <c r="W15" s="59">
        <f>'M1'!B13*1</f>
        <v>15.0608</v>
      </c>
      <c r="X15" s="59">
        <f>'M1'!C13*1</f>
        <v>2.5371800000000002</v>
      </c>
      <c r="Y15" s="59">
        <f>'M1'!D13*1</f>
        <v>16.8462</v>
      </c>
      <c r="Z15" s="59">
        <f>'M1'!E13*1</f>
        <v>10</v>
      </c>
      <c r="AA15" s="59">
        <f>'M1'!F13*1</f>
        <v>11.8576</v>
      </c>
      <c r="AB15" s="59">
        <f>'M1'!G13*1</f>
        <v>25</v>
      </c>
      <c r="AC15" s="59">
        <f>'M1'!H13*1</f>
        <v>24.425000000000001</v>
      </c>
      <c r="AE15" s="27" t="str">
        <f t="shared" si="12"/>
        <v>抑郁</v>
      </c>
      <c r="AF15" s="59">
        <f>'M2'!B13*1</f>
        <v>14.645799999999999</v>
      </c>
      <c r="AG15" s="59">
        <f>'M2'!C13*1</f>
        <v>2.48584</v>
      </c>
      <c r="AH15" s="59">
        <f>'M2'!D13*1</f>
        <v>16.972999999999999</v>
      </c>
      <c r="AI15" s="59">
        <f>'M2'!E13*1</f>
        <v>10</v>
      </c>
      <c r="AJ15" s="59">
        <f>'M2'!F13*1</f>
        <v>11.569100000000001</v>
      </c>
      <c r="AK15" s="59">
        <f>'M2'!G13*1</f>
        <v>25</v>
      </c>
      <c r="AL15" s="59">
        <f>'M2'!H13*1</f>
        <v>24.112400000000001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-0.51340000000000074</v>
      </c>
      <c r="O16" s="59">
        <f t="shared" si="5"/>
        <v>-0.67656000000000027</v>
      </c>
      <c r="P16" s="59">
        <f t="shared" si="6"/>
        <v>-1.9875999999999934</v>
      </c>
      <c r="Q16" s="59">
        <f t="shared" si="7"/>
        <v>0</v>
      </c>
      <c r="R16" s="59">
        <f t="shared" si="8"/>
        <v>2.8926232000000001</v>
      </c>
      <c r="S16" s="59">
        <f t="shared" si="9"/>
        <v>0</v>
      </c>
      <c r="T16" s="59">
        <f t="shared" si="10"/>
        <v>-3.4602000000000004</v>
      </c>
      <c r="U16" s="15"/>
      <c r="V16" s="27" t="str">
        <f t="shared" si="11"/>
        <v>神经质</v>
      </c>
      <c r="W16" s="59">
        <f>'M1'!B14*1</f>
        <v>25.3718</v>
      </c>
      <c r="X16" s="59">
        <f>'M1'!C14*1</f>
        <v>9.0170100000000009</v>
      </c>
      <c r="Y16" s="59">
        <f>'M1'!D14*1</f>
        <v>35.539499999999997</v>
      </c>
      <c r="Z16" s="59">
        <f>'M1'!E14*1</f>
        <v>10</v>
      </c>
      <c r="AA16" s="59">
        <f>'M1'!F14*1</f>
        <v>7.3976799999999995E-2</v>
      </c>
      <c r="AB16" s="59">
        <f>'M1'!G14*1</f>
        <v>50</v>
      </c>
      <c r="AC16" s="59">
        <f>'M1'!H14*1</f>
        <v>29.2395</v>
      </c>
      <c r="AE16" s="27" t="str">
        <f t="shared" si="12"/>
        <v>神经质</v>
      </c>
      <c r="AF16" s="59">
        <f>'M2'!B14*1</f>
        <v>24.8584</v>
      </c>
      <c r="AG16" s="59">
        <f>'M2'!C14*1</f>
        <v>8.3404500000000006</v>
      </c>
      <c r="AH16" s="59">
        <f>'M2'!D14*1</f>
        <v>33.551900000000003</v>
      </c>
      <c r="AI16" s="59">
        <f>'M2'!E14*1</f>
        <v>10</v>
      </c>
      <c r="AJ16" s="59">
        <f>'M2'!F14*1</f>
        <v>2.9666000000000001</v>
      </c>
      <c r="AK16" s="59">
        <f>'M2'!G14*1</f>
        <v>50</v>
      </c>
      <c r="AL16" s="59">
        <f>'M2'!H14*1</f>
        <v>25.779299999999999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-5.9228750000000021</v>
      </c>
      <c r="O17" s="22">
        <f>N17/(N17+N18+N19)</f>
        <v>8.6775694088344988</v>
      </c>
      <c r="P17" s="65">
        <f>SUM(P11:P14)/4</f>
        <v>-3.2100849999999999</v>
      </c>
      <c r="Q17" s="22">
        <f>P17/(P17+P18+P19)</f>
        <v>0.39537862659448231</v>
      </c>
      <c r="R17" s="14"/>
      <c r="S17" s="14"/>
      <c r="T17" s="14"/>
      <c r="U17" s="14"/>
      <c r="V17" s="21" t="str">
        <f>M17</f>
        <v>Positive</v>
      </c>
      <c r="W17" s="65">
        <f>SUM(W11:W14)/4</f>
        <v>54.832149999999999</v>
      </c>
      <c r="X17" s="22">
        <f>W17/(W17+W18+W19)</f>
        <v>0.50738339742464211</v>
      </c>
      <c r="Y17" s="65">
        <f>SUM(Y11:Y14)/4</f>
        <v>11.5916975</v>
      </c>
      <c r="Z17" s="22">
        <f>Y17/(Y17+Y18+Y19)</f>
        <v>0.21638631490714649</v>
      </c>
      <c r="AA17" s="14"/>
      <c r="AB17" s="14"/>
      <c r="AC17" s="14"/>
      <c r="AE17" s="21" t="str">
        <f>V17</f>
        <v>Positive</v>
      </c>
      <c r="AF17" s="65">
        <f>SUM(AF11:AF14)/4</f>
        <v>48.909274999999994</v>
      </c>
      <c r="AG17" s="22">
        <f>AF17/(AF17+AF18+AF19)</f>
        <v>0.4554533101055841</v>
      </c>
      <c r="AH17" s="65">
        <f>SUM(AH11:AH14)/4</f>
        <v>8.3816124999999992</v>
      </c>
      <c r="AI17" s="22">
        <f>AH17/(AH17+AH18+AH19)</f>
        <v>0.18441212096009843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5.7045250000000012</v>
      </c>
      <c r="O18" s="22">
        <f>N18/(N17+N18+N19)</f>
        <v>-8.3576661050472296</v>
      </c>
      <c r="P18" s="18">
        <f>SUM(P7:P10)/4</f>
        <v>-3.9785300000000001</v>
      </c>
      <c r="Q18" s="22">
        <f>P18/(P17+P18+P19)</f>
        <v>0.49002619160082861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33.020024999999997</v>
      </c>
      <c r="X18" s="22">
        <f>W18/(W17+W18+W19)</f>
        <v>0.30554724678033995</v>
      </c>
      <c r="Y18" s="18">
        <f>SUM(Y7:Y10)/4</f>
        <v>15.78491</v>
      </c>
      <c r="Z18" s="22">
        <f>Y18/(Y17+Y18+Y19)</f>
        <v>0.29466249494873081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38.724550000000001</v>
      </c>
      <c r="AG18" s="22">
        <f>AF18/(AF17+AF18+AF19)</f>
        <v>0.36061103910964126</v>
      </c>
      <c r="AH18" s="18">
        <f>SUM(AH7:AH10)/4</f>
        <v>11.806380000000001</v>
      </c>
      <c r="AI18" s="22">
        <f>AH18/(AH17+AH18+AH19)</f>
        <v>0.25976380758009121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-0.46420000000000083</v>
      </c>
      <c r="O19" s="22">
        <f>N19/(N17+N18+N19)</f>
        <v>0.68009669621273117</v>
      </c>
      <c r="P19" s="18">
        <f>(P15+P16)/2</f>
        <v>-0.93039999999999701</v>
      </c>
      <c r="Q19" s="22">
        <f>P19/(P17+P18+P19)</f>
        <v>0.11459518180468903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20.2163</v>
      </c>
      <c r="X19" s="22">
        <f>W19/(W17+W18+W19)</f>
        <v>0.18706935579501793</v>
      </c>
      <c r="Y19" s="18">
        <f>(Y15+Y16)/2</f>
        <v>26.19285</v>
      </c>
      <c r="Z19" s="22">
        <f>Y19/(Y17+Y18+Y19)</f>
        <v>0.48895119014412269</v>
      </c>
      <c r="AA19" s="14"/>
      <c r="AB19" s="14"/>
      <c r="AC19" s="14"/>
      <c r="AE19" s="21" t="str">
        <f t="shared" si="14"/>
        <v>Physiological</v>
      </c>
      <c r="AF19" s="18">
        <f>(AF15+AF16)/2</f>
        <v>19.752099999999999</v>
      </c>
      <c r="AG19" s="22">
        <f>AF19/(AF17+AF18+AF19)</f>
        <v>0.18393565078477461</v>
      </c>
      <c r="AH19" s="18">
        <f>(AH15+AH16)/2</f>
        <v>25.262450000000001</v>
      </c>
      <c r="AI19" s="22">
        <f>AH19/(AH17+AH18+AH19)</f>
        <v>0.55582407145981028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1.15/1.44</v>
      </c>
      <c r="D24" s="44" t="str">
        <f>lang!B11</f>
        <v>频率方差</v>
      </c>
      <c r="E24" s="182" t="str">
        <f ca="1">CONCATENATE(ROUND('FH1'!L3,2),"/",ROUND('FH2'!L3,2))</f>
        <v>0.48/0.62</v>
      </c>
      <c r="F24" s="183"/>
      <c r="G24" s="174" t="str">
        <f>lang!B12</f>
        <v>生理变化率</v>
      </c>
      <c r="H24" s="175"/>
      <c r="I24" s="62" t="str">
        <f ca="1">CONCATENATE(info!M7,"-",info!M8)</f>
        <v>34.7-59.5</v>
      </c>
      <c r="J24" s="42" t="str">
        <f>lang!B13</f>
        <v>千卡l/分钟</v>
      </c>
      <c r="K24" s="41" t="str">
        <f ca="1">CONCATENATE(info!M5,"-",info!M6)</f>
        <v>1.8-3.2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17.760200000000005</v>
      </c>
      <c r="F27" s="121"/>
      <c r="G27" s="135" t="str">
        <f>lang!B33</f>
        <v>稳定性</v>
      </c>
      <c r="H27" s="136"/>
      <c r="I27" s="137"/>
      <c r="J27" s="138">
        <f>dM!B19*100</f>
        <v>6.2167000000000083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-0.74555066097460532</v>
      </c>
      <c r="C2">
        <f t="array" aca="1" ref="C2" ca="1">CORREL(FT_E02,FT_PH02)</f>
        <v>-0.91286523167327527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1.7713200000000002</v>
      </c>
      <c r="G2" s="61">
        <f>IF(FT!B2&lt;&gt;"",FT!B2*100,"")</f>
        <v>59.516599999999997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1.8244400000000001</v>
      </c>
      <c r="G3" s="61">
        <f>IF(FT!B3&lt;&gt;"",FT!B3*100,"")</f>
        <v>58.749099999999999</v>
      </c>
      <c r="H3" s="61">
        <f t="shared" ref="H3:H66" si="1">(IF(F3&lt;&gt;"",1,""))</f>
        <v>1</v>
      </c>
      <c r="I3" t="str">
        <f>IF(FT!B3&lt;&gt;"",FT!E3,"")</f>
        <v>1 [0.387572]</v>
      </c>
      <c r="J3">
        <f>IF(FT!B3&lt;&gt;"",FT!C3,"")</f>
        <v>0.38757200000000003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0.52156968918918911</v>
      </c>
      <c r="V3">
        <f ca="1">AVERAGE(OFFSET(FT!B2,info!$L$3/2,0,info!$L$3/2,1))</f>
        <v>0.37227710810810816</v>
      </c>
      <c r="W3">
        <f ca="1">AVERAGE(OFFSET(FT!A2,0,0,info!$L$3/2,1))</f>
        <v>0.24093236486486491</v>
      </c>
      <c r="X3">
        <f ca="1">AVERAGE(OFFSET(FT!A2,info!$L$3/2,0,info!$L$3/2,1))</f>
        <v>0.30295659459459456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1.8739700000000001</v>
      </c>
      <c r="G4" s="61">
        <f>IF(FT!B4&lt;&gt;"",FT!B4*100,"")</f>
        <v>58.034399999999998</v>
      </c>
      <c r="H4" s="61">
        <f t="shared" si="1"/>
        <v>1</v>
      </c>
      <c r="I4" t="str">
        <f>IF(FT!B4&lt;&gt;"",FT!E4,"")</f>
        <v>1 [0.793223]</v>
      </c>
      <c r="J4">
        <f>IF(FT!B4&lt;&gt;"",FT!C4,"")</f>
        <v>0.79322300000000001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14.936425</v>
      </c>
      <c r="V4">
        <f>U4*3</f>
        <v>44.809275</v>
      </c>
      <c r="W4">
        <f>U4</f>
        <v>14.936425</v>
      </c>
      <c r="X4">
        <f>V4</f>
        <v>44.809275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1.92276</v>
      </c>
      <c r="G5" s="61">
        <f>IF(FT!B5&lt;&gt;"",FT!B5*100,"")</f>
        <v>57.356999999999999</v>
      </c>
      <c r="H5" s="61">
        <f t="shared" si="1"/>
        <v>1</v>
      </c>
      <c r="I5" t="str">
        <f>IF(FT!B5&lt;&gt;"",FT!E5,"")</f>
        <v>1 [1.197251]</v>
      </c>
      <c r="J5">
        <f>IF(FT!B5&lt;&gt;"",FT!C5,"")</f>
        <v>1.1972499999999999</v>
      </c>
      <c r="K5" t="s">
        <v>53</v>
      </c>
      <c r="L5" s="63">
        <f ca="1">MIN(FT_E)</f>
        <v>1.7713200000000002</v>
      </c>
      <c r="M5" s="63">
        <f ca="1">ROUND(L5,1)</f>
        <v>1.8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52.156968918918913</v>
      </c>
      <c r="V5">
        <f ca="1">V3*100</f>
        <v>37.227710810810812</v>
      </c>
      <c r="W5">
        <f ca="1">W3*10</f>
        <v>2.4093236486486491</v>
      </c>
      <c r="X5">
        <f ca="1">X3*10</f>
        <v>3.0295659459459454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1.97018</v>
      </c>
      <c r="G6" s="61">
        <f>IF(FT!B6&lt;&gt;"",FT!B6*100,"")</f>
        <v>56.793400000000005</v>
      </c>
      <c r="H6" s="61">
        <f t="shared" si="1"/>
        <v>1</v>
      </c>
      <c r="I6" t="str">
        <f>IF(FT!B6&lt;&gt;"",FT!E6,"")</f>
        <v>1 [1.606180]</v>
      </c>
      <c r="J6">
        <f>IF(FT!B6&lt;&gt;"",FT!C6,"")</f>
        <v>1.6061799999999999</v>
      </c>
      <c r="K6" t="s">
        <v>54</v>
      </c>
      <c r="L6" s="63">
        <f ca="1">MAX(FT_E)</f>
        <v>3.1816699999999996</v>
      </c>
      <c r="M6" s="63">
        <f ca="1">ROUND(L6,1)</f>
        <v>3.2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2.0167099999999998</v>
      </c>
      <c r="G7" s="61">
        <f>IF(FT!B7&lt;&gt;"",FT!B7*100,"")</f>
        <v>56.264499999999998</v>
      </c>
      <c r="H7" s="61">
        <f t="shared" si="1"/>
        <v>1</v>
      </c>
      <c r="I7" t="str">
        <f>IF(FT!B7&lt;&gt;"",FT!E7,"")</f>
        <v>1 [2.012053]</v>
      </c>
      <c r="J7">
        <f>IF(FT!B7&lt;&gt;"",FT!C7,"")</f>
        <v>2.0120499999999999</v>
      </c>
      <c r="K7" t="s">
        <v>55</v>
      </c>
      <c r="L7" s="63">
        <f ca="1">MIN(FT_PH)</f>
        <v>34.674700000000001</v>
      </c>
      <c r="M7" s="63">
        <f ca="1">ROUND(L7,1)</f>
        <v>34.700000000000003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17739</v>
      </c>
      <c r="D8" s="61">
        <f>FH!B8*1</f>
        <v>17739</v>
      </c>
      <c r="E8">
        <f t="shared" si="3"/>
        <v>6</v>
      </c>
      <c r="F8" s="61">
        <f>IF(FT!A8&lt;&gt;"",FT!A8*10,"")</f>
        <v>2.0634399999999999</v>
      </c>
      <c r="G8" s="61">
        <f>IF(FT!B8&lt;&gt;"",FT!B8*100,"")</f>
        <v>55.758399999999995</v>
      </c>
      <c r="H8" s="61">
        <f t="shared" si="1"/>
        <v>1</v>
      </c>
      <c r="I8" t="str">
        <f>IF(FT!B8&lt;&gt;"",FT!E8,"")</f>
        <v>1 [2.414898]</v>
      </c>
      <c r="J8">
        <f>IF(FT!B8&lt;&gt;"",FT!C8,"")</f>
        <v>2.4148999999999998</v>
      </c>
      <c r="K8" t="s">
        <v>56</v>
      </c>
      <c r="L8" s="63">
        <f ca="1">MAX(FT_PH)</f>
        <v>59.516599999999997</v>
      </c>
      <c r="M8" s="63">
        <f ca="1">ROUND(L8,1)</f>
        <v>59.5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2.11049</v>
      </c>
      <c r="G9" s="61">
        <f>IF(FT!B9&lt;&gt;"",FT!B9*100,"")</f>
        <v>55.269199999999998</v>
      </c>
      <c r="H9" s="61">
        <f t="shared" si="1"/>
        <v>1</v>
      </c>
      <c r="I9" t="str">
        <f>IF(FT!B9&lt;&gt;"",FT!E9,"")</f>
        <v>1 [2.824086]</v>
      </c>
      <c r="J9">
        <f>IF(FT!B9&lt;&gt;"",FT!C9,"")</f>
        <v>2.82409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26224</v>
      </c>
      <c r="D10" s="61">
        <f>FH!B10*1</f>
        <v>26224</v>
      </c>
      <c r="E10">
        <f t="shared" si="3"/>
        <v>8</v>
      </c>
      <c r="F10" s="61">
        <f>IF(FT!A10&lt;&gt;"",FT!A10*10,"")</f>
        <v>2.1558700000000002</v>
      </c>
      <c r="G10" s="61">
        <f>IF(FT!B10&lt;&gt;"",FT!B10*100,"")</f>
        <v>54.816800000000001</v>
      </c>
      <c r="H10" s="61">
        <f t="shared" si="1"/>
        <v>1</v>
      </c>
      <c r="I10" t="str">
        <f>IF(FT!B10&lt;&gt;"",FT!E10,"")</f>
        <v>1 [3.231839]</v>
      </c>
      <c r="J10">
        <f>IF(FT!B10&lt;&gt;"",FT!C10,"")</f>
        <v>3.23184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2.2002099999999998</v>
      </c>
      <c r="G11" s="61">
        <f>IF(FT!B11&lt;&gt;"",FT!B11*100,"")</f>
        <v>54.425900000000006</v>
      </c>
      <c r="H11" s="61">
        <f t="shared" si="1"/>
        <v>1</v>
      </c>
      <c r="I11" t="str">
        <f>IF(FT!B11&lt;&gt;"",FT!E11,"")</f>
        <v>1 [3.637680]</v>
      </c>
      <c r="J11">
        <f>IF(FT!B11&lt;&gt;"",FT!C11,"")</f>
        <v>3.63768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2.2468499999999998</v>
      </c>
      <c r="G12" s="61">
        <f>IF(FT!B12&lt;&gt;"",FT!B12*100,"")</f>
        <v>53.925400000000003</v>
      </c>
      <c r="H12" s="61">
        <f t="shared" si="1"/>
        <v>1</v>
      </c>
      <c r="I12" t="str">
        <f>IF(FT!B12&lt;&gt;"",FT!E12,"")</f>
        <v>1 [4.044620]</v>
      </c>
      <c r="J12">
        <f>IF(FT!B12&lt;&gt;"",FT!C12,"")</f>
        <v>4.0446200000000001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37074</v>
      </c>
      <c r="D13" s="61">
        <f>FH!B13*1</f>
        <v>37074</v>
      </c>
      <c r="E13">
        <f t="shared" si="3"/>
        <v>11</v>
      </c>
      <c r="F13" s="61">
        <f>IF(FT!A13&lt;&gt;"",FT!A13*10,"")</f>
        <v>2.2920099999999999</v>
      </c>
      <c r="G13" s="61">
        <f>IF(FT!B13&lt;&gt;"",FT!B13*100,"")</f>
        <v>53.455500000000001</v>
      </c>
      <c r="H13" s="61">
        <f t="shared" si="1"/>
        <v>1</v>
      </c>
      <c r="I13" t="str">
        <f>IF(FT!B13&lt;&gt;"",FT!E13,"")</f>
        <v>1 [4.446575]</v>
      </c>
      <c r="J13">
        <f>IF(FT!B13&lt;&gt;"",FT!C13,"")</f>
        <v>4.44658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2.3376099999999997</v>
      </c>
      <c r="G14" s="61">
        <f>IF(FT!B14&lt;&gt;"",FT!B14*100,"")</f>
        <v>52.955100000000002</v>
      </c>
      <c r="H14" s="61">
        <f t="shared" si="1"/>
        <v>1</v>
      </c>
      <c r="I14" t="str">
        <f>IF(FT!B14&lt;&gt;"",FT!E14,"")</f>
        <v>1 [4.852501]</v>
      </c>
      <c r="J14">
        <f>IF(FT!B14&lt;&gt;"",FT!C14,"")</f>
        <v>4.8525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52033</v>
      </c>
      <c r="D15" s="61">
        <f>FH!B15*1</f>
        <v>52033</v>
      </c>
      <c r="E15">
        <f t="shared" si="3"/>
        <v>13</v>
      </c>
      <c r="F15" s="61">
        <f>IF(FT!A15&lt;&gt;"",FT!A15*10,"")</f>
        <v>2.3796600000000003</v>
      </c>
      <c r="G15" s="61">
        <f>IF(FT!B15&lt;&gt;"",FT!B15*100,"")</f>
        <v>52.601799999999997</v>
      </c>
      <c r="H15" s="61">
        <f t="shared" si="1"/>
        <v>1</v>
      </c>
      <c r="I15" t="str">
        <f>IF(FT!B15&lt;&gt;"",FT!E15,"")</f>
        <v>1 [5.264326]</v>
      </c>
      <c r="J15">
        <f>IF(FT!B15&lt;&gt;"",FT!C15,"")</f>
        <v>5.2643300000000002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2.41736</v>
      </c>
      <c r="G16" s="61">
        <f>IF(FT!B16&lt;&gt;"",FT!B16*100,"")</f>
        <v>52.337100000000007</v>
      </c>
      <c r="H16" s="61">
        <f t="shared" si="1"/>
        <v>1</v>
      </c>
      <c r="I16" t="str">
        <f>IF(FT!B16&lt;&gt;"",FT!E16,"")</f>
        <v>1 [5.670291]</v>
      </c>
      <c r="J16">
        <f>IF(FT!B16&lt;&gt;"",FT!C16,"")</f>
        <v>5.6702899999999996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2.4490700000000003</v>
      </c>
      <c r="G17" s="61">
        <f>IF(FT!B17&lt;&gt;"",FT!B17*100,"")</f>
        <v>52.223500000000001</v>
      </c>
      <c r="H17" s="61">
        <f t="shared" si="1"/>
        <v>1</v>
      </c>
      <c r="I17" t="str">
        <f>IF(FT!B17&lt;&gt;"",FT!E17,"")</f>
        <v>1 [6.074174]</v>
      </c>
      <c r="J17">
        <f>IF(FT!B17&lt;&gt;"",FT!C17,"")</f>
        <v>6.0741699999999996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61726</v>
      </c>
      <c r="D18" s="61">
        <f>FH!B18*1</f>
        <v>61726</v>
      </c>
      <c r="E18">
        <f t="shared" si="3"/>
        <v>16</v>
      </c>
      <c r="F18" s="61">
        <f>IF(FT!A18&lt;&gt;"",FT!A18*10,"")</f>
        <v>2.4779100000000001</v>
      </c>
      <c r="G18" s="61">
        <f>IF(FT!B18&lt;&gt;"",FT!B18*100,"")</f>
        <v>52.1586</v>
      </c>
      <c r="H18" s="61">
        <f t="shared" si="1"/>
        <v>1</v>
      </c>
      <c r="I18" t="str">
        <f>IF(FT!B18&lt;&gt;"",FT!E18,"")</f>
        <v>1 [6.480091]</v>
      </c>
      <c r="J18">
        <f>IF(FT!B18&lt;&gt;"",FT!C18,"")</f>
        <v>6.4800899999999997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2.5042799999999996</v>
      </c>
      <c r="G19" s="61">
        <f>IF(FT!B19&lt;&gt;"",FT!B19*100,"")</f>
        <v>52.116500000000002</v>
      </c>
      <c r="H19" s="61">
        <f t="shared" si="1"/>
        <v>1</v>
      </c>
      <c r="I19" t="str">
        <f>IF(FT!B19&lt;&gt;"",FT!E19,"")</f>
        <v>1 [6.883077]</v>
      </c>
      <c r="J19">
        <f>IF(FT!B19&lt;&gt;"",FT!C19,"")</f>
        <v>6.8830799999999996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2.5296800000000004</v>
      </c>
      <c r="G20" s="61">
        <f>IF(FT!B20&lt;&gt;"",FT!B20*100,"")</f>
        <v>51.970300000000002</v>
      </c>
      <c r="H20" s="61">
        <f t="shared" si="1"/>
        <v>1</v>
      </c>
      <c r="I20" t="str">
        <f>IF(FT!B20&lt;&gt;"",FT!E20,"")</f>
        <v>1 [7.289913]</v>
      </c>
      <c r="J20">
        <f>IF(FT!B20&lt;&gt;"",FT!C20,"")</f>
        <v>7.2899099999999999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70121</v>
      </c>
      <c r="D21" s="61">
        <f>FH!B21*1</f>
        <v>70121</v>
      </c>
      <c r="E21">
        <f t="shared" si="3"/>
        <v>19</v>
      </c>
      <c r="F21" s="61">
        <f>IF(FT!A21&lt;&gt;"",FT!A21*10,"")</f>
        <v>2.5545499999999999</v>
      </c>
      <c r="G21" s="61">
        <f>IF(FT!B21&lt;&gt;"",FT!B21*100,"")</f>
        <v>51.843399999999995</v>
      </c>
      <c r="H21" s="61">
        <f t="shared" si="1"/>
        <v>1</v>
      </c>
      <c r="I21" t="str">
        <f>IF(FT!B21&lt;&gt;"",FT!E21,"")</f>
        <v>1 [7.701753]</v>
      </c>
      <c r="J21">
        <f>IF(FT!B21&lt;&gt;"",FT!C21,"")</f>
        <v>7.7017499999999997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2.5728099999999996</v>
      </c>
      <c r="G22" s="61">
        <f>IF(FT!B22&lt;&gt;"",FT!B22*100,"")</f>
        <v>51.740900000000003</v>
      </c>
      <c r="H22" s="61">
        <f t="shared" si="1"/>
        <v>1</v>
      </c>
      <c r="I22" t="str">
        <f>IF(FT!B22&lt;&gt;"",FT!E22,"")</f>
        <v>1 [8.107691]</v>
      </c>
      <c r="J22">
        <f>IF(FT!B22&lt;&gt;"",FT!C22,"")</f>
        <v>8.1076899999999998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71794</v>
      </c>
      <c r="D23" s="61">
        <f>FH!B23*1</f>
        <v>71794</v>
      </c>
      <c r="E23">
        <f t="shared" si="3"/>
        <v>21</v>
      </c>
      <c r="F23" s="61">
        <f>IF(FT!A23&lt;&gt;"",FT!A23*10,"")</f>
        <v>2.5886199999999997</v>
      </c>
      <c r="G23" s="61">
        <f>IF(FT!B23&lt;&gt;"",FT!B23*100,"")</f>
        <v>51.647600000000004</v>
      </c>
      <c r="H23" s="61">
        <f t="shared" si="1"/>
        <v>1</v>
      </c>
      <c r="I23" t="str">
        <f>IF(FT!B23&lt;&gt;"",FT!E23,"")</f>
        <v>1 [8.509649]</v>
      </c>
      <c r="J23">
        <f>IF(FT!B23&lt;&gt;"",FT!C23,"")</f>
        <v>8.5096500000000006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2.5984499999999997</v>
      </c>
      <c r="G24" s="61">
        <f>IF(FT!B24&lt;&gt;"",FT!B24*100,"")</f>
        <v>51.548000000000002</v>
      </c>
      <c r="H24" s="61">
        <f t="shared" si="1"/>
        <v>1</v>
      </c>
      <c r="I24" t="str">
        <f>IF(FT!B24&lt;&gt;"",FT!E24,"")</f>
        <v>1 [8.915904]</v>
      </c>
      <c r="J24">
        <f>IF(FT!B24&lt;&gt;"",FT!C24,"")</f>
        <v>8.9159000000000006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2.6012600000000003</v>
      </c>
      <c r="G25" s="61">
        <f>IF(FT!B25&lt;&gt;"",FT!B25*100,"")</f>
        <v>51.434000000000005</v>
      </c>
      <c r="H25" s="61">
        <f t="shared" si="1"/>
        <v>1</v>
      </c>
      <c r="I25" t="str">
        <f>IF(FT!B25&lt;&gt;"",FT!E25,"")</f>
        <v>1 [9.324482]</v>
      </c>
      <c r="J25">
        <f>IF(FT!B25&lt;&gt;"",FT!C25,"")</f>
        <v>9.3244799999999994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79439</v>
      </c>
      <c r="D26" s="61">
        <f>FH!B26*1</f>
        <v>79439</v>
      </c>
      <c r="E26">
        <f t="shared" si="3"/>
        <v>24</v>
      </c>
      <c r="F26" s="61">
        <f>IF(FT!A26&lt;&gt;"",FT!A26*10,"")</f>
        <v>2.6048399999999998</v>
      </c>
      <c r="G26" s="61">
        <f>IF(FT!B26&lt;&gt;"",FT!B26*100,"")</f>
        <v>51.321300000000001</v>
      </c>
      <c r="H26" s="61">
        <f t="shared" si="1"/>
        <v>1</v>
      </c>
      <c r="I26" t="str">
        <f>IF(FT!B26&lt;&gt;"",FT!E26,"")</f>
        <v>1 [9.730386]</v>
      </c>
      <c r="J26">
        <f>IF(FT!B26&lt;&gt;"",FT!C26,"")</f>
        <v>9.7303899999999999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2.6089099999999998</v>
      </c>
      <c r="G27" s="61">
        <f>IF(FT!B27&lt;&gt;"",FT!B27*100,"")</f>
        <v>51.207100000000004</v>
      </c>
      <c r="H27" s="61">
        <f t="shared" si="1"/>
        <v>1</v>
      </c>
      <c r="I27" t="str">
        <f>IF(FT!B27&lt;&gt;"",FT!E27,"")</f>
        <v>1 [10.139573]</v>
      </c>
      <c r="J27">
        <f>IF(FT!B27&lt;&gt;"",FT!C27,"")</f>
        <v>10.1396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86362</v>
      </c>
      <c r="D28" s="61">
        <f>FH!B28*1</f>
        <v>86362</v>
      </c>
      <c r="E28">
        <f t="shared" si="3"/>
        <v>26</v>
      </c>
      <c r="F28" s="61">
        <f>IF(FT!A28&lt;&gt;"",FT!A28*10,"")</f>
        <v>2.61164</v>
      </c>
      <c r="G28" s="61">
        <f>IF(FT!B28&lt;&gt;"",FT!B28*100,"")</f>
        <v>51.111200000000004</v>
      </c>
      <c r="H28" s="61">
        <f t="shared" si="1"/>
        <v>1</v>
      </c>
      <c r="I28" t="str">
        <f>IF(FT!B28&lt;&gt;"",FT!E28,"")</f>
        <v>1 [10.540285]</v>
      </c>
      <c r="J28">
        <f>IF(FT!B28&lt;&gt;"",FT!C28,"")</f>
        <v>10.5403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2.6144499999999997</v>
      </c>
      <c r="G29" s="61">
        <f>IF(FT!B29&lt;&gt;"",FT!B29*100,"")</f>
        <v>51.025699999999993</v>
      </c>
      <c r="H29" s="61">
        <f t="shared" si="1"/>
        <v>1</v>
      </c>
      <c r="I29" t="str">
        <f>IF(FT!B29&lt;&gt;"",FT!E29,"")</f>
        <v>1 [10.944156]</v>
      </c>
      <c r="J29">
        <f>IF(FT!B29&lt;&gt;"",FT!C29,"")</f>
        <v>10.9442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2.6155299999999997</v>
      </c>
      <c r="G30" s="61">
        <f>IF(FT!B30&lt;&gt;"",FT!B30*100,"")</f>
        <v>50.973400000000005</v>
      </c>
      <c r="H30" s="61">
        <f t="shared" si="1"/>
        <v>1</v>
      </c>
      <c r="I30" t="str">
        <f>IF(FT!B30&lt;&gt;"",FT!E30,"")</f>
        <v>1 [11.358060]</v>
      </c>
      <c r="J30">
        <f>IF(FT!B30&lt;&gt;"",FT!C30,"")</f>
        <v>11.3581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92621</v>
      </c>
      <c r="D31" s="61">
        <f>FH!B31*1</f>
        <v>92621</v>
      </c>
      <c r="E31">
        <f t="shared" si="3"/>
        <v>29</v>
      </c>
      <c r="F31" s="61">
        <f>IF(FT!A31&lt;&gt;"",FT!A31*10,"")</f>
        <v>2.61442</v>
      </c>
      <c r="G31" s="61">
        <f>IF(FT!B31&lt;&gt;"",FT!B31*100,"")</f>
        <v>50.947299999999998</v>
      </c>
      <c r="H31" s="61">
        <f t="shared" si="1"/>
        <v>1</v>
      </c>
      <c r="I31" t="str">
        <f>IF(FT!B31&lt;&gt;"",FT!E31,"")</f>
        <v>1 [11.764004]</v>
      </c>
      <c r="J31">
        <f>IF(FT!B31&lt;&gt;"",FT!C31,"")</f>
        <v>11.763999999999999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2.6118299999999999</v>
      </c>
      <c r="G32" s="61">
        <f>IF(FT!B32&lt;&gt;"",FT!B32*100,"")</f>
        <v>50.954799999999999</v>
      </c>
      <c r="H32" s="61">
        <f t="shared" si="1"/>
        <v>1</v>
      </c>
      <c r="I32" t="str">
        <f>IF(FT!B32&lt;&gt;"",FT!E32,"")</f>
        <v>1 [12.169870]</v>
      </c>
      <c r="J32">
        <f>IF(FT!B32&lt;&gt;"",FT!C32,"")</f>
        <v>12.1699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96992</v>
      </c>
      <c r="D33" s="61">
        <f>FH!B33*1</f>
        <v>96992</v>
      </c>
      <c r="E33">
        <f t="shared" si="3"/>
        <v>31</v>
      </c>
      <c r="F33" s="61">
        <f>IF(FT!A33&lt;&gt;"",FT!A33*10,"")</f>
        <v>2.6097900000000003</v>
      </c>
      <c r="G33" s="61">
        <f>IF(FT!B33&lt;&gt;"",FT!B33*100,"")</f>
        <v>50.989899999999999</v>
      </c>
      <c r="H33" s="61">
        <f t="shared" si="1"/>
        <v>1</v>
      </c>
      <c r="I33" t="str">
        <f>IF(FT!B33&lt;&gt;"",FT!E33,"")</f>
        <v>1 [12.573924]</v>
      </c>
      <c r="J33">
        <f>IF(FT!B33&lt;&gt;"",FT!C33,"")</f>
        <v>12.5739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2.6051700000000002</v>
      </c>
      <c r="G34" s="61">
        <f>IF(FT!B34&lt;&gt;"",FT!B34*100,"")</f>
        <v>51.0563</v>
      </c>
      <c r="H34" s="61">
        <f t="shared" si="1"/>
        <v>1</v>
      </c>
      <c r="I34" t="str">
        <f>IF(FT!B34&lt;&gt;"",FT!E34,"")</f>
        <v>1 [12.977672]</v>
      </c>
      <c r="J34">
        <f>IF(FT!B34&lt;&gt;"",FT!C34,"")</f>
        <v>12.9777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2.5992999999999999</v>
      </c>
      <c r="G35" s="61">
        <f>IF(FT!B35&lt;&gt;"",FT!B35*100,"")</f>
        <v>51.1267</v>
      </c>
      <c r="H35" s="61">
        <f t="shared" si="1"/>
        <v>1</v>
      </c>
      <c r="I35" t="str">
        <f>IF(FT!B35&lt;&gt;"",FT!E35,"")</f>
        <v>1 [13.381774]</v>
      </c>
      <c r="J35">
        <f>IF(FT!B35&lt;&gt;"",FT!C35,"")</f>
        <v>13.3818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98770</v>
      </c>
      <c r="D36" s="61">
        <f>FH!B36*1</f>
        <v>98770</v>
      </c>
      <c r="E36">
        <f t="shared" si="3"/>
        <v>34</v>
      </c>
      <c r="F36" s="61">
        <f>IF(FT!A36&lt;&gt;"",FT!A36*10,"")</f>
        <v>2.5918999999999999</v>
      </c>
      <c r="G36" s="61">
        <f>IF(FT!B36&lt;&gt;"",FT!B36*100,"")</f>
        <v>51.206600000000002</v>
      </c>
      <c r="H36" s="61">
        <f t="shared" si="1"/>
        <v>1</v>
      </c>
      <c r="I36" t="str">
        <f>IF(FT!B36&lt;&gt;"",FT!E36,"")</f>
        <v>1 [13.795685]</v>
      </c>
      <c r="J36">
        <f>IF(FT!B36&lt;&gt;"",FT!C36,"")</f>
        <v>13.7957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2.5819599999999996</v>
      </c>
      <c r="G37" s="61">
        <f>IF(FT!B37&lt;&gt;"",FT!B37*100,"")</f>
        <v>51.358800000000002</v>
      </c>
      <c r="H37" s="61">
        <f t="shared" si="1"/>
        <v>1</v>
      </c>
      <c r="I37" t="str">
        <f>IF(FT!B37&lt;&gt;"",FT!E37,"")</f>
        <v>1 [14.199441]</v>
      </c>
      <c r="J37">
        <f>IF(FT!B37&lt;&gt;"",FT!C37,"")</f>
        <v>14.199400000000001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2.5710199999999999</v>
      </c>
      <c r="G38" s="61">
        <f>IF(FT!B38&lt;&gt;"",FT!B38*100,"")</f>
        <v>51.543199999999999</v>
      </c>
      <c r="H38" s="61">
        <f t="shared" si="1"/>
        <v>1</v>
      </c>
      <c r="I38" t="str">
        <f>IF(FT!B38&lt;&gt;"",FT!E38,"")</f>
        <v>1 [14.605619]</v>
      </c>
      <c r="J38">
        <f>IF(FT!B38&lt;&gt;"",FT!C38,"")</f>
        <v>14.605600000000001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102084</v>
      </c>
      <c r="D39" s="61">
        <f>FH!B39*1</f>
        <v>102084</v>
      </c>
      <c r="E39">
        <f t="shared" si="3"/>
        <v>37</v>
      </c>
      <c r="F39" s="61">
        <f>IF(FT!A39&lt;&gt;"",FT!A39*10,"")</f>
        <v>2.5567299999999999</v>
      </c>
      <c r="G39" s="61">
        <f>IF(FT!B39&lt;&gt;"",FT!B39*100,"")</f>
        <v>51.755899999999997</v>
      </c>
      <c r="H39" s="61">
        <f t="shared" si="1"/>
        <v>1</v>
      </c>
      <c r="I39" t="str">
        <f>IF(FT!B39&lt;&gt;"",FT!E39,"")</f>
        <v>1 [15.013291]</v>
      </c>
      <c r="J39">
        <f>IF(FT!B39&lt;&gt;"",FT!C39,"")</f>
        <v>15.013299999999999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2.5441799999999999</v>
      </c>
      <c r="G40" s="61">
        <f>IF(FT!B40&lt;&gt;"",FT!B40*100,"")</f>
        <v>51.941099999999999</v>
      </c>
      <c r="H40" s="61">
        <f t="shared" si="1"/>
        <v>1</v>
      </c>
      <c r="I40" t="str">
        <f>IF(FT!B40&lt;&gt;"",FT!E40,"")</f>
        <v>1 [15.415163]</v>
      </c>
      <c r="J40">
        <f>IF(FT!B40&lt;&gt;"",FT!C40,"")</f>
        <v>15.4152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102679</v>
      </c>
      <c r="D41" s="61">
        <f>FH!B41*1</f>
        <v>102679</v>
      </c>
      <c r="E41">
        <f t="shared" si="3"/>
        <v>39</v>
      </c>
      <c r="F41" s="61">
        <f>IF(FT!A41&lt;&gt;"",FT!A41*10,"")</f>
        <v>2.53287</v>
      </c>
      <c r="G41" s="61">
        <f>IF(FT!B41&lt;&gt;"",FT!B41*100,"")</f>
        <v>52.112299999999998</v>
      </c>
      <c r="H41" s="61">
        <f t="shared" si="1"/>
        <v>1</v>
      </c>
      <c r="I41" t="str">
        <f>IF(FT!B41&lt;&gt;"",FT!E41,"")</f>
        <v>1 [15.822340]</v>
      </c>
      <c r="J41">
        <f>IF(FT!B41&lt;&gt;"",FT!C41,"")</f>
        <v>15.8223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2.5247700000000002</v>
      </c>
      <c r="G42" s="61">
        <f>IF(FT!B42&lt;&gt;"",FT!B42*100,"")</f>
        <v>52.190099999999994</v>
      </c>
      <c r="H42" s="61">
        <f t="shared" si="1"/>
        <v>1</v>
      </c>
      <c r="I42" t="str">
        <f>IF(FT!B42&lt;&gt;"",FT!E42,"")</f>
        <v>1 [16.225972]</v>
      </c>
      <c r="J42">
        <f>IF(FT!B42&lt;&gt;"",FT!C42,"")</f>
        <v>16.225999999999999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2.5184299999999999</v>
      </c>
      <c r="G43" s="61">
        <f>IF(FT!B43&lt;&gt;"",FT!B43*100,"")</f>
        <v>52.205999999999996</v>
      </c>
      <c r="H43" s="61">
        <f t="shared" si="1"/>
        <v>1</v>
      </c>
      <c r="I43" t="str">
        <f>IF(FT!B43&lt;&gt;"",FT!E43,"")</f>
        <v>1 [16.634046]</v>
      </c>
      <c r="J43">
        <f>IF(FT!B43&lt;&gt;"",FT!C43,"")</f>
        <v>16.634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110996</v>
      </c>
      <c r="D44" s="61">
        <f>FH!B44*1</f>
        <v>110996</v>
      </c>
      <c r="E44">
        <f t="shared" si="3"/>
        <v>42</v>
      </c>
      <c r="F44" s="61">
        <f>IF(FT!A44&lt;&gt;"",FT!A44*10,"")</f>
        <v>2.5095800000000001</v>
      </c>
      <c r="G44" s="61">
        <f>IF(FT!B44&lt;&gt;"",FT!B44*100,"")</f>
        <v>52.226599999999998</v>
      </c>
      <c r="H44" s="61">
        <f t="shared" si="1"/>
        <v>1</v>
      </c>
      <c r="I44" t="str">
        <f>IF(FT!B44&lt;&gt;"",FT!E44,"")</f>
        <v>1 [17.044019]</v>
      </c>
      <c r="J44">
        <f>IF(FT!B44&lt;&gt;"",FT!C44,"")</f>
        <v>17.044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2.4972599999999998</v>
      </c>
      <c r="G45" s="61">
        <f>IF(FT!B45&lt;&gt;"",FT!B45*100,"")</f>
        <v>52.324300000000001</v>
      </c>
      <c r="H45" s="61">
        <f t="shared" si="1"/>
        <v>1</v>
      </c>
      <c r="I45" t="str">
        <f>IF(FT!B45&lt;&gt;"",FT!E45,"")</f>
        <v>1 [17.448785]</v>
      </c>
      <c r="J45">
        <f>IF(FT!B45&lt;&gt;"",FT!C45,"")</f>
        <v>17.448799999999999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123557</v>
      </c>
      <c r="D46" s="61">
        <f>FH!B46*1</f>
        <v>123557</v>
      </c>
      <c r="E46">
        <f t="shared" si="3"/>
        <v>44</v>
      </c>
      <c r="F46" s="61">
        <f>IF(FT!A46&lt;&gt;"",FT!A46*10,"")</f>
        <v>2.4852699999999999</v>
      </c>
      <c r="G46" s="61">
        <f>IF(FT!B46&lt;&gt;"",FT!B46*100,"")</f>
        <v>52.4255</v>
      </c>
      <c r="H46" s="61">
        <f t="shared" si="1"/>
        <v>1</v>
      </c>
      <c r="I46" t="str">
        <f>IF(FT!B46&lt;&gt;"",FT!E46,"")</f>
        <v>1 [17.853813]</v>
      </c>
      <c r="J46">
        <f>IF(FT!B46&lt;&gt;"",FT!C46,"")</f>
        <v>17.8538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2.47621</v>
      </c>
      <c r="G47" s="61">
        <f>IF(FT!B47&lt;&gt;"",FT!B47*100,"")</f>
        <v>52.456599999999995</v>
      </c>
      <c r="H47" s="61">
        <f t="shared" si="1"/>
        <v>1</v>
      </c>
      <c r="I47" t="str">
        <f>IF(FT!B47&lt;&gt;"",FT!E47,"")</f>
        <v>1 [18.258636]</v>
      </c>
      <c r="J47">
        <f>IF(FT!B47&lt;&gt;"",FT!C47,"")</f>
        <v>18.258600000000001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2.4680200000000001</v>
      </c>
      <c r="G48" s="61">
        <f>IF(FT!B48&lt;&gt;"",FT!B48*100,"")</f>
        <v>52.517299999999999</v>
      </c>
      <c r="H48" s="61">
        <f t="shared" si="1"/>
        <v>1</v>
      </c>
      <c r="I48" t="str">
        <f>IF(FT!B48&lt;&gt;"",FT!E48,"")</f>
        <v>1 [18.669517]</v>
      </c>
      <c r="J48">
        <f>IF(FT!B48&lt;&gt;"",FT!C48,"")</f>
        <v>18.669499999999999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115395</v>
      </c>
      <c r="D49" s="61">
        <f>FH!B49*1</f>
        <v>115395</v>
      </c>
      <c r="E49">
        <f t="shared" si="3"/>
        <v>47</v>
      </c>
      <c r="F49" s="61">
        <f>IF(FT!A49&lt;&gt;"",FT!A49*10,"")</f>
        <v>2.4626600000000001</v>
      </c>
      <c r="G49" s="61">
        <f>IF(FT!B49&lt;&gt;"",FT!B49*100,"")</f>
        <v>52.539400000000001</v>
      </c>
      <c r="H49" s="61">
        <f t="shared" si="1"/>
        <v>1</v>
      </c>
      <c r="I49" t="str">
        <f>IF(FT!B49&lt;&gt;"",FT!E49,"")</f>
        <v>1 [19.074365]</v>
      </c>
      <c r="J49">
        <f>IF(FT!B49&lt;&gt;"",FT!C49,"")</f>
        <v>19.074400000000001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2.4599599999999997</v>
      </c>
      <c r="G50" s="61">
        <f>IF(FT!B50&lt;&gt;"",FT!B50*100,"")</f>
        <v>52.519400000000005</v>
      </c>
      <c r="H50" s="61">
        <f t="shared" si="1"/>
        <v>1</v>
      </c>
      <c r="I50" t="str">
        <f>IF(FT!B50&lt;&gt;"",FT!E50,"")</f>
        <v>1 [19.479299]</v>
      </c>
      <c r="J50">
        <f>IF(FT!B50&lt;&gt;"",FT!C50,"")</f>
        <v>19.479299999999999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132901</v>
      </c>
      <c r="D51" s="61">
        <f>FH!B51*1</f>
        <v>132901</v>
      </c>
      <c r="E51">
        <f t="shared" si="3"/>
        <v>49</v>
      </c>
      <c r="F51" s="61">
        <f>IF(FT!A51&lt;&gt;"",FT!A51*10,"")</f>
        <v>2.4543499999999998</v>
      </c>
      <c r="G51" s="61">
        <f>IF(FT!B51&lt;&gt;"",FT!B51*100,"")</f>
        <v>52.509399999999992</v>
      </c>
      <c r="H51" s="61">
        <f t="shared" si="1"/>
        <v>1</v>
      </c>
      <c r="I51" t="str">
        <f>IF(FT!B51&lt;&gt;"",FT!E51,"")</f>
        <v>1 [19.887289]</v>
      </c>
      <c r="J51">
        <f>IF(FT!B51&lt;&gt;"",FT!C51,"")</f>
        <v>19.8873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2.4494600000000002</v>
      </c>
      <c r="G52" s="61">
        <f>IF(FT!B52&lt;&gt;"",FT!B52*100,"")</f>
        <v>52.525100000000002</v>
      </c>
      <c r="H52" s="61">
        <f t="shared" si="1"/>
        <v>1</v>
      </c>
      <c r="I52" t="str">
        <f>IF(FT!B52&lt;&gt;"",FT!E52,"")</f>
        <v>1 [20.293374]</v>
      </c>
      <c r="J52">
        <f>IF(FT!B52&lt;&gt;"",FT!C52,"")</f>
        <v>20.293399999999998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2.4428299999999998</v>
      </c>
      <c r="G53" s="61">
        <f>IF(FT!B53&lt;&gt;"",FT!B53*100,"")</f>
        <v>52.476599999999998</v>
      </c>
      <c r="H53" s="61">
        <f t="shared" si="1"/>
        <v>1</v>
      </c>
      <c r="I53" t="str">
        <f>IF(FT!B53&lt;&gt;"",FT!E53,"")</f>
        <v>1 [20.696212]</v>
      </c>
      <c r="J53">
        <f>IF(FT!B53&lt;&gt;"",FT!C53,"")</f>
        <v>20.696200000000001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134818</v>
      </c>
      <c r="D54" s="61">
        <f>FH!B54*1</f>
        <v>134818</v>
      </c>
      <c r="E54">
        <f t="shared" si="3"/>
        <v>52</v>
      </c>
      <c r="F54" s="61">
        <f>IF(FT!A54&lt;&gt;"",FT!A54*10,"")</f>
        <v>2.4331399999999999</v>
      </c>
      <c r="G54" s="61">
        <f>IF(FT!B54&lt;&gt;"",FT!B54*100,"")</f>
        <v>52.413499999999999</v>
      </c>
      <c r="H54" s="61">
        <f t="shared" si="1"/>
        <v>1</v>
      </c>
      <c r="I54" t="str">
        <f>IF(FT!B54&lt;&gt;"",FT!E54,"")</f>
        <v>1 [21.109023]</v>
      </c>
      <c r="J54">
        <f>IF(FT!B54&lt;&gt;"",FT!C54,"")</f>
        <v>21.109000000000002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2.4275600000000002</v>
      </c>
      <c r="G55" s="61">
        <f>IF(FT!B55&lt;&gt;"",FT!B55*100,"")</f>
        <v>52.408600000000007</v>
      </c>
      <c r="H55" s="61">
        <f t="shared" si="1"/>
        <v>1</v>
      </c>
      <c r="I55" t="str">
        <f>IF(FT!B55&lt;&gt;"",FT!E55,"")</f>
        <v>1 [21.509925]</v>
      </c>
      <c r="J55">
        <f>IF(FT!B55&lt;&gt;"",FT!C55,"")</f>
        <v>21.509899999999998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2.4212800000000003</v>
      </c>
      <c r="G56" s="61">
        <f>IF(FT!B56&lt;&gt;"",FT!B56*100,"")</f>
        <v>52.353000000000009</v>
      </c>
      <c r="H56" s="61">
        <f t="shared" si="1"/>
        <v>1</v>
      </c>
      <c r="I56" t="str">
        <f>IF(FT!B56&lt;&gt;"",FT!E56,"")</f>
        <v>1 [21.915922]</v>
      </c>
      <c r="J56">
        <f>IF(FT!B56&lt;&gt;"",FT!C56,"")</f>
        <v>21.915900000000001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144193</v>
      </c>
      <c r="D57" s="61">
        <f>FH!B57*1</f>
        <v>144193</v>
      </c>
      <c r="E57">
        <f t="shared" si="3"/>
        <v>55</v>
      </c>
      <c r="F57" s="61">
        <f>IF(FT!A57&lt;&gt;"",FT!A57*10,"")</f>
        <v>2.4150800000000001</v>
      </c>
      <c r="G57" s="61">
        <f>IF(FT!B57&lt;&gt;"",FT!B57*100,"")</f>
        <v>52.242800000000003</v>
      </c>
      <c r="H57" s="61">
        <f t="shared" si="1"/>
        <v>1</v>
      </c>
      <c r="I57" t="str">
        <f>IF(FT!B57&lt;&gt;"",FT!E57,"")</f>
        <v>1 [22.324763]</v>
      </c>
      <c r="J57">
        <f>IF(FT!B57&lt;&gt;"",FT!C57,"")</f>
        <v>22.3248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2.4043000000000001</v>
      </c>
      <c r="G58" s="61">
        <f>IF(FT!B58&lt;&gt;"",FT!B58*100,"")</f>
        <v>52.050399999999996</v>
      </c>
      <c r="H58" s="61">
        <f t="shared" si="1"/>
        <v>1</v>
      </c>
      <c r="I58" t="str">
        <f>IF(FT!B58&lt;&gt;"",FT!E58,"")</f>
        <v>1 [22.731650]</v>
      </c>
      <c r="J58">
        <f>IF(FT!B58&lt;&gt;"",FT!C58,"")</f>
        <v>22.7317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151545</v>
      </c>
      <c r="D59" s="61">
        <f>FH!B59*1</f>
        <v>151545</v>
      </c>
      <c r="E59">
        <f t="shared" si="3"/>
        <v>57</v>
      </c>
      <c r="F59" s="61">
        <f>IF(FT!A59&lt;&gt;"",FT!A59*10,"")</f>
        <v>2.3984000000000001</v>
      </c>
      <c r="G59" s="61">
        <f>IF(FT!B59&lt;&gt;"",FT!B59*100,"")</f>
        <v>51.832000000000001</v>
      </c>
      <c r="H59" s="61">
        <f t="shared" si="1"/>
        <v>1</v>
      </c>
      <c r="I59" t="str">
        <f>IF(FT!B59&lt;&gt;"",FT!E59,"")</f>
        <v>1 [23.137536]</v>
      </c>
      <c r="J59">
        <f>IF(FT!B59&lt;&gt;"",FT!C59,"")</f>
        <v>23.137499999999999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2.3944000000000001</v>
      </c>
      <c r="G60" s="61">
        <f>IF(FT!B60&lt;&gt;"",FT!B60*100,"")</f>
        <v>51.584600000000002</v>
      </c>
      <c r="H60" s="61">
        <f t="shared" si="1"/>
        <v>1</v>
      </c>
      <c r="I60" t="str">
        <f>IF(FT!B60&lt;&gt;"",FT!E60,"")</f>
        <v>1 [23.546524]</v>
      </c>
      <c r="J60">
        <f>IF(FT!B60&lt;&gt;"",FT!C60,"")</f>
        <v>23.546500000000002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2.39181</v>
      </c>
      <c r="G61" s="61">
        <f>IF(FT!B61&lt;&gt;"",FT!B61*100,"")</f>
        <v>51.412800000000004</v>
      </c>
      <c r="H61" s="61">
        <f t="shared" si="1"/>
        <v>1</v>
      </c>
      <c r="I61" t="str">
        <f>IF(FT!B61&lt;&gt;"",FT!E61,"")</f>
        <v>1 [23.948352]</v>
      </c>
      <c r="J61">
        <f>IF(FT!B61&lt;&gt;"",FT!C61,"")</f>
        <v>23.948399999999999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169298</v>
      </c>
      <c r="D62" s="61">
        <f>FH!B62*1</f>
        <v>169298</v>
      </c>
      <c r="E62">
        <f t="shared" si="3"/>
        <v>60</v>
      </c>
      <c r="F62" s="61">
        <f>IF(FT!A62&lt;&gt;"",FT!A62*10,"")</f>
        <v>2.3860600000000001</v>
      </c>
      <c r="G62" s="61">
        <f>IF(FT!B62&lt;&gt;"",FT!B62*100,"")</f>
        <v>51.147799999999997</v>
      </c>
      <c r="H62" s="61">
        <f t="shared" si="1"/>
        <v>1</v>
      </c>
      <c r="I62" t="str">
        <f>IF(FT!B62&lt;&gt;"",FT!E62,"")</f>
        <v>1 [24.353291]</v>
      </c>
      <c r="J62">
        <f>IF(FT!B62&lt;&gt;"",FT!C62,"")</f>
        <v>24.353300000000001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2.38042</v>
      </c>
      <c r="G63" s="61">
        <f>IF(FT!B63&lt;&gt;"",FT!B63*100,"")</f>
        <v>50.937600000000003</v>
      </c>
      <c r="H63" s="61">
        <f t="shared" si="1"/>
        <v>1</v>
      </c>
      <c r="I63" t="str">
        <f>IF(FT!B63&lt;&gt;"",FT!E63,"")</f>
        <v>1 [24.762331]</v>
      </c>
      <c r="J63">
        <f>IF(FT!B63&lt;&gt;"",FT!C63,"")</f>
        <v>24.7623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164496</v>
      </c>
      <c r="D64" s="61">
        <f>FH!B64*1</f>
        <v>164496</v>
      </c>
      <c r="E64">
        <f t="shared" si="3"/>
        <v>62</v>
      </c>
      <c r="F64" s="61">
        <f>IF(FT!A64&lt;&gt;"",FT!A64*10,"")</f>
        <v>2.3761099999999997</v>
      </c>
      <c r="G64" s="61">
        <f>IF(FT!B64&lt;&gt;"",FT!B64*100,"")</f>
        <v>50.808500000000002</v>
      </c>
      <c r="H64" s="61">
        <f t="shared" si="1"/>
        <v>1</v>
      </c>
      <c r="I64" t="str">
        <f>IF(FT!B64&lt;&gt;"",FT!E64,"")</f>
        <v>1 [25.166070]</v>
      </c>
      <c r="J64">
        <f>IF(FT!B64&lt;&gt;"",FT!C64,"")</f>
        <v>25.1661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2.3694200000000003</v>
      </c>
      <c r="G65" s="61">
        <f>IF(FT!B65&lt;&gt;"",FT!B65*100,"")</f>
        <v>50.6721</v>
      </c>
      <c r="H65" s="61">
        <f t="shared" si="1"/>
        <v>1</v>
      </c>
      <c r="I65" t="str">
        <f>IF(FT!B65&lt;&gt;"",FT!E65,"")</f>
        <v>1 [25.575021]</v>
      </c>
      <c r="J65">
        <f>IF(FT!B65&lt;&gt;"",FT!C65,"")</f>
        <v>25.574999999999999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2.3624200000000002</v>
      </c>
      <c r="G66" s="61">
        <f>IF(FT!B66&lt;&gt;"",FT!B66*100,"")</f>
        <v>50.491500000000002</v>
      </c>
      <c r="H66" s="61">
        <f t="shared" si="1"/>
        <v>1</v>
      </c>
      <c r="I66" t="str">
        <f>IF(FT!B66&lt;&gt;"",FT!E66,"")</f>
        <v>1 [25.981025]</v>
      </c>
      <c r="J66">
        <f>IF(FT!B66&lt;&gt;"",FT!C66,"")</f>
        <v>25.981000000000002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166664</v>
      </c>
      <c r="D67" s="61">
        <f>FH!B67*1</f>
        <v>166664</v>
      </c>
      <c r="E67">
        <f t="shared" si="3"/>
        <v>65</v>
      </c>
      <c r="F67" s="61">
        <f>IF(FT!A67&lt;&gt;"",FT!A67*10,"")</f>
        <v>2.3586</v>
      </c>
      <c r="G67" s="61">
        <f>IF(FT!B67&lt;&gt;"",FT!B67*100,"")</f>
        <v>50.370000000000005</v>
      </c>
      <c r="H67" s="61">
        <f t="shared" ref="H67:H130" si="9">(IF(F67&lt;&gt;"",1,""))</f>
        <v>1</v>
      </c>
      <c r="I67" t="str">
        <f>IF(FT!B67&lt;&gt;"",FT!E67,"")</f>
        <v>1 [26.383973]</v>
      </c>
      <c r="J67">
        <f>IF(FT!B67&lt;&gt;"",FT!C67,"")</f>
        <v>26.384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2.3571300000000002</v>
      </c>
      <c r="G68" s="61">
        <f>IF(FT!B68&lt;&gt;"",FT!B68*100,"")</f>
        <v>50.170899999999996</v>
      </c>
      <c r="H68" s="61">
        <f t="shared" si="9"/>
        <v>1</v>
      </c>
      <c r="I68" t="str">
        <f>IF(FT!B68&lt;&gt;"",FT!E68,"")</f>
        <v>1 [26.790073]</v>
      </c>
      <c r="J68">
        <f>IF(FT!B68&lt;&gt;"",FT!C68,"")</f>
        <v>26.790099999999999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176662</v>
      </c>
      <c r="D69" s="61">
        <f>FH!B69*1</f>
        <v>176662</v>
      </c>
      <c r="E69">
        <f t="shared" si="11"/>
        <v>67</v>
      </c>
      <c r="F69" s="61">
        <f>IF(FT!A69&lt;&gt;"",FT!A69*10,"")</f>
        <v>2.3605400000000003</v>
      </c>
      <c r="G69" s="61">
        <f>IF(FT!B69&lt;&gt;"",FT!B69*100,"")</f>
        <v>49.9178</v>
      </c>
      <c r="H69" s="61">
        <f t="shared" si="9"/>
        <v>1</v>
      </c>
      <c r="I69" t="str">
        <f>IF(FT!B69&lt;&gt;"",FT!E69,"")</f>
        <v>1 [27.196659]</v>
      </c>
      <c r="J69">
        <f>IF(FT!B69&lt;&gt;"",FT!C69,"")</f>
        <v>27.1967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2.3662399999999999</v>
      </c>
      <c r="G70" s="61">
        <f>IF(FT!B70&lt;&gt;"",FT!B70*100,"")</f>
        <v>49.6081</v>
      </c>
      <c r="H70" s="61">
        <f t="shared" si="9"/>
        <v>1</v>
      </c>
      <c r="I70" t="str">
        <f>IF(FT!B70&lt;&gt;"",FT!E70,"")</f>
        <v>1 [27.605877]</v>
      </c>
      <c r="J70">
        <f>IF(FT!B70&lt;&gt;"",FT!C70,"")</f>
        <v>27.605899999999998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2.3723800000000002</v>
      </c>
      <c r="G71" s="61">
        <f>IF(FT!B71&lt;&gt;"",FT!B71*100,"")</f>
        <v>49.2791</v>
      </c>
      <c r="H71" s="61">
        <f t="shared" si="9"/>
        <v>1</v>
      </c>
      <c r="I71" t="str">
        <f>IF(FT!B71&lt;&gt;"",FT!E71,"")</f>
        <v>1 [28.009641]</v>
      </c>
      <c r="J71">
        <f>IF(FT!B71&lt;&gt;"",FT!C71,"")</f>
        <v>28.009599999999999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173740</v>
      </c>
      <c r="D72" s="61">
        <f>FH!B72*1</f>
        <v>173740</v>
      </c>
      <c r="E72">
        <f t="shared" si="11"/>
        <v>70</v>
      </c>
      <c r="F72" s="61">
        <f>IF(FT!A72&lt;&gt;"",FT!A72*10,"")</f>
        <v>2.3798400000000002</v>
      </c>
      <c r="G72" s="61">
        <f>IF(FT!B72&lt;&gt;"",FT!B72*100,"")</f>
        <v>48.931899999999999</v>
      </c>
      <c r="H72" s="61">
        <f t="shared" si="9"/>
        <v>1</v>
      </c>
      <c r="I72" t="str">
        <f>IF(FT!B72&lt;&gt;"",FT!E72,"")</f>
        <v>1 [28.415481]</v>
      </c>
      <c r="J72">
        <f>IF(FT!B72&lt;&gt;"",FT!C72,"")</f>
        <v>28.415500000000002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2.39893</v>
      </c>
      <c r="G73" s="61">
        <f>IF(FT!B73&lt;&gt;"",FT!B73*100,"")</f>
        <v>48.182399999999994</v>
      </c>
      <c r="H73" s="61">
        <f t="shared" si="9"/>
        <v>1</v>
      </c>
      <c r="I73" t="str">
        <f>IF(FT!B73&lt;&gt;"",FT!E73,"")</f>
        <v>1 [28.823284]</v>
      </c>
      <c r="J73">
        <f>IF(FT!B73&lt;&gt;"",FT!C73,"")</f>
        <v>28.8233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2.4085300000000003</v>
      </c>
      <c r="G74" s="61">
        <f>IF(FT!B74&lt;&gt;"",FT!B74*100,"")</f>
        <v>47.752400000000002</v>
      </c>
      <c r="H74" s="61">
        <f t="shared" si="9"/>
        <v>1</v>
      </c>
      <c r="I74" t="str">
        <f>IF(FT!B74&lt;&gt;"",FT!E74,"")</f>
        <v>1 [29.227314]</v>
      </c>
      <c r="J74">
        <f>IF(FT!B74&lt;&gt;"",FT!C74,"")</f>
        <v>29.2273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172893</v>
      </c>
      <c r="D75" s="61">
        <f>FH!B75*1</f>
        <v>172893</v>
      </c>
      <c r="E75">
        <f t="shared" si="11"/>
        <v>73</v>
      </c>
      <c r="F75" s="61">
        <f>IF(FT!A75&lt;&gt;"",FT!A75*10,"")</f>
        <v>2.4445100000000002</v>
      </c>
      <c r="G75" s="61">
        <f>IF(FT!B75&lt;&gt;"",FT!B75*100,"")</f>
        <v>46.556999999999995</v>
      </c>
      <c r="H75" s="61">
        <f t="shared" si="9"/>
        <v>1</v>
      </c>
      <c r="I75" t="str">
        <f>IF(FT!B75&lt;&gt;"",FT!E75,"")</f>
        <v>1 [29.638330]</v>
      </c>
      <c r="J75">
        <f>IF(FT!B75&lt;&gt;"",FT!C75,"")</f>
        <v>29.638300000000001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2.4709700000000003</v>
      </c>
      <c r="G76" s="61">
        <f>IF(FT!B76&lt;&gt;"",FT!B76*100,"")</f>
        <v>45.768799999999999</v>
      </c>
      <c r="H76" s="61">
        <f t="shared" si="9"/>
        <v>1</v>
      </c>
      <c r="I76" t="str">
        <f>IF(FT!B76&lt;&gt;"",FT!E76,"")</f>
        <v>2 [30.043121]</v>
      </c>
      <c r="J76">
        <f>IF(FT!B76&lt;&gt;"",FT!C76,"")</f>
        <v>30.043099999999999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167496</v>
      </c>
      <c r="D77" s="61">
        <f>FH!B77*1</f>
        <v>167496</v>
      </c>
      <c r="E77">
        <f t="shared" si="11"/>
        <v>75</v>
      </c>
      <c r="F77" s="61">
        <f>IF(FT!A77&lt;&gt;"",FT!A77*10,"")</f>
        <v>2.4995000000000003</v>
      </c>
      <c r="G77" s="61">
        <f>IF(FT!B77&lt;&gt;"",FT!B77*100,"")</f>
        <v>44.9482</v>
      </c>
      <c r="H77" s="61">
        <f t="shared" si="9"/>
        <v>1</v>
      </c>
      <c r="I77" t="str">
        <f>IF(FT!B77&lt;&gt;"",FT!E77,"")</f>
        <v>2 [30.508851]</v>
      </c>
      <c r="J77">
        <f>IF(FT!B77&lt;&gt;"",FT!C77,"")</f>
        <v>30.508900000000001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2.5309500000000003</v>
      </c>
      <c r="G78" s="61">
        <f>IF(FT!B78&lt;&gt;"",FT!B78*100,"")</f>
        <v>44.090800000000002</v>
      </c>
      <c r="H78" s="61">
        <f t="shared" si="9"/>
        <v>1</v>
      </c>
      <c r="I78" t="str">
        <f>IF(FT!B78&lt;&gt;"",FT!E78,"")</f>
        <v>2 [30.907372]</v>
      </c>
      <c r="J78">
        <f>IF(FT!B78&lt;&gt;"",FT!C78,"")</f>
        <v>30.907399999999999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2.5631399999999998</v>
      </c>
      <c r="G79" s="61">
        <f>IF(FT!B79&lt;&gt;"",FT!B79*100,"")</f>
        <v>43.225700000000003</v>
      </c>
      <c r="H79" s="61">
        <f t="shared" si="9"/>
        <v>1</v>
      </c>
      <c r="I79" t="str">
        <f>IF(FT!B79&lt;&gt;"",FT!E79,"")</f>
        <v>2 [31.310725]</v>
      </c>
      <c r="J79">
        <f>IF(FT!B79&lt;&gt;"",FT!C79,"")</f>
        <v>31.310700000000001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152830</v>
      </c>
      <c r="D80" s="61">
        <f>FH!B80*1</f>
        <v>152830</v>
      </c>
      <c r="E80">
        <f t="shared" si="11"/>
        <v>78</v>
      </c>
      <c r="F80" s="61">
        <f>IF(FT!A80&lt;&gt;"",FT!A80*10,"")</f>
        <v>2.6001099999999999</v>
      </c>
      <c r="G80" s="61">
        <f>IF(FT!B80&lt;&gt;"",FT!B80*100,"")</f>
        <v>42.246499999999997</v>
      </c>
      <c r="H80" s="61">
        <f t="shared" si="9"/>
        <v>1</v>
      </c>
      <c r="I80" t="str">
        <f>IF(FT!B80&lt;&gt;"",FT!E80,"")</f>
        <v>2 [31.710683]</v>
      </c>
      <c r="J80">
        <f>IF(FT!B80&lt;&gt;"",FT!C80,"")</f>
        <v>31.710699999999999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2.6387999999999998</v>
      </c>
      <c r="G81" s="61">
        <f>IF(FT!B81&lt;&gt;"",FT!B81*100,"")</f>
        <v>41.235199999999999</v>
      </c>
      <c r="H81" s="61">
        <f t="shared" si="9"/>
        <v>1</v>
      </c>
      <c r="I81" t="str">
        <f>IF(FT!B81&lt;&gt;"",FT!E81,"")</f>
        <v>2 [32.120564]</v>
      </c>
      <c r="J81">
        <f>IF(FT!B81&lt;&gt;"",FT!C81,"")</f>
        <v>32.120600000000003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150777</v>
      </c>
      <c r="D82" s="61">
        <f>FH!B82*1</f>
        <v>150777</v>
      </c>
      <c r="E82">
        <f t="shared" si="11"/>
        <v>80</v>
      </c>
      <c r="F82" s="61">
        <f>IF(FT!A82&lt;&gt;"",FT!A82*10,"")</f>
        <v>2.6777299999999999</v>
      </c>
      <c r="G82" s="61">
        <f>IF(FT!B82&lt;&gt;"",FT!B82*100,"")</f>
        <v>40.400000000000006</v>
      </c>
      <c r="H82" s="61">
        <f t="shared" si="9"/>
        <v>1</v>
      </c>
      <c r="I82" t="str">
        <f>IF(FT!B82&lt;&gt;"",FT!E82,"")</f>
        <v>2 [32.522640]</v>
      </c>
      <c r="J82">
        <f>IF(FT!B82&lt;&gt;"",FT!C82,"")</f>
        <v>32.522599999999997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2.7137099999999998</v>
      </c>
      <c r="G83" s="61">
        <f>IF(FT!B83&lt;&gt;"",FT!B83*100,"")</f>
        <v>39.721499999999999</v>
      </c>
      <c r="H83" s="61">
        <f t="shared" si="9"/>
        <v>1</v>
      </c>
      <c r="I83" t="str">
        <f>IF(FT!B83&lt;&gt;"",FT!E83,"")</f>
        <v>2 [32.933388]</v>
      </c>
      <c r="J83">
        <f>IF(FT!B83&lt;&gt;"",FT!C83,"")</f>
        <v>32.933399999999999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2.74892</v>
      </c>
      <c r="G84" s="61">
        <f>IF(FT!B84&lt;&gt;"",FT!B84*100,"")</f>
        <v>39.072499999999998</v>
      </c>
      <c r="H84" s="61">
        <f t="shared" si="9"/>
        <v>1</v>
      </c>
      <c r="I84" t="str">
        <f>IF(FT!B84&lt;&gt;"",FT!E84,"")</f>
        <v>2 [33.338550]</v>
      </c>
      <c r="J84">
        <f>IF(FT!B84&lt;&gt;"",FT!C84,"")</f>
        <v>33.338500000000003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137997</v>
      </c>
      <c r="D85" s="61">
        <f>FH!B85*1</f>
        <v>137997</v>
      </c>
      <c r="E85">
        <f t="shared" si="11"/>
        <v>83</v>
      </c>
      <c r="F85" s="61">
        <f>IF(FT!A85&lt;&gt;"",FT!A85*10,"")</f>
        <v>2.7839900000000002</v>
      </c>
      <c r="G85" s="61">
        <f>IF(FT!B85&lt;&gt;"",FT!B85*100,"")</f>
        <v>38.475300000000004</v>
      </c>
      <c r="H85" s="61">
        <f t="shared" si="9"/>
        <v>1</v>
      </c>
      <c r="I85" t="str">
        <f>IF(FT!B85&lt;&gt;"",FT!E85,"")</f>
        <v>2 [33.745188]</v>
      </c>
      <c r="J85">
        <f>IF(FT!B85&lt;&gt;"",FT!C85,"")</f>
        <v>33.745199999999997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2.8191100000000002</v>
      </c>
      <c r="G86" s="61">
        <f>IF(FT!B86&lt;&gt;"",FT!B86*100,"")</f>
        <v>37.9681</v>
      </c>
      <c r="H86" s="61">
        <f t="shared" si="9"/>
        <v>1</v>
      </c>
      <c r="I86" t="str">
        <f>IF(FT!B86&lt;&gt;"",FT!E86,"")</f>
        <v>2 [34.149283]</v>
      </c>
      <c r="J86">
        <f>IF(FT!B86&lt;&gt;"",FT!C86,"")</f>
        <v>34.149299999999997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2.8556399999999997</v>
      </c>
      <c r="G87" s="61">
        <f>IF(FT!B87&lt;&gt;"",FT!B87*100,"")</f>
        <v>37.498899999999999</v>
      </c>
      <c r="H87" s="61">
        <f t="shared" si="9"/>
        <v>1</v>
      </c>
      <c r="I87" t="str">
        <f>IF(FT!B87&lt;&gt;"",FT!E87,"")</f>
        <v>2 [34.561005]</v>
      </c>
      <c r="J87">
        <f>IF(FT!B87&lt;&gt;"",FT!C87,"")</f>
        <v>34.561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136208</v>
      </c>
      <c r="D88" s="61">
        <f>FH!B88*1</f>
        <v>136208</v>
      </c>
      <c r="E88">
        <f t="shared" si="11"/>
        <v>86</v>
      </c>
      <c r="F88" s="61">
        <f>IF(FT!A88&lt;&gt;"",FT!A88*10,"")</f>
        <v>2.8934700000000002</v>
      </c>
      <c r="G88" s="61">
        <f>IF(FT!B88&lt;&gt;"",FT!B88*100,"")</f>
        <v>37.068100000000001</v>
      </c>
      <c r="H88" s="61">
        <f t="shared" si="9"/>
        <v>1</v>
      </c>
      <c r="I88" t="str">
        <f>IF(FT!B88&lt;&gt;"",FT!E88,"")</f>
        <v>2 [34.965004]</v>
      </c>
      <c r="J88">
        <f>IF(FT!B88&lt;&gt;"",FT!C88,"")</f>
        <v>34.965000000000003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2.93085</v>
      </c>
      <c r="G89" s="61">
        <f>IF(FT!B89&lt;&gt;"",FT!B89*100,"")</f>
        <v>36.697499999999998</v>
      </c>
      <c r="H89" s="61">
        <f t="shared" si="9"/>
        <v>1</v>
      </c>
      <c r="I89" t="str">
        <f>IF(FT!B89&lt;&gt;"",FT!E89,"")</f>
        <v>2 [35.370860]</v>
      </c>
      <c r="J89">
        <f>IF(FT!B89&lt;&gt;"",FT!C89,"")</f>
        <v>35.370899999999999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145004</v>
      </c>
      <c r="D90" s="61">
        <f>FH!B90*1</f>
        <v>145004</v>
      </c>
      <c r="E90">
        <f t="shared" si="11"/>
        <v>88</v>
      </c>
      <c r="F90" s="61">
        <f>IF(FT!A90&lt;&gt;"",FT!A90*10,"")</f>
        <v>2.9643599999999997</v>
      </c>
      <c r="G90" s="61">
        <f>IF(FT!B90&lt;&gt;"",FT!B90*100,"")</f>
        <v>36.440400000000004</v>
      </c>
      <c r="H90" s="61">
        <f t="shared" si="9"/>
        <v>1</v>
      </c>
      <c r="I90" t="str">
        <f>IF(FT!B90&lt;&gt;"",FT!E90,"")</f>
        <v>2 [35.774879]</v>
      </c>
      <c r="J90">
        <f>IF(FT!B90&lt;&gt;"",FT!C90,"")</f>
        <v>35.774900000000002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2.9974699999999999</v>
      </c>
      <c r="G91" s="61">
        <f>IF(FT!B91&lt;&gt;"",FT!B91*100,"")</f>
        <v>36.1218</v>
      </c>
      <c r="H91" s="61">
        <f t="shared" si="9"/>
        <v>1</v>
      </c>
      <c r="I91" t="str">
        <f>IF(FT!B91&lt;&gt;"",FT!E91,"")</f>
        <v>2 [36.182027]</v>
      </c>
      <c r="J91">
        <f>IF(FT!B91&lt;&gt;"",FT!C91,"")</f>
        <v>36.182000000000002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3.02664</v>
      </c>
      <c r="G92" s="61">
        <f>IF(FT!B92&lt;&gt;"",FT!B92*100,"")</f>
        <v>35.874400000000001</v>
      </c>
      <c r="H92" s="61">
        <f t="shared" si="9"/>
        <v>1</v>
      </c>
      <c r="I92" t="str">
        <f>IF(FT!B92&lt;&gt;"",FT!E92,"")</f>
        <v>2 [36.589028]</v>
      </c>
      <c r="J92">
        <f>IF(FT!B92&lt;&gt;"",FT!C92,"")</f>
        <v>36.588999999999999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138277</v>
      </c>
      <c r="D93" s="61">
        <f>FH!B93*1</f>
        <v>138277</v>
      </c>
      <c r="E93">
        <f t="shared" si="11"/>
        <v>91</v>
      </c>
      <c r="F93" s="61">
        <f>IF(FT!A93&lt;&gt;"",FT!A93*10,"")</f>
        <v>3.0534699999999999</v>
      </c>
      <c r="G93" s="61">
        <f>IF(FT!B93&lt;&gt;"",FT!B93*100,"")</f>
        <v>35.593899999999998</v>
      </c>
      <c r="H93" s="61">
        <f t="shared" si="9"/>
        <v>1</v>
      </c>
      <c r="I93" t="str">
        <f>IF(FT!B93&lt;&gt;"",FT!E93,"")</f>
        <v>2 [36.993592]</v>
      </c>
      <c r="J93">
        <f>IF(FT!B93&lt;&gt;"",FT!C93,"")</f>
        <v>36.993600000000001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3.07877</v>
      </c>
      <c r="G94" s="61">
        <f>IF(FT!B94&lt;&gt;"",FT!B94*100,"")</f>
        <v>35.316800000000001</v>
      </c>
      <c r="H94" s="61">
        <f t="shared" si="9"/>
        <v>1</v>
      </c>
      <c r="I94" t="str">
        <f>IF(FT!B94&lt;&gt;"",FT!E94,"")</f>
        <v>2 [37.403478]</v>
      </c>
      <c r="J94">
        <f>IF(FT!B94&lt;&gt;"",FT!C94,"")</f>
        <v>37.403500000000001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126893</v>
      </c>
      <c r="D95" s="61">
        <f>FH!B95*1</f>
        <v>126893</v>
      </c>
      <c r="E95">
        <f t="shared" si="11"/>
        <v>93</v>
      </c>
      <c r="F95" s="61">
        <f>IF(FT!A95&lt;&gt;"",FT!A95*10,"")</f>
        <v>3.1025700000000001</v>
      </c>
      <c r="G95" s="61">
        <f>IF(FT!B95&lt;&gt;"",FT!B95*100,"")</f>
        <v>35.080099999999995</v>
      </c>
      <c r="H95" s="61">
        <f t="shared" si="9"/>
        <v>1</v>
      </c>
      <c r="I95" t="str">
        <f>IF(FT!B95&lt;&gt;"",FT!E95,"")</f>
        <v>2 [37.807420]</v>
      </c>
      <c r="J95">
        <f>IF(FT!B95&lt;&gt;"",FT!C95,"")</f>
        <v>37.807400000000001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3.12561</v>
      </c>
      <c r="G96" s="61">
        <f>IF(FT!B96&lt;&gt;"",FT!B96*100,"")</f>
        <v>34.894399999999997</v>
      </c>
      <c r="H96" s="61">
        <f t="shared" si="9"/>
        <v>1</v>
      </c>
      <c r="I96" t="str">
        <f>IF(FT!B96&lt;&gt;"",FT!E96,"")</f>
        <v>2 [38.212254]</v>
      </c>
      <c r="J96">
        <f>IF(FT!B96&lt;&gt;"",FT!C96,"")</f>
        <v>38.212299999999999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3.14337</v>
      </c>
      <c r="G97" s="61">
        <f>IF(FT!B97&lt;&gt;"",FT!B97*100,"")</f>
        <v>34.848199999999999</v>
      </c>
      <c r="H97" s="61">
        <f t="shared" si="9"/>
        <v>1</v>
      </c>
      <c r="I97" t="str">
        <f>IF(FT!B97&lt;&gt;"",FT!E97,"")</f>
        <v>2 [38.619196]</v>
      </c>
      <c r="J97">
        <f>IF(FT!B97&lt;&gt;"",FT!C97,"")</f>
        <v>38.619199999999999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111751</v>
      </c>
      <c r="D98" s="61">
        <f>FH!B98*1</f>
        <v>111751</v>
      </c>
      <c r="E98">
        <f t="shared" si="11"/>
        <v>96</v>
      </c>
      <c r="F98" s="61">
        <f>IF(FT!A98&lt;&gt;"",FT!A98*10,"")</f>
        <v>3.1548700000000003</v>
      </c>
      <c r="G98" s="61">
        <f>IF(FT!B98&lt;&gt;"",FT!B98*100,"")</f>
        <v>34.823</v>
      </c>
      <c r="H98" s="61">
        <f t="shared" si="9"/>
        <v>1</v>
      </c>
      <c r="I98" t="str">
        <f>IF(FT!B98&lt;&gt;"",FT!E98,"")</f>
        <v>2 [39.026065]</v>
      </c>
      <c r="J98">
        <f>IF(FT!B98&lt;&gt;"",FT!C98,"")</f>
        <v>39.0261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3.1609799999999999</v>
      </c>
      <c r="G99" s="61">
        <f>IF(FT!B99&lt;&gt;"",FT!B99*100,"")</f>
        <v>34.792899999999996</v>
      </c>
      <c r="H99" s="61">
        <f t="shared" si="9"/>
        <v>1</v>
      </c>
      <c r="I99" t="str">
        <f>IF(FT!B99&lt;&gt;"",FT!E99,"")</f>
        <v>2 [39.431087]</v>
      </c>
      <c r="J99">
        <f>IF(FT!B99&lt;&gt;"",FT!C99,"")</f>
        <v>39.431100000000001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100351</v>
      </c>
      <c r="D100" s="61">
        <f>FH!B100*1</f>
        <v>100351</v>
      </c>
      <c r="E100">
        <f t="shared" si="11"/>
        <v>98</v>
      </c>
      <c r="F100" s="61">
        <f>IF(FT!A100&lt;&gt;"",FT!A100*10,"")</f>
        <v>3.1656599999999999</v>
      </c>
      <c r="G100" s="61">
        <f>IF(FT!B100&lt;&gt;"",FT!B100*100,"")</f>
        <v>34.757399999999997</v>
      </c>
      <c r="H100" s="61">
        <f t="shared" si="9"/>
        <v>1</v>
      </c>
      <c r="I100" t="str">
        <f>IF(FT!B100&lt;&gt;"",FT!E100,"")</f>
        <v>2 [39.836905]</v>
      </c>
      <c r="J100">
        <f>IF(FT!B100&lt;&gt;"",FT!C100,"")</f>
        <v>39.8369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3.1712800000000003</v>
      </c>
      <c r="G101" s="61">
        <f>IF(FT!B101&lt;&gt;"",FT!B101*100,"")</f>
        <v>34.718199999999996</v>
      </c>
      <c r="H101" s="61">
        <f t="shared" si="9"/>
        <v>1</v>
      </c>
      <c r="I101" t="str">
        <f>IF(FT!B101&lt;&gt;"",FT!E101,"")</f>
        <v>2 [40.247831]</v>
      </c>
      <c r="J101">
        <f>IF(FT!B101&lt;&gt;"",FT!C101,"")</f>
        <v>40.247799999999998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3.1765100000000004</v>
      </c>
      <c r="G102" s="61">
        <f>IF(FT!B102&lt;&gt;"",FT!B102*100,"")</f>
        <v>34.694199999999995</v>
      </c>
      <c r="H102" s="61">
        <f t="shared" si="9"/>
        <v>1</v>
      </c>
      <c r="I102" t="str">
        <f>IF(FT!B102&lt;&gt;"",FT!E102,"")</f>
        <v>2 [40.650738]</v>
      </c>
      <c r="J102">
        <f>IF(FT!B102&lt;&gt;"",FT!C102,"")</f>
        <v>40.650700000000001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88038</v>
      </c>
      <c r="D103" s="61">
        <f>FH!B103*1</f>
        <v>88038</v>
      </c>
      <c r="E103">
        <f t="shared" si="11"/>
        <v>101</v>
      </c>
      <c r="F103" s="61">
        <f>IF(FT!A103&lt;&gt;"",FT!A103*10,"")</f>
        <v>3.1798700000000002</v>
      </c>
      <c r="G103" s="61">
        <f>IF(FT!B103&lt;&gt;"",FT!B103*100,"")</f>
        <v>34.674700000000001</v>
      </c>
      <c r="H103" s="61">
        <f t="shared" si="9"/>
        <v>1</v>
      </c>
      <c r="I103" t="str">
        <f>IF(FT!B103&lt;&gt;"",FT!E103,"")</f>
        <v>2 [41.057651]</v>
      </c>
      <c r="J103">
        <f>IF(FT!B103&lt;&gt;"",FT!C103,"")</f>
        <v>41.057699999999997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3.1816699999999996</v>
      </c>
      <c r="G104" s="61">
        <f>IF(FT!B104&lt;&gt;"",FT!B104*100,"")</f>
        <v>34.690599999999996</v>
      </c>
      <c r="H104" s="61">
        <f t="shared" si="9"/>
        <v>1</v>
      </c>
      <c r="I104" t="str">
        <f>IF(FT!B104&lt;&gt;"",FT!E104,"")</f>
        <v>2 [41.462864]</v>
      </c>
      <c r="J104">
        <f>IF(FT!B104&lt;&gt;"",FT!C104,"")</f>
        <v>41.462899999999998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3.1807800000000004</v>
      </c>
      <c r="G105" s="61">
        <f>IF(FT!B105&lt;&gt;"",FT!B105*100,"")</f>
        <v>34.756300000000003</v>
      </c>
      <c r="H105" s="61">
        <f t="shared" si="9"/>
        <v>1</v>
      </c>
      <c r="I105" t="str">
        <f>IF(FT!B105&lt;&gt;"",FT!E105,"")</f>
        <v>2 [41.873614]</v>
      </c>
      <c r="J105">
        <f>IF(FT!B105&lt;&gt;"",FT!C105,"")</f>
        <v>41.873600000000003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80844</v>
      </c>
      <c r="D106" s="61">
        <f>FH!B106*1</f>
        <v>80844</v>
      </c>
      <c r="E106">
        <f t="shared" si="11"/>
        <v>104</v>
      </c>
      <c r="F106" s="61">
        <f>IF(FT!A106&lt;&gt;"",FT!A106*10,"")</f>
        <v>3.1781600000000001</v>
      </c>
      <c r="G106" s="61">
        <f>IF(FT!B106&lt;&gt;"",FT!B106*100,"")</f>
        <v>34.869499999999995</v>
      </c>
      <c r="H106" s="61">
        <f t="shared" si="9"/>
        <v>1</v>
      </c>
      <c r="I106" t="str">
        <f>IF(FT!B106&lt;&gt;"",FT!E106,"")</f>
        <v>2 [42.278352]</v>
      </c>
      <c r="J106">
        <f>IF(FT!B106&lt;&gt;"",FT!C106,"")</f>
        <v>42.278399999999998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3.1762200000000003</v>
      </c>
      <c r="G107" s="61">
        <f>IF(FT!B107&lt;&gt;"",FT!B107*100,"")</f>
        <v>34.971499999999999</v>
      </c>
      <c r="H107" s="61">
        <f t="shared" si="9"/>
        <v>1</v>
      </c>
      <c r="I107" t="str">
        <f>IF(FT!B107&lt;&gt;"",FT!E107,"")</f>
        <v>2 [42.683301]</v>
      </c>
      <c r="J107">
        <f>IF(FT!B107&lt;&gt;"",FT!C107,"")</f>
        <v>42.683300000000003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72360</v>
      </c>
      <c r="D108" s="61">
        <f>FH!B108*1</f>
        <v>72360</v>
      </c>
      <c r="E108">
        <f t="shared" si="11"/>
        <v>106</v>
      </c>
      <c r="F108" s="61">
        <f>IF(FT!A108&lt;&gt;"",FT!A108*10,"")</f>
        <v>3.1737500000000001</v>
      </c>
      <c r="G108" s="61">
        <f>IF(FT!B108&lt;&gt;"",FT!B108*100,"")</f>
        <v>35.097999999999999</v>
      </c>
      <c r="H108" s="61">
        <f t="shared" si="9"/>
        <v>1</v>
      </c>
      <c r="I108" t="str">
        <f>IF(FT!B108&lt;&gt;"",FT!E108,"")</f>
        <v>2 [43.085219]</v>
      </c>
      <c r="J108">
        <f>IF(FT!B108&lt;&gt;"",FT!C108,"")</f>
        <v>43.0852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3.169</v>
      </c>
      <c r="G109" s="61">
        <f>IF(FT!B109&lt;&gt;"",FT!B109*100,"")</f>
        <v>35.276800000000001</v>
      </c>
      <c r="H109" s="61">
        <f t="shared" si="9"/>
        <v>1</v>
      </c>
      <c r="I109" t="str">
        <f>IF(FT!B109&lt;&gt;"",FT!E109,"")</f>
        <v>2 [43.496324]</v>
      </c>
      <c r="J109">
        <f>IF(FT!B109&lt;&gt;"",FT!C109,"")</f>
        <v>43.496299999999998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3.1621999999999999</v>
      </c>
      <c r="G110" s="61">
        <f>IF(FT!B110&lt;&gt;"",FT!B110*100,"")</f>
        <v>35.4465</v>
      </c>
      <c r="H110" s="61">
        <f t="shared" si="9"/>
        <v>1</v>
      </c>
      <c r="I110" t="str">
        <f>IF(FT!B110&lt;&gt;"",FT!E110,"")</f>
        <v>2 [43.904126]</v>
      </c>
      <c r="J110">
        <f>IF(FT!B110&lt;&gt;"",FT!C110,"")</f>
        <v>43.9041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59474</v>
      </c>
      <c r="D111" s="61">
        <f>FH!B111*1</f>
        <v>59474</v>
      </c>
      <c r="E111">
        <f t="shared" si="11"/>
        <v>109</v>
      </c>
      <c r="F111" s="61">
        <f>IF(FT!A111&lt;&gt;"",FT!A111*10,"")</f>
        <v>3.15273</v>
      </c>
      <c r="G111" s="61">
        <f>IF(FT!B111&lt;&gt;"",FT!B111*100,"")</f>
        <v>35.604999999999997</v>
      </c>
      <c r="H111" s="61">
        <f t="shared" si="9"/>
        <v>1</v>
      </c>
      <c r="I111" t="str">
        <f>IF(FT!B111&lt;&gt;"",FT!E111,"")</f>
        <v>2 [44.309956]</v>
      </c>
      <c r="J111">
        <f>IF(FT!B111&lt;&gt;"",FT!C111,"")</f>
        <v>44.31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3.1440200000000003</v>
      </c>
      <c r="G112" s="61">
        <f>IF(FT!B112&lt;&gt;"",FT!B112*100,"")</f>
        <v>35.772999999999996</v>
      </c>
      <c r="H112" s="61">
        <f t="shared" si="9"/>
        <v>1</v>
      </c>
      <c r="I112" t="str">
        <f>IF(FT!B112&lt;&gt;"",FT!E112,"")</f>
        <v>2 [44.715809]</v>
      </c>
      <c r="J112">
        <f>IF(FT!B112&lt;&gt;"",FT!C112,"")</f>
        <v>44.715800000000002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53239</v>
      </c>
      <c r="D113" s="61">
        <f>FH!B113*1</f>
        <v>53239</v>
      </c>
      <c r="E113">
        <f t="shared" si="11"/>
        <v>111</v>
      </c>
      <c r="F113" s="61">
        <f>IF(FT!A113&lt;&gt;"",FT!A113*10,"")</f>
        <v>3.1360700000000001</v>
      </c>
      <c r="G113" s="61">
        <f>IF(FT!B113&lt;&gt;"",FT!B113*100,"")</f>
        <v>35.958300000000001</v>
      </c>
      <c r="H113" s="61">
        <f t="shared" si="9"/>
        <v>1</v>
      </c>
      <c r="I113" t="str">
        <f>IF(FT!B113&lt;&gt;"",FT!E113,"")</f>
        <v>2 [45.119832]</v>
      </c>
      <c r="J113">
        <f>IF(FT!B113&lt;&gt;"",FT!C113,"")</f>
        <v>45.119799999999998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3.1289299999999995</v>
      </c>
      <c r="G114" s="61">
        <f>IF(FT!B114&lt;&gt;"",FT!B114*100,"")</f>
        <v>36.110999999999997</v>
      </c>
      <c r="H114" s="61">
        <f t="shared" si="9"/>
        <v>1</v>
      </c>
      <c r="I114" t="str">
        <f>IF(FT!B114&lt;&gt;"",FT!E114,"")</f>
        <v>2 [45.525941]</v>
      </c>
      <c r="J114">
        <f>IF(FT!B114&lt;&gt;"",FT!C114,"")</f>
        <v>45.5259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3.1252499999999999</v>
      </c>
      <c r="G115" s="61">
        <f>IF(FT!B115&lt;&gt;"",FT!B115*100,"")</f>
        <v>36.221800000000002</v>
      </c>
      <c r="H115" s="61">
        <f t="shared" si="9"/>
        <v>1</v>
      </c>
      <c r="I115" t="str">
        <f>IF(FT!B115&lt;&gt;"",FT!E115,"")</f>
        <v>2 [45.933760]</v>
      </c>
      <c r="J115">
        <f>IF(FT!B115&lt;&gt;"",FT!C115,"")</f>
        <v>45.933799999999998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50709</v>
      </c>
      <c r="D116" s="61">
        <f>FH!B116*1</f>
        <v>50709</v>
      </c>
      <c r="E116">
        <f t="shared" si="11"/>
        <v>114</v>
      </c>
      <c r="F116" s="61">
        <f>IF(FT!A116&lt;&gt;"",FT!A116*10,"")</f>
        <v>3.1199599999999998</v>
      </c>
      <c r="G116" s="61">
        <f>IF(FT!B116&lt;&gt;"",FT!B116*100,"")</f>
        <v>36.417400000000001</v>
      </c>
      <c r="H116" s="61">
        <f t="shared" si="9"/>
        <v>1</v>
      </c>
      <c r="I116" t="str">
        <f>IF(FT!B116&lt;&gt;"",FT!E116,"")</f>
        <v>2 [46.341565]</v>
      </c>
      <c r="J116">
        <f>IF(FT!B116&lt;&gt;"",FT!C116,"")</f>
        <v>46.3416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3.1126399999999999</v>
      </c>
      <c r="G117" s="61">
        <f>IF(FT!B117&lt;&gt;"",FT!B117*100,"")</f>
        <v>36.590499999999999</v>
      </c>
      <c r="H117" s="61">
        <f t="shared" si="9"/>
        <v>1</v>
      </c>
      <c r="I117" t="str">
        <f>IF(FT!B117&lt;&gt;"",FT!E117,"")</f>
        <v>2 [46.745488]</v>
      </c>
      <c r="J117">
        <f>IF(FT!B117&lt;&gt;"",FT!C117,"")</f>
        <v>46.7455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48011</v>
      </c>
      <c r="D118" s="61">
        <f>FH!B118*1</f>
        <v>48011</v>
      </c>
      <c r="E118">
        <f t="shared" si="11"/>
        <v>116</v>
      </c>
      <c r="F118" s="61">
        <f>IF(FT!A118&lt;&gt;"",FT!A118*10,"")</f>
        <v>3.1069200000000001</v>
      </c>
      <c r="G118" s="61">
        <f>IF(FT!B118&lt;&gt;"",FT!B118*100,"")</f>
        <v>36.769500000000001</v>
      </c>
      <c r="H118" s="61">
        <f t="shared" si="9"/>
        <v>1</v>
      </c>
      <c r="I118" t="str">
        <f>IF(FT!B118&lt;&gt;"",FT!E118,"")</f>
        <v>2 [47.149367]</v>
      </c>
      <c r="J118">
        <f>IF(FT!B118&lt;&gt;"",FT!C118,"")</f>
        <v>47.1494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3.1008400000000003</v>
      </c>
      <c r="G119" s="61">
        <f>IF(FT!B119&lt;&gt;"",FT!B119*100,"")</f>
        <v>36.991800000000005</v>
      </c>
      <c r="H119" s="61">
        <f t="shared" si="9"/>
        <v>1</v>
      </c>
      <c r="I119" t="str">
        <f>IF(FT!B119&lt;&gt;"",FT!E119,"")</f>
        <v>2 [47.557477]</v>
      </c>
      <c r="J119">
        <f>IF(FT!B119&lt;&gt;"",FT!C119,"")</f>
        <v>47.557499999999997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3.09572</v>
      </c>
      <c r="G120" s="61">
        <f>IF(FT!B120&lt;&gt;"",FT!B120*100,"")</f>
        <v>37.209399999999995</v>
      </c>
      <c r="H120" s="61">
        <f t="shared" si="9"/>
        <v>1</v>
      </c>
      <c r="I120" t="str">
        <f>IF(FT!B120&lt;&gt;"",FT!E120,"")</f>
        <v>2 [47.963203]</v>
      </c>
      <c r="J120">
        <f>IF(FT!B120&lt;&gt;"",FT!C120,"")</f>
        <v>47.963200000000001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40416</v>
      </c>
      <c r="D121" s="61">
        <f>FH!B121*1</f>
        <v>40416</v>
      </c>
      <c r="E121">
        <f t="shared" si="11"/>
        <v>119</v>
      </c>
      <c r="F121" s="61">
        <f>IF(FT!A121&lt;&gt;"",FT!A121*10,"")</f>
        <v>3.0918800000000002</v>
      </c>
      <c r="G121" s="61">
        <f>IF(FT!B121&lt;&gt;"",FT!B121*100,"")</f>
        <v>37.371300000000005</v>
      </c>
      <c r="H121" s="61">
        <f t="shared" si="9"/>
        <v>1</v>
      </c>
      <c r="I121" t="str">
        <f>IF(FT!B121&lt;&gt;"",FT!E121,"")</f>
        <v>2 [48.369124]</v>
      </c>
      <c r="J121">
        <f>IF(FT!B121&lt;&gt;"",FT!C121,"")</f>
        <v>48.369100000000003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3.0918000000000001</v>
      </c>
      <c r="G122" s="61">
        <f>IF(FT!B122&lt;&gt;"",FT!B122*100,"")</f>
        <v>37.4054</v>
      </c>
      <c r="H122" s="61">
        <f t="shared" si="9"/>
        <v>1</v>
      </c>
      <c r="I122" t="str">
        <f>IF(FT!B122&lt;&gt;"",FT!E122,"")</f>
        <v>2 [48.775986]</v>
      </c>
      <c r="J122">
        <f>IF(FT!B122&lt;&gt;"",FT!C122,"")</f>
        <v>48.776000000000003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3.0910199999999999</v>
      </c>
      <c r="G123" s="61">
        <f>IF(FT!B123&lt;&gt;"",FT!B123*100,"")</f>
        <v>37.439799999999998</v>
      </c>
      <c r="H123" s="61">
        <f t="shared" si="9"/>
        <v>1</v>
      </c>
      <c r="I123" t="str">
        <f>IF(FT!B123&lt;&gt;"",FT!E123,"")</f>
        <v>2 [49.182002]</v>
      </c>
      <c r="J123">
        <f>IF(FT!B123&lt;&gt;"",FT!C123,"")</f>
        <v>49.182000000000002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29430</v>
      </c>
      <c r="D124" s="61">
        <f>FH!B124*1</f>
        <v>29430</v>
      </c>
      <c r="E124">
        <f t="shared" si="11"/>
        <v>122</v>
      </c>
      <c r="F124" s="61">
        <f>IF(FT!A124&lt;&gt;"",FT!A124*10,"")</f>
        <v>3.0914000000000001</v>
      </c>
      <c r="G124" s="61">
        <f>IF(FT!B124&lt;&gt;"",FT!B124*100,"")</f>
        <v>37.476199999999999</v>
      </c>
      <c r="H124" s="61">
        <f t="shared" si="9"/>
        <v>1</v>
      </c>
      <c r="I124" t="str">
        <f>IF(FT!B124&lt;&gt;"",FT!E124,"")</f>
        <v>2 [49.586828]</v>
      </c>
      <c r="J124">
        <f>IF(FT!B124&lt;&gt;"",FT!C124,"")</f>
        <v>49.586799999999997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3.0899799999999997</v>
      </c>
      <c r="G125" s="61">
        <f>IF(FT!B125&lt;&gt;"",FT!B125*100,"")</f>
        <v>37.505400000000002</v>
      </c>
      <c r="H125" s="61">
        <f t="shared" si="9"/>
        <v>1</v>
      </c>
      <c r="I125" t="str">
        <f>IF(FT!B125&lt;&gt;"",FT!E125,"")</f>
        <v>2 [49.996692]</v>
      </c>
      <c r="J125">
        <f>IF(FT!B125&lt;&gt;"",FT!C125,"")</f>
        <v>49.996699999999997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25495</v>
      </c>
      <c r="D126" s="61">
        <f>FH!B126*1</f>
        <v>25495</v>
      </c>
      <c r="E126">
        <f t="shared" si="11"/>
        <v>124</v>
      </c>
      <c r="F126" s="61">
        <f>IF(FT!A126&lt;&gt;"",FT!A126*10,"")</f>
        <v>3.0901899999999998</v>
      </c>
      <c r="G126" s="61">
        <f>IF(FT!B126&lt;&gt;"",FT!B126*100,"")</f>
        <v>37.539299999999997</v>
      </c>
      <c r="H126" s="61">
        <f t="shared" si="9"/>
        <v>1</v>
      </c>
      <c r="I126" t="str">
        <f>IF(FT!B126&lt;&gt;"",FT!E126,"")</f>
        <v>2 [50.404673]</v>
      </c>
      <c r="J126">
        <f>IF(FT!B126&lt;&gt;"",FT!C126,"")</f>
        <v>50.404699999999998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3.0888200000000001</v>
      </c>
      <c r="G127" s="61">
        <f>IF(FT!B127&lt;&gt;"",FT!B127*100,"")</f>
        <v>37.5869</v>
      </c>
      <c r="H127" s="61">
        <f t="shared" si="9"/>
        <v>1</v>
      </c>
      <c r="I127" t="str">
        <f>IF(FT!B127&lt;&gt;"",FT!E127,"")</f>
        <v>2 [50.808517]</v>
      </c>
      <c r="J127">
        <f>IF(FT!B127&lt;&gt;"",FT!C127,"")</f>
        <v>50.808500000000002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3.0867699999999996</v>
      </c>
      <c r="G128" s="61">
        <f>IF(FT!B128&lt;&gt;"",FT!B128*100,"")</f>
        <v>37.648299999999999</v>
      </c>
      <c r="H128" s="61">
        <f t="shared" si="9"/>
        <v>1</v>
      </c>
      <c r="I128" t="str">
        <f>IF(FT!B128&lt;&gt;"",FT!E128,"")</f>
        <v>2 [51.214504]</v>
      </c>
      <c r="J128">
        <f>IF(FT!B128&lt;&gt;"",FT!C128,"")</f>
        <v>51.214500000000001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26491</v>
      </c>
      <c r="D129" s="61">
        <f>FH!B129*1</f>
        <v>26491</v>
      </c>
      <c r="E129">
        <f t="shared" si="11"/>
        <v>127</v>
      </c>
      <c r="F129" s="61">
        <f>IF(FT!A129&lt;&gt;"",FT!A129*10,"")</f>
        <v>3.0859900000000002</v>
      </c>
      <c r="G129" s="61">
        <f>IF(FT!B129&lt;&gt;"",FT!B129*100,"")</f>
        <v>37.705300000000001</v>
      </c>
      <c r="H129" s="61">
        <f t="shared" si="9"/>
        <v>1</v>
      </c>
      <c r="I129" t="str">
        <f>IF(FT!B129&lt;&gt;"",FT!E129,"")</f>
        <v>2 [51.621734]</v>
      </c>
      <c r="J129">
        <f>IF(FT!B129&lt;&gt;"",FT!C129,"")</f>
        <v>51.621699999999997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3.0845899999999999</v>
      </c>
      <c r="G130" s="61">
        <f>IF(FT!B130&lt;&gt;"",FT!B130*100,"")</f>
        <v>37.754800000000003</v>
      </c>
      <c r="H130" s="61">
        <f t="shared" si="9"/>
        <v>1</v>
      </c>
      <c r="I130" t="str">
        <f>IF(FT!B130&lt;&gt;"",FT!E130,"")</f>
        <v>2 [52.026317]</v>
      </c>
      <c r="J130">
        <f>IF(FT!B130&lt;&gt;"",FT!C130,"")</f>
        <v>52.026299999999999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26936</v>
      </c>
      <c r="D131" s="61">
        <f>FH!B131*1</f>
        <v>26936</v>
      </c>
      <c r="E131">
        <f t="shared" si="11"/>
        <v>129</v>
      </c>
      <c r="F131" s="61">
        <f>IF(FT!A131&lt;&gt;"",FT!A131*10,"")</f>
        <v>3.0824600000000002</v>
      </c>
      <c r="G131" s="61">
        <f>IF(FT!B131&lt;&gt;"",FT!B131*100,"")</f>
        <v>37.816100000000006</v>
      </c>
      <c r="H131" s="61">
        <f t="shared" ref="H131:H194" si="13">(IF(F131&lt;&gt;"",1,""))</f>
        <v>1</v>
      </c>
      <c r="I131" t="str">
        <f>IF(FT!B131&lt;&gt;"",FT!E131,"")</f>
        <v>2 [52.430200]</v>
      </c>
      <c r="J131">
        <f>IF(FT!B131&lt;&gt;"",FT!C131,"")</f>
        <v>52.430199999999999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3.0806899999999997</v>
      </c>
      <c r="G132" s="61">
        <f>IF(FT!B132&lt;&gt;"",FT!B132*100,"")</f>
        <v>37.862699999999997</v>
      </c>
      <c r="H132" s="61">
        <f t="shared" si="13"/>
        <v>1</v>
      </c>
      <c r="I132" t="str">
        <f>IF(FT!B132&lt;&gt;"",FT!E132,"")</f>
        <v>2 [52.841150]</v>
      </c>
      <c r="J132">
        <f>IF(FT!B132&lt;&gt;"",FT!C132,"")</f>
        <v>52.841200000000001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3.0808900000000001</v>
      </c>
      <c r="G133" s="61">
        <f>IF(FT!B133&lt;&gt;"",FT!B133*100,"")</f>
        <v>37.838200000000001</v>
      </c>
      <c r="H133" s="61">
        <f t="shared" si="13"/>
        <v>1</v>
      </c>
      <c r="I133" t="str">
        <f>IF(FT!B133&lt;&gt;"",FT!E133,"")</f>
        <v>2 [53.243061]</v>
      </c>
      <c r="J133">
        <f>IF(FT!B133&lt;&gt;"",FT!C133,"")</f>
        <v>53.243099999999998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23921</v>
      </c>
      <c r="D134" s="61">
        <f>FH!B134*1</f>
        <v>23921</v>
      </c>
      <c r="E134">
        <f t="shared" si="15"/>
        <v>132</v>
      </c>
      <c r="F134" s="61">
        <f>IF(FT!A134&lt;&gt;"",FT!A134*10,"")</f>
        <v>3.0830200000000003</v>
      </c>
      <c r="G134" s="61">
        <f>IF(FT!B134&lt;&gt;"",FT!B134*100,"")</f>
        <v>37.767499999999998</v>
      </c>
      <c r="H134" s="61">
        <f t="shared" si="13"/>
        <v>1</v>
      </c>
      <c r="I134" t="str">
        <f>IF(FT!B134&lt;&gt;"",FT!E134,"")</f>
        <v>2 [53.652226]</v>
      </c>
      <c r="J134">
        <f>IF(FT!B134&lt;&gt;"",FT!C134,"")</f>
        <v>53.652200000000001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3.0868600000000002</v>
      </c>
      <c r="G135" s="61">
        <f>IF(FT!B135&lt;&gt;"",FT!B135*100,"")</f>
        <v>37.680900000000001</v>
      </c>
      <c r="H135" s="61">
        <f t="shared" si="13"/>
        <v>1</v>
      </c>
      <c r="I135" t="str">
        <f>IF(FT!B135&lt;&gt;"",FT!E135,"")</f>
        <v>2 [54.058866]</v>
      </c>
      <c r="J135">
        <f>IF(FT!B135&lt;&gt;"",FT!C135,"")</f>
        <v>54.058900000000001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20794</v>
      </c>
      <c r="D136" s="61">
        <f>FH!B136*1</f>
        <v>20794</v>
      </c>
      <c r="E136">
        <f t="shared" si="15"/>
        <v>134</v>
      </c>
      <c r="F136" s="61">
        <f>IF(FT!A136&lt;&gt;"",FT!A136*10,"")</f>
        <v>3.0956099999999998</v>
      </c>
      <c r="G136" s="61">
        <f>IF(FT!B136&lt;&gt;"",FT!B136*100,"")</f>
        <v>37.543599999999998</v>
      </c>
      <c r="H136" s="61">
        <f t="shared" si="13"/>
        <v>1</v>
      </c>
      <c r="I136" t="str">
        <f>IF(FT!B136&lt;&gt;"",FT!E136,"")</f>
        <v>2 [54.462828]</v>
      </c>
      <c r="J136">
        <f>IF(FT!B136&lt;&gt;"",FT!C136,"")</f>
        <v>54.462800000000001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3.1016700000000004</v>
      </c>
      <c r="G137" s="61">
        <f>IF(FT!B137&lt;&gt;"",FT!B137*100,"")</f>
        <v>37.417499999999997</v>
      </c>
      <c r="H137" s="61">
        <f t="shared" si="13"/>
        <v>1</v>
      </c>
      <c r="I137" t="str">
        <f>IF(FT!B137&lt;&gt;"",FT!E137,"")</f>
        <v>2 [54.873867]</v>
      </c>
      <c r="J137">
        <f>IF(FT!B137&lt;&gt;"",FT!C137,"")</f>
        <v>54.873899999999999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3.1033899999999996</v>
      </c>
      <c r="G138" s="61">
        <f>IF(FT!B138&lt;&gt;"",FT!B138*100,"")</f>
        <v>37.278500000000001</v>
      </c>
      <c r="H138" s="61">
        <f t="shared" si="13"/>
        <v>1</v>
      </c>
      <c r="I138" t="str">
        <f>IF(FT!B138&lt;&gt;"",FT!E138,"")</f>
        <v>2 [55.276611]</v>
      </c>
      <c r="J138">
        <f>IF(FT!B138&lt;&gt;"",FT!C138,"")</f>
        <v>55.276600000000002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19594</v>
      </c>
      <c r="D139" s="61">
        <f>FH!B139*1</f>
        <v>19594</v>
      </c>
      <c r="E139">
        <f t="shared" si="15"/>
        <v>137</v>
      </c>
      <c r="F139" s="61">
        <f>IF(FT!A139&lt;&gt;"",FT!A139*10,"")</f>
        <v>3.1023800000000001</v>
      </c>
      <c r="G139" s="61">
        <f>IF(FT!B139&lt;&gt;"",FT!B139*100,"")</f>
        <v>37.2119</v>
      </c>
      <c r="H139" s="61">
        <f t="shared" si="13"/>
        <v>1</v>
      </c>
      <c r="I139" t="str">
        <f>IF(FT!B139&lt;&gt;"",FT!E139,"")</f>
        <v>2 [55.679556]</v>
      </c>
      <c r="J139">
        <f>IF(FT!B139&lt;&gt;"",FT!C139,"")</f>
        <v>55.679600000000001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3.0990899999999999</v>
      </c>
      <c r="G140" s="61">
        <f>IF(FT!B140&lt;&gt;"",FT!B140*100,"")</f>
        <v>37.189799999999998</v>
      </c>
      <c r="H140" s="61">
        <f t="shared" si="13"/>
        <v>1</v>
      </c>
      <c r="I140" t="str">
        <f>IF(FT!B140&lt;&gt;"",FT!E140,"")</f>
        <v>2 [56.087576]</v>
      </c>
      <c r="J140">
        <f>IF(FT!B140&lt;&gt;"",FT!C140,"")</f>
        <v>56.087600000000002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3.0966500000000003</v>
      </c>
      <c r="G141" s="61">
        <f>IF(FT!B141&lt;&gt;"",FT!B141*100,"")</f>
        <v>37.202600000000004</v>
      </c>
      <c r="H141" s="61">
        <f t="shared" si="13"/>
        <v>1</v>
      </c>
      <c r="I141" t="str">
        <f>IF(FT!B141&lt;&gt;"",FT!E141,"")</f>
        <v>2 [56.493438]</v>
      </c>
      <c r="J141">
        <f>IF(FT!B141&lt;&gt;"",FT!C141,"")</f>
        <v>56.493400000000001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18451</v>
      </c>
      <c r="D142" s="61">
        <f>FH!B142*1</f>
        <v>18451</v>
      </c>
      <c r="E142">
        <f t="shared" si="15"/>
        <v>140</v>
      </c>
      <c r="F142" s="61">
        <f>IF(FT!A142&lt;&gt;"",FT!A142*10,"")</f>
        <v>3.10229</v>
      </c>
      <c r="G142" s="61">
        <f>IF(FT!B142&lt;&gt;"",FT!B142*100,"")</f>
        <v>37.117400000000004</v>
      </c>
      <c r="H142" s="61">
        <f t="shared" si="13"/>
        <v>1</v>
      </c>
      <c r="I142" t="str">
        <f>IF(FT!B142&lt;&gt;"",FT!E142,"")</f>
        <v>2 [56.903293]</v>
      </c>
      <c r="J142">
        <f>IF(FT!B142&lt;&gt;"",FT!C142,"")</f>
        <v>56.903300000000002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3.1016899999999996</v>
      </c>
      <c r="G143" s="61">
        <f>IF(FT!B143&lt;&gt;"",FT!B143*100,"")</f>
        <v>37.100699999999996</v>
      </c>
      <c r="H143" s="61">
        <f t="shared" si="13"/>
        <v>1</v>
      </c>
      <c r="I143" t="str">
        <f>IF(FT!B143&lt;&gt;"",FT!E143,"")</f>
        <v>2 [57.307268]</v>
      </c>
      <c r="J143">
        <f>IF(FT!B143&lt;&gt;"",FT!C143,"")</f>
        <v>57.307299999999998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15088</v>
      </c>
      <c r="D144" s="61">
        <f>FH!B144*1</f>
        <v>15088</v>
      </c>
      <c r="E144">
        <f t="shared" si="15"/>
        <v>142</v>
      </c>
      <c r="F144" s="61">
        <f>IF(FT!A144&lt;&gt;"",FT!A144*10,"")</f>
        <v>3.1027300000000002</v>
      </c>
      <c r="G144" s="61">
        <f>IF(FT!B144&lt;&gt;"",FT!B144*100,"")</f>
        <v>36.9925</v>
      </c>
      <c r="H144" s="61">
        <f t="shared" si="13"/>
        <v>1</v>
      </c>
      <c r="I144" t="str">
        <f>IF(FT!B144&lt;&gt;"",FT!E144,"")</f>
        <v>2 [57.713172]</v>
      </c>
      <c r="J144">
        <f>IF(FT!B144&lt;&gt;"",FT!C144,"")</f>
        <v>57.713200000000001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3.0989100000000001</v>
      </c>
      <c r="G145" s="61">
        <f>IF(FT!B145&lt;&gt;"",FT!B145*100,"")</f>
        <v>36.898399999999995</v>
      </c>
      <c r="H145" s="61">
        <f t="shared" si="13"/>
        <v>1</v>
      </c>
      <c r="I145" t="str">
        <f>IF(FT!B145&lt;&gt;"",FT!E145,"")</f>
        <v>2 [58.118195]</v>
      </c>
      <c r="J145">
        <f>IF(FT!B145&lt;&gt;"",FT!C145,"")</f>
        <v>58.118200000000002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3.0828299999999995</v>
      </c>
      <c r="G146" s="61">
        <f>IF(FT!B146&lt;&gt;"",FT!B146*100,"")</f>
        <v>36.991500000000002</v>
      </c>
      <c r="H146" s="61">
        <f t="shared" si="13"/>
        <v>1</v>
      </c>
      <c r="I146" t="str">
        <f>IF(FT!B146&lt;&gt;"",FT!E146,"")</f>
        <v>2 [58.527981]</v>
      </c>
      <c r="J146">
        <f>IF(FT!B146&lt;&gt;"",FT!C146,"")</f>
        <v>58.527999999999999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10539</v>
      </c>
      <c r="D147" s="61">
        <f>FH!B147*1</f>
        <v>10539</v>
      </c>
      <c r="E147">
        <f t="shared" si="15"/>
        <v>145</v>
      </c>
      <c r="F147" s="61">
        <f>IF(FT!A147&lt;&gt;"",FT!A147*10,"")</f>
        <v>3.05105</v>
      </c>
      <c r="G147" s="61">
        <f>IF(FT!B147&lt;&gt;"",FT!B147*100,"")</f>
        <v>37.248100000000001</v>
      </c>
      <c r="H147" s="61">
        <f t="shared" si="13"/>
        <v>1</v>
      </c>
      <c r="I147" t="str">
        <f>IF(FT!B147&lt;&gt;"",FT!E147,"")</f>
        <v>2 [58.934850]</v>
      </c>
      <c r="J147">
        <f>IF(FT!B147&lt;&gt;"",FT!C147,"")</f>
        <v>58.934800000000003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3.0424199999999999</v>
      </c>
      <c r="G148" s="61">
        <f>IF(FT!B148&lt;&gt;"",FT!B148*100,"")</f>
        <v>37.251600000000003</v>
      </c>
      <c r="H148" s="61">
        <f t="shared" si="13"/>
        <v>1</v>
      </c>
      <c r="I148" t="str">
        <f>IF(FT!B148&lt;&gt;"",FT!E148,"")</f>
        <v>2 [59.340791]</v>
      </c>
      <c r="J148">
        <f>IF(FT!B148&lt;&gt;"",FT!C148,"")</f>
        <v>59.340800000000002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9842</v>
      </c>
      <c r="D149" s="61">
        <f>FH!B149*1</f>
        <v>9842</v>
      </c>
      <c r="E149">
        <f t="shared" si="15"/>
        <v>147</v>
      </c>
      <c r="F149" s="61">
        <f>IF(FT!A149&lt;&gt;"",FT!A149*10,"")</f>
        <v>3.0276300000000003</v>
      </c>
      <c r="G149" s="61">
        <f>IF(FT!B149&lt;&gt;"",FT!B149*100,"")</f>
        <v>37.204000000000001</v>
      </c>
      <c r="H149" s="61">
        <f t="shared" si="13"/>
        <v>1</v>
      </c>
      <c r="I149" t="str">
        <f>IF(FT!B149&lt;&gt;"",FT!E149,"")</f>
        <v>2 [59.745732]</v>
      </c>
      <c r="J149">
        <f>IF(FT!B149&lt;&gt;"",FT!C149,"")</f>
        <v>59.745699999999999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5479</v>
      </c>
      <c r="D152" s="61">
        <f>FH!B152*1</f>
        <v>5479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5739</v>
      </c>
      <c r="D154" s="61">
        <f>FH!B154*1</f>
        <v>5739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4316</v>
      </c>
      <c r="D157" s="61">
        <f>FH!B157*1</f>
        <v>4316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3119</v>
      </c>
      <c r="D160" s="61">
        <f>FH!B160*1</f>
        <v>3119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611</v>
      </c>
      <c r="D162" s="61">
        <f>FH!B162*1</f>
        <v>611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121</v>
      </c>
      <c r="D165" s="61">
        <f>FH!B165*1</f>
        <v>121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179</v>
      </c>
      <c r="D167" s="61">
        <f>FH!B167*1</f>
        <v>179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120</v>
      </c>
      <c r="D170" s="61">
        <f>FH!B170*1</f>
        <v>120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60</v>
      </c>
      <c r="D173" s="61">
        <f>FH!B173*1</f>
        <v>60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296</v>
      </c>
      <c r="D175" s="61">
        <f>FH!B175*1</f>
        <v>296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1072</v>
      </c>
      <c r="D178" s="61">
        <f>FH!B178*1</f>
        <v>1072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243</v>
      </c>
      <c r="D180" s="61">
        <f>FH!B180*1</f>
        <v>243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33.112699999999997</v>
      </c>
      <c r="C5" s="66">
        <v>7.3593000000000002</v>
      </c>
      <c r="D5" s="66">
        <v>22.225000000000001</v>
      </c>
      <c r="E5" s="66">
        <v>20</v>
      </c>
      <c r="F5" s="66">
        <v>13.4305</v>
      </c>
      <c r="G5" s="66">
        <v>50</v>
      </c>
      <c r="H5" s="66">
        <v>46.0488</v>
      </c>
    </row>
    <row r="6" spans="1:8">
      <c r="A6" s="58" t="s">
        <v>303</v>
      </c>
      <c r="B6" s="66">
        <v>43.272799999999997</v>
      </c>
      <c r="C6" s="66">
        <v>2.2232599999999998</v>
      </c>
      <c r="D6" s="66">
        <v>5.1377600000000001</v>
      </c>
      <c r="E6" s="66">
        <v>20</v>
      </c>
      <c r="F6" s="66">
        <v>33.5077</v>
      </c>
      <c r="G6" s="66">
        <v>40</v>
      </c>
      <c r="H6" s="66">
        <v>46.851700000000001</v>
      </c>
    </row>
    <row r="7" spans="1:8">
      <c r="A7" s="58" t="s">
        <v>304</v>
      </c>
      <c r="B7" s="66">
        <v>29.0288</v>
      </c>
      <c r="C7" s="66">
        <v>7.4013900000000001</v>
      </c>
      <c r="D7" s="66">
        <v>25.496700000000001</v>
      </c>
      <c r="E7" s="66">
        <v>15</v>
      </c>
      <c r="F7" s="66">
        <v>10.907999999999999</v>
      </c>
      <c r="G7" s="66">
        <v>40</v>
      </c>
      <c r="H7" s="66">
        <v>42.980600000000003</v>
      </c>
    </row>
    <row r="8" spans="1:8">
      <c r="A8" s="58" t="s">
        <v>305</v>
      </c>
      <c r="B8" s="66">
        <v>33.896999999999998</v>
      </c>
      <c r="C8" s="66">
        <v>3.8128199999999999</v>
      </c>
      <c r="D8" s="66">
        <v>11.2483</v>
      </c>
      <c r="E8" s="66">
        <v>20</v>
      </c>
      <c r="F8" s="66">
        <v>23.112500000000001</v>
      </c>
      <c r="G8" s="66">
        <v>50</v>
      </c>
      <c r="H8" s="66">
        <v>40.721800000000002</v>
      </c>
    </row>
    <row r="9" spans="1:8">
      <c r="A9" s="58" t="s">
        <v>306</v>
      </c>
      <c r="B9" s="66">
        <v>71.253699999999995</v>
      </c>
      <c r="C9" s="66">
        <v>5.1561899999999996</v>
      </c>
      <c r="D9" s="66">
        <v>7.23637</v>
      </c>
      <c r="E9" s="66">
        <v>50</v>
      </c>
      <c r="F9" s="66">
        <v>60.647799999999997</v>
      </c>
      <c r="G9" s="66">
        <v>100</v>
      </c>
      <c r="H9" s="66">
        <v>84.483000000000004</v>
      </c>
    </row>
    <row r="10" spans="1:8">
      <c r="A10" s="58" t="s">
        <v>307</v>
      </c>
      <c r="B10" s="66">
        <v>54.2684</v>
      </c>
      <c r="C10" s="66">
        <v>9.5639099999999999</v>
      </c>
      <c r="D10" s="66">
        <v>17.6233</v>
      </c>
      <c r="E10" s="66">
        <v>40</v>
      </c>
      <c r="F10" s="66">
        <v>35.540500000000002</v>
      </c>
      <c r="G10" s="66">
        <v>100</v>
      </c>
      <c r="H10" s="66">
        <v>69.364800000000002</v>
      </c>
    </row>
    <row r="11" spans="1:8">
      <c r="A11" s="58" t="s">
        <v>308</v>
      </c>
      <c r="B11" s="66">
        <v>15.547000000000001</v>
      </c>
      <c r="C11" s="66">
        <v>3.04541</v>
      </c>
      <c r="D11" s="66">
        <v>19.5884</v>
      </c>
      <c r="E11" s="66">
        <v>10</v>
      </c>
      <c r="F11" s="66">
        <v>6.6571600000000002</v>
      </c>
      <c r="G11" s="66">
        <v>50</v>
      </c>
      <c r="H11" s="66">
        <v>19.8353</v>
      </c>
    </row>
    <row r="12" spans="1:8">
      <c r="A12" s="58" t="s">
        <v>309</v>
      </c>
      <c r="B12" s="66">
        <v>62.035299999999999</v>
      </c>
      <c r="C12" s="66">
        <v>5.5383100000000001</v>
      </c>
      <c r="D12" s="66">
        <v>8.9276800000000005</v>
      </c>
      <c r="E12" s="66">
        <v>50</v>
      </c>
      <c r="F12" s="66">
        <v>51.923200000000001</v>
      </c>
      <c r="G12" s="66">
        <v>100</v>
      </c>
      <c r="H12" s="66">
        <v>75.877600000000001</v>
      </c>
    </row>
    <row r="13" spans="1:8">
      <c r="A13" s="58" t="s">
        <v>310</v>
      </c>
      <c r="B13" s="66">
        <v>14.896599999999999</v>
      </c>
      <c r="C13" s="66">
        <v>2.52271</v>
      </c>
      <c r="D13" s="66">
        <v>16.934799999999999</v>
      </c>
      <c r="E13" s="66">
        <v>10</v>
      </c>
      <c r="F13" s="66">
        <v>11.569100000000001</v>
      </c>
      <c r="G13" s="66">
        <v>25</v>
      </c>
      <c r="H13" s="66">
        <v>24.425000000000001</v>
      </c>
    </row>
    <row r="14" spans="1:8">
      <c r="A14" s="58" t="s">
        <v>311</v>
      </c>
      <c r="B14" s="66">
        <v>25.2271</v>
      </c>
      <c r="C14" s="66">
        <v>8.6836000000000002</v>
      </c>
      <c r="D14" s="66">
        <v>34.421700000000001</v>
      </c>
      <c r="E14" s="66">
        <v>10</v>
      </c>
      <c r="F14" s="66">
        <v>7.3976799999999995E-2</v>
      </c>
      <c r="G14" s="66">
        <v>50</v>
      </c>
      <c r="H14" s="66">
        <v>29.2395</v>
      </c>
    </row>
    <row r="15" spans="1:8">
      <c r="A15" s="58" t="s">
        <v>312</v>
      </c>
      <c r="B15" s="66">
        <v>-7.2556900000000004E-3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5.8093699999999998E-2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16.884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0.64526300000000003</v>
      </c>
      <c r="C18" s="66">
        <v>1.1243E-2</v>
      </c>
      <c r="D18" s="66">
        <v>1.7423899999999999E-2</v>
      </c>
      <c r="E18" s="66">
        <v>0</v>
      </c>
      <c r="F18" s="66">
        <v>0.63402000000000003</v>
      </c>
      <c r="G18" s="66">
        <v>0</v>
      </c>
      <c r="H18" s="66">
        <v>0.65650600000000003</v>
      </c>
    </row>
    <row r="19" spans="1:8">
      <c r="A19" s="58" t="s">
        <v>316</v>
      </c>
      <c r="B19" s="66">
        <v>0.68492600000000003</v>
      </c>
      <c r="C19" s="66">
        <v>1.33577E-2</v>
      </c>
      <c r="D19" s="66">
        <v>1.95023E-2</v>
      </c>
      <c r="E19" s="66">
        <v>0</v>
      </c>
      <c r="F19" s="66">
        <v>0.67156899999999997</v>
      </c>
      <c r="G19" s="66">
        <v>0</v>
      </c>
      <c r="H19" s="66">
        <v>0.69828400000000002</v>
      </c>
    </row>
    <row r="20" spans="1:8">
      <c r="A20" s="58" t="s">
        <v>317</v>
      </c>
      <c r="B20" s="66">
        <v>1.4957499999999999E-4</v>
      </c>
      <c r="C20" s="66">
        <v>1.8147900000000002E-2</v>
      </c>
      <c r="D20" s="66">
        <v>121.32899999999999</v>
      </c>
      <c r="E20" s="66">
        <v>0</v>
      </c>
      <c r="F20" s="66">
        <v>0</v>
      </c>
      <c r="G20" s="66">
        <v>0</v>
      </c>
      <c r="H20" s="66">
        <v>0.24624299999999999</v>
      </c>
    </row>
    <row r="21" spans="1:8">
      <c r="A21" s="58" t="s">
        <v>318</v>
      </c>
      <c r="B21" s="66">
        <v>1.4254599999999999E-2</v>
      </c>
      <c r="C21" s="66">
        <v>5.6420900000000003E-2</v>
      </c>
      <c r="D21" s="66">
        <v>3.9580899999999999</v>
      </c>
      <c r="E21" s="66">
        <v>0</v>
      </c>
      <c r="F21" s="196">
        <v>1.6429199999999998E-5</v>
      </c>
      <c r="G21" s="66">
        <v>0</v>
      </c>
      <c r="H21" s="66">
        <v>0.30504399999999998</v>
      </c>
    </row>
    <row r="22" spans="1:8">
      <c r="A22" s="58" t="s">
        <v>319</v>
      </c>
      <c r="B22" s="66">
        <v>31.856200000000001</v>
      </c>
      <c r="C22" s="66">
        <v>17.836200000000002</v>
      </c>
      <c r="D22" s="66">
        <v>0.55989800000000001</v>
      </c>
      <c r="E22" s="66">
        <v>0</v>
      </c>
      <c r="F22" s="66">
        <v>11.002000000000001</v>
      </c>
      <c r="G22" s="66">
        <v>0</v>
      </c>
      <c r="H22" s="66">
        <v>106.15900000000001</v>
      </c>
    </row>
    <row r="23" spans="1:8">
      <c r="A23" s="58" t="s">
        <v>320</v>
      </c>
      <c r="B23" s="66">
        <v>18.039899999999999</v>
      </c>
      <c r="C23" s="66">
        <v>4.7096200000000001</v>
      </c>
      <c r="D23" s="66">
        <v>0.26106699999999999</v>
      </c>
      <c r="E23" s="66">
        <v>0</v>
      </c>
      <c r="F23" s="66">
        <v>6.3843199999999998</v>
      </c>
      <c r="G23" s="66">
        <v>0</v>
      </c>
      <c r="H23" s="66">
        <v>24.433599999999998</v>
      </c>
    </row>
    <row r="24" spans="1:8">
      <c r="A24" s="58" t="s">
        <v>321</v>
      </c>
      <c r="B24" s="66">
        <v>1.8489999999999999E-4</v>
      </c>
      <c r="C24" s="66">
        <v>1.32579E-2</v>
      </c>
      <c r="D24" s="66">
        <v>71.7029</v>
      </c>
      <c r="E24" s="66">
        <v>0</v>
      </c>
      <c r="F24" s="196">
        <v>3.9939299999999999E-5</v>
      </c>
      <c r="G24" s="66">
        <v>0</v>
      </c>
      <c r="H24" s="66">
        <v>0.14346900000000001</v>
      </c>
    </row>
    <row r="25" spans="1:8">
      <c r="A25" s="58" t="s">
        <v>322</v>
      </c>
      <c r="B25" s="66">
        <v>3.8119E-2</v>
      </c>
      <c r="C25" s="66">
        <v>2.11439E-2</v>
      </c>
      <c r="D25" s="66">
        <v>0.55468300000000004</v>
      </c>
      <c r="E25" s="66">
        <v>0</v>
      </c>
      <c r="F25" s="66">
        <v>3.4400300000000002E-3</v>
      </c>
      <c r="G25" s="66">
        <v>0</v>
      </c>
      <c r="H25" s="66">
        <v>0.10620599999999999</v>
      </c>
    </row>
    <row r="26" spans="1:8">
      <c r="A26" s="58" t="s">
        <v>323</v>
      </c>
      <c r="B26" s="196">
        <v>5.5803600000000002E-5</v>
      </c>
      <c r="C26" s="66">
        <v>2.1635999999999999E-3</v>
      </c>
      <c r="D26" s="66">
        <v>38.771599999999999</v>
      </c>
      <c r="E26" s="66">
        <v>0</v>
      </c>
      <c r="F26" s="66">
        <v>0</v>
      </c>
      <c r="G26" s="66">
        <v>0</v>
      </c>
      <c r="H26" s="66">
        <v>3.3409899999999999E-2</v>
      </c>
    </row>
    <row r="27" spans="1:8">
      <c r="A27" s="58" t="s">
        <v>324</v>
      </c>
      <c r="B27" s="196">
        <v>-3.2825599999999999E-6</v>
      </c>
      <c r="C27" s="66">
        <v>8.5817900000000004E-4</v>
      </c>
      <c r="D27" s="66">
        <v>-261.43599999999998</v>
      </c>
      <c r="E27" s="66">
        <v>0</v>
      </c>
      <c r="F27" s="66">
        <v>-7.8256300000000001E-3</v>
      </c>
      <c r="G27" s="66">
        <v>0</v>
      </c>
      <c r="H27" s="66">
        <v>9.1747600000000006E-3</v>
      </c>
    </row>
    <row r="28" spans="1:8">
      <c r="A28" s="58" t="s">
        <v>325</v>
      </c>
      <c r="B28" s="66">
        <v>2.9052700000000002E-3</v>
      </c>
      <c r="C28" s="66">
        <v>5.4816200000000004E-3</v>
      </c>
      <c r="D28" s="66">
        <v>1.8867799999999999</v>
      </c>
      <c r="E28" s="66">
        <v>0</v>
      </c>
      <c r="F28" s="196">
        <v>3.25521E-6</v>
      </c>
      <c r="G28" s="66">
        <v>0</v>
      </c>
      <c r="H28" s="66">
        <v>3.45052E-2</v>
      </c>
    </row>
    <row r="29" spans="1:8">
      <c r="A29" s="58" t="s">
        <v>326</v>
      </c>
      <c r="B29" s="66">
        <v>59.627400000000002</v>
      </c>
      <c r="C29" s="66">
        <v>8.3019999999999996</v>
      </c>
      <c r="D29" s="66">
        <v>0.13923099999999999</v>
      </c>
      <c r="E29" s="66">
        <v>0</v>
      </c>
      <c r="F29" s="66">
        <v>38.526200000000003</v>
      </c>
      <c r="G29" s="66">
        <v>0</v>
      </c>
      <c r="H29" s="66">
        <v>87.276799999999994</v>
      </c>
    </row>
    <row r="30" spans="1:8">
      <c r="A30" s="58" t="s">
        <v>327</v>
      </c>
      <c r="B30" s="66">
        <v>22.685300000000002</v>
      </c>
      <c r="C30" s="66">
        <v>4.5943800000000001</v>
      </c>
      <c r="D30" s="66">
        <v>0.20252700000000001</v>
      </c>
      <c r="E30" s="66">
        <v>0</v>
      </c>
      <c r="F30" s="66">
        <v>9.9035600000000006</v>
      </c>
      <c r="G30" s="66">
        <v>0</v>
      </c>
      <c r="H30" s="66">
        <v>28.9131</v>
      </c>
    </row>
    <row r="31" spans="1:8">
      <c r="A31" s="58" t="s">
        <v>328</v>
      </c>
      <c r="B31" s="66">
        <v>160.36799999999999</v>
      </c>
      <c r="C31" s="66">
        <v>58.547400000000003</v>
      </c>
      <c r="D31" s="66">
        <v>0.36508099999999999</v>
      </c>
      <c r="E31" s="66">
        <v>0</v>
      </c>
      <c r="F31" s="66">
        <v>19.9389</v>
      </c>
      <c r="G31" s="66">
        <v>0</v>
      </c>
      <c r="H31" s="66">
        <v>220.54300000000001</v>
      </c>
    </row>
    <row r="32" spans="1:8">
      <c r="A32" s="58" t="s">
        <v>329</v>
      </c>
      <c r="B32" s="66">
        <v>0.29028799999999999</v>
      </c>
      <c r="C32" s="66">
        <v>7.4013899999999994E-2</v>
      </c>
      <c r="D32" s="66">
        <v>0.254967</v>
      </c>
      <c r="E32" s="66">
        <v>0.15</v>
      </c>
      <c r="F32" s="66">
        <v>0.10908</v>
      </c>
      <c r="G32" s="66">
        <v>0.4</v>
      </c>
      <c r="H32" s="66">
        <v>0.42980600000000002</v>
      </c>
    </row>
    <row r="33" spans="1:8">
      <c r="A33" s="58" t="s">
        <v>330</v>
      </c>
      <c r="B33" s="66">
        <v>0.45452999999999999</v>
      </c>
      <c r="C33" s="66">
        <v>2.3393500000000001E-2</v>
      </c>
      <c r="D33" s="66">
        <v>5.1467499999999999E-2</v>
      </c>
      <c r="E33" s="66">
        <v>0</v>
      </c>
      <c r="F33" s="66">
        <v>0.39160200000000001</v>
      </c>
      <c r="G33" s="66">
        <v>0</v>
      </c>
      <c r="H33" s="66">
        <v>0.49667099999999997</v>
      </c>
    </row>
    <row r="34" spans="1:8">
      <c r="A34" s="58" t="s">
        <v>331</v>
      </c>
      <c r="B34" s="66">
        <v>0.14896599999999999</v>
      </c>
      <c r="C34" s="66">
        <v>2.5227099999999999E-2</v>
      </c>
      <c r="D34" s="66">
        <v>0.169348</v>
      </c>
      <c r="E34" s="66">
        <v>0.1</v>
      </c>
      <c r="F34" s="66">
        <v>0.115691</v>
      </c>
      <c r="G34" s="66">
        <v>0.25</v>
      </c>
      <c r="H34" s="66">
        <v>0.24424999999999999</v>
      </c>
    </row>
    <row r="35" spans="1:8">
      <c r="A35" s="58" t="s">
        <v>332</v>
      </c>
      <c r="B35" s="66">
        <v>7.8208399999999997E-2</v>
      </c>
      <c r="C35" s="66">
        <v>2.3625500000000001E-2</v>
      </c>
      <c r="D35" s="66">
        <v>0.30208400000000002</v>
      </c>
      <c r="E35" s="66">
        <v>0</v>
      </c>
      <c r="F35" s="66">
        <v>2.79061E-2</v>
      </c>
      <c r="G35" s="66">
        <v>0</v>
      </c>
      <c r="H35" s="66">
        <v>0.13511899999999999</v>
      </c>
    </row>
    <row r="36" spans="1:8">
      <c r="A36" s="58" t="s">
        <v>333</v>
      </c>
      <c r="B36" s="66">
        <v>0.122831</v>
      </c>
      <c r="C36" s="66">
        <v>8.8237700000000002E-2</v>
      </c>
      <c r="D36" s="66">
        <v>0.71836800000000001</v>
      </c>
      <c r="E36" s="66">
        <v>0</v>
      </c>
      <c r="F36" s="66">
        <v>3.69921E-2</v>
      </c>
      <c r="G36" s="66">
        <v>0</v>
      </c>
      <c r="H36" s="66">
        <v>0.472107</v>
      </c>
    </row>
    <row r="37" spans="1:8">
      <c r="A37" s="58" t="s">
        <v>334</v>
      </c>
      <c r="B37" s="66">
        <v>0.25227100000000002</v>
      </c>
      <c r="C37" s="66">
        <v>8.6835999999999997E-2</v>
      </c>
      <c r="D37" s="66">
        <v>0.344217</v>
      </c>
      <c r="E37" s="66">
        <v>0.1</v>
      </c>
      <c r="F37" s="66">
        <v>7.3976800000000002E-4</v>
      </c>
      <c r="G37" s="66">
        <v>0.5</v>
      </c>
      <c r="H37" s="66">
        <v>0.29239500000000002</v>
      </c>
    </row>
    <row r="38" spans="1:8">
      <c r="A38" s="58" t="s">
        <v>335</v>
      </c>
      <c r="B38" s="66">
        <v>-2.52475</v>
      </c>
      <c r="C38" s="66">
        <v>33.577599999999997</v>
      </c>
      <c r="D38" s="66">
        <v>-13.2994</v>
      </c>
      <c r="E38" s="66">
        <v>0</v>
      </c>
      <c r="F38" s="66">
        <v>-146.59299999999999</v>
      </c>
      <c r="G38" s="66">
        <v>0</v>
      </c>
      <c r="H38" s="66">
        <v>145.66</v>
      </c>
    </row>
    <row r="39" spans="1:8">
      <c r="A39" s="58" t="s">
        <v>336</v>
      </c>
      <c r="B39" s="66">
        <v>-4.4060300000000003</v>
      </c>
      <c r="C39" s="66">
        <v>4.3241100000000001</v>
      </c>
      <c r="D39" s="66">
        <v>-0.98140799999999995</v>
      </c>
      <c r="E39" s="66">
        <v>0</v>
      </c>
      <c r="F39" s="66">
        <v>-9.3995499999999996</v>
      </c>
      <c r="G39" s="66">
        <v>0</v>
      </c>
      <c r="H39" s="66">
        <v>38.456299999999999</v>
      </c>
    </row>
    <row r="40" spans="1:8">
      <c r="A40" s="58" t="s">
        <v>337</v>
      </c>
      <c r="B40" s="66">
        <v>-2.0691600000000001</v>
      </c>
      <c r="C40" s="66">
        <v>0.57281000000000004</v>
      </c>
      <c r="D40" s="66">
        <v>-0.27683200000000002</v>
      </c>
      <c r="E40" s="66">
        <v>0</v>
      </c>
      <c r="F40" s="66">
        <v>-3.2421000000000002</v>
      </c>
      <c r="G40" s="66">
        <v>0</v>
      </c>
      <c r="H40" s="66">
        <v>-0.94087299999999996</v>
      </c>
    </row>
    <row r="41" spans="1:8">
      <c r="A41" s="58" t="s">
        <v>338</v>
      </c>
      <c r="B41" s="66">
        <v>0</v>
      </c>
      <c r="C41" s="66">
        <v>0.46325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-0.16913800000000001</v>
      </c>
      <c r="C42" s="66">
        <v>0.13628799999999999</v>
      </c>
      <c r="D42" s="66">
        <v>-0.80577600000000005</v>
      </c>
      <c r="E42" s="66">
        <v>0</v>
      </c>
      <c r="F42" s="66">
        <v>-0.471634</v>
      </c>
      <c r="G42" s="66">
        <v>0</v>
      </c>
      <c r="H42" s="66">
        <v>0.56073600000000001</v>
      </c>
    </row>
    <row r="43" spans="1:8">
      <c r="A43" s="58" t="s">
        <v>340</v>
      </c>
      <c r="B43" s="66">
        <v>-0.19064400000000001</v>
      </c>
      <c r="C43" s="66">
        <v>3.8710399999999999E-2</v>
      </c>
      <c r="D43" s="66">
        <v>-0.20305100000000001</v>
      </c>
      <c r="E43" s="66">
        <v>0</v>
      </c>
      <c r="F43" s="66">
        <v>-0.27817799999999998</v>
      </c>
      <c r="G43" s="66">
        <v>0</v>
      </c>
      <c r="H43" s="66">
        <v>-7.3950000000000002E-2</v>
      </c>
    </row>
    <row r="44" spans="1:8">
      <c r="A44" s="58" t="s">
        <v>341</v>
      </c>
      <c r="B44" s="66">
        <v>-33.143999999999998</v>
      </c>
      <c r="C44" s="66">
        <v>15.1166</v>
      </c>
      <c r="D44" s="66">
        <v>-0.45608900000000002</v>
      </c>
      <c r="E44" s="66">
        <v>0</v>
      </c>
      <c r="F44" s="66">
        <v>-48.4437</v>
      </c>
      <c r="G44" s="66">
        <v>0</v>
      </c>
      <c r="H44" s="66">
        <v>4.1240699999999997</v>
      </c>
    </row>
    <row r="45" spans="1:8">
      <c r="A45" s="58" t="s">
        <v>342</v>
      </c>
      <c r="B45" s="66">
        <v>49.63</v>
      </c>
      <c r="C45" s="66">
        <v>7.3729899999999997</v>
      </c>
      <c r="D45" s="66">
        <v>0.148559</v>
      </c>
      <c r="E45" s="66">
        <v>0</v>
      </c>
      <c r="F45" s="66">
        <v>29.509799999999998</v>
      </c>
      <c r="G45" s="66">
        <v>0</v>
      </c>
      <c r="H45" s="66">
        <v>77.816699999999997</v>
      </c>
    </row>
    <row r="46" spans="1:8">
      <c r="A46" s="58" t="s">
        <v>343</v>
      </c>
      <c r="B46" s="66">
        <v>29.5213</v>
      </c>
      <c r="C46" s="66">
        <v>6.2286099999999998</v>
      </c>
      <c r="D46" s="66">
        <v>0.21098700000000001</v>
      </c>
      <c r="E46" s="66">
        <v>0</v>
      </c>
      <c r="F46" s="66">
        <v>11.085900000000001</v>
      </c>
      <c r="G46" s="66">
        <v>0</v>
      </c>
      <c r="H46" s="66">
        <v>38.760899999999999</v>
      </c>
    </row>
    <row r="47" spans="1:8">
      <c r="A47" s="58" t="s">
        <v>344</v>
      </c>
      <c r="B47" s="66">
        <v>0.47159200000000001</v>
      </c>
      <c r="C47" s="66">
        <v>0.192631</v>
      </c>
      <c r="D47" s="66">
        <v>0.40847</v>
      </c>
      <c r="E47" s="66">
        <v>0</v>
      </c>
      <c r="F47" s="66">
        <v>0.19314300000000001</v>
      </c>
      <c r="G47" s="66">
        <v>0</v>
      </c>
      <c r="H47" s="66">
        <v>1.1794899999999999</v>
      </c>
    </row>
    <row r="48" spans="1:8">
      <c r="A48" s="58" t="s">
        <v>345</v>
      </c>
      <c r="B48" s="66">
        <v>0.62286399999999997</v>
      </c>
      <c r="C48" s="66">
        <v>8.1762299999999996E-2</v>
      </c>
      <c r="D48" s="66">
        <v>0.131268</v>
      </c>
      <c r="E48" s="66">
        <v>0</v>
      </c>
      <c r="F48" s="66">
        <v>0.50323799999999996</v>
      </c>
      <c r="G48" s="66">
        <v>0</v>
      </c>
      <c r="H48" s="66">
        <v>0.86966699999999997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9.9192</v>
      </c>
      <c r="C5" s="66">
        <f>'M2'!C5-'M1'!C5</f>
        <v>-0.60791000000000039</v>
      </c>
      <c r="D5" s="66">
        <f>'M2'!D5-'M1'!D5</f>
        <v>-5.8387999999999991</v>
      </c>
      <c r="E5" s="66">
        <f>'M2'!E5-'M1'!E5</f>
        <v>0</v>
      </c>
      <c r="F5" s="66">
        <f>'M2'!F5-'M1'!F5</f>
        <v>15.3514</v>
      </c>
      <c r="G5" s="66">
        <f>'M2'!G5-'M1'!G5</f>
        <v>0</v>
      </c>
      <c r="H5" s="66">
        <f>'M2'!H5-'M1'!H5</f>
        <v>8.6146999999999991</v>
      </c>
    </row>
    <row r="6" spans="1:8">
      <c r="A6" s="66" t="s">
        <v>244</v>
      </c>
      <c r="B6" s="66">
        <f>'M2'!B6-'M1'!B6</f>
        <v>0.1472000000000051</v>
      </c>
      <c r="C6" s="66">
        <f>'M2'!C6-'M1'!C6</f>
        <v>-1.52949</v>
      </c>
      <c r="D6" s="66">
        <f>'M2'!D6-'M1'!D6</f>
        <v>-3.5492799999999995</v>
      </c>
      <c r="E6" s="66">
        <f>'M2'!E6-'M1'!E6</f>
        <v>0</v>
      </c>
      <c r="F6" s="66">
        <f>'M2'!F6-'M1'!F6</f>
        <v>6.8759000000000015</v>
      </c>
      <c r="G6" s="66">
        <f>'M2'!G6-'M1'!G6</f>
        <v>0</v>
      </c>
      <c r="H6" s="66">
        <f>'M2'!H6-'M1'!H6</f>
        <v>-1.2227000000000032</v>
      </c>
    </row>
    <row r="7" spans="1:8">
      <c r="A7" s="66" t="s">
        <v>245</v>
      </c>
      <c r="B7" s="66">
        <f>'M2'!B7-'M1'!B7</f>
        <v>8.0716999999999999</v>
      </c>
      <c r="C7" s="66">
        <f>'M2'!C7-'M1'!C7</f>
        <v>1.07409</v>
      </c>
      <c r="D7" s="66">
        <f>'M2'!D7-'M1'!D7</f>
        <v>-3.6604000000000028</v>
      </c>
      <c r="E7" s="66">
        <f>'M2'!E7-'M1'!E7</f>
        <v>0</v>
      </c>
      <c r="F7" s="66">
        <f>'M2'!F7-'M1'!F7</f>
        <v>-0.3985000000000003</v>
      </c>
      <c r="G7" s="66">
        <f>'M2'!G7-'M1'!G7</f>
        <v>0</v>
      </c>
      <c r="H7" s="66">
        <f>'M2'!H7-'M1'!H7</f>
        <v>-1.5191000000000017</v>
      </c>
    </row>
    <row r="8" spans="1:8">
      <c r="A8" s="66" t="s">
        <v>246</v>
      </c>
      <c r="B8" s="66">
        <f>'M2'!B8-'M1'!B8</f>
        <v>4.68</v>
      </c>
      <c r="C8" s="66">
        <f>'M2'!C8-'M1'!C8</f>
        <v>-0.5964400000000003</v>
      </c>
      <c r="D8" s="66">
        <f>'M2'!D8-'M1'!D8</f>
        <v>-2.86564</v>
      </c>
      <c r="E8" s="66">
        <f>'M2'!E8-'M1'!E8</f>
        <v>0</v>
      </c>
      <c r="F8" s="66">
        <f>'M2'!F8-'M1'!F8</f>
        <v>8.8783999999999992</v>
      </c>
      <c r="G8" s="66">
        <f>'M2'!G8-'M1'!G8</f>
        <v>0</v>
      </c>
      <c r="H8" s="66">
        <f>'M2'!H8-'M1'!H8</f>
        <v>2.3729000000000013</v>
      </c>
    </row>
    <row r="9" spans="1:8">
      <c r="A9" s="66" t="s">
        <v>247</v>
      </c>
      <c r="B9" s="66">
        <f>'M2'!B9-'M1'!B9</f>
        <v>-3.219300000000004</v>
      </c>
      <c r="C9" s="66">
        <f>'M2'!C9-'M1'!C9</f>
        <v>-3.4714099999999997</v>
      </c>
      <c r="D9" s="66">
        <f>'M2'!D9-'M1'!D9</f>
        <v>-4.5220700000000003</v>
      </c>
      <c r="E9" s="66">
        <f>'M2'!E9-'M1'!E9</f>
        <v>0</v>
      </c>
      <c r="F9" s="66">
        <f>'M2'!F9-'M1'!F9</f>
        <v>2.2913000000000068</v>
      </c>
      <c r="G9" s="66">
        <f>'M2'!G9-'M1'!G9</f>
        <v>0</v>
      </c>
      <c r="H9" s="66">
        <f>'M2'!H9-'M1'!H9</f>
        <v>-5.8918000000000035</v>
      </c>
    </row>
    <row r="10" spans="1:8">
      <c r="A10" s="66" t="s">
        <v>248</v>
      </c>
      <c r="B10" s="66">
        <f>'M2'!B10-'M1'!B10</f>
        <v>-16.225200000000001</v>
      </c>
      <c r="C10" s="66">
        <f>'M2'!C10-'M1'!C10</f>
        <v>-1.2924100000000003</v>
      </c>
      <c r="D10" s="66">
        <f>'M2'!D10-'M1'!D10</f>
        <v>1.0669000000000004</v>
      </c>
      <c r="E10" s="66">
        <f>'M2'!E10-'M1'!E10</f>
        <v>0</v>
      </c>
      <c r="F10" s="66">
        <f>'M2'!F10-'M1'!F10</f>
        <v>-4.1993999999999971</v>
      </c>
      <c r="G10" s="66">
        <f>'M2'!G10-'M1'!G10</f>
        <v>0</v>
      </c>
      <c r="H10" s="66">
        <f>'M2'!H10-'M1'!H10</f>
        <v>-13.748600000000003</v>
      </c>
    </row>
    <row r="11" spans="1:8">
      <c r="A11" s="66" t="s">
        <v>249</v>
      </c>
      <c r="B11" s="66">
        <f>'M2'!B11-'M1'!B11</f>
        <v>2.9199999999999982</v>
      </c>
      <c r="C11" s="66">
        <f>'M2'!C11-'M1'!C11</f>
        <v>-0.66870999999999992</v>
      </c>
      <c r="D11" s="66">
        <f>'M2'!D11-'M1'!D11</f>
        <v>-6.8549000000000007</v>
      </c>
      <c r="E11" s="66">
        <f>'M2'!E11-'M1'!E11</f>
        <v>0</v>
      </c>
      <c r="F11" s="66">
        <f>'M2'!F11-'M1'!F11</f>
        <v>6.2132399999999999</v>
      </c>
      <c r="G11" s="66">
        <f>'M2'!G11-'M1'!G11</f>
        <v>0</v>
      </c>
      <c r="H11" s="66">
        <f>'M2'!H11-'M1'!H11</f>
        <v>1.8024999999999984</v>
      </c>
    </row>
    <row r="12" spans="1:8">
      <c r="A12" s="66" t="s">
        <v>250</v>
      </c>
      <c r="B12" s="66">
        <f>'M2'!B12-'M1'!B12</f>
        <v>-7.1670000000000016</v>
      </c>
      <c r="C12" s="66">
        <f>'M2'!C12-'M1'!C12</f>
        <v>-2.0127300000000004</v>
      </c>
      <c r="D12" s="66">
        <f>'M2'!D12-'M1'!D12</f>
        <v>-2.5302699999999998</v>
      </c>
      <c r="E12" s="66">
        <f>'M2'!E12-'M1'!E12</f>
        <v>0</v>
      </c>
      <c r="F12" s="66">
        <f>'M2'!F12-'M1'!F12</f>
        <v>-4.7817000000000007</v>
      </c>
      <c r="G12" s="66">
        <f>'M2'!G12-'M1'!G12</f>
        <v>0</v>
      </c>
      <c r="H12" s="66">
        <f>'M2'!H12-'M1'!H12</f>
        <v>-12.321300000000001</v>
      </c>
    </row>
    <row r="13" spans="1:8">
      <c r="A13" s="66" t="s">
        <v>251</v>
      </c>
      <c r="B13" s="66">
        <f>'M2'!B13-'M1'!B13</f>
        <v>-0.41500000000000092</v>
      </c>
      <c r="C13" s="66">
        <f>'M2'!C13-'M1'!C13</f>
        <v>-5.1340000000000163E-2</v>
      </c>
      <c r="D13" s="66">
        <f>'M2'!D13-'M1'!D13</f>
        <v>0.12679999999999936</v>
      </c>
      <c r="E13" s="66">
        <f>'M2'!E13-'M1'!E13</f>
        <v>0</v>
      </c>
      <c r="F13" s="66">
        <f>'M2'!F13-'M1'!F13</f>
        <v>-0.28849999999999909</v>
      </c>
      <c r="G13" s="66">
        <f>'M2'!G13-'M1'!G13</f>
        <v>0</v>
      </c>
      <c r="H13" s="66">
        <f>'M2'!H13-'M1'!H13</f>
        <v>-0.31259999999999977</v>
      </c>
    </row>
    <row r="14" spans="1:8">
      <c r="A14" s="66" t="s">
        <v>252</v>
      </c>
      <c r="B14" s="66">
        <f>'M2'!B14-'M1'!B14</f>
        <v>-0.51340000000000074</v>
      </c>
      <c r="C14" s="66">
        <f>'M2'!C14-'M1'!C14</f>
        <v>-0.67656000000000027</v>
      </c>
      <c r="D14" s="66">
        <f>'M2'!D14-'M1'!D14</f>
        <v>-1.9875999999999934</v>
      </c>
      <c r="E14" s="66">
        <f>'M2'!E14-'M1'!E14</f>
        <v>0</v>
      </c>
      <c r="F14" s="66">
        <f>'M2'!F14-'M1'!F14</f>
        <v>2.8926232000000001</v>
      </c>
      <c r="G14" s="66">
        <f>'M2'!G14-'M1'!G14</f>
        <v>0</v>
      </c>
      <c r="H14" s="66">
        <f>'M2'!H14-'M1'!H14</f>
        <v>-3.4602000000000004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0.17760200000000004</v>
      </c>
      <c r="C18" s="66">
        <f>'M2'!C18-'M1'!C18</f>
        <v>1.1243E-2</v>
      </c>
      <c r="D18" s="66">
        <f>'M2'!D18-'M1'!D18</f>
        <v>1.7423899999999999E-2</v>
      </c>
      <c r="E18" s="66">
        <f>'M2'!E18-'M1'!E18</f>
        <v>0</v>
      </c>
      <c r="F18" s="66">
        <f>'M2'!F18-'M1'!F18</f>
        <v>0.63402000000000003</v>
      </c>
      <c r="G18" s="66">
        <f>'M2'!G18-'M1'!G18</f>
        <v>0</v>
      </c>
      <c r="H18" s="66">
        <f>'M2'!H18-'M1'!H18</f>
        <v>0.65650600000000003</v>
      </c>
    </row>
    <row r="19" spans="1:8">
      <c r="A19" s="66" t="s">
        <v>256</v>
      </c>
      <c r="B19" s="66">
        <f>'M2'!B19-'M1'!B19</f>
        <v>6.2167000000000083E-2</v>
      </c>
      <c r="C19" s="66">
        <f>'M2'!C19-'M1'!C19</f>
        <v>1.33577E-2</v>
      </c>
      <c r="D19" s="66">
        <f>'M2'!D19-'M1'!D19</f>
        <v>1.95023E-2</v>
      </c>
      <c r="E19" s="66">
        <f>'M2'!E19-'M1'!E19</f>
        <v>0</v>
      </c>
      <c r="F19" s="66">
        <f>'M2'!F19-'M1'!F19</f>
        <v>0.67156899999999997</v>
      </c>
      <c r="G19" s="66">
        <f>'M2'!G19-'M1'!G19</f>
        <v>0</v>
      </c>
      <c r="H19" s="66">
        <f>'M2'!H19-'M1'!H19</f>
        <v>0.69828400000000002</v>
      </c>
    </row>
    <row r="20" spans="1:8">
      <c r="A20" s="66" t="s">
        <v>63</v>
      </c>
      <c r="B20" s="66">
        <f>'M2'!B20-'M1'!B20</f>
        <v>-3.0586000000000008E-5</v>
      </c>
      <c r="C20" s="66">
        <f>'M2'!C20-'M1'!C20</f>
        <v>7.9704000000000007E-3</v>
      </c>
      <c r="D20" s="66">
        <f>'M2'!D20-'M1'!D20</f>
        <v>77.23060000000001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0.10558099999999998</v>
      </c>
    </row>
    <row r="21" spans="1:8">
      <c r="A21" s="66" t="s">
        <v>64</v>
      </c>
      <c r="B21" s="66">
        <f>'M2'!B21-'M1'!B21</f>
        <v>1.4560000000000007E-3</v>
      </c>
      <c r="C21" s="66">
        <f>'M2'!C21-'M1'!C21</f>
        <v>6.6739999999999994E-3</v>
      </c>
      <c r="D21" s="66">
        <f>'M2'!D21-'M1'!D21</f>
        <v>5.5320000000000036E-2</v>
      </c>
      <c r="E21" s="66">
        <f>'M2'!E21-'M1'!E21</f>
        <v>0</v>
      </c>
      <c r="F21" s="66">
        <f>'M2'!F21-'M1'!F21</f>
        <v>8.5592799999999991E-5</v>
      </c>
      <c r="G21" s="66">
        <f>'M2'!G21-'M1'!G21</f>
        <v>0</v>
      </c>
      <c r="H21" s="66">
        <f>'M2'!H21-'M1'!H21</f>
        <v>7.9345999999999972E-2</v>
      </c>
    </row>
    <row r="22" spans="1:8">
      <c r="A22" s="66" t="s">
        <v>65</v>
      </c>
      <c r="B22" s="66">
        <f>'M2'!B22-'M1'!B22</f>
        <v>5.3603999999999985</v>
      </c>
      <c r="C22" s="66">
        <f>'M2'!C22-'M1'!C22</f>
        <v>-1.4588999999999999</v>
      </c>
      <c r="D22" s="66">
        <f>'M2'!D22-'M1'!D22</f>
        <v>-0.140741</v>
      </c>
      <c r="E22" s="66">
        <f>'M2'!E22-'M1'!E22</f>
        <v>0</v>
      </c>
      <c r="F22" s="66">
        <f>'M2'!F22-'M1'!F22</f>
        <v>3.6870999999999992</v>
      </c>
      <c r="G22" s="66">
        <f>'M2'!G22-'M1'!G22</f>
        <v>0</v>
      </c>
      <c r="H22" s="66">
        <f>'M2'!H22-'M1'!H22</f>
        <v>-21.444100000000006</v>
      </c>
    </row>
    <row r="23" spans="1:8">
      <c r="A23" s="66" t="s">
        <v>66</v>
      </c>
      <c r="B23" s="66">
        <f>'M2'!B23-'M1'!B23</f>
        <v>7.4833999999999996</v>
      </c>
      <c r="C23" s="66">
        <f>'M2'!C23-'M1'!C23</f>
        <v>-1.5155299999999998</v>
      </c>
      <c r="D23" s="66">
        <f>'M2'!D23-'M1'!D23</f>
        <v>-0.17251310000000003</v>
      </c>
      <c r="E23" s="66">
        <f>'M2'!E23-'M1'!E23</f>
        <v>0</v>
      </c>
      <c r="F23" s="66">
        <f>'M2'!F23-'M1'!F23</f>
        <v>11.450380000000003</v>
      </c>
      <c r="G23" s="66">
        <f>'M2'!G23-'M1'!G23</f>
        <v>0</v>
      </c>
      <c r="H23" s="66">
        <f>'M2'!H23-'M1'!H23</f>
        <v>5.3385999999999996</v>
      </c>
    </row>
    <row r="24" spans="1:8">
      <c r="A24" s="66" t="s">
        <v>67</v>
      </c>
      <c r="B24" s="66">
        <f>'M2'!B24-'M1'!B24</f>
        <v>-9.8092000000000009E-5</v>
      </c>
      <c r="C24" s="66">
        <f>'M2'!C24-'M1'!C24</f>
        <v>8.6167900000000009E-3</v>
      </c>
      <c r="D24" s="66">
        <f>'M2'!D24-'M1'!D24</f>
        <v>84.619900000000001</v>
      </c>
      <c r="E24" s="66">
        <f>'M2'!E24-'M1'!E24</f>
        <v>0</v>
      </c>
      <c r="F24" s="66">
        <f>'M2'!F24-'M1'!F24</f>
        <v>-5.2676000000000036E-6</v>
      </c>
      <c r="G24" s="66">
        <f>'M2'!G24-'M1'!G24</f>
        <v>0</v>
      </c>
      <c r="H24" s="66">
        <f>'M2'!H24-'M1'!H24</f>
        <v>9.0759200000000012E-2</v>
      </c>
    </row>
    <row r="25" spans="1:8">
      <c r="A25" s="66" t="s">
        <v>68</v>
      </c>
      <c r="B25" s="66">
        <f>'M2'!B25-'M1'!B25</f>
        <v>-3.7546999999999997E-3</v>
      </c>
      <c r="C25" s="66">
        <f>'M2'!C25-'M1'!C25</f>
        <v>5.0118999999999997E-3</v>
      </c>
      <c r="D25" s="66">
        <f>'M2'!D25-'M1'!D25</f>
        <v>0.19401599999999997</v>
      </c>
      <c r="E25" s="66">
        <f>'M2'!E25-'M1'!E25</f>
        <v>0</v>
      </c>
      <c r="F25" s="66">
        <f>'M2'!F25-'M1'!F25</f>
        <v>6.4015800000000005E-3</v>
      </c>
      <c r="G25" s="66">
        <f>'M2'!G25-'M1'!G25</f>
        <v>0</v>
      </c>
      <c r="H25" s="66">
        <f>'M2'!H25-'M1'!H25</f>
        <v>2.2702E-2</v>
      </c>
    </row>
    <row r="26" spans="1:8">
      <c r="A26" s="66" t="s">
        <v>69</v>
      </c>
      <c r="B26" s="66">
        <f>'M2'!B26-'M1'!B26</f>
        <v>-1.3130300000000005E-5</v>
      </c>
      <c r="C26" s="66">
        <f>'M2'!C26-'M1'!C26</f>
        <v>1.6326099999999998E-3</v>
      </c>
      <c r="D26" s="66">
        <f>'M2'!D26-'M1'!D26</f>
        <v>38.194599999999994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1.9609999999999999E-2</v>
      </c>
    </row>
    <row r="27" spans="1:8">
      <c r="A27" s="66" t="s">
        <v>70</v>
      </c>
      <c r="B27" s="66">
        <f>'M2'!B27-'M1'!B27</f>
        <v>-3.2825699999999997E-6</v>
      </c>
      <c r="C27" s="66">
        <f>'M2'!C27-'M1'!C27</f>
        <v>3.1346100000000001E-4</v>
      </c>
      <c r="D27" s="66">
        <f>'M2'!D27-'M1'!D27</f>
        <v>56.999000000000024</v>
      </c>
      <c r="E27" s="66">
        <f>'M2'!E27-'M1'!E27</f>
        <v>0</v>
      </c>
      <c r="F27" s="66">
        <f>'M2'!F27-'M1'!F27</f>
        <v>-6.6307999999999992E-4</v>
      </c>
      <c r="G27" s="66">
        <f>'M2'!G27-'M1'!G27</f>
        <v>0</v>
      </c>
      <c r="H27" s="66">
        <f>'M2'!H27-'M1'!H27</f>
        <v>3.3876000000000002E-3</v>
      </c>
    </row>
    <row r="28" spans="1:8">
      <c r="A28" s="66" t="s">
        <v>71</v>
      </c>
      <c r="B28" s="66">
        <f>'M2'!B28-'M1'!B28</f>
        <v>-5.6969999999999937E-5</v>
      </c>
      <c r="C28" s="66">
        <f>'M2'!C28-'M1'!C28</f>
        <v>1.0294800000000002E-3</v>
      </c>
      <c r="D28" s="66">
        <f>'M2'!D28-'M1'!D28</f>
        <v>0.39013999999999971</v>
      </c>
      <c r="E28" s="66">
        <f>'M2'!E28-'M1'!E28</f>
        <v>0</v>
      </c>
      <c r="F28" s="66">
        <f>'M2'!F28-'M1'!F28</f>
        <v>2.9296890000000003E-5</v>
      </c>
      <c r="G28" s="66">
        <f>'M2'!G28-'M1'!G28</f>
        <v>0</v>
      </c>
      <c r="H28" s="66">
        <f>'M2'!H28-'M1'!H28</f>
        <v>1.22559E-2</v>
      </c>
    </row>
    <row r="29" spans="1:8">
      <c r="A29" s="66" t="s">
        <v>72</v>
      </c>
      <c r="B29" s="66">
        <f>'M2'!B29-'M1'!B29</f>
        <v>2.819899999999997</v>
      </c>
      <c r="C29" s="66">
        <f>'M2'!C29-'M1'!C29</f>
        <v>1.6870000000000829E-2</v>
      </c>
      <c r="D29" s="66">
        <f>'M2'!D29-'M1'!D29</f>
        <v>-6.1020000000000241E-3</v>
      </c>
      <c r="E29" s="66">
        <f>'M2'!E29-'M1'!E29</f>
        <v>0</v>
      </c>
      <c r="F29" s="66">
        <f>'M2'!F29-'M1'!F29</f>
        <v>3.7203999999999979</v>
      </c>
      <c r="G29" s="66">
        <f>'M2'!G29-'M1'!G29</f>
        <v>0</v>
      </c>
      <c r="H29" s="66">
        <f>'M2'!H29-'M1'!H29</f>
        <v>6.9870999999999981</v>
      </c>
    </row>
    <row r="30" spans="1:8">
      <c r="A30" s="66" t="s">
        <v>73</v>
      </c>
      <c r="B30" s="66">
        <f>'M2'!B30-'M1'!B30</f>
        <v>6.2196999999999996</v>
      </c>
      <c r="C30" s="66">
        <f>'M2'!C30-'M1'!C30</f>
        <v>-2.0549599999999999</v>
      </c>
      <c r="D30" s="66">
        <f>'M2'!D30-'M1'!D30</f>
        <v>-0.1287664</v>
      </c>
      <c r="E30" s="66">
        <f>'M2'!E30-'M1'!E30</f>
        <v>0</v>
      </c>
      <c r="F30" s="66">
        <f>'M2'!F30-'M1'!F30</f>
        <v>12.11134</v>
      </c>
      <c r="G30" s="66">
        <f>'M2'!G30-'M1'!G30</f>
        <v>0</v>
      </c>
      <c r="H30" s="66">
        <f>'M2'!H30-'M1'!H30</f>
        <v>5.6832999999999991</v>
      </c>
    </row>
    <row r="31" spans="1:8">
      <c r="A31" s="66" t="s">
        <v>74</v>
      </c>
      <c r="B31" s="66">
        <f>'M2'!B31-'M1'!B31</f>
        <v>101.03630000000001</v>
      </c>
      <c r="C31" s="66">
        <f>'M2'!C31-'M1'!C31</f>
        <v>-21.069799999999997</v>
      </c>
      <c r="D31" s="66">
        <f>'M2'!D31-'M1'!D31</f>
        <v>-0.3344068</v>
      </c>
      <c r="E31" s="66">
        <f>'M2'!E31-'M1'!E31</f>
        <v>0</v>
      </c>
      <c r="F31" s="66">
        <f>'M2'!F31-'M1'!F31</f>
        <v>140.42910000000001</v>
      </c>
      <c r="G31" s="66">
        <f>'M2'!G31-'M1'!G31</f>
        <v>0</v>
      </c>
      <c r="H31" s="66">
        <f>'M2'!H31-'M1'!H31</f>
        <v>55.936000000000007</v>
      </c>
    </row>
    <row r="32" spans="1:8">
      <c r="A32" s="66" t="s">
        <v>75</v>
      </c>
      <c r="B32" s="66">
        <f>'M2'!B32-'M1'!B32</f>
        <v>8.0716999999999983E-2</v>
      </c>
      <c r="C32" s="66">
        <f>'M2'!C32-'M1'!C32</f>
        <v>1.0740899999999998E-2</v>
      </c>
      <c r="D32" s="66">
        <f>'M2'!D32-'M1'!D32</f>
        <v>-3.6604000000000025E-2</v>
      </c>
      <c r="E32" s="66">
        <f>'M2'!E32-'M1'!E32</f>
        <v>0</v>
      </c>
      <c r="F32" s="66">
        <f>'M2'!F32-'M1'!F32</f>
        <v>-3.9850000000000024E-3</v>
      </c>
      <c r="G32" s="66">
        <f>'M2'!G32-'M1'!G32</f>
        <v>0</v>
      </c>
      <c r="H32" s="66">
        <f>'M2'!H32-'M1'!H32</f>
        <v>-1.519100000000001E-2</v>
      </c>
    </row>
    <row r="33" spans="1:8">
      <c r="A33" s="66" t="s">
        <v>76</v>
      </c>
      <c r="B33" s="66">
        <f>'M2'!B33-'M1'!B33</f>
        <v>-1.3778999999999986E-2</v>
      </c>
      <c r="C33" s="66">
        <f>'M2'!C33-'M1'!C33</f>
        <v>2.7829000000000013E-3</v>
      </c>
      <c r="D33" s="66">
        <f>'M2'!D33-'M1'!D33</f>
        <v>7.7272000000000035E-3</v>
      </c>
      <c r="E33" s="66">
        <f>'M2'!E33-'M1'!E33</f>
        <v>0</v>
      </c>
      <c r="F33" s="66">
        <f>'M2'!F33-'M1'!F33</f>
        <v>5.4730000000000056E-3</v>
      </c>
      <c r="G33" s="66">
        <f>'M2'!G33-'M1'!G33</f>
        <v>0</v>
      </c>
      <c r="H33" s="66">
        <f>'M2'!H33-'M1'!H33</f>
        <v>1.0048999999999975E-2</v>
      </c>
    </row>
    <row r="34" spans="1:8">
      <c r="A34" s="66" t="s">
        <v>77</v>
      </c>
      <c r="B34" s="66">
        <f>'M2'!B34-'M1'!B34</f>
        <v>-4.149999999999987E-3</v>
      </c>
      <c r="C34" s="66">
        <f>'M2'!C34-'M1'!C34</f>
        <v>-5.1340000000000066E-4</v>
      </c>
      <c r="D34" s="66">
        <f>'M2'!D34-'M1'!D34</f>
        <v>1.2679999999999914E-3</v>
      </c>
      <c r="E34" s="66">
        <f>'M2'!E34-'M1'!E34</f>
        <v>0</v>
      </c>
      <c r="F34" s="66">
        <f>'M2'!F34-'M1'!F34</f>
        <v>-2.8849999999999987E-3</v>
      </c>
      <c r="G34" s="66">
        <f>'M2'!G34-'M1'!G34</f>
        <v>0</v>
      </c>
      <c r="H34" s="66">
        <f>'M2'!H34-'M1'!H34</f>
        <v>-3.1259999999999899E-3</v>
      </c>
    </row>
    <row r="35" spans="1:8">
      <c r="A35" s="66" t="s">
        <v>78</v>
      </c>
      <c r="B35" s="66">
        <f>'M2'!B35-'M1'!B35</f>
        <v>-6.2101999999999991E-3</v>
      </c>
      <c r="C35" s="66">
        <f>'M2'!C35-'M1'!C35</f>
        <v>-1.9938000000000004E-3</v>
      </c>
      <c r="D35" s="66">
        <f>'M2'!D35-'M1'!D35</f>
        <v>-1.786999999999983E-3</v>
      </c>
      <c r="E35" s="66">
        <f>'M2'!E35-'M1'!E35</f>
        <v>0</v>
      </c>
      <c r="F35" s="66">
        <f>'M2'!F35-'M1'!F35</f>
        <v>-4.4863000000000021E-3</v>
      </c>
      <c r="G35" s="66">
        <f>'M2'!G35-'M1'!G35</f>
        <v>0</v>
      </c>
      <c r="H35" s="66">
        <f>'M2'!H35-'M1'!H35</f>
        <v>-1.029999999999999E-2</v>
      </c>
    </row>
    <row r="36" spans="1:8">
      <c r="A36" s="66" t="s">
        <v>79</v>
      </c>
      <c r="B36" s="66">
        <f>'M2'!B36-'M1'!B36</f>
        <v>9.1100000000000902E-4</v>
      </c>
      <c r="C36" s="66">
        <f>'M2'!C36-'M1'!C36</f>
        <v>-5.7332999999999967E-3</v>
      </c>
      <c r="D36" s="66">
        <f>'M2'!D36-'M1'!D36</f>
        <v>-5.200400000000005E-2</v>
      </c>
      <c r="E36" s="66">
        <f>'M2'!E36-'M1'!E36</f>
        <v>0</v>
      </c>
      <c r="F36" s="66">
        <f>'M2'!F36-'M1'!F36</f>
        <v>-2.8249999999999803E-4</v>
      </c>
      <c r="G36" s="66">
        <f>'M2'!G36-'M1'!G36</f>
        <v>0</v>
      </c>
      <c r="H36" s="66">
        <f>'M2'!H36-'M1'!H36</f>
        <v>-1.0971000000000009E-2</v>
      </c>
    </row>
    <row r="37" spans="1:8">
      <c r="A37" s="66" t="s">
        <v>80</v>
      </c>
      <c r="B37" s="66">
        <f>'M2'!B37-'M1'!B37</f>
        <v>-5.1339999999999997E-3</v>
      </c>
      <c r="C37" s="66">
        <f>'M2'!C37-'M1'!C37</f>
        <v>-6.7655999999999966E-3</v>
      </c>
      <c r="D37" s="66">
        <f>'M2'!D37-'M1'!D37</f>
        <v>-1.9876000000000005E-2</v>
      </c>
      <c r="E37" s="66">
        <f>'M2'!E37-'M1'!E37</f>
        <v>0</v>
      </c>
      <c r="F37" s="66">
        <f>'M2'!F37-'M1'!F37</f>
        <v>2.8926232000000003E-2</v>
      </c>
      <c r="G37" s="66">
        <f>'M2'!G37-'M1'!G37</f>
        <v>0</v>
      </c>
      <c r="H37" s="66">
        <f>'M2'!H37-'M1'!H37</f>
        <v>-3.4602000000000022E-2</v>
      </c>
    </row>
    <row r="38" spans="1:8">
      <c r="A38" s="66" t="s">
        <v>81</v>
      </c>
      <c r="B38" s="66">
        <f>'M2'!B38-'M1'!B38</f>
        <v>-10.6096</v>
      </c>
      <c r="C38" s="66">
        <f>'M2'!C38-'M1'!C38</f>
        <v>-10.024700000000003</v>
      </c>
      <c r="D38" s="66">
        <f>'M2'!D38-'M1'!D38</f>
        <v>-2.64059</v>
      </c>
      <c r="E38" s="66">
        <f>'M2'!E38-'M1'!E38</f>
        <v>0</v>
      </c>
      <c r="F38" s="66">
        <f>'M2'!F38-'M1'!F38</f>
        <v>82.845499999999987</v>
      </c>
      <c r="G38" s="66">
        <f>'M2'!G38-'M1'!G38</f>
        <v>0</v>
      </c>
      <c r="H38" s="66">
        <f>'M2'!H38-'M1'!H38</f>
        <v>-14.931999999999988</v>
      </c>
    </row>
    <row r="39" spans="1:8">
      <c r="A39" s="66" t="s">
        <v>82</v>
      </c>
      <c r="B39" s="66">
        <f>'M2'!B39-'M1'!B39</f>
        <v>-0.55032000000000014</v>
      </c>
      <c r="C39" s="66">
        <f>'M2'!C39-'M1'!C39</f>
        <v>2.1663799999999998</v>
      </c>
      <c r="D39" s="66">
        <f>'M2'!D39-'M1'!D39</f>
        <v>-0.37115200000000004</v>
      </c>
      <c r="E39" s="66">
        <f>'M2'!E39-'M1'!E39</f>
        <v>0</v>
      </c>
      <c r="F39" s="66">
        <f>'M2'!F39-'M1'!F39</f>
        <v>0.34962999999999944</v>
      </c>
      <c r="G39" s="66">
        <f>'M2'!G39-'M1'!G39</f>
        <v>0</v>
      </c>
      <c r="H39" s="66">
        <f>'M2'!H39-'M1'!H39</f>
        <v>30.574839999999998</v>
      </c>
    </row>
    <row r="40" spans="1:8">
      <c r="A40" s="66" t="s">
        <v>83</v>
      </c>
      <c r="B40" s="66">
        <f>'M2'!B40-'M1'!B40</f>
        <v>-0.74381999999999993</v>
      </c>
      <c r="C40" s="66">
        <f>'M2'!C40-'M1'!C40</f>
        <v>4.7723000000000015E-2</v>
      </c>
      <c r="D40" s="66">
        <f>'M2'!D40-'M1'!D40</f>
        <v>5.7735999999999982E-2</v>
      </c>
      <c r="E40" s="66">
        <f>'M2'!E40-'M1'!E40</f>
        <v>0</v>
      </c>
      <c r="F40" s="66">
        <f>'M2'!F40-'M1'!F40</f>
        <v>-0.7032200000000004</v>
      </c>
      <c r="G40" s="66">
        <f>'M2'!G40-'M1'!G40</f>
        <v>0</v>
      </c>
      <c r="H40" s="66">
        <f>'M2'!H40-'M1'!H40</f>
        <v>-0.58248700000000009</v>
      </c>
    </row>
    <row r="41" spans="1:8">
      <c r="A41" s="66" t="s">
        <v>84</v>
      </c>
      <c r="B41" s="66">
        <f>'M2'!B41-'M1'!B41</f>
        <v>-4.12818E-2</v>
      </c>
      <c r="C41" s="66">
        <f>'M2'!C41-'M1'!C41</f>
        <v>-7.6842999999999995E-2</v>
      </c>
      <c r="D41" s="66">
        <f>'M2'!D41-'M1'!D41</f>
        <v>-10.2155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-1.6073999999999977E-2</v>
      </c>
      <c r="C42" s="66">
        <f>'M2'!C42-'M1'!C42</f>
        <v>-1.7515999999999976E-2</v>
      </c>
      <c r="D42" s="66">
        <f>'M2'!D42-'M1'!D42</f>
        <v>0.17686200000000007</v>
      </c>
      <c r="E42" s="66">
        <f>'M2'!E42-'M1'!E42</f>
        <v>0</v>
      </c>
      <c r="F42" s="66">
        <f>'M2'!F42-'M1'!F42</f>
        <v>3.2218000000000024E-2</v>
      </c>
      <c r="G42" s="66">
        <f>'M2'!G42-'M1'!G42</f>
        <v>0</v>
      </c>
      <c r="H42" s="66">
        <f>'M2'!H42-'M1'!H42</f>
        <v>0.28577000000000002</v>
      </c>
    </row>
    <row r="43" spans="1:8">
      <c r="A43" s="66" t="s">
        <v>86</v>
      </c>
      <c r="B43" s="66">
        <f>'M2'!B43-'M1'!B43</f>
        <v>-6.3239999999999963E-3</v>
      </c>
      <c r="C43" s="66">
        <f>'M2'!C43-'M1'!C43</f>
        <v>2.5430000000000036E-3</v>
      </c>
      <c r="D43" s="66">
        <f>'M2'!D43-'M1'!D43</f>
        <v>-6.6130000000000078E-3</v>
      </c>
      <c r="E43" s="66">
        <f>'M2'!E43-'M1'!E43</f>
        <v>0</v>
      </c>
      <c r="F43" s="66">
        <f>'M2'!F43-'M1'!F43</f>
        <v>-1.7093999999999998E-2</v>
      </c>
      <c r="G43" s="66">
        <f>'M2'!G43-'M1'!G43</f>
        <v>0</v>
      </c>
      <c r="H43" s="66">
        <f>'M2'!H43-'M1'!H43</f>
        <v>-2.0283999999999996E-3</v>
      </c>
    </row>
    <row r="44" spans="1:8">
      <c r="A44" s="66" t="s">
        <v>87</v>
      </c>
      <c r="B44" s="66">
        <f>'M2'!B44-'M1'!B44</f>
        <v>-30.507099999999998</v>
      </c>
      <c r="C44" s="66">
        <f>'M2'!C44-'M1'!C44</f>
        <v>-5.0532399999999997</v>
      </c>
      <c r="D44" s="66">
        <f>'M2'!D44-'M1'!D44</f>
        <v>0.74488719999999997</v>
      </c>
      <c r="E44" s="66">
        <f>'M2'!E44-'M1'!E44</f>
        <v>0</v>
      </c>
      <c r="F44" s="66">
        <f>'M2'!F44-'M1'!F44</f>
        <v>-11.770099999999999</v>
      </c>
      <c r="G44" s="66">
        <f>'M2'!G44-'M1'!G44</f>
        <v>0</v>
      </c>
      <c r="H44" s="66">
        <f>'M2'!H44-'M1'!H44</f>
        <v>-34.381169999999997</v>
      </c>
    </row>
    <row r="45" spans="1:8">
      <c r="A45" s="66" t="s">
        <v>88</v>
      </c>
      <c r="B45" s="66">
        <f>'M2'!B45-'M1'!B45</f>
        <v>3.0810999999999993</v>
      </c>
      <c r="C45" s="66">
        <f>'M2'!C45-'M1'!C45</f>
        <v>-1.0275799999999995</v>
      </c>
      <c r="D45" s="66">
        <f>'M2'!D45-'M1'!D45</f>
        <v>-2.9642000000000002E-2</v>
      </c>
      <c r="E45" s="66">
        <f>'M2'!E45-'M1'!E45</f>
        <v>0</v>
      </c>
      <c r="F45" s="66">
        <f>'M2'!F45-'M1'!F45</f>
        <v>4.155300000000004</v>
      </c>
      <c r="G45" s="66">
        <f>'M2'!G45-'M1'!G45</f>
        <v>0</v>
      </c>
      <c r="H45" s="66">
        <f>'M2'!H45-'M1'!H45</f>
        <v>-9.6059999999999945</v>
      </c>
    </row>
    <row r="46" spans="1:8">
      <c r="A46" s="66" t="s">
        <v>89</v>
      </c>
      <c r="B46" s="66">
        <f>'M2'!B46-'M1'!B46</f>
        <v>8.2968000000000011</v>
      </c>
      <c r="C46" s="66">
        <f>'M2'!C46-'M1'!C46</f>
        <v>-1.30138</v>
      </c>
      <c r="D46" s="66">
        <f>'M2'!D46-'M1'!D46</f>
        <v>-8.2036999999999985E-2</v>
      </c>
      <c r="E46" s="66">
        <f>'M2'!E46-'M1'!E46</f>
        <v>0</v>
      </c>
      <c r="F46" s="66">
        <f>'M2'!F46-'M1'!F46</f>
        <v>14.658299999999999</v>
      </c>
      <c r="G46" s="66">
        <f>'M2'!G46-'M1'!G46</f>
        <v>0</v>
      </c>
      <c r="H46" s="66">
        <f>'M2'!H46-'M1'!H46</f>
        <v>6.9031999999999982</v>
      </c>
    </row>
    <row r="47" spans="1:8">
      <c r="A47" s="66" t="s">
        <v>90</v>
      </c>
      <c r="B47" s="66">
        <f>'M2'!B47-'M1'!B47</f>
        <v>-1.1060000000000014E-2</v>
      </c>
      <c r="C47" s="66">
        <f>'M2'!C47-'M1'!C47</f>
        <v>-1.2355000000000005E-2</v>
      </c>
      <c r="D47" s="66">
        <f>'M2'!D47-'M1'!D47</f>
        <v>-1.6652999999999973E-2</v>
      </c>
      <c r="E47" s="66">
        <f>'M2'!E47-'M1'!E47</f>
        <v>0</v>
      </c>
      <c r="F47" s="66">
        <f>'M2'!F47-'M1'!F47</f>
        <v>9.1839999999999977E-3</v>
      </c>
      <c r="G47" s="66">
        <f>'M2'!G47-'M1'!G47</f>
        <v>0</v>
      </c>
      <c r="H47" s="66">
        <f>'M2'!H47-'M1'!H47</f>
        <v>1.3900000000000023E-3</v>
      </c>
    </row>
    <row r="48" spans="1:8">
      <c r="A48" s="66" t="s">
        <v>91</v>
      </c>
      <c r="B48" s="66">
        <f>'M2'!B48-'M1'!B48</f>
        <v>-1.6915000000000013E-2</v>
      </c>
      <c r="C48" s="66">
        <f>'M2'!C48-'M1'!C48</f>
        <v>-4.5641399999999999E-2</v>
      </c>
      <c r="D48" s="66">
        <f>'M2'!D48-'M1'!D48</f>
        <v>-6.9501400000000005E-2</v>
      </c>
      <c r="E48" s="66">
        <f>'M2'!E48-'M1'!E48</f>
        <v>0</v>
      </c>
      <c r="F48" s="66">
        <f>'M2'!F48-'M1'!F48</f>
        <v>1.6491000000000033E-2</v>
      </c>
      <c r="G48" s="66">
        <f>'M2'!G48-'M1'!G48</f>
        <v>0</v>
      </c>
      <c r="H48" s="66">
        <f>'M2'!H48-'M1'!H48</f>
        <v>-0.15886899999999993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31.795300000000001</v>
      </c>
      <c r="C5" s="66">
        <v>5.8585200000000004</v>
      </c>
      <c r="D5" s="66">
        <v>18.425799999999999</v>
      </c>
      <c r="E5" s="66">
        <v>20</v>
      </c>
      <c r="F5" s="66">
        <v>13.4305</v>
      </c>
      <c r="G5" s="66">
        <v>50</v>
      </c>
      <c r="H5" s="66">
        <v>37.434100000000001</v>
      </c>
    </row>
    <row r="6" spans="1:8">
      <c r="A6" s="66" t="s">
        <v>358</v>
      </c>
      <c r="B6" s="66">
        <v>43.216099999999997</v>
      </c>
      <c r="C6" s="66">
        <v>2.8167599999999999</v>
      </c>
      <c r="D6" s="66">
        <v>6.5178399999999996</v>
      </c>
      <c r="E6" s="66">
        <v>20</v>
      </c>
      <c r="F6" s="66">
        <v>33.5077</v>
      </c>
      <c r="G6" s="66">
        <v>40</v>
      </c>
      <c r="H6" s="66">
        <v>46.851700000000001</v>
      </c>
    </row>
    <row r="7" spans="1:8">
      <c r="A7" s="66" t="s">
        <v>359</v>
      </c>
      <c r="B7" s="66">
        <v>24.155999999999999</v>
      </c>
      <c r="C7" s="66">
        <v>6.7447299999999997</v>
      </c>
      <c r="D7" s="66">
        <v>27.921600000000002</v>
      </c>
      <c r="E7" s="66">
        <v>15</v>
      </c>
      <c r="F7" s="66">
        <v>11.3065</v>
      </c>
      <c r="G7" s="66">
        <v>40</v>
      </c>
      <c r="H7" s="66">
        <v>42.980600000000003</v>
      </c>
    </row>
    <row r="8" spans="1:8">
      <c r="A8" s="66" t="s">
        <v>360</v>
      </c>
      <c r="B8" s="66">
        <v>32.912700000000001</v>
      </c>
      <c r="C8" s="66">
        <v>3.3815900000000001</v>
      </c>
      <c r="D8" s="66">
        <v>10.2744</v>
      </c>
      <c r="E8" s="66">
        <v>20</v>
      </c>
      <c r="F8" s="66">
        <v>23.112500000000001</v>
      </c>
      <c r="G8" s="66">
        <v>50</v>
      </c>
      <c r="H8" s="66">
        <v>38.3489</v>
      </c>
    </row>
    <row r="9" spans="1:8">
      <c r="A9" s="66" t="s">
        <v>361</v>
      </c>
      <c r="B9" s="66">
        <v>73.712800000000001</v>
      </c>
      <c r="C9" s="66">
        <v>6.4945899999999996</v>
      </c>
      <c r="D9" s="66">
        <v>8.81067</v>
      </c>
      <c r="E9" s="66">
        <v>50</v>
      </c>
      <c r="F9" s="66">
        <v>60.647799999999997</v>
      </c>
      <c r="G9" s="66">
        <v>100</v>
      </c>
      <c r="H9" s="66">
        <v>84.483000000000004</v>
      </c>
    </row>
    <row r="10" spans="1:8">
      <c r="A10" s="66" t="s">
        <v>362</v>
      </c>
      <c r="B10" s="66">
        <v>63.5824</v>
      </c>
      <c r="C10" s="66">
        <v>7.04453</v>
      </c>
      <c r="D10" s="66">
        <v>11.0794</v>
      </c>
      <c r="E10" s="66">
        <v>40</v>
      </c>
      <c r="F10" s="66">
        <v>39.739899999999999</v>
      </c>
      <c r="G10" s="66">
        <v>100</v>
      </c>
      <c r="H10" s="66">
        <v>69.364800000000002</v>
      </c>
    </row>
    <row r="11" spans="1:8">
      <c r="A11" s="66" t="s">
        <v>363</v>
      </c>
      <c r="B11" s="66">
        <v>15.133900000000001</v>
      </c>
      <c r="C11" s="66">
        <v>2.9483299999999999</v>
      </c>
      <c r="D11" s="66">
        <v>19.4816</v>
      </c>
      <c r="E11" s="66">
        <v>10</v>
      </c>
      <c r="F11" s="66">
        <v>6.6571600000000002</v>
      </c>
      <c r="G11" s="66">
        <v>50</v>
      </c>
      <c r="H11" s="66">
        <v>18.032800000000002</v>
      </c>
    </row>
    <row r="12" spans="1:8">
      <c r="A12" s="66" t="s">
        <v>364</v>
      </c>
      <c r="B12" s="66">
        <v>66.899500000000003</v>
      </c>
      <c r="C12" s="66">
        <v>4.6797000000000004</v>
      </c>
      <c r="D12" s="66">
        <v>6.99512</v>
      </c>
      <c r="E12" s="66">
        <v>50</v>
      </c>
      <c r="F12" s="66">
        <v>56.704900000000002</v>
      </c>
      <c r="G12" s="66">
        <v>100</v>
      </c>
      <c r="H12" s="66">
        <v>75.877600000000001</v>
      </c>
    </row>
    <row r="13" spans="1:8">
      <c r="A13" s="66" t="s">
        <v>365</v>
      </c>
      <c r="B13" s="66">
        <v>15.0608</v>
      </c>
      <c r="C13" s="66">
        <v>2.5371800000000002</v>
      </c>
      <c r="D13" s="66">
        <v>16.8462</v>
      </c>
      <c r="E13" s="66">
        <v>10</v>
      </c>
      <c r="F13" s="66">
        <v>11.8576</v>
      </c>
      <c r="G13" s="66">
        <v>25</v>
      </c>
      <c r="H13" s="66">
        <v>24.425000000000001</v>
      </c>
    </row>
    <row r="14" spans="1:8">
      <c r="A14" s="66" t="s">
        <v>366</v>
      </c>
      <c r="B14" s="66">
        <v>25.3718</v>
      </c>
      <c r="C14" s="66">
        <v>9.0170100000000009</v>
      </c>
      <c r="D14" s="66">
        <v>35.539499999999997</v>
      </c>
      <c r="E14" s="66">
        <v>10</v>
      </c>
      <c r="F14" s="66">
        <v>7.3976799999999995E-2</v>
      </c>
      <c r="G14" s="66">
        <v>50</v>
      </c>
      <c r="H14" s="66">
        <v>29.2395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0.46766099999999999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0.62275899999999995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1.66355E-4</v>
      </c>
      <c r="C20" s="66">
        <v>1.36793E-2</v>
      </c>
      <c r="D20" s="66">
        <v>82.229399999999998</v>
      </c>
      <c r="E20" s="66">
        <v>0</v>
      </c>
      <c r="F20" s="66">
        <v>0</v>
      </c>
      <c r="G20" s="66">
        <v>0</v>
      </c>
      <c r="H20" s="66">
        <v>0.14066200000000001</v>
      </c>
    </row>
    <row r="21" spans="1:8">
      <c r="A21" s="66" t="s">
        <v>373</v>
      </c>
      <c r="B21" s="66">
        <v>1.3148E-2</v>
      </c>
      <c r="C21" s="66">
        <v>5.2974500000000001E-2</v>
      </c>
      <c r="D21" s="66">
        <v>4.0290900000000001</v>
      </c>
      <c r="E21" s="66">
        <v>0</v>
      </c>
      <c r="F21" s="196">
        <v>1.6429199999999998E-5</v>
      </c>
      <c r="G21" s="66">
        <v>0</v>
      </c>
      <c r="H21" s="66">
        <v>0.22569800000000001</v>
      </c>
    </row>
    <row r="22" spans="1:8">
      <c r="A22" s="66" t="s">
        <v>374</v>
      </c>
      <c r="B22" s="66">
        <v>29.190300000000001</v>
      </c>
      <c r="C22" s="66">
        <v>18.536100000000001</v>
      </c>
      <c r="D22" s="66">
        <v>0.63500800000000002</v>
      </c>
      <c r="E22" s="66">
        <v>0</v>
      </c>
      <c r="F22" s="66">
        <v>11.002000000000001</v>
      </c>
      <c r="G22" s="66">
        <v>0</v>
      </c>
      <c r="H22" s="66">
        <v>106.15900000000001</v>
      </c>
    </row>
    <row r="23" spans="1:8">
      <c r="A23" s="66" t="s">
        <v>375</v>
      </c>
      <c r="B23" s="66">
        <v>12.1568</v>
      </c>
      <c r="C23" s="66">
        <v>3.0421399999999998</v>
      </c>
      <c r="D23" s="66">
        <v>0.25024200000000002</v>
      </c>
      <c r="E23" s="66">
        <v>0</v>
      </c>
      <c r="F23" s="66">
        <v>6.3843199999999998</v>
      </c>
      <c r="G23" s="66">
        <v>0</v>
      </c>
      <c r="H23" s="66">
        <v>19.094999999999999</v>
      </c>
    </row>
    <row r="24" spans="1:8">
      <c r="A24" s="66" t="s">
        <v>376</v>
      </c>
      <c r="B24" s="66">
        <v>2.3942200000000001E-4</v>
      </c>
      <c r="C24" s="66">
        <v>8.1583100000000002E-3</v>
      </c>
      <c r="D24" s="66">
        <v>34.075099999999999</v>
      </c>
      <c r="E24" s="66">
        <v>0</v>
      </c>
      <c r="F24" s="196">
        <v>4.5206900000000002E-5</v>
      </c>
      <c r="G24" s="66">
        <v>0</v>
      </c>
      <c r="H24" s="66">
        <v>5.2709800000000001E-2</v>
      </c>
    </row>
    <row r="25" spans="1:8">
      <c r="A25" s="66" t="s">
        <v>377</v>
      </c>
      <c r="B25" s="66">
        <v>3.8788999999999997E-2</v>
      </c>
      <c r="C25" s="66">
        <v>1.8443500000000002E-2</v>
      </c>
      <c r="D25" s="66">
        <v>0.47548299999999999</v>
      </c>
      <c r="E25" s="66">
        <v>0</v>
      </c>
      <c r="F25" s="66">
        <v>3.4400300000000002E-3</v>
      </c>
      <c r="G25" s="66">
        <v>0</v>
      </c>
      <c r="H25" s="66">
        <v>8.3503999999999995E-2</v>
      </c>
    </row>
    <row r="26" spans="1:8">
      <c r="A26" s="66" t="s">
        <v>378</v>
      </c>
      <c r="B26" s="196">
        <v>6.2368700000000005E-5</v>
      </c>
      <c r="C26" s="66">
        <v>1.17815E-3</v>
      </c>
      <c r="D26" s="66">
        <v>18.8901</v>
      </c>
      <c r="E26" s="66">
        <v>0</v>
      </c>
      <c r="F26" s="66">
        <v>0</v>
      </c>
      <c r="G26" s="66">
        <v>0</v>
      </c>
      <c r="H26" s="66">
        <v>1.37999E-2</v>
      </c>
    </row>
    <row r="27" spans="1:8">
      <c r="A27" s="66" t="s">
        <v>379</v>
      </c>
      <c r="B27" s="196">
        <v>-3.2825599999999999E-6</v>
      </c>
      <c r="C27" s="66">
        <v>6.8766900000000002E-4</v>
      </c>
      <c r="D27" s="66">
        <v>-209.49100000000001</v>
      </c>
      <c r="E27" s="66">
        <v>0</v>
      </c>
      <c r="F27" s="66">
        <v>-7.1625500000000002E-3</v>
      </c>
      <c r="G27" s="66">
        <v>0</v>
      </c>
      <c r="H27" s="66">
        <v>5.7871600000000004E-3</v>
      </c>
    </row>
    <row r="28" spans="1:8">
      <c r="A28" s="66" t="s">
        <v>380</v>
      </c>
      <c r="B28" s="66">
        <v>2.94108E-3</v>
      </c>
      <c r="C28" s="66">
        <v>4.9411999999999998E-3</v>
      </c>
      <c r="D28" s="66">
        <v>1.6800600000000001</v>
      </c>
      <c r="E28" s="66">
        <v>0</v>
      </c>
      <c r="F28" s="196">
        <v>3.25521E-6</v>
      </c>
      <c r="G28" s="66">
        <v>0</v>
      </c>
      <c r="H28" s="66">
        <v>2.22493E-2</v>
      </c>
    </row>
    <row r="29" spans="1:8">
      <c r="A29" s="66" t="s">
        <v>381</v>
      </c>
      <c r="B29" s="66">
        <v>58.744300000000003</v>
      </c>
      <c r="C29" s="66">
        <v>8.17685</v>
      </c>
      <c r="D29" s="66">
        <v>0.13919400000000001</v>
      </c>
      <c r="E29" s="66">
        <v>0</v>
      </c>
      <c r="F29" s="66">
        <v>38.526200000000003</v>
      </c>
      <c r="G29" s="66">
        <v>0</v>
      </c>
      <c r="H29" s="66">
        <v>80.289699999999996</v>
      </c>
    </row>
    <row r="30" spans="1:8">
      <c r="A30" s="66" t="s">
        <v>382</v>
      </c>
      <c r="B30" s="66">
        <v>18.938400000000001</v>
      </c>
      <c r="C30" s="66">
        <v>3.6068799999999999</v>
      </c>
      <c r="D30" s="66">
        <v>0.19045300000000001</v>
      </c>
      <c r="E30" s="66">
        <v>0</v>
      </c>
      <c r="F30" s="66">
        <v>9.9035600000000006</v>
      </c>
      <c r="G30" s="66">
        <v>0</v>
      </c>
      <c r="H30" s="66">
        <v>23.229800000000001</v>
      </c>
    </row>
    <row r="31" spans="1:8">
      <c r="A31" s="66" t="s">
        <v>383</v>
      </c>
      <c r="B31" s="66">
        <v>85.274699999999996</v>
      </c>
      <c r="C31" s="66">
        <v>34.801499999999997</v>
      </c>
      <c r="D31" s="66">
        <v>0.40810999999999997</v>
      </c>
      <c r="E31" s="66">
        <v>0</v>
      </c>
      <c r="F31" s="66">
        <v>19.9389</v>
      </c>
      <c r="G31" s="66">
        <v>0</v>
      </c>
      <c r="H31" s="66">
        <v>164.607</v>
      </c>
    </row>
    <row r="32" spans="1:8">
      <c r="A32" s="66" t="s">
        <v>384</v>
      </c>
      <c r="B32" s="66">
        <v>0.24156</v>
      </c>
      <c r="C32" s="66">
        <v>6.7447300000000002E-2</v>
      </c>
      <c r="D32" s="66">
        <v>0.27921600000000002</v>
      </c>
      <c r="E32" s="66">
        <v>0.15</v>
      </c>
      <c r="F32" s="66">
        <v>0.113065</v>
      </c>
      <c r="G32" s="66">
        <v>0.4</v>
      </c>
      <c r="H32" s="66">
        <v>0.42980600000000002</v>
      </c>
    </row>
    <row r="33" spans="1:8">
      <c r="A33" s="66" t="s">
        <v>385</v>
      </c>
      <c r="B33" s="66">
        <v>0.45857399999999998</v>
      </c>
      <c r="C33" s="66">
        <v>2.17684E-2</v>
      </c>
      <c r="D33" s="66">
        <v>4.7469799999999999E-2</v>
      </c>
      <c r="E33" s="66">
        <v>0</v>
      </c>
      <c r="F33" s="66">
        <v>0.39160200000000001</v>
      </c>
      <c r="G33" s="66">
        <v>0</v>
      </c>
      <c r="H33" s="66">
        <v>0.486622</v>
      </c>
    </row>
    <row r="34" spans="1:8">
      <c r="A34" s="66" t="s">
        <v>386</v>
      </c>
      <c r="B34" s="66">
        <v>0.15060799999999999</v>
      </c>
      <c r="C34" s="66">
        <v>2.53718E-2</v>
      </c>
      <c r="D34" s="66">
        <v>0.168462</v>
      </c>
      <c r="E34" s="66">
        <v>0.1</v>
      </c>
      <c r="F34" s="66">
        <v>0.118576</v>
      </c>
      <c r="G34" s="66">
        <v>0.25</v>
      </c>
      <c r="H34" s="66">
        <v>0.24424999999999999</v>
      </c>
    </row>
    <row r="35" spans="1:8">
      <c r="A35" s="66" t="s">
        <v>387</v>
      </c>
      <c r="B35" s="66">
        <v>8.2020300000000004E-2</v>
      </c>
      <c r="C35" s="66">
        <v>2.45446E-2</v>
      </c>
      <c r="D35" s="66">
        <v>0.29925099999999999</v>
      </c>
      <c r="E35" s="66">
        <v>0</v>
      </c>
      <c r="F35" s="66">
        <v>3.2392400000000002E-2</v>
      </c>
      <c r="G35" s="66">
        <v>0</v>
      </c>
      <c r="H35" s="66">
        <v>0.13511899999999999</v>
      </c>
    </row>
    <row r="36" spans="1:8">
      <c r="A36" s="66" t="s">
        <v>388</v>
      </c>
      <c r="B36" s="66">
        <v>0.122375</v>
      </c>
      <c r="C36" s="66">
        <v>9.1058600000000003E-2</v>
      </c>
      <c r="D36" s="66">
        <v>0.74409400000000003</v>
      </c>
      <c r="E36" s="66">
        <v>0</v>
      </c>
      <c r="F36" s="66">
        <v>3.7274599999999998E-2</v>
      </c>
      <c r="G36" s="66">
        <v>0</v>
      </c>
      <c r="H36" s="66">
        <v>0.472107</v>
      </c>
    </row>
    <row r="37" spans="1:8">
      <c r="A37" s="66" t="s">
        <v>389</v>
      </c>
      <c r="B37" s="66">
        <v>0.253718</v>
      </c>
      <c r="C37" s="66">
        <v>9.0170100000000003E-2</v>
      </c>
      <c r="D37" s="66">
        <v>0.35539500000000002</v>
      </c>
      <c r="E37" s="66">
        <v>0.1</v>
      </c>
      <c r="F37" s="66">
        <v>7.3976800000000002E-4</v>
      </c>
      <c r="G37" s="66">
        <v>0.5</v>
      </c>
      <c r="H37" s="66">
        <v>0.29239500000000002</v>
      </c>
    </row>
    <row r="38" spans="1:8">
      <c r="A38" s="66" t="s">
        <v>390</v>
      </c>
      <c r="B38" s="66">
        <v>0</v>
      </c>
      <c r="C38" s="66">
        <v>38.040500000000002</v>
      </c>
      <c r="D38" s="66">
        <v>0</v>
      </c>
      <c r="E38" s="66">
        <v>0</v>
      </c>
      <c r="F38" s="66">
        <v>-146.59299999999999</v>
      </c>
      <c r="G38" s="66">
        <v>0</v>
      </c>
      <c r="H38" s="66">
        <v>145.66</v>
      </c>
    </row>
    <row r="39" spans="1:8">
      <c r="A39" s="66" t="s">
        <v>391</v>
      </c>
      <c r="B39" s="66">
        <v>-4.1936900000000001</v>
      </c>
      <c r="C39" s="66">
        <v>3.0909499999999999</v>
      </c>
      <c r="D39" s="66">
        <v>-0.73704800000000004</v>
      </c>
      <c r="E39" s="66">
        <v>0</v>
      </c>
      <c r="F39" s="66">
        <v>-9.3995499999999996</v>
      </c>
      <c r="G39" s="66">
        <v>0</v>
      </c>
      <c r="H39" s="66">
        <v>7.8814599999999997</v>
      </c>
    </row>
    <row r="40" spans="1:8">
      <c r="A40" s="66" t="s">
        <v>392</v>
      </c>
      <c r="B40" s="66">
        <v>-1.6456599999999999</v>
      </c>
      <c r="C40" s="66">
        <v>0.41080800000000001</v>
      </c>
      <c r="D40" s="66">
        <v>-0.24963199999999999</v>
      </c>
      <c r="E40" s="66">
        <v>0</v>
      </c>
      <c r="F40" s="66">
        <v>-2.5388799999999998</v>
      </c>
      <c r="G40" s="66">
        <v>0</v>
      </c>
      <c r="H40" s="66">
        <v>-0.94087299999999996</v>
      </c>
    </row>
    <row r="41" spans="1:8">
      <c r="A41" s="66" t="s">
        <v>393</v>
      </c>
      <c r="B41" s="66">
        <v>0</v>
      </c>
      <c r="C41" s="66">
        <v>0.49855899999999997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-0.16339500000000001</v>
      </c>
      <c r="C42" s="66">
        <v>0.14460799999999999</v>
      </c>
      <c r="D42" s="66">
        <v>-0.88502000000000003</v>
      </c>
      <c r="E42" s="66">
        <v>0</v>
      </c>
      <c r="F42" s="66">
        <v>-0.471634</v>
      </c>
      <c r="G42" s="66">
        <v>0</v>
      </c>
      <c r="H42" s="66">
        <v>0.27496599999999999</v>
      </c>
    </row>
    <row r="43" spans="1:8">
      <c r="A43" s="66" t="s">
        <v>395</v>
      </c>
      <c r="B43" s="66">
        <v>-0.18867800000000001</v>
      </c>
      <c r="C43" s="66">
        <v>3.7396699999999998E-2</v>
      </c>
      <c r="D43" s="66">
        <v>-0.19820399999999999</v>
      </c>
      <c r="E43" s="66">
        <v>0</v>
      </c>
      <c r="F43" s="66">
        <v>-0.26108399999999998</v>
      </c>
      <c r="G43" s="66">
        <v>0</v>
      </c>
      <c r="H43" s="66">
        <v>-7.3950000000000002E-2</v>
      </c>
    </row>
    <row r="44" spans="1:8">
      <c r="A44" s="66" t="s">
        <v>396</v>
      </c>
      <c r="B44" s="66">
        <v>-10.8749</v>
      </c>
      <c r="C44" s="66">
        <v>9.1868400000000001</v>
      </c>
      <c r="D44" s="66">
        <v>-0.84477599999999997</v>
      </c>
      <c r="E44" s="66">
        <v>0</v>
      </c>
      <c r="F44" s="66">
        <v>-36.6736</v>
      </c>
      <c r="G44" s="66">
        <v>0</v>
      </c>
      <c r="H44" s="66">
        <v>4.1240699999999997</v>
      </c>
    </row>
    <row r="45" spans="1:8">
      <c r="A45" s="66" t="s">
        <v>397</v>
      </c>
      <c r="B45" s="66">
        <v>48.1143</v>
      </c>
      <c r="C45" s="66">
        <v>7.6511699999999996</v>
      </c>
      <c r="D45" s="66">
        <v>0.159021</v>
      </c>
      <c r="E45" s="66">
        <v>0</v>
      </c>
      <c r="F45" s="66">
        <v>29.509799999999998</v>
      </c>
      <c r="G45" s="66">
        <v>0</v>
      </c>
      <c r="H45" s="66">
        <v>77.816699999999997</v>
      </c>
    </row>
    <row r="46" spans="1:8">
      <c r="A46" s="66" t="s">
        <v>398</v>
      </c>
      <c r="B46" s="66">
        <v>27.488499999999998</v>
      </c>
      <c r="C46" s="66">
        <v>5.4147600000000002</v>
      </c>
      <c r="D46" s="66">
        <v>0.19698299999999999</v>
      </c>
      <c r="E46" s="66">
        <v>0</v>
      </c>
      <c r="F46" s="66">
        <v>11.085900000000001</v>
      </c>
      <c r="G46" s="66">
        <v>0</v>
      </c>
      <c r="H46" s="66">
        <v>31.857700000000001</v>
      </c>
    </row>
    <row r="47" spans="1:8">
      <c r="A47" s="66" t="s">
        <v>399</v>
      </c>
      <c r="B47" s="66">
        <v>0.47609200000000002</v>
      </c>
      <c r="C47" s="66">
        <v>0.19850899999999999</v>
      </c>
      <c r="D47" s="66">
        <v>0.41695599999999999</v>
      </c>
      <c r="E47" s="66">
        <v>0</v>
      </c>
      <c r="F47" s="66">
        <v>0.19314300000000001</v>
      </c>
      <c r="G47" s="66">
        <v>0</v>
      </c>
      <c r="H47" s="66">
        <v>1.1780999999999999</v>
      </c>
    </row>
    <row r="48" spans="1:8">
      <c r="A48" s="66" t="s">
        <v>400</v>
      </c>
      <c r="B48" s="66">
        <v>0.63570599999999999</v>
      </c>
      <c r="C48" s="66">
        <v>9.9016800000000002E-2</v>
      </c>
      <c r="D48" s="66">
        <v>0.15575900000000001</v>
      </c>
      <c r="E48" s="66">
        <v>0</v>
      </c>
      <c r="F48" s="66">
        <v>0.50323799999999996</v>
      </c>
      <c r="G48" s="66">
        <v>0</v>
      </c>
      <c r="H48" s="66">
        <v>0.86966699999999997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41.714500000000001</v>
      </c>
      <c r="C5" s="66">
        <v>5.25061</v>
      </c>
      <c r="D5" s="66">
        <v>12.587</v>
      </c>
      <c r="E5" s="66">
        <v>20</v>
      </c>
      <c r="F5" s="66">
        <v>28.7819</v>
      </c>
      <c r="G5" s="66">
        <v>50</v>
      </c>
      <c r="H5" s="66">
        <v>46.0488</v>
      </c>
    </row>
    <row r="6" spans="1:8">
      <c r="A6" s="66" t="s">
        <v>358</v>
      </c>
      <c r="B6" s="66">
        <v>43.363300000000002</v>
      </c>
      <c r="C6" s="66">
        <v>1.2872699999999999</v>
      </c>
      <c r="D6" s="66">
        <v>2.9685600000000001</v>
      </c>
      <c r="E6" s="66">
        <v>20</v>
      </c>
      <c r="F6" s="66">
        <v>40.383600000000001</v>
      </c>
      <c r="G6" s="66">
        <v>40</v>
      </c>
      <c r="H6" s="66">
        <v>45.628999999999998</v>
      </c>
    </row>
    <row r="7" spans="1:8">
      <c r="A7" s="66" t="s">
        <v>359</v>
      </c>
      <c r="B7" s="66">
        <v>32.227699999999999</v>
      </c>
      <c r="C7" s="66">
        <v>7.8188199999999997</v>
      </c>
      <c r="D7" s="66">
        <v>24.261199999999999</v>
      </c>
      <c r="E7" s="66">
        <v>15</v>
      </c>
      <c r="F7" s="66">
        <v>10.907999999999999</v>
      </c>
      <c r="G7" s="66">
        <v>40</v>
      </c>
      <c r="H7" s="66">
        <v>41.461500000000001</v>
      </c>
    </row>
    <row r="8" spans="1:8">
      <c r="A8" s="66" t="s">
        <v>360</v>
      </c>
      <c r="B8" s="66">
        <v>37.592700000000001</v>
      </c>
      <c r="C8" s="66">
        <v>2.7851499999999998</v>
      </c>
      <c r="D8" s="66">
        <v>7.40876</v>
      </c>
      <c r="E8" s="66">
        <v>20</v>
      </c>
      <c r="F8" s="66">
        <v>31.9909</v>
      </c>
      <c r="G8" s="66">
        <v>50</v>
      </c>
      <c r="H8" s="66">
        <v>40.721800000000002</v>
      </c>
    </row>
    <row r="9" spans="1:8">
      <c r="A9" s="66" t="s">
        <v>361</v>
      </c>
      <c r="B9" s="66">
        <v>70.493499999999997</v>
      </c>
      <c r="C9" s="66">
        <v>3.02318</v>
      </c>
      <c r="D9" s="66">
        <v>4.2885999999999997</v>
      </c>
      <c r="E9" s="66">
        <v>50</v>
      </c>
      <c r="F9" s="66">
        <v>62.939100000000003</v>
      </c>
      <c r="G9" s="66">
        <v>100</v>
      </c>
      <c r="H9" s="66">
        <v>78.591200000000001</v>
      </c>
    </row>
    <row r="10" spans="1:8">
      <c r="A10" s="66" t="s">
        <v>362</v>
      </c>
      <c r="B10" s="66">
        <v>47.357199999999999</v>
      </c>
      <c r="C10" s="66">
        <v>5.7521199999999997</v>
      </c>
      <c r="D10" s="66">
        <v>12.1463</v>
      </c>
      <c r="E10" s="66">
        <v>40</v>
      </c>
      <c r="F10" s="66">
        <v>35.540500000000002</v>
      </c>
      <c r="G10" s="66">
        <v>100</v>
      </c>
      <c r="H10" s="66">
        <v>55.616199999999999</v>
      </c>
    </row>
    <row r="11" spans="1:8">
      <c r="A11" s="66" t="s">
        <v>363</v>
      </c>
      <c r="B11" s="66">
        <v>18.053899999999999</v>
      </c>
      <c r="C11" s="66">
        <v>2.27962</v>
      </c>
      <c r="D11" s="66">
        <v>12.6267</v>
      </c>
      <c r="E11" s="66">
        <v>10</v>
      </c>
      <c r="F11" s="66">
        <v>12.8704</v>
      </c>
      <c r="G11" s="66">
        <v>50</v>
      </c>
      <c r="H11" s="66">
        <v>19.8353</v>
      </c>
    </row>
    <row r="12" spans="1:8">
      <c r="A12" s="66" t="s">
        <v>364</v>
      </c>
      <c r="B12" s="66">
        <v>59.732500000000002</v>
      </c>
      <c r="C12" s="66">
        <v>2.6669700000000001</v>
      </c>
      <c r="D12" s="66">
        <v>4.4648500000000002</v>
      </c>
      <c r="E12" s="66">
        <v>50</v>
      </c>
      <c r="F12" s="66">
        <v>51.923200000000001</v>
      </c>
      <c r="G12" s="66">
        <v>100</v>
      </c>
      <c r="H12" s="66">
        <v>63.5563</v>
      </c>
    </row>
    <row r="13" spans="1:8">
      <c r="A13" s="66" t="s">
        <v>365</v>
      </c>
      <c r="B13" s="66">
        <v>14.645799999999999</v>
      </c>
      <c r="C13" s="66">
        <v>2.48584</v>
      </c>
      <c r="D13" s="66">
        <v>16.972999999999999</v>
      </c>
      <c r="E13" s="66">
        <v>10</v>
      </c>
      <c r="F13" s="66">
        <v>11.569100000000001</v>
      </c>
      <c r="G13" s="66">
        <v>25</v>
      </c>
      <c r="H13" s="66">
        <v>24.112400000000001</v>
      </c>
    </row>
    <row r="14" spans="1:8">
      <c r="A14" s="66" t="s">
        <v>366</v>
      </c>
      <c r="B14" s="66">
        <v>24.8584</v>
      </c>
      <c r="C14" s="66">
        <v>8.3404500000000006</v>
      </c>
      <c r="D14" s="66">
        <v>33.551900000000003</v>
      </c>
      <c r="E14" s="66">
        <v>10</v>
      </c>
      <c r="F14" s="66">
        <v>2.9666000000000001</v>
      </c>
      <c r="G14" s="66">
        <v>50</v>
      </c>
      <c r="H14" s="66">
        <v>25.779299999999999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0.64526300000000003</v>
      </c>
      <c r="C18" s="66">
        <v>1.1243E-2</v>
      </c>
      <c r="D18" s="66">
        <v>1.7423899999999999E-2</v>
      </c>
      <c r="E18" s="66">
        <v>0</v>
      </c>
      <c r="F18" s="66">
        <v>0.63402000000000003</v>
      </c>
      <c r="G18" s="66">
        <v>0</v>
      </c>
      <c r="H18" s="66">
        <v>0.65650600000000003</v>
      </c>
    </row>
    <row r="19" spans="1:8">
      <c r="A19" s="66" t="s">
        <v>371</v>
      </c>
      <c r="B19" s="66">
        <v>0.68492600000000003</v>
      </c>
      <c r="C19" s="66">
        <v>1.33577E-2</v>
      </c>
      <c r="D19" s="66">
        <v>1.95023E-2</v>
      </c>
      <c r="E19" s="66">
        <v>0</v>
      </c>
      <c r="F19" s="66">
        <v>0.67156899999999997</v>
      </c>
      <c r="G19" s="66">
        <v>0</v>
      </c>
      <c r="H19" s="66">
        <v>0.69828400000000002</v>
      </c>
    </row>
    <row r="20" spans="1:8">
      <c r="A20" s="66" t="s">
        <v>372</v>
      </c>
      <c r="B20" s="66">
        <v>1.3576899999999999E-4</v>
      </c>
      <c r="C20" s="66">
        <v>2.1649700000000001E-2</v>
      </c>
      <c r="D20" s="66">
        <v>159.46</v>
      </c>
      <c r="E20" s="66">
        <v>0</v>
      </c>
      <c r="F20" s="66">
        <v>0</v>
      </c>
      <c r="G20" s="66">
        <v>0</v>
      </c>
      <c r="H20" s="66">
        <v>0.24624299999999999</v>
      </c>
    </row>
    <row r="21" spans="1:8">
      <c r="A21" s="66" t="s">
        <v>373</v>
      </c>
      <c r="B21" s="66">
        <v>1.4604000000000001E-2</v>
      </c>
      <c r="C21" s="66">
        <v>5.96485E-2</v>
      </c>
      <c r="D21" s="66">
        <v>4.0844100000000001</v>
      </c>
      <c r="E21" s="66">
        <v>0</v>
      </c>
      <c r="F21" s="66">
        <v>1.0202199999999999E-4</v>
      </c>
      <c r="G21" s="66">
        <v>0</v>
      </c>
      <c r="H21" s="66">
        <v>0.30504399999999998</v>
      </c>
    </row>
    <row r="22" spans="1:8">
      <c r="A22" s="66" t="s">
        <v>374</v>
      </c>
      <c r="B22" s="66">
        <v>34.550699999999999</v>
      </c>
      <c r="C22" s="66">
        <v>17.077200000000001</v>
      </c>
      <c r="D22" s="66">
        <v>0.49426700000000001</v>
      </c>
      <c r="E22" s="66">
        <v>0</v>
      </c>
      <c r="F22" s="66">
        <v>14.6891</v>
      </c>
      <c r="G22" s="66">
        <v>0</v>
      </c>
      <c r="H22" s="66">
        <v>84.7149</v>
      </c>
    </row>
    <row r="23" spans="1:8">
      <c r="A23" s="66" t="s">
        <v>375</v>
      </c>
      <c r="B23" s="66">
        <v>19.6402</v>
      </c>
      <c r="C23" s="66">
        <v>1.52661</v>
      </c>
      <c r="D23" s="66">
        <v>7.7728900000000004E-2</v>
      </c>
      <c r="E23" s="66">
        <v>0</v>
      </c>
      <c r="F23" s="66">
        <v>17.834700000000002</v>
      </c>
      <c r="G23" s="66">
        <v>0</v>
      </c>
      <c r="H23" s="66">
        <v>24.433599999999998</v>
      </c>
    </row>
    <row r="24" spans="1:8">
      <c r="A24" s="66" t="s">
        <v>401</v>
      </c>
      <c r="B24" s="66">
        <v>1.4133E-4</v>
      </c>
      <c r="C24" s="66">
        <v>1.6775100000000001E-2</v>
      </c>
      <c r="D24" s="66">
        <v>118.69499999999999</v>
      </c>
      <c r="E24" s="66">
        <v>0</v>
      </c>
      <c r="F24" s="196">
        <v>3.9939299999999999E-5</v>
      </c>
      <c r="G24" s="66">
        <v>0</v>
      </c>
      <c r="H24" s="66">
        <v>0.14346900000000001</v>
      </c>
    </row>
    <row r="25" spans="1:8">
      <c r="A25" s="66" t="s">
        <v>377</v>
      </c>
      <c r="B25" s="66">
        <v>3.5034299999999997E-2</v>
      </c>
      <c r="C25" s="66">
        <v>2.3455400000000001E-2</v>
      </c>
      <c r="D25" s="66">
        <v>0.66949899999999996</v>
      </c>
      <c r="E25" s="66">
        <v>0</v>
      </c>
      <c r="F25" s="66">
        <v>9.8416100000000006E-3</v>
      </c>
      <c r="G25" s="66">
        <v>0</v>
      </c>
      <c r="H25" s="66">
        <v>0.10620599999999999</v>
      </c>
    </row>
    <row r="26" spans="1:8">
      <c r="A26" s="66" t="s">
        <v>378</v>
      </c>
      <c r="B26" s="196">
        <v>4.9238399999999999E-5</v>
      </c>
      <c r="C26" s="66">
        <v>2.8107599999999998E-3</v>
      </c>
      <c r="D26" s="66">
        <v>57.084699999999998</v>
      </c>
      <c r="E26" s="66">
        <v>0</v>
      </c>
      <c r="F26" s="66">
        <v>0</v>
      </c>
      <c r="G26" s="66">
        <v>0</v>
      </c>
      <c r="H26" s="66">
        <v>3.3409899999999999E-2</v>
      </c>
    </row>
    <row r="27" spans="1:8">
      <c r="A27" s="66" t="s">
        <v>379</v>
      </c>
      <c r="B27" s="196">
        <v>-6.5651299999999996E-6</v>
      </c>
      <c r="C27" s="66">
        <v>1.00113E-3</v>
      </c>
      <c r="D27" s="66">
        <v>-152.49199999999999</v>
      </c>
      <c r="E27" s="66">
        <v>0</v>
      </c>
      <c r="F27" s="66">
        <v>-7.8256300000000001E-3</v>
      </c>
      <c r="G27" s="66">
        <v>0</v>
      </c>
      <c r="H27" s="66">
        <v>9.1747600000000006E-3</v>
      </c>
    </row>
    <row r="28" spans="1:8">
      <c r="A28" s="66" t="s">
        <v>380</v>
      </c>
      <c r="B28" s="66">
        <v>2.8841100000000001E-3</v>
      </c>
      <c r="C28" s="66">
        <v>5.9706799999999999E-3</v>
      </c>
      <c r="D28" s="66">
        <v>2.0701999999999998</v>
      </c>
      <c r="E28" s="66">
        <v>0</v>
      </c>
      <c r="F28" s="196">
        <v>3.2552100000000003E-5</v>
      </c>
      <c r="G28" s="66">
        <v>0</v>
      </c>
      <c r="H28" s="66">
        <v>3.45052E-2</v>
      </c>
    </row>
    <row r="29" spans="1:8">
      <c r="A29" s="66" t="s">
        <v>381</v>
      </c>
      <c r="B29" s="66">
        <v>61.5642</v>
      </c>
      <c r="C29" s="66">
        <v>8.1937200000000008</v>
      </c>
      <c r="D29" s="66">
        <v>0.13309199999999999</v>
      </c>
      <c r="E29" s="66">
        <v>0</v>
      </c>
      <c r="F29" s="66">
        <v>42.246600000000001</v>
      </c>
      <c r="G29" s="66">
        <v>0</v>
      </c>
      <c r="H29" s="66">
        <v>87.276799999999994</v>
      </c>
    </row>
    <row r="30" spans="1:8">
      <c r="A30" s="66" t="s">
        <v>382</v>
      </c>
      <c r="B30" s="66">
        <v>25.158100000000001</v>
      </c>
      <c r="C30" s="66">
        <v>1.55192</v>
      </c>
      <c r="D30" s="66">
        <v>6.1686600000000001E-2</v>
      </c>
      <c r="E30" s="66">
        <v>0</v>
      </c>
      <c r="F30" s="66">
        <v>22.014900000000001</v>
      </c>
      <c r="G30" s="66">
        <v>0</v>
      </c>
      <c r="H30" s="66">
        <v>28.9131</v>
      </c>
    </row>
    <row r="31" spans="1:8">
      <c r="A31" s="66" t="s">
        <v>383</v>
      </c>
      <c r="B31" s="66">
        <v>186.31100000000001</v>
      </c>
      <c r="C31" s="66">
        <v>13.7317</v>
      </c>
      <c r="D31" s="66">
        <v>7.3703199999999996E-2</v>
      </c>
      <c r="E31" s="66">
        <v>0</v>
      </c>
      <c r="F31" s="66">
        <v>160.36799999999999</v>
      </c>
      <c r="G31" s="66">
        <v>0</v>
      </c>
      <c r="H31" s="66">
        <v>220.54300000000001</v>
      </c>
    </row>
    <row r="32" spans="1:8">
      <c r="A32" s="66" t="s">
        <v>384</v>
      </c>
      <c r="B32" s="66">
        <v>0.32227699999999998</v>
      </c>
      <c r="C32" s="66">
        <v>7.8188199999999999E-2</v>
      </c>
      <c r="D32" s="66">
        <v>0.24261199999999999</v>
      </c>
      <c r="E32" s="66">
        <v>0.15</v>
      </c>
      <c r="F32" s="66">
        <v>0.10908</v>
      </c>
      <c r="G32" s="66">
        <v>0.4</v>
      </c>
      <c r="H32" s="66">
        <v>0.41461500000000001</v>
      </c>
    </row>
    <row r="33" spans="1:8">
      <c r="A33" s="66" t="s">
        <v>385</v>
      </c>
      <c r="B33" s="66">
        <v>0.444795</v>
      </c>
      <c r="C33" s="66">
        <v>2.4551300000000002E-2</v>
      </c>
      <c r="D33" s="66">
        <v>5.5197000000000003E-2</v>
      </c>
      <c r="E33" s="66">
        <v>0</v>
      </c>
      <c r="F33" s="66">
        <v>0.39707500000000001</v>
      </c>
      <c r="G33" s="66">
        <v>0</v>
      </c>
      <c r="H33" s="66">
        <v>0.49667099999999997</v>
      </c>
    </row>
    <row r="34" spans="1:8">
      <c r="A34" s="66" t="s">
        <v>386</v>
      </c>
      <c r="B34" s="66">
        <v>0.146458</v>
      </c>
      <c r="C34" s="66">
        <v>2.4858399999999999E-2</v>
      </c>
      <c r="D34" s="66">
        <v>0.16972999999999999</v>
      </c>
      <c r="E34" s="66">
        <v>0.1</v>
      </c>
      <c r="F34" s="66">
        <v>0.115691</v>
      </c>
      <c r="G34" s="66">
        <v>0.25</v>
      </c>
      <c r="H34" s="66">
        <v>0.241124</v>
      </c>
    </row>
    <row r="35" spans="1:8">
      <c r="A35" s="66" t="s">
        <v>387</v>
      </c>
      <c r="B35" s="66">
        <v>7.5810100000000005E-2</v>
      </c>
      <c r="C35" s="66">
        <v>2.2550799999999999E-2</v>
      </c>
      <c r="D35" s="66">
        <v>0.29746400000000001</v>
      </c>
      <c r="E35" s="66">
        <v>0</v>
      </c>
      <c r="F35" s="66">
        <v>2.79061E-2</v>
      </c>
      <c r="G35" s="66">
        <v>0</v>
      </c>
      <c r="H35" s="66">
        <v>0.124819</v>
      </c>
    </row>
    <row r="36" spans="1:8">
      <c r="A36" s="66" t="s">
        <v>388</v>
      </c>
      <c r="B36" s="66">
        <v>0.12328600000000001</v>
      </c>
      <c r="C36" s="66">
        <v>8.5325300000000007E-2</v>
      </c>
      <c r="D36" s="66">
        <v>0.69208999999999998</v>
      </c>
      <c r="E36" s="66">
        <v>0</v>
      </c>
      <c r="F36" s="66">
        <v>3.69921E-2</v>
      </c>
      <c r="G36" s="66">
        <v>0</v>
      </c>
      <c r="H36" s="66">
        <v>0.46113599999999999</v>
      </c>
    </row>
    <row r="37" spans="1:8">
      <c r="A37" s="66" t="s">
        <v>389</v>
      </c>
      <c r="B37" s="66">
        <v>0.248584</v>
      </c>
      <c r="C37" s="66">
        <v>8.3404500000000006E-2</v>
      </c>
      <c r="D37" s="66">
        <v>0.33551900000000001</v>
      </c>
      <c r="E37" s="66">
        <v>0.1</v>
      </c>
      <c r="F37" s="66">
        <v>2.9666000000000001E-2</v>
      </c>
      <c r="G37" s="66">
        <v>0.5</v>
      </c>
      <c r="H37" s="66">
        <v>0.25779299999999999</v>
      </c>
    </row>
    <row r="38" spans="1:8">
      <c r="A38" s="66" t="s">
        <v>390</v>
      </c>
      <c r="B38" s="66">
        <v>-10.6096</v>
      </c>
      <c r="C38" s="66">
        <v>28.015799999999999</v>
      </c>
      <c r="D38" s="66">
        <v>-2.64059</v>
      </c>
      <c r="E38" s="66">
        <v>0</v>
      </c>
      <c r="F38" s="66">
        <v>-63.747500000000002</v>
      </c>
      <c r="G38" s="66">
        <v>0</v>
      </c>
      <c r="H38" s="66">
        <v>130.72800000000001</v>
      </c>
    </row>
    <row r="39" spans="1:8">
      <c r="A39" s="66" t="s">
        <v>391</v>
      </c>
      <c r="B39" s="66">
        <v>-4.7440100000000003</v>
      </c>
      <c r="C39" s="66">
        <v>5.2573299999999996</v>
      </c>
      <c r="D39" s="66">
        <v>-1.1082000000000001</v>
      </c>
      <c r="E39" s="66">
        <v>0</v>
      </c>
      <c r="F39" s="66">
        <v>-9.0499200000000002</v>
      </c>
      <c r="G39" s="66">
        <v>0</v>
      </c>
      <c r="H39" s="66">
        <v>38.456299999999999</v>
      </c>
    </row>
    <row r="40" spans="1:8">
      <c r="A40" s="66" t="s">
        <v>392</v>
      </c>
      <c r="B40" s="66">
        <v>-2.3894799999999998</v>
      </c>
      <c r="C40" s="66">
        <v>0.45853100000000002</v>
      </c>
      <c r="D40" s="66">
        <v>-0.19189600000000001</v>
      </c>
      <c r="E40" s="66">
        <v>0</v>
      </c>
      <c r="F40" s="66">
        <v>-3.2421000000000002</v>
      </c>
      <c r="G40" s="66">
        <v>0</v>
      </c>
      <c r="H40" s="66">
        <v>-1.52336</v>
      </c>
    </row>
    <row r="41" spans="1:8">
      <c r="A41" s="66" t="s">
        <v>393</v>
      </c>
      <c r="B41" s="66">
        <v>-4.12818E-2</v>
      </c>
      <c r="C41" s="66">
        <v>0.42171599999999998</v>
      </c>
      <c r="D41" s="66">
        <v>-10.2155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-0.17946899999999999</v>
      </c>
      <c r="C42" s="66">
        <v>0.12709200000000001</v>
      </c>
      <c r="D42" s="66">
        <v>-0.70815799999999995</v>
      </c>
      <c r="E42" s="66">
        <v>0</v>
      </c>
      <c r="F42" s="66">
        <v>-0.43941599999999997</v>
      </c>
      <c r="G42" s="66">
        <v>0</v>
      </c>
      <c r="H42" s="66">
        <v>0.56073600000000001</v>
      </c>
    </row>
    <row r="43" spans="1:8">
      <c r="A43" s="66" t="s">
        <v>395</v>
      </c>
      <c r="B43" s="66">
        <v>-0.19500200000000001</v>
      </c>
      <c r="C43" s="66">
        <v>3.9939700000000002E-2</v>
      </c>
      <c r="D43" s="66">
        <v>-0.204817</v>
      </c>
      <c r="E43" s="66">
        <v>0</v>
      </c>
      <c r="F43" s="66">
        <v>-0.27817799999999998</v>
      </c>
      <c r="G43" s="66">
        <v>0</v>
      </c>
      <c r="H43" s="66">
        <v>-7.5978400000000001E-2</v>
      </c>
    </row>
    <row r="44" spans="1:8">
      <c r="A44" s="66" t="s">
        <v>396</v>
      </c>
      <c r="B44" s="66">
        <v>-41.381999999999998</v>
      </c>
      <c r="C44" s="66">
        <v>4.1336000000000004</v>
      </c>
      <c r="D44" s="66">
        <v>-9.98888E-2</v>
      </c>
      <c r="E44" s="66">
        <v>0</v>
      </c>
      <c r="F44" s="66">
        <v>-48.4437</v>
      </c>
      <c r="G44" s="66">
        <v>0</v>
      </c>
      <c r="H44" s="66">
        <v>-30.257100000000001</v>
      </c>
    </row>
    <row r="45" spans="1:8">
      <c r="A45" s="66" t="s">
        <v>397</v>
      </c>
      <c r="B45" s="66">
        <v>51.195399999999999</v>
      </c>
      <c r="C45" s="66">
        <v>6.6235900000000001</v>
      </c>
      <c r="D45" s="66">
        <v>0.12937899999999999</v>
      </c>
      <c r="E45" s="66">
        <v>0</v>
      </c>
      <c r="F45" s="66">
        <v>33.665100000000002</v>
      </c>
      <c r="G45" s="66">
        <v>0</v>
      </c>
      <c r="H45" s="66">
        <v>68.210700000000003</v>
      </c>
    </row>
    <row r="46" spans="1:8">
      <c r="A46" s="66" t="s">
        <v>398</v>
      </c>
      <c r="B46" s="66">
        <v>35.785299999999999</v>
      </c>
      <c r="C46" s="66">
        <v>4.1133800000000003</v>
      </c>
      <c r="D46" s="66">
        <v>0.11494600000000001</v>
      </c>
      <c r="E46" s="66">
        <v>0</v>
      </c>
      <c r="F46" s="66">
        <v>25.744199999999999</v>
      </c>
      <c r="G46" s="66">
        <v>0</v>
      </c>
      <c r="H46" s="66">
        <v>38.760899999999999</v>
      </c>
    </row>
    <row r="47" spans="1:8">
      <c r="A47" s="66" t="s">
        <v>399</v>
      </c>
      <c r="B47" s="66">
        <v>0.465032</v>
      </c>
      <c r="C47" s="66">
        <v>0.18615399999999999</v>
      </c>
      <c r="D47" s="66">
        <v>0.40030300000000002</v>
      </c>
      <c r="E47" s="66">
        <v>0</v>
      </c>
      <c r="F47" s="66">
        <v>0.20232700000000001</v>
      </c>
      <c r="G47" s="66">
        <v>0</v>
      </c>
      <c r="H47" s="66">
        <v>1.1794899999999999</v>
      </c>
    </row>
    <row r="48" spans="1:8">
      <c r="A48" s="66" t="s">
        <v>400</v>
      </c>
      <c r="B48" s="66">
        <v>0.61879099999999998</v>
      </c>
      <c r="C48" s="66">
        <v>5.3375400000000003E-2</v>
      </c>
      <c r="D48" s="66">
        <v>8.6257600000000004E-2</v>
      </c>
      <c r="E48" s="66">
        <v>0</v>
      </c>
      <c r="F48" s="66">
        <v>0.519729</v>
      </c>
      <c r="G48" s="66">
        <v>0</v>
      </c>
      <c r="H48" s="66">
        <v>0.71079800000000004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68.197504595425059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1.3167226513731831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0.58319121463803814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17739</v>
      </c>
      <c r="B8" s="66">
        <v>17739</v>
      </c>
      <c r="D8">
        <f t="shared" si="0"/>
        <v>0.10041208635699811</v>
      </c>
      <c r="E8">
        <f t="shared" si="0"/>
        <v>0.10041208635699811</v>
      </c>
      <c r="G8">
        <f t="shared" ca="1" si="1"/>
        <v>6</v>
      </c>
      <c r="H8">
        <f t="shared" ca="1" si="2"/>
        <v>0.60247251814198866</v>
      </c>
      <c r="I8">
        <f t="shared" ca="1" si="3"/>
        <v>388.4471260504875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26224</v>
      </c>
      <c r="B10" s="66">
        <v>26224</v>
      </c>
      <c r="D10">
        <f t="shared" si="0"/>
        <v>0.14844165694942885</v>
      </c>
      <c r="E10">
        <f t="shared" si="0"/>
        <v>0.14844165694942885</v>
      </c>
      <c r="G10">
        <f t="shared" ca="1" si="1"/>
        <v>8</v>
      </c>
      <c r="H10">
        <f t="shared" ca="1" si="2"/>
        <v>1.1875332555954308</v>
      </c>
      <c r="I10">
        <f t="shared" ca="1" si="3"/>
        <v>537.91390456778129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37074</v>
      </c>
      <c r="B13" s="66">
        <v>37074</v>
      </c>
      <c r="D13">
        <f t="shared" si="0"/>
        <v>0.2098583736174163</v>
      </c>
      <c r="E13">
        <f t="shared" si="0"/>
        <v>0.2098583736174163</v>
      </c>
      <c r="G13">
        <f t="shared" ca="1" si="1"/>
        <v>11</v>
      </c>
      <c r="H13">
        <f t="shared" ca="1" si="2"/>
        <v>2.3084421097915793</v>
      </c>
      <c r="I13">
        <f t="shared" ca="1" si="3"/>
        <v>686.5631132743863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52033</v>
      </c>
      <c r="B15" s="66">
        <v>52033</v>
      </c>
      <c r="D15">
        <f t="shared" si="0"/>
        <v>0.2945341952428932</v>
      </c>
      <c r="E15">
        <f t="shared" si="0"/>
        <v>0.2945341952428932</v>
      </c>
      <c r="G15">
        <f t="shared" ca="1" si="1"/>
        <v>13</v>
      </c>
      <c r="H15">
        <f t="shared" ca="1" si="2"/>
        <v>3.8289445381576117</v>
      </c>
      <c r="I15">
        <f t="shared" ca="1" si="3"/>
        <v>897.37633409657997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61726</v>
      </c>
      <c r="B18" s="66">
        <v>61726</v>
      </c>
      <c r="D18">
        <f t="shared" si="0"/>
        <v>0.34940168230858926</v>
      </c>
      <c r="E18">
        <f t="shared" si="0"/>
        <v>0.34940168230858926</v>
      </c>
      <c r="G18">
        <f t="shared" ca="1" si="1"/>
        <v>16</v>
      </c>
      <c r="H18">
        <f t="shared" ca="1" si="2"/>
        <v>5.5904269169374281</v>
      </c>
      <c r="I18">
        <f t="shared" ca="1" si="3"/>
        <v>951.97265598817467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70121</v>
      </c>
      <c r="B21" s="66">
        <v>70121</v>
      </c>
      <c r="D21">
        <f t="shared" si="0"/>
        <v>0.39692180548165423</v>
      </c>
      <c r="E21">
        <f t="shared" si="0"/>
        <v>0.39692180548165423</v>
      </c>
      <c r="G21">
        <f t="shared" ca="1" si="1"/>
        <v>19</v>
      </c>
      <c r="H21">
        <f t="shared" ca="1" si="2"/>
        <v>7.5415143041514305</v>
      </c>
      <c r="I21">
        <f t="shared" ca="1" si="3"/>
        <v>960.7073384126146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71794</v>
      </c>
      <c r="B23" s="66">
        <v>71794</v>
      </c>
      <c r="D23">
        <f t="shared" si="0"/>
        <v>0.40639186695497614</v>
      </c>
      <c r="E23">
        <f t="shared" si="0"/>
        <v>0.40639186695497614</v>
      </c>
      <c r="G23">
        <f t="shared" ca="1" si="1"/>
        <v>21</v>
      </c>
      <c r="H23">
        <f t="shared" ca="1" si="2"/>
        <v>8.5342292060544995</v>
      </c>
      <c r="I23">
        <f t="shared" ca="1" si="3"/>
        <v>905.28032722308683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79439</v>
      </c>
      <c r="B26" s="66">
        <v>79439</v>
      </c>
      <c r="D26">
        <f t="shared" si="0"/>
        <v>0.44966659496665951</v>
      </c>
      <c r="E26">
        <f t="shared" si="0"/>
        <v>0.44966659496665951</v>
      </c>
      <c r="G26">
        <f t="shared" ca="1" si="1"/>
        <v>24</v>
      </c>
      <c r="H26">
        <f t="shared" ca="1" si="2"/>
        <v>10.791998279199827</v>
      </c>
      <c r="I26">
        <f t="shared" ca="1" si="3"/>
        <v>878.38745574383859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86362</v>
      </c>
      <c r="B28" s="66">
        <v>86362</v>
      </c>
      <c r="D28">
        <f t="shared" si="0"/>
        <v>0.48885442256965278</v>
      </c>
      <c r="E28">
        <f t="shared" si="0"/>
        <v>0.48885442256965278</v>
      </c>
      <c r="G28">
        <f t="shared" ca="1" si="1"/>
        <v>26</v>
      </c>
      <c r="H28">
        <f t="shared" ca="1" si="2"/>
        <v>12.710214986810973</v>
      </c>
      <c r="I28">
        <f t="shared" ca="1" si="3"/>
        <v>870.46855425397837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92621</v>
      </c>
      <c r="B31" s="66">
        <v>92621</v>
      </c>
      <c r="D31">
        <f t="shared" si="0"/>
        <v>0.52428366032310292</v>
      </c>
      <c r="E31">
        <f t="shared" si="0"/>
        <v>0.52428366032310292</v>
      </c>
      <c r="G31">
        <f t="shared" ca="1" si="1"/>
        <v>29</v>
      </c>
      <c r="H31">
        <f t="shared" ca="1" si="2"/>
        <v>15.204226149369985</v>
      </c>
      <c r="I31">
        <f t="shared" ca="1" si="3"/>
        <v>805.53267635581858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96992</v>
      </c>
      <c r="B33" s="66">
        <v>96992</v>
      </c>
      <c r="D33">
        <f t="shared" si="0"/>
        <v>0.54902582332363492</v>
      </c>
      <c r="E33">
        <f t="shared" si="0"/>
        <v>0.54902582332363492</v>
      </c>
      <c r="G33">
        <f t="shared" ca="1" si="1"/>
        <v>31</v>
      </c>
      <c r="H33">
        <f t="shared" ca="1" si="2"/>
        <v>17.019800523032682</v>
      </c>
      <c r="I33">
        <f t="shared" ca="1" si="3"/>
        <v>759.66196767557142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98770</v>
      </c>
      <c r="B36" s="66">
        <v>98770</v>
      </c>
      <c r="D36">
        <f t="shared" si="0"/>
        <v>0.55909024011955033</v>
      </c>
      <c r="E36">
        <f t="shared" si="0"/>
        <v>0.55909024011955033</v>
      </c>
      <c r="G36">
        <f t="shared" ca="1" si="1"/>
        <v>34</v>
      </c>
      <c r="H36">
        <f t="shared" ca="1" si="2"/>
        <v>19.009068164064711</v>
      </c>
      <c r="I36">
        <f t="shared" ca="1" si="3"/>
        <v>653.83888324104919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102084</v>
      </c>
      <c r="B39" s="66">
        <v>102084</v>
      </c>
      <c r="D39">
        <f t="shared" si="0"/>
        <v>0.57784922620597523</v>
      </c>
      <c r="E39">
        <f t="shared" si="0"/>
        <v>0.57784922620597523</v>
      </c>
      <c r="G39">
        <f t="shared" ca="1" si="1"/>
        <v>37</v>
      </c>
      <c r="H39">
        <f t="shared" ca="1" si="2"/>
        <v>21.380421369621082</v>
      </c>
      <c r="I39">
        <f t="shared" ca="1" si="3"/>
        <v>562.41157557782856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102679</v>
      </c>
      <c r="B41" s="66">
        <v>102679</v>
      </c>
      <c r="D41">
        <f t="shared" si="0"/>
        <v>0.5812172397006713</v>
      </c>
      <c r="E41">
        <f t="shared" si="0"/>
        <v>0.5812172397006713</v>
      </c>
      <c r="G41">
        <f t="shared" ca="1" si="1"/>
        <v>39</v>
      </c>
      <c r="H41">
        <f t="shared" ca="1" si="2"/>
        <v>22.667472348326182</v>
      </c>
      <c r="I41">
        <f t="shared" ca="1" si="3"/>
        <v>495.48436914356108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110996</v>
      </c>
      <c r="B44" s="66">
        <v>110996</v>
      </c>
      <c r="D44">
        <f t="shared" si="0"/>
        <v>0.62829584177695263</v>
      </c>
      <c r="E44">
        <f t="shared" si="0"/>
        <v>0.62829584177695263</v>
      </c>
      <c r="G44">
        <f t="shared" ca="1" si="1"/>
        <v>42</v>
      </c>
      <c r="H44">
        <f t="shared" ca="1" si="2"/>
        <v>26.388425354632012</v>
      </c>
      <c r="I44">
        <f t="shared" ca="1" si="3"/>
        <v>431.20524608033469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123557</v>
      </c>
      <c r="B46" s="66">
        <v>123557</v>
      </c>
      <c r="D46">
        <f t="shared" si="0"/>
        <v>0.69939771993977196</v>
      </c>
      <c r="E46">
        <f t="shared" si="0"/>
        <v>0.69939771993977196</v>
      </c>
      <c r="G46">
        <f t="shared" ca="1" si="1"/>
        <v>44</v>
      </c>
      <c r="H46">
        <f t="shared" ca="1" si="2"/>
        <v>30.773499677349967</v>
      </c>
      <c r="I46">
        <f t="shared" ca="1" si="3"/>
        <v>409.51081349563844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115395</v>
      </c>
      <c r="B49" s="66">
        <v>115395</v>
      </c>
      <c r="D49">
        <f t="shared" si="0"/>
        <v>0.65319649953017622</v>
      </c>
      <c r="E49">
        <f t="shared" si="0"/>
        <v>0.65319649953017622</v>
      </c>
      <c r="G49">
        <f t="shared" ca="1" si="1"/>
        <v>47</v>
      </c>
      <c r="H49">
        <f t="shared" ca="1" si="2"/>
        <v>30.700235477918284</v>
      </c>
      <c r="I49">
        <f t="shared" ca="1" si="3"/>
        <v>293.50352726011539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132901</v>
      </c>
      <c r="B51" s="66">
        <v>132901</v>
      </c>
      <c r="D51">
        <f t="shared" si="0"/>
        <v>0.75228968312370514</v>
      </c>
      <c r="E51">
        <f t="shared" si="0"/>
        <v>0.75228968312370514</v>
      </c>
      <c r="G51">
        <f t="shared" ca="1" si="1"/>
        <v>49</v>
      </c>
      <c r="H51">
        <f t="shared" ca="1" si="2"/>
        <v>36.86219447306155</v>
      </c>
      <c r="I51">
        <f t="shared" ca="1" si="3"/>
        <v>277.25198641397282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134818</v>
      </c>
      <c r="B54" s="66">
        <v>134818</v>
      </c>
      <c r="D54">
        <f t="shared" si="0"/>
        <v>0.76314091315619659</v>
      </c>
      <c r="E54">
        <f t="shared" si="0"/>
        <v>0.76314091315619659</v>
      </c>
      <c r="G54">
        <f t="shared" ca="1" si="1"/>
        <v>52</v>
      </c>
      <c r="H54">
        <f t="shared" ca="1" si="2"/>
        <v>39.683327484122223</v>
      </c>
      <c r="I54">
        <f t="shared" ca="1" si="3"/>
        <v>200.2170052122614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144193</v>
      </c>
      <c r="B57" s="66">
        <v>144193</v>
      </c>
      <c r="D57">
        <f t="shared" si="0"/>
        <v>0.81620835267346681</v>
      </c>
      <c r="E57">
        <f t="shared" si="0"/>
        <v>0.81620835267346681</v>
      </c>
      <c r="G57">
        <f t="shared" ca="1" si="1"/>
        <v>55</v>
      </c>
      <c r="H57">
        <f t="shared" ca="1" si="2"/>
        <v>44.891459397040677</v>
      </c>
      <c r="I57">
        <f t="shared" ca="1" si="3"/>
        <v>142.1623777228757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151545</v>
      </c>
      <c r="B59" s="66">
        <v>151545</v>
      </c>
      <c r="D59">
        <f t="shared" si="0"/>
        <v>0.85782454630877047</v>
      </c>
      <c r="E59">
        <f t="shared" si="0"/>
        <v>0.85782454630877047</v>
      </c>
      <c r="G59">
        <f t="shared" ca="1" si="1"/>
        <v>57</v>
      </c>
      <c r="H59">
        <f t="shared" ca="1" si="2"/>
        <v>48.895999139599915</v>
      </c>
      <c r="I59">
        <f t="shared" ca="1" si="3"/>
        <v>107.55756655842259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169298</v>
      </c>
      <c r="B62" s="66">
        <v>169298</v>
      </c>
      <c r="D62">
        <f t="shared" si="0"/>
        <v>0.95831588004211432</v>
      </c>
      <c r="E62">
        <f t="shared" si="0"/>
        <v>0.95831588004211432</v>
      </c>
      <c r="G62">
        <f t="shared" ca="1" si="1"/>
        <v>60</v>
      </c>
      <c r="H62">
        <f t="shared" ca="1" si="2"/>
        <v>57.498952802526858</v>
      </c>
      <c r="I62">
        <f t="shared" ca="1" si="3"/>
        <v>64.397947013873662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164496</v>
      </c>
      <c r="B64" s="66">
        <v>164496</v>
      </c>
      <c r="D64">
        <f t="shared" si="0"/>
        <v>0.93113402995550831</v>
      </c>
      <c r="E64">
        <f t="shared" si="0"/>
        <v>0.93113402995550831</v>
      </c>
      <c r="G64">
        <f t="shared" ca="1" si="1"/>
        <v>62</v>
      </c>
      <c r="H64">
        <f t="shared" ca="1" si="2"/>
        <v>57.730309857241515</v>
      </c>
      <c r="I64">
        <f t="shared" ca="1" si="3"/>
        <v>35.7639858138362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166664</v>
      </c>
      <c r="B67" s="66">
        <v>166664</v>
      </c>
      <c r="D67">
        <f t="shared" ref="D67:E130" si="4">IFERROR( A67/MAX(A$2:A$257), 0 )</f>
        <v>0.94340605223534202</v>
      </c>
      <c r="E67">
        <f t="shared" si="4"/>
        <v>0.94340605223534202</v>
      </c>
      <c r="G67">
        <f t="shared" ref="G67:G130" ca="1" si="5">CELL("row",D67)-2</f>
        <v>65</v>
      </c>
      <c r="H67">
        <f t="shared" ref="H67:H130" ca="1" si="6">D67*G67</f>
        <v>61.321393395297228</v>
      </c>
      <c r="I67">
        <f t="shared" ref="I67:I130" ca="1" si="7">D67*((G67-$L$1)^2)</f>
        <v>9.6454170989367309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176662</v>
      </c>
      <c r="B69" s="66">
        <v>176662</v>
      </c>
      <c r="D69">
        <f t="shared" si="4"/>
        <v>1</v>
      </c>
      <c r="E69">
        <f t="shared" si="4"/>
        <v>1</v>
      </c>
      <c r="G69">
        <f t="shared" ca="1" si="5"/>
        <v>67</v>
      </c>
      <c r="H69">
        <f t="shared" ca="1" si="6"/>
        <v>67</v>
      </c>
      <c r="I69">
        <f t="shared" ca="1" si="7"/>
        <v>1.434017256064134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173740</v>
      </c>
      <c r="B72" s="66">
        <v>173740</v>
      </c>
      <c r="D72">
        <f t="shared" si="4"/>
        <v>0.98345994045125718</v>
      </c>
      <c r="E72">
        <f t="shared" si="4"/>
        <v>0.98345994045125718</v>
      </c>
      <c r="G72">
        <f t="shared" ca="1" si="5"/>
        <v>70</v>
      </c>
      <c r="H72">
        <f t="shared" ca="1" si="6"/>
        <v>68.842195831588</v>
      </c>
      <c r="I72">
        <f t="shared" ca="1" si="7"/>
        <v>3.1952512006752114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172893</v>
      </c>
      <c r="B75" s="66">
        <v>172893</v>
      </c>
      <c r="D75">
        <f t="shared" si="4"/>
        <v>0.97866547418233685</v>
      </c>
      <c r="E75">
        <f t="shared" si="4"/>
        <v>0.97866547418233685</v>
      </c>
      <c r="G75">
        <f t="shared" ca="1" si="5"/>
        <v>73</v>
      </c>
      <c r="H75">
        <f t="shared" ca="1" si="6"/>
        <v>71.442579615310592</v>
      </c>
      <c r="I75">
        <f t="shared" ca="1" si="7"/>
        <v>22.571903415849473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167496</v>
      </c>
      <c r="B77" s="66">
        <v>167496</v>
      </c>
      <c r="D77">
        <f t="shared" si="4"/>
        <v>0.94811561060103478</v>
      </c>
      <c r="E77">
        <f t="shared" si="4"/>
        <v>0.94811561060103478</v>
      </c>
      <c r="G77">
        <f t="shared" ca="1" si="5"/>
        <v>75</v>
      </c>
      <c r="H77">
        <f t="shared" ca="1" si="6"/>
        <v>71.108670795077614</v>
      </c>
      <c r="I77">
        <f t="shared" ca="1" si="7"/>
        <v>43.87304841378829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152830</v>
      </c>
      <c r="B80" s="66">
        <v>152830</v>
      </c>
      <c r="D80">
        <f t="shared" si="4"/>
        <v>0.86509832335193759</v>
      </c>
      <c r="E80">
        <f t="shared" si="4"/>
        <v>0.86509832335193759</v>
      </c>
      <c r="G80">
        <f t="shared" ca="1" si="5"/>
        <v>78</v>
      </c>
      <c r="H80">
        <f t="shared" ca="1" si="6"/>
        <v>67.477669221451137</v>
      </c>
      <c r="I80">
        <f t="shared" ca="1" si="7"/>
        <v>83.126360259877188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150777</v>
      </c>
      <c r="B82" s="66">
        <v>150777</v>
      </c>
      <c r="D82">
        <f t="shared" si="4"/>
        <v>0.85347726166351567</v>
      </c>
      <c r="E82">
        <f t="shared" si="4"/>
        <v>0.85347726166351567</v>
      </c>
      <c r="G82">
        <f t="shared" ca="1" si="5"/>
        <v>80</v>
      </c>
      <c r="H82">
        <f t="shared" ca="1" si="6"/>
        <v>68.278180933081259</v>
      </c>
      <c r="I82">
        <f t="shared" ca="1" si="7"/>
        <v>118.88844182576375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137997</v>
      </c>
      <c r="B85" s="66">
        <v>137997</v>
      </c>
      <c r="D85">
        <f t="shared" si="4"/>
        <v>0.78113572811357279</v>
      </c>
      <c r="E85">
        <f t="shared" si="4"/>
        <v>0.78113572811357279</v>
      </c>
      <c r="G85">
        <f t="shared" ca="1" si="5"/>
        <v>83</v>
      </c>
      <c r="H85">
        <f t="shared" ca="1" si="6"/>
        <v>64.834265433426538</v>
      </c>
      <c r="I85">
        <f t="shared" ca="1" si="7"/>
        <v>171.15767254038323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136208</v>
      </c>
      <c r="B88" s="66">
        <v>136208</v>
      </c>
      <c r="D88">
        <f t="shared" si="4"/>
        <v>0.77100904552195715</v>
      </c>
      <c r="E88">
        <f t="shared" si="4"/>
        <v>0.77100904552195715</v>
      </c>
      <c r="G88">
        <f t="shared" ca="1" si="5"/>
        <v>86</v>
      </c>
      <c r="H88">
        <f t="shared" ca="1" si="6"/>
        <v>66.306777914888315</v>
      </c>
      <c r="I88">
        <f t="shared" ca="1" si="7"/>
        <v>244.35500445446695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145004</v>
      </c>
      <c r="B90" s="66">
        <v>145004</v>
      </c>
      <c r="D90">
        <f t="shared" si="4"/>
        <v>0.82079903997464088</v>
      </c>
      <c r="E90">
        <f t="shared" si="4"/>
        <v>0.82079903997464088</v>
      </c>
      <c r="G90">
        <f t="shared" ca="1" si="5"/>
        <v>88</v>
      </c>
      <c r="H90">
        <f t="shared" ca="1" si="6"/>
        <v>72.230315517768403</v>
      </c>
      <c r="I90">
        <f t="shared" ca="1" si="7"/>
        <v>321.86717047971655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138277</v>
      </c>
      <c r="B93" s="66">
        <v>138277</v>
      </c>
      <c r="D93">
        <f t="shared" si="4"/>
        <v>0.78272067564048864</v>
      </c>
      <c r="E93">
        <f t="shared" si="4"/>
        <v>0.78272067564048864</v>
      </c>
      <c r="G93">
        <f t="shared" ca="1" si="5"/>
        <v>91</v>
      </c>
      <c r="H93">
        <f t="shared" ca="1" si="6"/>
        <v>71.227581483284467</v>
      </c>
      <c r="I93">
        <f t="shared" ca="1" si="7"/>
        <v>406.9785870358109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126893</v>
      </c>
      <c r="B95" s="66">
        <v>126893</v>
      </c>
      <c r="D95">
        <f t="shared" si="4"/>
        <v>0.71828123761759743</v>
      </c>
      <c r="E95">
        <f t="shared" si="4"/>
        <v>0.71828123761759743</v>
      </c>
      <c r="G95">
        <f t="shared" ca="1" si="5"/>
        <v>93</v>
      </c>
      <c r="H95">
        <f t="shared" ca="1" si="6"/>
        <v>66.800155098436562</v>
      </c>
      <c r="I95">
        <f t="shared" ca="1" si="7"/>
        <v>441.86060001050367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111751</v>
      </c>
      <c r="B98" s="66">
        <v>111751</v>
      </c>
      <c r="D98">
        <f t="shared" si="4"/>
        <v>0.63256953957274342</v>
      </c>
      <c r="E98">
        <f t="shared" si="4"/>
        <v>0.63256953957274342</v>
      </c>
      <c r="G98">
        <f t="shared" ca="1" si="5"/>
        <v>96</v>
      </c>
      <c r="H98">
        <f t="shared" ca="1" si="6"/>
        <v>60.726675798983365</v>
      </c>
      <c r="I98">
        <f t="shared" ca="1" si="7"/>
        <v>488.96281244335722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100351</v>
      </c>
      <c r="B100" s="66">
        <v>100351</v>
      </c>
      <c r="D100">
        <f t="shared" si="4"/>
        <v>0.56803953311974276</v>
      </c>
      <c r="E100">
        <f t="shared" si="4"/>
        <v>0.56803953311974276</v>
      </c>
      <c r="G100">
        <f t="shared" ca="1" si="5"/>
        <v>98</v>
      </c>
      <c r="H100">
        <f t="shared" ca="1" si="6"/>
        <v>55.667874245734794</v>
      </c>
      <c r="I100">
        <f t="shared" ca="1" si="7"/>
        <v>504.52631284046527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88038</v>
      </c>
      <c r="B103" s="66">
        <v>88038</v>
      </c>
      <c r="D103">
        <f t="shared" si="4"/>
        <v>0.49834146562362025</v>
      </c>
      <c r="E103">
        <f t="shared" si="4"/>
        <v>0.49834146562362025</v>
      </c>
      <c r="G103">
        <f t="shared" ca="1" si="5"/>
        <v>101</v>
      </c>
      <c r="H103">
        <f t="shared" ca="1" si="6"/>
        <v>50.332488027985647</v>
      </c>
      <c r="I103">
        <f t="shared" ca="1" si="7"/>
        <v>536.21726325011173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80844</v>
      </c>
      <c r="B106" s="66">
        <v>80844</v>
      </c>
      <c r="D106">
        <f t="shared" si="4"/>
        <v>0.45761963523564775</v>
      </c>
      <c r="E106">
        <f t="shared" si="4"/>
        <v>0.45761963523564775</v>
      </c>
      <c r="G106">
        <f t="shared" ca="1" si="5"/>
        <v>104</v>
      </c>
      <c r="H106">
        <f t="shared" ca="1" si="6"/>
        <v>47.592442064507367</v>
      </c>
      <c r="I106">
        <f t="shared" ca="1" si="7"/>
        <v>586.58539549603779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72360</v>
      </c>
      <c r="B108" s="66">
        <v>72360</v>
      </c>
      <c r="D108">
        <f t="shared" si="4"/>
        <v>0.40959572517009885</v>
      </c>
      <c r="E108">
        <f t="shared" si="4"/>
        <v>0.40959572517009885</v>
      </c>
      <c r="G108">
        <f t="shared" ca="1" si="5"/>
        <v>106</v>
      </c>
      <c r="H108">
        <f t="shared" ca="1" si="6"/>
        <v>43.417146868030478</v>
      </c>
      <c r="I108">
        <f t="shared" ca="1" si="7"/>
        <v>585.32402979532742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59474</v>
      </c>
      <c r="B111" s="66">
        <v>59474</v>
      </c>
      <c r="D111">
        <f t="shared" si="4"/>
        <v>0.33665417577068074</v>
      </c>
      <c r="E111">
        <f t="shared" si="4"/>
        <v>0.33665417577068074</v>
      </c>
      <c r="G111">
        <f t="shared" ca="1" si="5"/>
        <v>109</v>
      </c>
      <c r="H111">
        <f t="shared" ca="1" si="6"/>
        <v>36.695305159004199</v>
      </c>
      <c r="I111">
        <f t="shared" ca="1" si="7"/>
        <v>560.47656046229031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53239</v>
      </c>
      <c r="B113" s="66">
        <v>53239</v>
      </c>
      <c r="D113">
        <f t="shared" si="4"/>
        <v>0.30136079066239485</v>
      </c>
      <c r="E113">
        <f t="shared" si="4"/>
        <v>0.30136079066239485</v>
      </c>
      <c r="G113">
        <f t="shared" ca="1" si="5"/>
        <v>111</v>
      </c>
      <c r="H113">
        <f t="shared" ca="1" si="6"/>
        <v>33.451047763525828</v>
      </c>
      <c r="I113">
        <f t="shared" ca="1" si="7"/>
        <v>552.10912530698249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50709</v>
      </c>
      <c r="B116" s="66">
        <v>50709</v>
      </c>
      <c r="D116">
        <f t="shared" si="4"/>
        <v>0.28703965765133421</v>
      </c>
      <c r="E116">
        <f t="shared" si="4"/>
        <v>0.28703965765133421</v>
      </c>
      <c r="G116">
        <f t="shared" ca="1" si="5"/>
        <v>114</v>
      </c>
      <c r="H116">
        <f t="shared" ca="1" si="6"/>
        <v>32.722520972252099</v>
      </c>
      <c r="I116">
        <f t="shared" ca="1" si="7"/>
        <v>602.17148051801348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48011</v>
      </c>
      <c r="B118" s="66">
        <v>48011</v>
      </c>
      <c r="D118">
        <f t="shared" si="4"/>
        <v>0.27176755612412401</v>
      </c>
      <c r="E118">
        <f t="shared" si="4"/>
        <v>0.27176755612412401</v>
      </c>
      <c r="G118">
        <f t="shared" ca="1" si="5"/>
        <v>116</v>
      </c>
      <c r="H118">
        <f t="shared" ca="1" si="6"/>
        <v>31.525036510398387</v>
      </c>
      <c r="I118">
        <f t="shared" ca="1" si="7"/>
        <v>621.01021767922668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40416</v>
      </c>
      <c r="B121" s="66">
        <v>40416</v>
      </c>
      <c r="D121">
        <f t="shared" si="4"/>
        <v>0.22877585445653281</v>
      </c>
      <c r="E121">
        <f t="shared" si="4"/>
        <v>0.22877585445653281</v>
      </c>
      <c r="G121">
        <f t="shared" ca="1" si="5"/>
        <v>119</v>
      </c>
      <c r="H121">
        <f t="shared" ca="1" si="6"/>
        <v>27.224326680327405</v>
      </c>
      <c r="I121">
        <f t="shared" ca="1" si="7"/>
        <v>590.44612472199094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29430</v>
      </c>
      <c r="B124" s="66">
        <v>29430</v>
      </c>
      <c r="D124">
        <f t="shared" si="4"/>
        <v>0.16658930613261483</v>
      </c>
      <c r="E124">
        <f t="shared" si="4"/>
        <v>0.16658930613261483</v>
      </c>
      <c r="G124">
        <f t="shared" ca="1" si="5"/>
        <v>122</v>
      </c>
      <c r="H124">
        <f t="shared" ca="1" si="6"/>
        <v>20.323895348179008</v>
      </c>
      <c r="I124">
        <f t="shared" ca="1" si="7"/>
        <v>482.22748243015718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25495</v>
      </c>
      <c r="B126" s="66">
        <v>25495</v>
      </c>
      <c r="D126">
        <f t="shared" si="4"/>
        <v>0.14431513285256592</v>
      </c>
      <c r="E126">
        <f t="shared" si="4"/>
        <v>0.14431513285256592</v>
      </c>
      <c r="G126">
        <f t="shared" ca="1" si="5"/>
        <v>124</v>
      </c>
      <c r="H126">
        <f t="shared" ca="1" si="6"/>
        <v>17.895076473718174</v>
      </c>
      <c r="I126">
        <f t="shared" ca="1" si="7"/>
        <v>449.3855610638513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26491</v>
      </c>
      <c r="B129" s="66">
        <v>26491</v>
      </c>
      <c r="D129">
        <f t="shared" si="4"/>
        <v>0.14995301762688071</v>
      </c>
      <c r="E129">
        <f t="shared" si="4"/>
        <v>0.14995301762688071</v>
      </c>
      <c r="G129">
        <f t="shared" ca="1" si="5"/>
        <v>127</v>
      </c>
      <c r="H129">
        <f t="shared" ca="1" si="6"/>
        <v>19.044033238613849</v>
      </c>
      <c r="I129">
        <f t="shared" ca="1" si="7"/>
        <v>518.49756734692107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26936</v>
      </c>
      <c r="B131" s="66">
        <v>26936</v>
      </c>
      <c r="D131">
        <f t="shared" ref="D131:E194" si="8">IFERROR( A131/MAX(A$2:A$257), 0 )</f>
        <v>0.15247195208930048</v>
      </c>
      <c r="E131">
        <f t="shared" si="8"/>
        <v>0.15247195208930048</v>
      </c>
      <c r="G131">
        <f t="shared" ref="G131:G194" ca="1" si="9">CELL("row",D131)-2</f>
        <v>129</v>
      </c>
      <c r="H131">
        <f t="shared" ref="H131:H194" ca="1" si="10">D131*G131</f>
        <v>19.668881819519761</v>
      </c>
      <c r="I131">
        <f t="shared" ref="I131:I194" ca="1" si="11">D131*((G131-$L$1)^2)</f>
        <v>563.6801841923874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23921</v>
      </c>
      <c r="B134" s="66">
        <v>23921</v>
      </c>
      <c r="D134">
        <f t="shared" si="8"/>
        <v>0.13540546354054636</v>
      </c>
      <c r="E134">
        <f t="shared" si="8"/>
        <v>0.13540546354054636</v>
      </c>
      <c r="G134">
        <f t="shared" ca="1" si="9"/>
        <v>132</v>
      </c>
      <c r="H134">
        <f t="shared" ca="1" si="10"/>
        <v>17.873521187352118</v>
      </c>
      <c r="I134">
        <f t="shared" ca="1" si="11"/>
        <v>551.20293080148053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20794</v>
      </c>
      <c r="B136" s="66">
        <v>20794</v>
      </c>
      <c r="D136">
        <f t="shared" si="8"/>
        <v>0.11770499598102592</v>
      </c>
      <c r="E136">
        <f t="shared" si="8"/>
        <v>0.11770499598102592</v>
      </c>
      <c r="G136">
        <f t="shared" ca="1" si="9"/>
        <v>134</v>
      </c>
      <c r="H136">
        <f t="shared" ca="1" si="10"/>
        <v>15.772469461457474</v>
      </c>
      <c r="I136">
        <f t="shared" ca="1" si="11"/>
        <v>509.65891329289042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19594</v>
      </c>
      <c r="B139" s="66">
        <v>19594</v>
      </c>
      <c r="D139">
        <f t="shared" si="8"/>
        <v>0.11091236372281532</v>
      </c>
      <c r="E139">
        <f t="shared" si="8"/>
        <v>0.11091236372281532</v>
      </c>
      <c r="G139">
        <f t="shared" ca="1" si="9"/>
        <v>137</v>
      </c>
      <c r="H139">
        <f t="shared" ca="1" si="10"/>
        <v>15.194993830025698</v>
      </c>
      <c r="I139">
        <f t="shared" ca="1" si="11"/>
        <v>525.03510335063061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18451</v>
      </c>
      <c r="B142" s="66">
        <v>18451</v>
      </c>
      <c r="D142">
        <f t="shared" si="8"/>
        <v>0.10444238149686973</v>
      </c>
      <c r="E142">
        <f t="shared" si="8"/>
        <v>0.10444238149686973</v>
      </c>
      <c r="G142">
        <f t="shared" ca="1" si="9"/>
        <v>140</v>
      </c>
      <c r="H142">
        <f t="shared" ca="1" si="10"/>
        <v>14.621933409561763</v>
      </c>
      <c r="I142">
        <f t="shared" ca="1" si="11"/>
        <v>538.46296933140252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15088</v>
      </c>
      <c r="B144" s="66">
        <v>15088</v>
      </c>
      <c r="D144">
        <f t="shared" si="8"/>
        <v>8.5406029593234539E-2</v>
      </c>
      <c r="E144">
        <f t="shared" si="8"/>
        <v>8.5406029593234539E-2</v>
      </c>
      <c r="G144">
        <f t="shared" ca="1" si="9"/>
        <v>142</v>
      </c>
      <c r="H144">
        <f t="shared" ca="1" si="10"/>
        <v>12.127656202239304</v>
      </c>
      <c r="I144">
        <f t="shared" ca="1" si="11"/>
        <v>465.19027324491685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10539</v>
      </c>
      <c r="B147" s="66">
        <v>10539</v>
      </c>
      <c r="D147">
        <f t="shared" si="8"/>
        <v>5.9656292807734546E-2</v>
      </c>
      <c r="E147">
        <f t="shared" si="8"/>
        <v>5.9656292807734546E-2</v>
      </c>
      <c r="G147">
        <f t="shared" ca="1" si="9"/>
        <v>145</v>
      </c>
      <c r="H147">
        <f t="shared" ca="1" si="10"/>
        <v>8.6501624571215086</v>
      </c>
      <c r="I147">
        <f t="shared" ca="1" si="11"/>
        <v>351.88999876938362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9842</v>
      </c>
      <c r="B149" s="66">
        <v>9842</v>
      </c>
      <c r="D149">
        <f t="shared" si="8"/>
        <v>5.5710905571090555E-2</v>
      </c>
      <c r="E149">
        <f t="shared" si="8"/>
        <v>5.5710905571090555E-2</v>
      </c>
      <c r="G149">
        <f t="shared" ca="1" si="9"/>
        <v>147</v>
      </c>
      <c r="H149">
        <f t="shared" ca="1" si="10"/>
        <v>8.1895031189503111</v>
      </c>
      <c r="I149">
        <f t="shared" ca="1" si="11"/>
        <v>345.95543558505182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5479</v>
      </c>
      <c r="B152" s="66">
        <v>5479</v>
      </c>
      <c r="D152">
        <f t="shared" si="8"/>
        <v>3.1014026785613207E-2</v>
      </c>
      <c r="E152">
        <f t="shared" si="8"/>
        <v>3.1014026785613207E-2</v>
      </c>
      <c r="G152">
        <f t="shared" ca="1" si="9"/>
        <v>150</v>
      </c>
      <c r="H152">
        <f t="shared" ca="1" si="10"/>
        <v>4.6521040178419808</v>
      </c>
      <c r="I152">
        <f t="shared" ca="1" si="11"/>
        <v>207.53495820234431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5739</v>
      </c>
      <c r="B154" s="66">
        <v>5739</v>
      </c>
      <c r="D154">
        <f t="shared" si="8"/>
        <v>3.2485763774892165E-2</v>
      </c>
      <c r="E154">
        <f t="shared" si="8"/>
        <v>3.2485763774892165E-2</v>
      </c>
      <c r="G154">
        <f t="shared" ca="1" si="9"/>
        <v>152</v>
      </c>
      <c r="H154">
        <f t="shared" ca="1" si="10"/>
        <v>4.9378360937836092</v>
      </c>
      <c r="I154">
        <f t="shared" ca="1" si="11"/>
        <v>228.14291368035003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4316</v>
      </c>
      <c r="B157" s="66">
        <v>4316</v>
      </c>
      <c r="D157">
        <f t="shared" si="8"/>
        <v>2.4430834022030772E-2</v>
      </c>
      <c r="E157">
        <f t="shared" si="8"/>
        <v>2.4430834022030772E-2</v>
      </c>
      <c r="G157">
        <f t="shared" ca="1" si="9"/>
        <v>155</v>
      </c>
      <c r="H157">
        <f t="shared" ca="1" si="10"/>
        <v>3.7867792734147696</v>
      </c>
      <c r="I157">
        <f t="shared" ca="1" si="11"/>
        <v>184.07835056615895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3119</v>
      </c>
      <c r="B160" s="66">
        <v>3119</v>
      </c>
      <c r="D160">
        <f t="shared" si="8"/>
        <v>1.7655183344465704E-2</v>
      </c>
      <c r="E160">
        <f t="shared" si="8"/>
        <v>1.7655183344465704E-2</v>
      </c>
      <c r="G160">
        <f t="shared" ca="1" si="9"/>
        <v>158</v>
      </c>
      <c r="H160">
        <f t="shared" ca="1" si="10"/>
        <v>2.7895189684255812</v>
      </c>
      <c r="I160">
        <f t="shared" ca="1" si="11"/>
        <v>142.38001741286675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611</v>
      </c>
      <c r="B162" s="66">
        <v>611</v>
      </c>
      <c r="D162">
        <f t="shared" si="8"/>
        <v>3.4585819248055608E-3</v>
      </c>
      <c r="E162">
        <f t="shared" si="8"/>
        <v>3.4585819248055608E-3</v>
      </c>
      <c r="G162">
        <f t="shared" ca="1" si="9"/>
        <v>160</v>
      </c>
      <c r="H162">
        <f t="shared" ca="1" si="10"/>
        <v>0.55337310796888972</v>
      </c>
      <c r="I162">
        <f t="shared" ca="1" si="11"/>
        <v>29.147884532563761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121</v>
      </c>
      <c r="B165" s="66">
        <v>121</v>
      </c>
      <c r="D165">
        <f t="shared" si="8"/>
        <v>6.8492375270290157E-4</v>
      </c>
      <c r="E165">
        <f t="shared" si="8"/>
        <v>6.8492375270290157E-4</v>
      </c>
      <c r="G165">
        <f t="shared" ca="1" si="9"/>
        <v>163</v>
      </c>
      <c r="H165">
        <f t="shared" ca="1" si="10"/>
        <v>0.11164257169057296</v>
      </c>
      <c r="I165">
        <f t="shared" ca="1" si="11"/>
        <v>6.1557612238459241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179</v>
      </c>
      <c r="B167" s="66">
        <v>179</v>
      </c>
      <c r="D167">
        <f t="shared" si="8"/>
        <v>1.013234311849747E-3</v>
      </c>
      <c r="E167">
        <f t="shared" si="8"/>
        <v>1.013234311849747E-3</v>
      </c>
      <c r="G167">
        <f t="shared" ca="1" si="9"/>
        <v>165</v>
      </c>
      <c r="H167">
        <f t="shared" ca="1" si="10"/>
        <v>0.16718366145520824</v>
      </c>
      <c r="I167">
        <f t="shared" ca="1" si="11"/>
        <v>9.4947381885348445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120</v>
      </c>
      <c r="B170" s="66">
        <v>120</v>
      </c>
      <c r="D170">
        <f t="shared" si="8"/>
        <v>6.7926322582105938E-4</v>
      </c>
      <c r="E170">
        <f t="shared" si="8"/>
        <v>6.7926322582105938E-4</v>
      </c>
      <c r="G170">
        <f t="shared" ca="1" si="9"/>
        <v>168</v>
      </c>
      <c r="H170">
        <f t="shared" ca="1" si="10"/>
        <v>0.11411622193793798</v>
      </c>
      <c r="I170">
        <f t="shared" ca="1" si="11"/>
        <v>6.765827233234222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60</v>
      </c>
      <c r="B173" s="66">
        <v>60</v>
      </c>
      <c r="D173">
        <f t="shared" si="8"/>
        <v>3.3963161291052969E-4</v>
      </c>
      <c r="E173">
        <f t="shared" si="8"/>
        <v>3.3963161291052969E-4</v>
      </c>
      <c r="G173">
        <f t="shared" ca="1" si="9"/>
        <v>171</v>
      </c>
      <c r="H173">
        <f t="shared" ca="1" si="10"/>
        <v>5.8077005807700574E-2</v>
      </c>
      <c r="I173">
        <f t="shared" ca="1" si="11"/>
        <v>3.5893467960538148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296</v>
      </c>
      <c r="B175" s="66">
        <v>296</v>
      </c>
      <c r="D175">
        <f t="shared" si="8"/>
        <v>1.67551595702528E-3</v>
      </c>
      <c r="E175">
        <f t="shared" si="8"/>
        <v>1.67551595702528E-3</v>
      </c>
      <c r="G175">
        <f t="shared" ca="1" si="9"/>
        <v>173</v>
      </c>
      <c r="H175">
        <f t="shared" ca="1" si="10"/>
        <v>0.28986426056537345</v>
      </c>
      <c r="I175">
        <f t="shared" ca="1" si="11"/>
        <v>18.403135143583125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1072</v>
      </c>
      <c r="B178" s="66">
        <v>1072</v>
      </c>
      <c r="D178">
        <f t="shared" si="8"/>
        <v>6.0680848173347976E-3</v>
      </c>
      <c r="E178">
        <f t="shared" si="8"/>
        <v>6.0680848173347976E-3</v>
      </c>
      <c r="G178">
        <f t="shared" ca="1" si="9"/>
        <v>176</v>
      </c>
      <c r="H178">
        <f t="shared" ca="1" si="10"/>
        <v>1.0679829278509243</v>
      </c>
      <c r="I178">
        <f t="shared" ca="1" si="11"/>
        <v>70.519507492081189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243</v>
      </c>
      <c r="B180" s="66">
        <v>243</v>
      </c>
      <c r="D180">
        <f t="shared" si="8"/>
        <v>1.3755080322876453E-3</v>
      </c>
      <c r="E180">
        <f t="shared" si="8"/>
        <v>1.3755080322876453E-3</v>
      </c>
      <c r="G180">
        <f t="shared" ca="1" si="9"/>
        <v>178</v>
      </c>
      <c r="H180">
        <f t="shared" ca="1" si="10"/>
        <v>0.24484042974720086</v>
      </c>
      <c r="I180">
        <f t="shared" ca="1" si="11"/>
        <v>16.583933631954938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59.552682812656734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1.1498128395555383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0.4835166921885094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9859</v>
      </c>
      <c r="B8" s="66">
        <v>9859</v>
      </c>
      <c r="D8">
        <f t="shared" si="0"/>
        <v>10.718517954795011</v>
      </c>
      <c r="E8">
        <f t="shared" si="1"/>
        <v>10.718517954795011</v>
      </c>
      <c r="G8">
        <f t="shared" ca="1" si="2"/>
        <v>6</v>
      </c>
      <c r="H8">
        <f t="shared" ca="1" si="3"/>
        <v>64.311107728770068</v>
      </c>
      <c r="I8">
        <f t="shared" ca="1" si="4"/>
        <v>30739.528704181452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15224</v>
      </c>
      <c r="B10" s="66">
        <v>15224</v>
      </c>
      <c r="D10">
        <f t="shared" si="0"/>
        <v>16.551244278709735</v>
      </c>
      <c r="E10">
        <f t="shared" si="1"/>
        <v>16.551244278709735</v>
      </c>
      <c r="G10">
        <f t="shared" ca="1" si="2"/>
        <v>8</v>
      </c>
      <c r="H10">
        <f t="shared" ca="1" si="3"/>
        <v>132.40995422967788</v>
      </c>
      <c r="I10">
        <f t="shared" ca="1" si="4"/>
        <v>43987.896084296488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19461</v>
      </c>
      <c r="B13" s="66">
        <v>19461</v>
      </c>
      <c r="D13">
        <f t="shared" si="0"/>
        <v>21.157630380187214</v>
      </c>
      <c r="E13">
        <f t="shared" si="1"/>
        <v>21.157630380187214</v>
      </c>
      <c r="G13">
        <f t="shared" ca="1" si="2"/>
        <v>11</v>
      </c>
      <c r="H13">
        <f t="shared" ca="1" si="3"/>
        <v>232.73393418205936</v>
      </c>
      <c r="I13">
        <f t="shared" ca="1" si="4"/>
        <v>49876.215201674131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30512</v>
      </c>
      <c r="B15" s="66">
        <v>30512</v>
      </c>
      <c r="D15">
        <f t="shared" si="0"/>
        <v>33.172068144508103</v>
      </c>
      <c r="E15">
        <f t="shared" si="1"/>
        <v>33.172068144508103</v>
      </c>
      <c r="G15">
        <f t="shared" ca="1" si="2"/>
        <v>13</v>
      </c>
      <c r="H15">
        <f t="shared" ca="1" si="3"/>
        <v>431.23688587860534</v>
      </c>
      <c r="I15">
        <f t="shared" ca="1" si="4"/>
        <v>71888.923014021755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32095</v>
      </c>
      <c r="B18" s="66">
        <v>32095</v>
      </c>
      <c r="D18">
        <f t="shared" si="0"/>
        <v>34.89307574390363</v>
      </c>
      <c r="E18">
        <f t="shared" si="1"/>
        <v>34.89307574390363</v>
      </c>
      <c r="G18">
        <f t="shared" ca="1" si="2"/>
        <v>16</v>
      </c>
      <c r="H18">
        <f t="shared" ca="1" si="3"/>
        <v>558.28921190245808</v>
      </c>
      <c r="I18">
        <f t="shared" ca="1" si="4"/>
        <v>66186.448508793575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36310</v>
      </c>
      <c r="B21" s="66">
        <v>36310</v>
      </c>
      <c r="D21">
        <f t="shared" si="0"/>
        <v>39.475543862319391</v>
      </c>
      <c r="E21">
        <f t="shared" si="1"/>
        <v>39.475543862319391</v>
      </c>
      <c r="G21">
        <f t="shared" ca="1" si="2"/>
        <v>19</v>
      </c>
      <c r="H21">
        <f t="shared" ca="1" si="3"/>
        <v>750.03533338406839</v>
      </c>
      <c r="I21">
        <f t="shared" ca="1" si="4"/>
        <v>64918.324680930011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37402</v>
      </c>
      <c r="B23" s="66">
        <v>37402</v>
      </c>
      <c r="D23">
        <f t="shared" si="0"/>
        <v>40.662745567019279</v>
      </c>
      <c r="E23">
        <f t="shared" si="1"/>
        <v>40.662745567019279</v>
      </c>
      <c r="G23">
        <f t="shared" ca="1" si="2"/>
        <v>21</v>
      </c>
      <c r="H23">
        <f t="shared" ca="1" si="3"/>
        <v>853.91765690740488</v>
      </c>
      <c r="I23">
        <f t="shared" ca="1" si="4"/>
        <v>60437.419016425352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45428</v>
      </c>
      <c r="B26" s="66">
        <v>45428</v>
      </c>
      <c r="D26">
        <f t="shared" si="0"/>
        <v>49.388460660353772</v>
      </c>
      <c r="E26">
        <f t="shared" si="1"/>
        <v>49.388460660353772</v>
      </c>
      <c r="G26">
        <f t="shared" ca="1" si="2"/>
        <v>24</v>
      </c>
      <c r="H26">
        <f t="shared" ca="1" si="3"/>
        <v>1185.3230558484906</v>
      </c>
      <c r="I26">
        <f t="shared" ca="1" si="4"/>
        <v>62426.681158280415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46878</v>
      </c>
      <c r="B28" s="66">
        <v>46878</v>
      </c>
      <c r="D28">
        <f t="shared" si="0"/>
        <v>50.96487318033072</v>
      </c>
      <c r="E28">
        <f t="shared" si="1"/>
        <v>50.96487318033072</v>
      </c>
      <c r="G28">
        <f t="shared" ca="1" si="2"/>
        <v>26</v>
      </c>
      <c r="H28">
        <f t="shared" ca="1" si="3"/>
        <v>1325.0867026885987</v>
      </c>
      <c r="I28">
        <f t="shared" ca="1" si="4"/>
        <v>57375.363560559483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51107</v>
      </c>
      <c r="B31" s="66">
        <v>51107</v>
      </c>
      <c r="D31">
        <f t="shared" si="0"/>
        <v>55.562561833422123</v>
      </c>
      <c r="E31">
        <f t="shared" si="1"/>
        <v>55.562561833422123</v>
      </c>
      <c r="G31">
        <f t="shared" ca="1" si="2"/>
        <v>29</v>
      </c>
      <c r="H31">
        <f t="shared" ca="1" si="3"/>
        <v>1611.3142931692416</v>
      </c>
      <c r="I31">
        <f t="shared" ca="1" si="4"/>
        <v>51865.786072434268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52194</v>
      </c>
      <c r="B33" s="66">
        <v>52194</v>
      </c>
      <c r="D33">
        <f t="shared" si="0"/>
        <v>56.744327632880704</v>
      </c>
      <c r="E33">
        <f t="shared" si="1"/>
        <v>56.744327632880704</v>
      </c>
      <c r="G33">
        <f t="shared" ca="1" si="2"/>
        <v>31</v>
      </c>
      <c r="H33">
        <f t="shared" ca="1" si="3"/>
        <v>1759.0741566193019</v>
      </c>
      <c r="I33">
        <f t="shared" ca="1" si="4"/>
        <v>46261.136307057728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52728</v>
      </c>
      <c r="B36" s="66">
        <v>52728</v>
      </c>
      <c r="D36">
        <f t="shared" si="0"/>
        <v>57.324882312651525</v>
      </c>
      <c r="E36">
        <f t="shared" si="1"/>
        <v>57.324882312651525</v>
      </c>
      <c r="G36">
        <f t="shared" ca="1" si="2"/>
        <v>34</v>
      </c>
      <c r="H36">
        <f t="shared" ca="1" si="3"/>
        <v>1949.0459986301519</v>
      </c>
      <c r="I36">
        <f t="shared" ca="1" si="4"/>
        <v>37429.685665602112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57453</v>
      </c>
      <c r="B39" s="66">
        <v>57453</v>
      </c>
      <c r="D39">
        <f t="shared" si="0"/>
        <v>62.461812765679866</v>
      </c>
      <c r="E39">
        <f t="shared" si="1"/>
        <v>62.461812765679866</v>
      </c>
      <c r="G39">
        <f t="shared" ca="1" si="2"/>
        <v>37</v>
      </c>
      <c r="H39">
        <f t="shared" ca="1" si="3"/>
        <v>2311.087072330155</v>
      </c>
      <c r="I39">
        <f t="shared" ca="1" si="4"/>
        <v>31769.545953165456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58974</v>
      </c>
      <c r="B41" s="66">
        <v>58974</v>
      </c>
      <c r="D41">
        <f t="shared" si="0"/>
        <v>64.115415140083272</v>
      </c>
      <c r="E41">
        <f t="shared" si="1"/>
        <v>64.115415140083272</v>
      </c>
      <c r="G41">
        <f t="shared" ca="1" si="2"/>
        <v>39</v>
      </c>
      <c r="H41">
        <f t="shared" ca="1" si="3"/>
        <v>2500.5011904632474</v>
      </c>
      <c r="I41">
        <f t="shared" ca="1" si="4"/>
        <v>27083.17016016581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64463</v>
      </c>
      <c r="B44" s="66">
        <v>64463</v>
      </c>
      <c r="D44">
        <f t="shared" si="0"/>
        <v>70.082951913982242</v>
      </c>
      <c r="E44">
        <f t="shared" si="1"/>
        <v>70.082951913982242</v>
      </c>
      <c r="G44">
        <f t="shared" ca="1" si="2"/>
        <v>42</v>
      </c>
      <c r="H44">
        <f t="shared" ca="1" si="3"/>
        <v>2943.4839803872542</v>
      </c>
      <c r="I44">
        <f t="shared" ca="1" si="4"/>
        <v>21592.324383314826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68189</v>
      </c>
      <c r="B46" s="66">
        <v>68189</v>
      </c>
      <c r="D46">
        <f t="shared" si="0"/>
        <v>74.133788499798868</v>
      </c>
      <c r="E46">
        <f t="shared" si="1"/>
        <v>74.133788499798868</v>
      </c>
      <c r="G46">
        <f t="shared" ca="1" si="2"/>
        <v>44</v>
      </c>
      <c r="H46">
        <f t="shared" ca="1" si="3"/>
        <v>3261.8866939911504</v>
      </c>
      <c r="I46">
        <f t="shared" ca="1" si="4"/>
        <v>17931.921315054409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63657</v>
      </c>
      <c r="B49" s="66">
        <v>63657</v>
      </c>
      <c r="D49">
        <f t="shared" si="0"/>
        <v>69.206683989084709</v>
      </c>
      <c r="E49">
        <f t="shared" si="1"/>
        <v>69.206683989084709</v>
      </c>
      <c r="G49">
        <f t="shared" ca="1" si="2"/>
        <v>47</v>
      </c>
      <c r="H49">
        <f t="shared" ca="1" si="3"/>
        <v>3252.7141474869813</v>
      </c>
      <c r="I49">
        <f t="shared" ca="1" si="4"/>
        <v>10904.886524154983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70178</v>
      </c>
      <c r="B51" s="66">
        <v>70178</v>
      </c>
      <c r="D51">
        <f t="shared" si="0"/>
        <v>76.29619160478795</v>
      </c>
      <c r="E51">
        <f t="shared" si="1"/>
        <v>76.29619160478795</v>
      </c>
      <c r="G51">
        <f t="shared" ca="1" si="2"/>
        <v>49</v>
      </c>
      <c r="H51">
        <f t="shared" ca="1" si="3"/>
        <v>3738.5133886346093</v>
      </c>
      <c r="I51">
        <f t="shared" ca="1" si="4"/>
        <v>8496.2763402298151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72973</v>
      </c>
      <c r="B54" s="66">
        <v>72973</v>
      </c>
      <c r="D54">
        <f t="shared" si="0"/>
        <v>79.33486263467455</v>
      </c>
      <c r="E54">
        <f t="shared" si="1"/>
        <v>79.33486263467455</v>
      </c>
      <c r="G54">
        <f t="shared" ca="1" si="2"/>
        <v>52</v>
      </c>
      <c r="H54">
        <f t="shared" ca="1" si="3"/>
        <v>4125.4128570030771</v>
      </c>
      <c r="I54">
        <f t="shared" ca="1" si="4"/>
        <v>4525.4999710057291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82910</v>
      </c>
      <c r="B57" s="66">
        <v>82910</v>
      </c>
      <c r="D57">
        <f t="shared" si="0"/>
        <v>90.138180711233844</v>
      </c>
      <c r="E57">
        <f t="shared" si="1"/>
        <v>90.138180711233844</v>
      </c>
      <c r="G57">
        <f t="shared" ca="1" si="2"/>
        <v>55</v>
      </c>
      <c r="H57">
        <f t="shared" ca="1" si="3"/>
        <v>4957.5999391178611</v>
      </c>
      <c r="I57">
        <f t="shared" ca="1" si="4"/>
        <v>1868.2869319962199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81667</v>
      </c>
      <c r="B59" s="66">
        <v>81667</v>
      </c>
      <c r="D59">
        <f t="shared" si="0"/>
        <v>88.786814668246706</v>
      </c>
      <c r="E59">
        <f t="shared" si="1"/>
        <v>88.786814668246706</v>
      </c>
      <c r="G59">
        <f t="shared" ca="1" si="2"/>
        <v>57</v>
      </c>
      <c r="H59">
        <f t="shared" ca="1" si="3"/>
        <v>5060.848436090062</v>
      </c>
      <c r="I59">
        <f t="shared" ca="1" si="4"/>
        <v>578.55171321165972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87533</v>
      </c>
      <c r="B62" s="66">
        <v>87533</v>
      </c>
      <c r="D62">
        <f t="shared" si="0"/>
        <v>95.164218697339663</v>
      </c>
      <c r="E62">
        <f t="shared" si="1"/>
        <v>95.164218697339663</v>
      </c>
      <c r="G62">
        <f t="shared" ca="1" si="2"/>
        <v>60</v>
      </c>
      <c r="H62">
        <f t="shared" ca="1" si="3"/>
        <v>5709.8531218403796</v>
      </c>
      <c r="I62">
        <f t="shared" ca="1" si="4"/>
        <v>19.041662235778581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83508</v>
      </c>
      <c r="B64" s="66">
        <v>83508</v>
      </c>
      <c r="D64">
        <f t="shared" si="0"/>
        <v>90.788314978093297</v>
      </c>
      <c r="E64">
        <f t="shared" si="1"/>
        <v>90.788314978093297</v>
      </c>
      <c r="G64">
        <f t="shared" ca="1" si="2"/>
        <v>62</v>
      </c>
      <c r="H64">
        <f t="shared" ca="1" si="3"/>
        <v>5628.8755286417845</v>
      </c>
      <c r="I64">
        <f t="shared" ca="1" si="4"/>
        <v>543.76403070494371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85950</v>
      </c>
      <c r="B67" s="66">
        <v>85950</v>
      </c>
      <c r="D67">
        <f t="shared" ref="D67:D130" si="5">IFERROR( 100*A67/MAX(A$2:A$257), 0 )</f>
        <v>93.443211097944143</v>
      </c>
      <c r="E67">
        <f t="shared" ref="E67:E130" si="6">IFERROR( 100*B67/MAX(B$2:B$257), 0 )</f>
        <v>93.443211097944143</v>
      </c>
      <c r="G67">
        <f t="shared" ref="G67:G130" ca="1" si="7">CELL("row",D67)-2</f>
        <v>65</v>
      </c>
      <c r="H67">
        <f t="shared" ref="H67:H130" ca="1" si="8">D67*G67</f>
        <v>6073.8087213663694</v>
      </c>
      <c r="I67">
        <f t="shared" ref="I67:I130" ca="1" si="9">D67*((G67-$L$1)^2)</f>
        <v>2772.7651223320076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91981</v>
      </c>
      <c r="B69" s="66">
        <v>91981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5546.2533288898421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88813</v>
      </c>
      <c r="B72" s="66">
        <v>88813</v>
      </c>
      <c r="D72">
        <f t="shared" si="5"/>
        <v>96.55581043911242</v>
      </c>
      <c r="E72">
        <f t="shared" si="6"/>
        <v>96.55581043911242</v>
      </c>
      <c r="G72">
        <f t="shared" ca="1" si="7"/>
        <v>70</v>
      </c>
      <c r="H72">
        <f t="shared" ca="1" si="8"/>
        <v>6758.9067307378691</v>
      </c>
      <c r="I72">
        <f t="shared" ca="1" si="9"/>
        <v>10538.722624394211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87979</v>
      </c>
      <c r="B75" s="66">
        <v>87979</v>
      </c>
      <c r="D75">
        <f t="shared" si="5"/>
        <v>95.649101444863618</v>
      </c>
      <c r="E75">
        <f t="shared" si="6"/>
        <v>95.649101444863618</v>
      </c>
      <c r="G75">
        <f t="shared" ca="1" si="7"/>
        <v>73</v>
      </c>
      <c r="H75">
        <f t="shared" ca="1" si="8"/>
        <v>6982.3844054750443</v>
      </c>
      <c r="I75">
        <f t="shared" ca="1" si="9"/>
        <v>17296.25949068533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86662</v>
      </c>
      <c r="B77" s="66">
        <v>86662</v>
      </c>
      <c r="D77">
        <f t="shared" si="5"/>
        <v>94.217284004305242</v>
      </c>
      <c r="E77">
        <f t="shared" si="6"/>
        <v>94.217284004305242</v>
      </c>
      <c r="G77">
        <f t="shared" ca="1" si="7"/>
        <v>75</v>
      </c>
      <c r="H77">
        <f t="shared" ca="1" si="8"/>
        <v>7066.2963003228933</v>
      </c>
      <c r="I77">
        <f t="shared" ca="1" si="9"/>
        <v>22482.091402914939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77120</v>
      </c>
      <c r="B80" s="66">
        <v>77120</v>
      </c>
      <c r="D80">
        <f t="shared" si="5"/>
        <v>83.843402441808635</v>
      </c>
      <c r="E80">
        <f t="shared" si="6"/>
        <v>83.843402441808635</v>
      </c>
      <c r="G80">
        <f t="shared" ca="1" si="7"/>
        <v>78</v>
      </c>
      <c r="H80">
        <f t="shared" ca="1" si="8"/>
        <v>6539.7853904610738</v>
      </c>
      <c r="I80">
        <f t="shared" ca="1" si="9"/>
        <v>28532.204259546997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72704</v>
      </c>
      <c r="B82" s="66">
        <v>72704</v>
      </c>
      <c r="D82">
        <f t="shared" si="5"/>
        <v>79.042410932692619</v>
      </c>
      <c r="E82">
        <f t="shared" si="6"/>
        <v>79.042410932692619</v>
      </c>
      <c r="G82">
        <f t="shared" ca="1" si="7"/>
        <v>80</v>
      </c>
      <c r="H82">
        <f t="shared" ca="1" si="8"/>
        <v>6323.3928746154097</v>
      </c>
      <c r="I82">
        <f t="shared" ca="1" si="9"/>
        <v>33047.061337384672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62159</v>
      </c>
      <c r="B85" s="66">
        <v>62159</v>
      </c>
      <c r="D85">
        <f t="shared" si="5"/>
        <v>67.578086778791274</v>
      </c>
      <c r="E85">
        <f t="shared" si="6"/>
        <v>67.578086778791274</v>
      </c>
      <c r="G85">
        <f t="shared" ca="1" si="7"/>
        <v>83</v>
      </c>
      <c r="H85">
        <f t="shared" ca="1" si="8"/>
        <v>5608.9812026396758</v>
      </c>
      <c r="I85">
        <f t="shared" ca="1" si="9"/>
        <v>37152.856411914283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56428</v>
      </c>
      <c r="B88" s="66">
        <v>56428</v>
      </c>
      <c r="D88">
        <f t="shared" si="5"/>
        <v>61.347452191213399</v>
      </c>
      <c r="E88">
        <f t="shared" si="6"/>
        <v>61.347452191213399</v>
      </c>
      <c r="G88">
        <f t="shared" ca="1" si="7"/>
        <v>86</v>
      </c>
      <c r="H88">
        <f t="shared" ca="1" si="8"/>
        <v>5275.8808884443524</v>
      </c>
      <c r="I88">
        <f t="shared" ca="1" si="9"/>
        <v>42910.124884299345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53978</v>
      </c>
      <c r="B90" s="66">
        <v>53978</v>
      </c>
      <c r="D90">
        <f t="shared" si="5"/>
        <v>58.683858622976487</v>
      </c>
      <c r="E90">
        <f t="shared" si="6"/>
        <v>58.683858622976487</v>
      </c>
      <c r="G90">
        <f t="shared" ca="1" si="7"/>
        <v>88</v>
      </c>
      <c r="H90">
        <f t="shared" ca="1" si="8"/>
        <v>5164.1795588219311</v>
      </c>
      <c r="I90">
        <f t="shared" ca="1" si="9"/>
        <v>47489.904090716103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46331</v>
      </c>
      <c r="B93" s="66">
        <v>46331</v>
      </c>
      <c r="D93">
        <f t="shared" si="5"/>
        <v>50.370185146932521</v>
      </c>
      <c r="E93">
        <f t="shared" si="6"/>
        <v>50.370185146932521</v>
      </c>
      <c r="G93">
        <f t="shared" ca="1" si="7"/>
        <v>91</v>
      </c>
      <c r="H93">
        <f t="shared" ca="1" si="8"/>
        <v>4583.6868483708595</v>
      </c>
      <c r="I93">
        <f t="shared" ca="1" si="9"/>
        <v>49812.776502684676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37335</v>
      </c>
      <c r="B95" s="66">
        <v>37335</v>
      </c>
      <c r="D95">
        <f t="shared" si="5"/>
        <v>40.589904436785858</v>
      </c>
      <c r="E95">
        <f t="shared" si="6"/>
        <v>40.589904436785858</v>
      </c>
      <c r="G95">
        <f t="shared" ca="1" si="7"/>
        <v>93</v>
      </c>
      <c r="H95">
        <f t="shared" ca="1" si="8"/>
        <v>3774.8611126210849</v>
      </c>
      <c r="I95">
        <f t="shared" ca="1" si="9"/>
        <v>45408.860758409872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34954</v>
      </c>
      <c r="B98" s="66">
        <v>34954</v>
      </c>
      <c r="D98">
        <f t="shared" si="5"/>
        <v>38.001326360878878</v>
      </c>
      <c r="E98">
        <f t="shared" si="6"/>
        <v>38.001326360878878</v>
      </c>
      <c r="G98">
        <f t="shared" ca="1" si="7"/>
        <v>96</v>
      </c>
      <c r="H98">
        <f t="shared" ca="1" si="8"/>
        <v>3648.1273306443723</v>
      </c>
      <c r="I98">
        <f t="shared" ca="1" si="9"/>
        <v>50481.225292866089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28949</v>
      </c>
      <c r="B100" s="66">
        <v>28949</v>
      </c>
      <c r="D100">
        <f t="shared" si="5"/>
        <v>31.472804166077776</v>
      </c>
      <c r="E100">
        <f t="shared" si="6"/>
        <v>31.472804166077776</v>
      </c>
      <c r="G100">
        <f t="shared" ca="1" si="7"/>
        <v>98</v>
      </c>
      <c r="H100">
        <f t="shared" ca="1" si="8"/>
        <v>3084.334808275622</v>
      </c>
      <c r="I100">
        <f t="shared" ca="1" si="9"/>
        <v>46522.979487151832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23606</v>
      </c>
      <c r="B103" s="66">
        <v>23606</v>
      </c>
      <c r="D103">
        <f t="shared" si="5"/>
        <v>25.663995825224774</v>
      </c>
      <c r="E103">
        <f t="shared" si="6"/>
        <v>25.663995825224774</v>
      </c>
      <c r="G103">
        <f t="shared" ca="1" si="7"/>
        <v>101</v>
      </c>
      <c r="H103">
        <f t="shared" ca="1" si="8"/>
        <v>2592.0635783477023</v>
      </c>
      <c r="I103">
        <f t="shared" ca="1" si="9"/>
        <v>44087.667766689476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21081</v>
      </c>
      <c r="B106" s="66">
        <v>21081</v>
      </c>
      <c r="D106">
        <f t="shared" si="5"/>
        <v>22.918863678368357</v>
      </c>
      <c r="E106">
        <f t="shared" si="6"/>
        <v>22.918863678368357</v>
      </c>
      <c r="G106">
        <f t="shared" ca="1" si="7"/>
        <v>104</v>
      </c>
      <c r="H106">
        <f t="shared" ca="1" si="8"/>
        <v>2383.561822550309</v>
      </c>
      <c r="I106">
        <f t="shared" ca="1" si="9"/>
        <v>45277.68212197697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13990</v>
      </c>
      <c r="B108" s="66">
        <v>13990</v>
      </c>
      <c r="D108">
        <f t="shared" si="5"/>
        <v>15.209662865156934</v>
      </c>
      <c r="E108">
        <f t="shared" si="6"/>
        <v>15.209662865156934</v>
      </c>
      <c r="G108">
        <f t="shared" ca="1" si="7"/>
        <v>106</v>
      </c>
      <c r="H108">
        <f t="shared" ca="1" si="8"/>
        <v>1612.2242637066349</v>
      </c>
      <c r="I108">
        <f t="shared" ca="1" si="9"/>
        <v>32812.615977087014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10502</v>
      </c>
      <c r="B111" s="66">
        <v>10502</v>
      </c>
      <c r="D111">
        <f t="shared" si="5"/>
        <v>11.417575368826171</v>
      </c>
      <c r="E111">
        <f t="shared" si="6"/>
        <v>11.417575368826171</v>
      </c>
      <c r="G111">
        <f t="shared" ca="1" si="7"/>
        <v>109</v>
      </c>
      <c r="H111">
        <f t="shared" ca="1" si="8"/>
        <v>1244.5157152020527</v>
      </c>
      <c r="I111">
        <f t="shared" ca="1" si="9"/>
        <v>27916.396248273282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8107</v>
      </c>
      <c r="B113" s="66">
        <v>8107</v>
      </c>
      <c r="D113">
        <f t="shared" si="5"/>
        <v>8.8137767582435504</v>
      </c>
      <c r="E113">
        <f t="shared" si="6"/>
        <v>8.8137767582435504</v>
      </c>
      <c r="G113">
        <f t="shared" ca="1" si="7"/>
        <v>111</v>
      </c>
      <c r="H113">
        <f t="shared" ca="1" si="8"/>
        <v>978.32922016503414</v>
      </c>
      <c r="I113">
        <f t="shared" ca="1" si="9"/>
        <v>23328.537410877008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6088</v>
      </c>
      <c r="B116" s="66">
        <v>6088</v>
      </c>
      <c r="D116">
        <f t="shared" si="5"/>
        <v>6.6187582218066776</v>
      </c>
      <c r="E116">
        <f t="shared" si="6"/>
        <v>6.6187582218066776</v>
      </c>
      <c r="G116">
        <f t="shared" ca="1" si="7"/>
        <v>114</v>
      </c>
      <c r="H116">
        <f t="shared" ca="1" si="8"/>
        <v>754.53843728596121</v>
      </c>
      <c r="I116">
        <f t="shared" ca="1" si="9"/>
        <v>19621.377245407333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7698</v>
      </c>
      <c r="B118" s="66">
        <v>7698</v>
      </c>
      <c r="D118">
        <f t="shared" si="5"/>
        <v>8.3691197095052239</v>
      </c>
      <c r="E118">
        <f t="shared" si="6"/>
        <v>8.3691197095052239</v>
      </c>
      <c r="G118">
        <f t="shared" ca="1" si="7"/>
        <v>116</v>
      </c>
      <c r="H118">
        <f t="shared" ca="1" si="8"/>
        <v>970.81788630260598</v>
      </c>
      <c r="I118">
        <f t="shared" ca="1" si="9"/>
        <v>26666.522930451341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4892</v>
      </c>
      <c r="B121" s="66">
        <v>4892</v>
      </c>
      <c r="D121">
        <f t="shared" si="5"/>
        <v>5.318489688087757</v>
      </c>
      <c r="E121">
        <f t="shared" si="6"/>
        <v>5.318489688087757</v>
      </c>
      <c r="G121">
        <f t="shared" ca="1" si="7"/>
        <v>119</v>
      </c>
      <c r="H121">
        <f t="shared" ca="1" si="8"/>
        <v>632.90027288244312</v>
      </c>
      <c r="I121">
        <f t="shared" ca="1" si="9"/>
        <v>18795.45491310113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3184</v>
      </c>
      <c r="B124" s="66">
        <v>3184</v>
      </c>
      <c r="D124">
        <f t="shared" si="5"/>
        <v>3.4615844576597339</v>
      </c>
      <c r="E124">
        <f t="shared" si="6"/>
        <v>3.4615844576597339</v>
      </c>
      <c r="G124">
        <f t="shared" ca="1" si="7"/>
        <v>122</v>
      </c>
      <c r="H124">
        <f t="shared" ca="1" si="8"/>
        <v>422.31330383448756</v>
      </c>
      <c r="I124">
        <f t="shared" ca="1" si="9"/>
        <v>13499.028144602642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2290</v>
      </c>
      <c r="B126" s="66">
        <v>2290</v>
      </c>
      <c r="D126">
        <f t="shared" si="5"/>
        <v>2.4896446005153239</v>
      </c>
      <c r="E126">
        <f t="shared" si="6"/>
        <v>2.4896446005153239</v>
      </c>
      <c r="G126">
        <f t="shared" ca="1" si="7"/>
        <v>124</v>
      </c>
      <c r="H126">
        <f t="shared" ca="1" si="8"/>
        <v>308.71593046390018</v>
      </c>
      <c r="I126">
        <f t="shared" ca="1" si="9"/>
        <v>10340.631028320424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1505</v>
      </c>
      <c r="B129" s="66">
        <v>1505</v>
      </c>
      <c r="D129">
        <f t="shared" si="5"/>
        <v>1.6362074776312499</v>
      </c>
      <c r="E129">
        <f t="shared" si="6"/>
        <v>1.6362074776312499</v>
      </c>
      <c r="G129">
        <f t="shared" ca="1" si="7"/>
        <v>127</v>
      </c>
      <c r="H129">
        <f t="shared" ca="1" si="8"/>
        <v>207.79834965916874</v>
      </c>
      <c r="I129">
        <f t="shared" ca="1" si="9"/>
        <v>7443.3378595948989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1578</v>
      </c>
      <c r="B131" s="66">
        <v>1578</v>
      </c>
      <c r="D131">
        <f t="shared" ref="D131:D194" si="10">IFERROR( 100*A131/MAX(A$2:A$257), 0 )</f>
        <v>1.7155716941542276</v>
      </c>
      <c r="E131">
        <f t="shared" ref="E131:E194" si="11">IFERROR( 100*B131/MAX(B$2:B$257), 0 )</f>
        <v>1.7155716941542276</v>
      </c>
      <c r="G131">
        <f t="shared" ref="G131:G194" ca="1" si="12">CELL("row",D131)-2</f>
        <v>129</v>
      </c>
      <c r="H131">
        <f t="shared" ref="H131:H194" ca="1" si="13">D131*G131</f>
        <v>221.30874854589536</v>
      </c>
      <c r="I131">
        <f t="shared" ref="I131:I194" ca="1" si="14">D131*((G131-$L$1)^2)</f>
        <v>8274.0819584606725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1615</v>
      </c>
      <c r="B134" s="66">
        <v>1615</v>
      </c>
      <c r="D134">
        <f t="shared" si="10"/>
        <v>1.7557973929398463</v>
      </c>
      <c r="E134">
        <f t="shared" si="11"/>
        <v>1.7557973929398463</v>
      </c>
      <c r="G134">
        <f t="shared" ca="1" si="12"/>
        <v>132</v>
      </c>
      <c r="H134">
        <f t="shared" ca="1" si="13"/>
        <v>231.76525586805971</v>
      </c>
      <c r="I134">
        <f t="shared" ca="1" si="14"/>
        <v>9215.5023697766792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1394</v>
      </c>
      <c r="B136" s="66">
        <v>1394</v>
      </c>
      <c r="D136">
        <f t="shared" si="10"/>
        <v>1.5155303812743937</v>
      </c>
      <c r="E136">
        <f t="shared" si="11"/>
        <v>1.5155303812743937</v>
      </c>
      <c r="G136">
        <f t="shared" ca="1" si="12"/>
        <v>134</v>
      </c>
      <c r="H136">
        <f t="shared" ca="1" si="13"/>
        <v>203.08107109076875</v>
      </c>
      <c r="I136">
        <f t="shared" ca="1" si="14"/>
        <v>8399.6801869208812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956</v>
      </c>
      <c r="B139" s="66">
        <v>956</v>
      </c>
      <c r="D139">
        <f t="shared" si="10"/>
        <v>1.0393450821365282</v>
      </c>
      <c r="E139">
        <f t="shared" si="11"/>
        <v>1.0393450821365282</v>
      </c>
      <c r="G139">
        <f t="shared" ca="1" si="12"/>
        <v>137</v>
      </c>
      <c r="H139">
        <f t="shared" ca="1" si="13"/>
        <v>142.39027625270435</v>
      </c>
      <c r="I139">
        <f t="shared" ca="1" si="14"/>
        <v>6234.0821628142867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1049</v>
      </c>
      <c r="B142" s="66">
        <v>1049</v>
      </c>
      <c r="D142">
        <f t="shared" si="10"/>
        <v>1.1404529196247051</v>
      </c>
      <c r="E142">
        <f t="shared" si="11"/>
        <v>1.1404529196247051</v>
      </c>
      <c r="G142">
        <f t="shared" ca="1" si="12"/>
        <v>140</v>
      </c>
      <c r="H142">
        <f t="shared" ca="1" si="13"/>
        <v>159.6634087474587</v>
      </c>
      <c r="I142">
        <f t="shared" ca="1" si="14"/>
        <v>7380.7499526319825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1028</v>
      </c>
      <c r="B144" s="66">
        <v>1028</v>
      </c>
      <c r="D144">
        <f t="shared" si="10"/>
        <v>1.1176221176112457</v>
      </c>
      <c r="E144">
        <f t="shared" si="11"/>
        <v>1.1176221176112457</v>
      </c>
      <c r="G144">
        <f t="shared" ca="1" si="12"/>
        <v>142</v>
      </c>
      <c r="H144">
        <f t="shared" ca="1" si="13"/>
        <v>158.7023407007969</v>
      </c>
      <c r="I144">
        <f t="shared" ca="1" si="14"/>
        <v>7597.1035262818596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299</v>
      </c>
      <c r="B147" s="66">
        <v>299</v>
      </c>
      <c r="D147">
        <f t="shared" si="10"/>
        <v>0.32506713342973004</v>
      </c>
      <c r="E147">
        <f t="shared" si="11"/>
        <v>0.32506713342973004</v>
      </c>
      <c r="G147">
        <f t="shared" ca="1" si="12"/>
        <v>145</v>
      </c>
      <c r="H147">
        <f t="shared" ca="1" si="13"/>
        <v>47.134734347310854</v>
      </c>
      <c r="I147">
        <f t="shared" ca="1" si="14"/>
        <v>2373.3944622691852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111</v>
      </c>
      <c r="B149" s="66">
        <v>111</v>
      </c>
      <c r="D149">
        <f t="shared" si="10"/>
        <v>0.12067709635685631</v>
      </c>
      <c r="E149">
        <f t="shared" si="11"/>
        <v>0.12067709635685631</v>
      </c>
      <c r="G149">
        <f t="shared" ca="1" si="12"/>
        <v>147</v>
      </c>
      <c r="H149">
        <f t="shared" ca="1" si="13"/>
        <v>17.739533164457878</v>
      </c>
      <c r="I149">
        <f t="shared" ca="1" si="14"/>
        <v>922.82177236851521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56</v>
      </c>
      <c r="B152" s="66">
        <v>56</v>
      </c>
      <c r="D152">
        <f t="shared" si="10"/>
        <v>6.0882138702558139E-2</v>
      </c>
      <c r="E152">
        <f t="shared" si="11"/>
        <v>6.0882138702558139E-2</v>
      </c>
      <c r="G152">
        <f t="shared" ca="1" si="12"/>
        <v>150</v>
      </c>
      <c r="H152">
        <f t="shared" ca="1" si="13"/>
        <v>9.1323208053837206</v>
      </c>
      <c r="I152">
        <f t="shared" ca="1" si="14"/>
        <v>498.05955842806804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74.779724191682988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1.4438087916963682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0.61920811792234431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8084</v>
      </c>
      <c r="B8" s="66">
        <v>8084</v>
      </c>
      <c r="D8">
        <f t="shared" si="0"/>
        <v>8.6806189397274682</v>
      </c>
      <c r="E8">
        <f t="shared" si="1"/>
        <v>8.6806189397274682</v>
      </c>
      <c r="G8">
        <f t="shared" ca="1" si="2"/>
        <v>6</v>
      </c>
      <c r="H8">
        <f t="shared" ca="1" si="3"/>
        <v>52.083713638364813</v>
      </c>
      <c r="I8">
        <f t="shared" ca="1" si="4"/>
        <v>41064.97397929935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11342</v>
      </c>
      <c r="B10" s="66">
        <v>11342</v>
      </c>
      <c r="D10">
        <f t="shared" si="0"/>
        <v>12.17906729519903</v>
      </c>
      <c r="E10">
        <f t="shared" si="1"/>
        <v>12.17906729519903</v>
      </c>
      <c r="G10">
        <f t="shared" ca="1" si="2"/>
        <v>8</v>
      </c>
      <c r="H10">
        <f t="shared" ca="1" si="3"/>
        <v>97.432538361592236</v>
      </c>
      <c r="I10">
        <f t="shared" ca="1" si="4"/>
        <v>54312.935012269103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18019</v>
      </c>
      <c r="B13" s="66">
        <v>18019</v>
      </c>
      <c r="D13">
        <f t="shared" si="0"/>
        <v>19.348846199276256</v>
      </c>
      <c r="E13">
        <f t="shared" si="1"/>
        <v>19.348846199276256</v>
      </c>
      <c r="G13">
        <f t="shared" ca="1" si="2"/>
        <v>11</v>
      </c>
      <c r="H13">
        <f t="shared" ca="1" si="3"/>
        <v>212.83730819203882</v>
      </c>
      <c r="I13">
        <f t="shared" ca="1" si="4"/>
        <v>78708.266275677423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22216</v>
      </c>
      <c r="B15" s="66">
        <v>22216</v>
      </c>
      <c r="D15">
        <f t="shared" si="0"/>
        <v>23.855595047623137</v>
      </c>
      <c r="E15">
        <f t="shared" si="1"/>
        <v>23.855595047623137</v>
      </c>
      <c r="G15">
        <f t="shared" ca="1" si="2"/>
        <v>13</v>
      </c>
      <c r="H15">
        <f t="shared" ca="1" si="3"/>
        <v>310.12273561910075</v>
      </c>
      <c r="I15">
        <f t="shared" ca="1" si="4"/>
        <v>91050.468370921997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30396</v>
      </c>
      <c r="B18" s="66">
        <v>30396</v>
      </c>
      <c r="D18">
        <f t="shared" si="0"/>
        <v>32.639299021765979</v>
      </c>
      <c r="E18">
        <f t="shared" si="1"/>
        <v>32.639299021765979</v>
      </c>
      <c r="G18">
        <f t="shared" ca="1" si="2"/>
        <v>16</v>
      </c>
      <c r="H18">
        <f t="shared" ca="1" si="3"/>
        <v>522.22878434825566</v>
      </c>
      <c r="I18">
        <f t="shared" ca="1" si="4"/>
        <v>112770.60513924599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35068</v>
      </c>
      <c r="B21" s="66">
        <v>35068</v>
      </c>
      <c r="D21">
        <f t="shared" si="0"/>
        <v>37.656104029980561</v>
      </c>
      <c r="E21">
        <f t="shared" si="1"/>
        <v>37.656104029980561</v>
      </c>
      <c r="G21">
        <f t="shared" ca="1" si="2"/>
        <v>19</v>
      </c>
      <c r="H21">
        <f t="shared" ca="1" si="3"/>
        <v>715.4659765696307</v>
      </c>
      <c r="I21">
        <f t="shared" ca="1" si="4"/>
        <v>117162.35974573331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35238</v>
      </c>
      <c r="B23" s="66">
        <v>35238</v>
      </c>
      <c r="D23">
        <f t="shared" si="0"/>
        <v>37.838650445091112</v>
      </c>
      <c r="E23">
        <f t="shared" si="1"/>
        <v>37.838650445091112</v>
      </c>
      <c r="G23">
        <f t="shared" ca="1" si="2"/>
        <v>21</v>
      </c>
      <c r="H23">
        <f t="shared" ca="1" si="3"/>
        <v>794.61165934691337</v>
      </c>
      <c r="I23">
        <f t="shared" ca="1" si="4"/>
        <v>109439.16723763893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35013</v>
      </c>
      <c r="B26" s="66">
        <v>35013</v>
      </c>
      <c r="D26">
        <f t="shared" si="0"/>
        <v>37.597044895680092</v>
      </c>
      <c r="E26">
        <f t="shared" si="1"/>
        <v>37.597044895680092</v>
      </c>
      <c r="G26">
        <f t="shared" ca="1" si="2"/>
        <v>24</v>
      </c>
      <c r="H26">
        <f t="shared" ca="1" si="3"/>
        <v>902.32907749632227</v>
      </c>
      <c r="I26">
        <f t="shared" ca="1" si="4"/>
        <v>96947.002651728923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40375</v>
      </c>
      <c r="B28" s="66">
        <v>40375</v>
      </c>
      <c r="D28">
        <f t="shared" si="0"/>
        <v>43.354773588755144</v>
      </c>
      <c r="E28">
        <f t="shared" si="1"/>
        <v>43.354773588755144</v>
      </c>
      <c r="G28">
        <f t="shared" ca="1" si="2"/>
        <v>26</v>
      </c>
      <c r="H28">
        <f t="shared" ca="1" si="3"/>
        <v>1127.2241133076338</v>
      </c>
      <c r="I28">
        <f t="shared" ca="1" si="4"/>
        <v>103161.01425821485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43142</v>
      </c>
      <c r="B31" s="66">
        <v>43142</v>
      </c>
      <c r="D31">
        <f t="shared" si="0"/>
        <v>46.325984945289768</v>
      </c>
      <c r="E31">
        <f t="shared" si="1"/>
        <v>46.325984945289768</v>
      </c>
      <c r="G31">
        <f t="shared" ca="1" si="2"/>
        <v>29</v>
      </c>
      <c r="H31">
        <f t="shared" ca="1" si="3"/>
        <v>1343.4535634134033</v>
      </c>
      <c r="I31">
        <f t="shared" ca="1" si="4"/>
        <v>97089.218519597693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46086</v>
      </c>
      <c r="B33" s="66">
        <v>46086</v>
      </c>
      <c r="D33">
        <f t="shared" si="0"/>
        <v>49.487259334027726</v>
      </c>
      <c r="E33">
        <f t="shared" si="1"/>
        <v>49.487259334027726</v>
      </c>
      <c r="G33">
        <f t="shared" ca="1" si="2"/>
        <v>31</v>
      </c>
      <c r="H33">
        <f t="shared" ca="1" si="3"/>
        <v>1534.1050393548594</v>
      </c>
      <c r="I33">
        <f t="shared" ca="1" si="4"/>
        <v>94850.460810847653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47638</v>
      </c>
      <c r="B36" s="66">
        <v>47638</v>
      </c>
      <c r="D36">
        <f t="shared" si="0"/>
        <v>51.153800723742847</v>
      </c>
      <c r="E36">
        <f t="shared" si="1"/>
        <v>51.153800723742847</v>
      </c>
      <c r="G36">
        <f t="shared" ca="1" si="2"/>
        <v>34</v>
      </c>
      <c r="H36">
        <f t="shared" ca="1" si="3"/>
        <v>1739.2292246072568</v>
      </c>
      <c r="I36">
        <f t="shared" ca="1" si="4"/>
        <v>85068.049598422658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46504</v>
      </c>
      <c r="B39" s="66">
        <v>46504</v>
      </c>
      <c r="D39">
        <f t="shared" si="0"/>
        <v>49.936108754711306</v>
      </c>
      <c r="E39">
        <f t="shared" si="1"/>
        <v>49.936108754711306</v>
      </c>
      <c r="G39">
        <f t="shared" ca="1" si="2"/>
        <v>37</v>
      </c>
      <c r="H39">
        <f t="shared" ca="1" si="3"/>
        <v>1847.6360239243184</v>
      </c>
      <c r="I39">
        <f t="shared" ca="1" si="4"/>
        <v>71274.1855425635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45366</v>
      </c>
      <c r="B41" s="66">
        <v>45366</v>
      </c>
      <c r="D41">
        <f t="shared" si="0"/>
        <v>48.714121575912465</v>
      </c>
      <c r="E41">
        <f t="shared" si="1"/>
        <v>48.714121575912465</v>
      </c>
      <c r="G41">
        <f t="shared" ca="1" si="2"/>
        <v>39</v>
      </c>
      <c r="H41">
        <f t="shared" ca="1" si="3"/>
        <v>1899.8507414605861</v>
      </c>
      <c r="I41">
        <f t="shared" ca="1" si="4"/>
        <v>62363.266180832587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49028</v>
      </c>
      <c r="B44" s="66">
        <v>49028</v>
      </c>
      <c r="D44">
        <f t="shared" si="0"/>
        <v>52.646386117882031</v>
      </c>
      <c r="E44">
        <f t="shared" si="1"/>
        <v>52.646386117882031</v>
      </c>
      <c r="G44">
        <f t="shared" ca="1" si="2"/>
        <v>42</v>
      </c>
      <c r="H44">
        <f t="shared" ca="1" si="3"/>
        <v>2211.1482169510455</v>
      </c>
      <c r="I44">
        <f t="shared" ca="1" si="4"/>
        <v>56569.085093435686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57489</v>
      </c>
      <c r="B46" s="66">
        <v>57489</v>
      </c>
      <c r="D46">
        <f t="shared" si="0"/>
        <v>61.731828578178188</v>
      </c>
      <c r="E46">
        <f t="shared" si="1"/>
        <v>61.731828578178188</v>
      </c>
      <c r="G46">
        <f t="shared" ca="1" si="2"/>
        <v>44</v>
      </c>
      <c r="H46">
        <f t="shared" ca="1" si="3"/>
        <v>2716.2004574398402</v>
      </c>
      <c r="I46">
        <f t="shared" ca="1" si="4"/>
        <v>58484.204817120524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54192</v>
      </c>
      <c r="B49" s="66">
        <v>54192</v>
      </c>
      <c r="D49">
        <f t="shared" si="0"/>
        <v>58.191501927475386</v>
      </c>
      <c r="E49">
        <f t="shared" si="1"/>
        <v>58.191501927475386</v>
      </c>
      <c r="G49">
        <f t="shared" ca="1" si="2"/>
        <v>47</v>
      </c>
      <c r="H49">
        <f t="shared" ca="1" si="3"/>
        <v>2735.0005905913431</v>
      </c>
      <c r="I49">
        <f t="shared" ca="1" si="4"/>
        <v>44907.142959170407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66119</v>
      </c>
      <c r="B51" s="66">
        <v>66119</v>
      </c>
      <c r="D51">
        <f t="shared" si="0"/>
        <v>70.998743651143059</v>
      </c>
      <c r="E51">
        <f t="shared" si="1"/>
        <v>70.998743651143059</v>
      </c>
      <c r="G51">
        <f t="shared" ca="1" si="2"/>
        <v>49</v>
      </c>
      <c r="H51">
        <f t="shared" ca="1" si="3"/>
        <v>3478.9384389060097</v>
      </c>
      <c r="I51">
        <f t="shared" ca="1" si="4"/>
        <v>47185.351775208779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64358</v>
      </c>
      <c r="B54" s="66">
        <v>64358</v>
      </c>
      <c r="D54">
        <f t="shared" si="0"/>
        <v>69.107777551086144</v>
      </c>
      <c r="E54">
        <f t="shared" si="1"/>
        <v>69.107777551086144</v>
      </c>
      <c r="G54">
        <f t="shared" ca="1" si="2"/>
        <v>52</v>
      </c>
      <c r="H54">
        <f t="shared" ca="1" si="3"/>
        <v>3593.6044326564797</v>
      </c>
      <c r="I54">
        <f t="shared" ca="1" si="4"/>
        <v>35861.120041026348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63538</v>
      </c>
      <c r="B57" s="66">
        <v>63538</v>
      </c>
      <c r="D57">
        <f t="shared" si="0"/>
        <v>68.227259548788211</v>
      </c>
      <c r="E57">
        <f t="shared" si="1"/>
        <v>68.227259548788211</v>
      </c>
      <c r="G57">
        <f t="shared" ca="1" si="2"/>
        <v>55</v>
      </c>
      <c r="H57">
        <f t="shared" ca="1" si="3"/>
        <v>3752.4992751833515</v>
      </c>
      <c r="I57">
        <f t="shared" ca="1" si="4"/>
        <v>26693.061713977033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72480</v>
      </c>
      <c r="B59" s="66">
        <v>72480</v>
      </c>
      <c r="D59">
        <f t="shared" si="0"/>
        <v>77.82920098360303</v>
      </c>
      <c r="E59">
        <f t="shared" si="1"/>
        <v>77.82920098360303</v>
      </c>
      <c r="G59">
        <f t="shared" ca="1" si="2"/>
        <v>57</v>
      </c>
      <c r="H59">
        <f t="shared" ca="1" si="3"/>
        <v>4436.2644560653725</v>
      </c>
      <c r="I59">
        <f t="shared" ca="1" si="4"/>
        <v>24603.257457285596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83992</v>
      </c>
      <c r="B62" s="66">
        <v>83992</v>
      </c>
      <c r="D62">
        <f t="shared" si="0"/>
        <v>90.190814693912614</v>
      </c>
      <c r="E62">
        <f t="shared" si="1"/>
        <v>90.190814693912614</v>
      </c>
      <c r="G62">
        <f t="shared" ca="1" si="2"/>
        <v>60</v>
      </c>
      <c r="H62">
        <f t="shared" ca="1" si="3"/>
        <v>5411.4488816347566</v>
      </c>
      <c r="I62">
        <f t="shared" ca="1" si="4"/>
        <v>19701.30385530401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83194</v>
      </c>
      <c r="B64" s="66">
        <v>83194</v>
      </c>
      <c r="D64">
        <f t="shared" si="0"/>
        <v>89.33392034533486</v>
      </c>
      <c r="E64">
        <f t="shared" si="1"/>
        <v>89.33392034533486</v>
      </c>
      <c r="G64">
        <f t="shared" ca="1" si="2"/>
        <v>62</v>
      </c>
      <c r="H64">
        <f t="shared" ca="1" si="3"/>
        <v>5538.7030614107616</v>
      </c>
      <c r="I64">
        <f t="shared" ca="1" si="4"/>
        <v>14590.136508709673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83107</v>
      </c>
      <c r="B67" s="66">
        <v>83107</v>
      </c>
      <c r="D67">
        <f t="shared" ref="D67:D130" si="5">IFERROR(100*A67/MAX(A$2:A$257), 0 )</f>
        <v>89.240499532895939</v>
      </c>
      <c r="E67">
        <f t="shared" ref="E67:E130" si="6">IFERROR(100*B67/MAX(B$2:B$257), 0 )</f>
        <v>89.240499532895939</v>
      </c>
      <c r="G67">
        <f t="shared" ref="G67:G130" ca="1" si="7">CELL("row",D67)-2</f>
        <v>65</v>
      </c>
      <c r="H67">
        <f t="shared" ref="H67:H130" ca="1" si="8">D67*G67</f>
        <v>5800.6324696382362</v>
      </c>
      <c r="I67">
        <f t="shared" ref="I67:I130" ca="1" si="9">D67*((G67-$L$1)^2)</f>
        <v>8535.2295667107519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87630</v>
      </c>
      <c r="B69" s="66">
        <v>87630</v>
      </c>
      <c r="D69">
        <f t="shared" si="5"/>
        <v>94.097307977278334</v>
      </c>
      <c r="E69">
        <f t="shared" si="6"/>
        <v>94.097307977278334</v>
      </c>
      <c r="G69">
        <f t="shared" ca="1" si="7"/>
        <v>67</v>
      </c>
      <c r="H69">
        <f t="shared" ca="1" si="8"/>
        <v>6304.5196344776487</v>
      </c>
      <c r="I69">
        <f t="shared" ca="1" si="9"/>
        <v>5695.1556774483852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87313</v>
      </c>
      <c r="B72" s="66">
        <v>87313</v>
      </c>
      <c r="D72">
        <f t="shared" si="5"/>
        <v>93.756912603219263</v>
      </c>
      <c r="E72">
        <f t="shared" si="6"/>
        <v>93.756912603219263</v>
      </c>
      <c r="G72">
        <f t="shared" ca="1" si="7"/>
        <v>70</v>
      </c>
      <c r="H72">
        <f t="shared" ca="1" si="8"/>
        <v>6562.9838822253487</v>
      </c>
      <c r="I72">
        <f t="shared" ca="1" si="9"/>
        <v>2141.9482376247315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87504</v>
      </c>
      <c r="B75" s="66">
        <v>87504</v>
      </c>
      <c r="D75">
        <f t="shared" si="5"/>
        <v>93.962008869608169</v>
      </c>
      <c r="E75">
        <f t="shared" si="6"/>
        <v>93.962008869608169</v>
      </c>
      <c r="G75">
        <f t="shared" ca="1" si="7"/>
        <v>73</v>
      </c>
      <c r="H75">
        <f t="shared" ca="1" si="8"/>
        <v>6859.226647481396</v>
      </c>
      <c r="I75">
        <f t="shared" ca="1" si="9"/>
        <v>297.61697685761317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82791</v>
      </c>
      <c r="B77" s="66">
        <v>82791</v>
      </c>
      <c r="D77">
        <f t="shared" si="5"/>
        <v>88.901177961278691</v>
      </c>
      <c r="E77">
        <f t="shared" si="6"/>
        <v>88.901177961278691</v>
      </c>
      <c r="G77">
        <f t="shared" ca="1" si="7"/>
        <v>75</v>
      </c>
      <c r="H77">
        <f t="shared" ca="1" si="8"/>
        <v>6667.5883470959016</v>
      </c>
      <c r="I77">
        <f t="shared" ca="1" si="9"/>
        <v>4.3136124371392679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77230</v>
      </c>
      <c r="B80" s="66">
        <v>77230</v>
      </c>
      <c r="D80">
        <f t="shared" si="5"/>
        <v>82.929762582280105</v>
      </c>
      <c r="E80">
        <f t="shared" si="6"/>
        <v>82.929762582280105</v>
      </c>
      <c r="G80">
        <f t="shared" ca="1" si="7"/>
        <v>78</v>
      </c>
      <c r="H80">
        <f t="shared" ca="1" si="8"/>
        <v>6468.521481417848</v>
      </c>
      <c r="I80">
        <f t="shared" ca="1" si="9"/>
        <v>859.99625697211638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79603</v>
      </c>
      <c r="B82" s="66">
        <v>79603</v>
      </c>
      <c r="D82">
        <f t="shared" si="5"/>
        <v>85.477895776734997</v>
      </c>
      <c r="E82">
        <f t="shared" si="6"/>
        <v>85.477895776734997</v>
      </c>
      <c r="G82">
        <f t="shared" ca="1" si="7"/>
        <v>80</v>
      </c>
      <c r="H82">
        <f t="shared" ca="1" si="8"/>
        <v>6838.2316621387999</v>
      </c>
      <c r="I82">
        <f t="shared" ca="1" si="9"/>
        <v>2329.3820301572819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77482</v>
      </c>
      <c r="B85" s="66">
        <v>77482</v>
      </c>
      <c r="D85">
        <f t="shared" si="5"/>
        <v>83.200360797620448</v>
      </c>
      <c r="E85">
        <f t="shared" si="6"/>
        <v>83.200360797620448</v>
      </c>
      <c r="G85">
        <f t="shared" ca="1" si="7"/>
        <v>83</v>
      </c>
      <c r="H85">
        <f t="shared" ca="1" si="8"/>
        <v>6905.6299462024972</v>
      </c>
      <c r="I85">
        <f t="shared" ca="1" si="9"/>
        <v>5622.0925193054445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81148</v>
      </c>
      <c r="B88" s="66">
        <v>81148</v>
      </c>
      <c r="D88">
        <f t="shared" si="5"/>
        <v>87.136920549357328</v>
      </c>
      <c r="E88">
        <f t="shared" si="6"/>
        <v>87.136920549357328</v>
      </c>
      <c r="G88">
        <f t="shared" ca="1" si="7"/>
        <v>86</v>
      </c>
      <c r="H88">
        <f t="shared" ca="1" si="8"/>
        <v>7493.7751672447303</v>
      </c>
      <c r="I88">
        <f t="shared" ca="1" si="9"/>
        <v>10970.066817995639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92599</v>
      </c>
      <c r="B90" s="66">
        <v>92599</v>
      </c>
      <c r="D90">
        <f t="shared" si="5"/>
        <v>99.433032310715475</v>
      </c>
      <c r="E90">
        <f t="shared" si="6"/>
        <v>99.433032310715475</v>
      </c>
      <c r="G90">
        <f t="shared" ca="1" si="7"/>
        <v>88</v>
      </c>
      <c r="H90">
        <f t="shared" ca="1" si="8"/>
        <v>8750.1068433429609</v>
      </c>
      <c r="I90">
        <f t="shared" ca="1" si="9"/>
        <v>17378.477074306873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93127</v>
      </c>
      <c r="B93" s="66">
        <v>93127</v>
      </c>
      <c r="D93">
        <f t="shared" si="5"/>
        <v>100</v>
      </c>
      <c r="E93">
        <f t="shared" si="6"/>
        <v>100</v>
      </c>
      <c r="G93">
        <f t="shared" ca="1" si="7"/>
        <v>91</v>
      </c>
      <c r="H93">
        <f t="shared" ca="1" si="8"/>
        <v>9100</v>
      </c>
      <c r="I93">
        <f t="shared" ca="1" si="9"/>
        <v>26309.734729787415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90377</v>
      </c>
      <c r="B95" s="66">
        <v>90377</v>
      </c>
      <c r="D95">
        <f t="shared" si="5"/>
        <v>97.047043284976425</v>
      </c>
      <c r="E95">
        <f t="shared" si="6"/>
        <v>97.047043284976425</v>
      </c>
      <c r="G95">
        <f t="shared" ca="1" si="7"/>
        <v>93</v>
      </c>
      <c r="H95">
        <f t="shared" ca="1" si="8"/>
        <v>9025.3750255028081</v>
      </c>
      <c r="I95">
        <f t="shared" ca="1" si="9"/>
        <v>32217.527058375159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78831</v>
      </c>
      <c r="B98" s="66">
        <v>78831</v>
      </c>
      <c r="D98">
        <f t="shared" si="5"/>
        <v>84.648920291644743</v>
      </c>
      <c r="E98">
        <f t="shared" si="6"/>
        <v>84.648920291644743</v>
      </c>
      <c r="G98">
        <f t="shared" ca="1" si="7"/>
        <v>96</v>
      </c>
      <c r="H98">
        <f t="shared" ca="1" si="8"/>
        <v>8126.2963479978953</v>
      </c>
      <c r="I98">
        <f t="shared" ca="1" si="9"/>
        <v>38117.417727719243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72647</v>
      </c>
      <c r="B100" s="66">
        <v>72647</v>
      </c>
      <c r="D100">
        <f t="shared" si="5"/>
        <v>78.008525991388098</v>
      </c>
      <c r="E100">
        <f t="shared" si="6"/>
        <v>78.008525991388098</v>
      </c>
      <c r="G100">
        <f t="shared" ca="1" si="7"/>
        <v>98</v>
      </c>
      <c r="H100">
        <f t="shared" ca="1" si="8"/>
        <v>7644.8355471560335</v>
      </c>
      <c r="I100">
        <f t="shared" ca="1" si="9"/>
        <v>42060.731326257628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65012</v>
      </c>
      <c r="B103" s="66">
        <v>65012</v>
      </c>
      <c r="D103">
        <f t="shared" si="5"/>
        <v>69.810044348040847</v>
      </c>
      <c r="E103">
        <f t="shared" si="6"/>
        <v>69.810044348040847</v>
      </c>
      <c r="G103">
        <f t="shared" ca="1" si="7"/>
        <v>101</v>
      </c>
      <c r="H103">
        <f t="shared" ca="1" si="8"/>
        <v>7050.8144791521254</v>
      </c>
      <c r="I103">
        <f t="shared" ca="1" si="9"/>
        <v>47994.605387841875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60630</v>
      </c>
      <c r="B106" s="66">
        <v>60630</v>
      </c>
      <c r="D106">
        <f t="shared" si="5"/>
        <v>65.10464204795602</v>
      </c>
      <c r="E106">
        <f t="shared" si="6"/>
        <v>65.10464204795602</v>
      </c>
      <c r="G106">
        <f t="shared" ca="1" si="7"/>
        <v>104</v>
      </c>
      <c r="H106">
        <f t="shared" ca="1" si="8"/>
        <v>6770.8827729874265</v>
      </c>
      <c r="I106">
        <f t="shared" ca="1" si="9"/>
        <v>55587.939636609015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58953</v>
      </c>
      <c r="B108" s="66">
        <v>58953</v>
      </c>
      <c r="D108">
        <f t="shared" si="5"/>
        <v>63.30387535301255</v>
      </c>
      <c r="E108">
        <f t="shared" si="6"/>
        <v>63.30387535301255</v>
      </c>
      <c r="G108">
        <f t="shared" ca="1" si="7"/>
        <v>106</v>
      </c>
      <c r="H108">
        <f t="shared" ca="1" si="8"/>
        <v>6710.2107874193307</v>
      </c>
      <c r="I108">
        <f t="shared" ca="1" si="9"/>
        <v>61702.643172316246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49225</v>
      </c>
      <c r="B111" s="66">
        <v>49225</v>
      </c>
      <c r="D111">
        <f t="shared" si="5"/>
        <v>52.857925198921905</v>
      </c>
      <c r="E111">
        <f t="shared" si="6"/>
        <v>52.857925198921905</v>
      </c>
      <c r="G111">
        <f t="shared" ca="1" si="7"/>
        <v>109</v>
      </c>
      <c r="H111">
        <f t="shared" ca="1" si="8"/>
        <v>5761.5138466824874</v>
      </c>
      <c r="I111">
        <f t="shared" ca="1" si="9"/>
        <v>61898.072181705022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45328</v>
      </c>
      <c r="B113" s="66">
        <v>45328</v>
      </c>
      <c r="D113">
        <f t="shared" si="5"/>
        <v>48.673317083123045</v>
      </c>
      <c r="E113">
        <f t="shared" si="6"/>
        <v>48.673317083123045</v>
      </c>
      <c r="G113">
        <f t="shared" ca="1" si="7"/>
        <v>111</v>
      </c>
      <c r="H113">
        <f t="shared" ca="1" si="8"/>
        <v>5402.7381962266581</v>
      </c>
      <c r="I113">
        <f t="shared" ca="1" si="9"/>
        <v>63854.932545764153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44810</v>
      </c>
      <c r="B116" s="66">
        <v>44810</v>
      </c>
      <c r="D116">
        <f t="shared" si="5"/>
        <v>48.117087418256787</v>
      </c>
      <c r="E116">
        <f t="shared" si="6"/>
        <v>48.117087418256787</v>
      </c>
      <c r="G116">
        <f t="shared" ca="1" si="7"/>
        <v>114</v>
      </c>
      <c r="H116">
        <f t="shared" ca="1" si="8"/>
        <v>5485.3479656812733</v>
      </c>
      <c r="I116">
        <f t="shared" ca="1" si="9"/>
        <v>74015.149038484291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40473</v>
      </c>
      <c r="B118" s="66">
        <v>40473</v>
      </c>
      <c r="D118">
        <f t="shared" si="5"/>
        <v>43.460006228054162</v>
      </c>
      <c r="E118">
        <f t="shared" si="6"/>
        <v>43.460006228054162</v>
      </c>
      <c r="G118">
        <f t="shared" ca="1" si="7"/>
        <v>116</v>
      </c>
      <c r="H118">
        <f t="shared" ca="1" si="8"/>
        <v>5041.3607224542829</v>
      </c>
      <c r="I118">
        <f t="shared" ca="1" si="9"/>
        <v>73843.380627194667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35626</v>
      </c>
      <c r="B121" s="66">
        <v>35626</v>
      </c>
      <c r="D121">
        <f t="shared" si="5"/>
        <v>38.255285792519892</v>
      </c>
      <c r="E121">
        <f t="shared" si="6"/>
        <v>38.255285792519892</v>
      </c>
      <c r="G121">
        <f t="shared" ca="1" si="7"/>
        <v>119</v>
      </c>
      <c r="H121">
        <f t="shared" ca="1" si="8"/>
        <v>4552.3790093098669</v>
      </c>
      <c r="I121">
        <f t="shared" ca="1" si="9"/>
        <v>74805.640327586807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26502</v>
      </c>
      <c r="B124" s="66">
        <v>26502</v>
      </c>
      <c r="D124">
        <f t="shared" si="5"/>
        <v>28.457912313292599</v>
      </c>
      <c r="E124">
        <f t="shared" si="6"/>
        <v>28.457912313292599</v>
      </c>
      <c r="G124">
        <f t="shared" ca="1" si="7"/>
        <v>122</v>
      </c>
      <c r="H124">
        <f t="shared" ca="1" si="8"/>
        <v>3471.8653022216972</v>
      </c>
      <c r="I124">
        <f t="shared" ca="1" si="9"/>
        <v>63454.156544668396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23276</v>
      </c>
      <c r="B126" s="66">
        <v>23276</v>
      </c>
      <c r="D126">
        <f t="shared" si="5"/>
        <v>24.993825635959496</v>
      </c>
      <c r="E126">
        <f t="shared" si="6"/>
        <v>24.993825635959496</v>
      </c>
      <c r="G126">
        <f t="shared" ca="1" si="7"/>
        <v>124</v>
      </c>
      <c r="H126">
        <f t="shared" ca="1" si="8"/>
        <v>3099.2343788589774</v>
      </c>
      <c r="I126">
        <f t="shared" ca="1" si="9"/>
        <v>60550.930532342769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24986</v>
      </c>
      <c r="B129" s="66">
        <v>24986</v>
      </c>
      <c r="D129">
        <f t="shared" si="5"/>
        <v>26.830027811483244</v>
      </c>
      <c r="E129">
        <f t="shared" si="6"/>
        <v>26.830027811483244</v>
      </c>
      <c r="G129">
        <f t="shared" ca="1" si="7"/>
        <v>127</v>
      </c>
      <c r="H129">
        <f t="shared" ca="1" si="8"/>
        <v>3407.4135320583719</v>
      </c>
      <c r="I129">
        <f t="shared" ca="1" si="9"/>
        <v>73164.337664201055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25358</v>
      </c>
      <c r="B131" s="66">
        <v>25358</v>
      </c>
      <c r="D131">
        <f t="shared" ref="D131:D194" si="10">IFERROR(100*A131/MAX(A$2:A$257), 0 )</f>
        <v>27.229482319842795</v>
      </c>
      <c r="E131">
        <f t="shared" ref="E131:E194" si="11">IFERROR(100*B131/MAX(B$2:B$257), 0 )</f>
        <v>27.229482319842795</v>
      </c>
      <c r="G131">
        <f t="shared" ref="G131:G194" ca="1" si="12">CELL("row",D131)-2</f>
        <v>129</v>
      </c>
      <c r="H131">
        <f t="shared" ref="H131:H194" ca="1" si="13">D131*G131</f>
        <v>3512.6032192597204</v>
      </c>
      <c r="I131">
        <f t="shared" ref="I131:I194" ca="1" si="14">D131*((G131-$L$1)^2)</f>
        <v>80050.275250759179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22513</v>
      </c>
      <c r="B134" s="66">
        <v>22513</v>
      </c>
      <c r="D134">
        <f t="shared" si="10"/>
        <v>24.174514372845685</v>
      </c>
      <c r="E134">
        <f t="shared" si="11"/>
        <v>24.174514372845685</v>
      </c>
      <c r="G134">
        <f t="shared" ca="1" si="12"/>
        <v>132</v>
      </c>
      <c r="H134">
        <f t="shared" ca="1" si="13"/>
        <v>3191.0358972156305</v>
      </c>
      <c r="I134">
        <f t="shared" ca="1" si="14"/>
        <v>79151.227098557458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19400</v>
      </c>
      <c r="B136" s="66">
        <v>19400</v>
      </c>
      <c r="D136">
        <f t="shared" si="10"/>
        <v>20.831767371439003</v>
      </c>
      <c r="E136">
        <f t="shared" si="11"/>
        <v>20.831767371439003</v>
      </c>
      <c r="G136">
        <f t="shared" ca="1" si="12"/>
        <v>134</v>
      </c>
      <c r="H136">
        <f t="shared" ca="1" si="13"/>
        <v>2791.4568277728263</v>
      </c>
      <c r="I136">
        <f t="shared" ca="1" si="14"/>
        <v>73057.86366593455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18638</v>
      </c>
      <c r="B139" s="66">
        <v>18638</v>
      </c>
      <c r="D139">
        <f t="shared" si="10"/>
        <v>20.013529910767016</v>
      </c>
      <c r="E139">
        <f t="shared" si="11"/>
        <v>20.013529910767016</v>
      </c>
      <c r="G139">
        <f t="shared" ca="1" si="12"/>
        <v>137</v>
      </c>
      <c r="H139">
        <f t="shared" ca="1" si="13"/>
        <v>2741.8535977750812</v>
      </c>
      <c r="I139">
        <f t="shared" ca="1" si="14"/>
        <v>77479.633625431641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17402</v>
      </c>
      <c r="B142" s="66">
        <v>17402</v>
      </c>
      <c r="D142">
        <f t="shared" si="10"/>
        <v>18.686310092669149</v>
      </c>
      <c r="E142">
        <f t="shared" si="11"/>
        <v>18.686310092669149</v>
      </c>
      <c r="G142">
        <f t="shared" ca="1" si="12"/>
        <v>140</v>
      </c>
      <c r="H142">
        <f t="shared" ca="1" si="13"/>
        <v>2616.0834129736809</v>
      </c>
      <c r="I142">
        <f t="shared" ca="1" si="14"/>
        <v>79485.665295862855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14060</v>
      </c>
      <c r="B144" s="66">
        <v>14060</v>
      </c>
      <c r="D144">
        <f t="shared" si="10"/>
        <v>15.097662332084143</v>
      </c>
      <c r="E144">
        <f t="shared" si="11"/>
        <v>15.097662332084143</v>
      </c>
      <c r="G144">
        <f t="shared" ca="1" si="12"/>
        <v>142</v>
      </c>
      <c r="H144">
        <f t="shared" ca="1" si="13"/>
        <v>2143.8680511559483</v>
      </c>
      <c r="I144">
        <f t="shared" ca="1" si="14"/>
        <v>68219.775838620058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10240</v>
      </c>
      <c r="B147" s="66">
        <v>10240</v>
      </c>
      <c r="D147">
        <f t="shared" si="10"/>
        <v>10.995737004305948</v>
      </c>
      <c r="E147">
        <f t="shared" si="11"/>
        <v>10.995737004305948</v>
      </c>
      <c r="G147">
        <f t="shared" ca="1" si="12"/>
        <v>145</v>
      </c>
      <c r="H147">
        <f t="shared" ca="1" si="13"/>
        <v>1594.3818656243625</v>
      </c>
      <c r="I147">
        <f t="shared" ca="1" si="14"/>
        <v>54218.738129934587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9731</v>
      </c>
      <c r="B149" s="66">
        <v>9731</v>
      </c>
      <c r="D149">
        <f t="shared" si="10"/>
        <v>10.449171561416131</v>
      </c>
      <c r="E149">
        <f t="shared" si="11"/>
        <v>10.449171561416131</v>
      </c>
      <c r="G149">
        <f t="shared" ca="1" si="12"/>
        <v>147</v>
      </c>
      <c r="H149">
        <f t="shared" ca="1" si="13"/>
        <v>1536.0282195281713</v>
      </c>
      <c r="I149">
        <f t="shared" ca="1" si="14"/>
        <v>54500.457141664279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5423</v>
      </c>
      <c r="B152" s="66">
        <v>5423</v>
      </c>
      <c r="D152">
        <f t="shared" si="10"/>
        <v>5.8232306420264797</v>
      </c>
      <c r="E152">
        <f t="shared" si="11"/>
        <v>5.8232306420264797</v>
      </c>
      <c r="G152">
        <f t="shared" ca="1" si="12"/>
        <v>150</v>
      </c>
      <c r="H152">
        <f t="shared" ca="1" si="13"/>
        <v>873.4845963039719</v>
      </c>
      <c r="I152">
        <f t="shared" ca="1" si="14"/>
        <v>32948.362438390308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5739</v>
      </c>
      <c r="B154" s="66">
        <v>5739</v>
      </c>
      <c r="D154">
        <f t="shared" si="10"/>
        <v>6.1625522136437336</v>
      </c>
      <c r="E154">
        <f t="shared" si="11"/>
        <v>6.1625522136437336</v>
      </c>
      <c r="G154">
        <f t="shared" ca="1" si="12"/>
        <v>152</v>
      </c>
      <c r="H154">
        <f t="shared" ca="1" si="13"/>
        <v>936.70793647384755</v>
      </c>
      <c r="I154">
        <f t="shared" ca="1" si="14"/>
        <v>36747.120110754258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4316</v>
      </c>
      <c r="B157" s="66">
        <v>4316</v>
      </c>
      <c r="D157">
        <f t="shared" si="10"/>
        <v>4.6345313389242646</v>
      </c>
      <c r="E157">
        <f t="shared" si="11"/>
        <v>4.6345313389242646</v>
      </c>
      <c r="G157">
        <f t="shared" ca="1" si="12"/>
        <v>155</v>
      </c>
      <c r="H157">
        <f t="shared" ca="1" si="13"/>
        <v>718.35235753326106</v>
      </c>
      <c r="I157">
        <f t="shared" ca="1" si="14"/>
        <v>29824.565465107586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3119</v>
      </c>
      <c r="B160" s="66">
        <v>3119</v>
      </c>
      <c r="D160">
        <f t="shared" si="10"/>
        <v>3.3491898160576419</v>
      </c>
      <c r="E160">
        <f t="shared" si="11"/>
        <v>3.3491898160576419</v>
      </c>
      <c r="G160">
        <f t="shared" ca="1" si="12"/>
        <v>158</v>
      </c>
      <c r="H160">
        <f t="shared" ca="1" si="13"/>
        <v>529.17199093710747</v>
      </c>
      <c r="I160">
        <f t="shared" ca="1" si="14"/>
        <v>23195.196902300013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611</v>
      </c>
      <c r="B162" s="66">
        <v>611</v>
      </c>
      <c r="D162">
        <f t="shared" si="10"/>
        <v>0.65609329195614596</v>
      </c>
      <c r="E162">
        <f t="shared" si="11"/>
        <v>0.65609329195614596</v>
      </c>
      <c r="G162">
        <f t="shared" ca="1" si="12"/>
        <v>160</v>
      </c>
      <c r="H162">
        <f t="shared" ca="1" si="13"/>
        <v>104.97492671298335</v>
      </c>
      <c r="I162">
        <f t="shared" ca="1" si="14"/>
        <v>4764.8745206059202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121</v>
      </c>
      <c r="B165" s="66">
        <v>121</v>
      </c>
      <c r="D165">
        <f t="shared" si="10"/>
        <v>0.12993009546103707</v>
      </c>
      <c r="E165">
        <f t="shared" si="11"/>
        <v>0.12993009546103707</v>
      </c>
      <c r="G165">
        <f t="shared" ca="1" si="12"/>
        <v>163</v>
      </c>
      <c r="H165">
        <f t="shared" ca="1" si="13"/>
        <v>21.178605560149041</v>
      </c>
      <c r="I165">
        <f t="shared" ca="1" si="14"/>
        <v>1011.2221640417476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179</v>
      </c>
      <c r="B167" s="66">
        <v>179</v>
      </c>
      <c r="D167">
        <f t="shared" si="10"/>
        <v>0.19221063708698874</v>
      </c>
      <c r="E167">
        <f t="shared" si="11"/>
        <v>0.19221063708698874</v>
      </c>
      <c r="G167">
        <f t="shared" ca="1" si="12"/>
        <v>165</v>
      </c>
      <c r="H167">
        <f t="shared" ca="1" si="13"/>
        <v>31.714755119353143</v>
      </c>
      <c r="I167">
        <f t="shared" ca="1" si="14"/>
        <v>1564.5365703611774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120</v>
      </c>
      <c r="B170" s="66">
        <v>120</v>
      </c>
      <c r="D170">
        <f t="shared" si="10"/>
        <v>0.12885629301921034</v>
      </c>
      <c r="E170">
        <f t="shared" si="11"/>
        <v>0.12885629301921034</v>
      </c>
      <c r="G170">
        <f t="shared" ca="1" si="12"/>
        <v>168</v>
      </c>
      <c r="H170">
        <f t="shared" ca="1" si="13"/>
        <v>21.647857227227338</v>
      </c>
      <c r="I170">
        <f t="shared" ca="1" si="14"/>
        <v>1119.7637404978616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60</v>
      </c>
      <c r="B173" s="66">
        <v>60</v>
      </c>
      <c r="D173">
        <f t="shared" si="10"/>
        <v>6.4428146509605169E-2</v>
      </c>
      <c r="E173">
        <f t="shared" si="11"/>
        <v>6.4428146509605169E-2</v>
      </c>
      <c r="G173">
        <f t="shared" ca="1" si="12"/>
        <v>171</v>
      </c>
      <c r="H173">
        <f t="shared" ca="1" si="13"/>
        <v>11.017213053142484</v>
      </c>
      <c r="I173">
        <f t="shared" ca="1" si="14"/>
        <v>596.49778109218153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296</v>
      </c>
      <c r="B175" s="66">
        <v>296</v>
      </c>
      <c r="D175">
        <f t="shared" si="10"/>
        <v>0.31784552278071881</v>
      </c>
      <c r="E175">
        <f t="shared" si="11"/>
        <v>0.31784552278071881</v>
      </c>
      <c r="G175">
        <f t="shared" ca="1" si="12"/>
        <v>173</v>
      </c>
      <c r="H175">
        <f t="shared" ca="1" si="13"/>
        <v>54.987275441064355</v>
      </c>
      <c r="I175">
        <f t="shared" ca="1" si="14"/>
        <v>3066.3265042781491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1072</v>
      </c>
      <c r="B178" s="66">
        <v>1072</v>
      </c>
      <c r="D178">
        <f t="shared" si="10"/>
        <v>1.151116217638279</v>
      </c>
      <c r="E178">
        <f t="shared" si="11"/>
        <v>1.151116217638279</v>
      </c>
      <c r="G178">
        <f t="shared" ca="1" si="12"/>
        <v>176</v>
      </c>
      <c r="H178">
        <f t="shared" ca="1" si="13"/>
        <v>202.5964543043371</v>
      </c>
      <c r="I178">
        <f t="shared" ca="1" si="14"/>
        <v>11793.812127107083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243</v>
      </c>
      <c r="B180" s="66">
        <v>243</v>
      </c>
      <c r="D180">
        <f t="shared" si="10"/>
        <v>0.26093399336390088</v>
      </c>
      <c r="E180">
        <f t="shared" si="11"/>
        <v>0.26093399336390088</v>
      </c>
      <c r="G180">
        <f t="shared" ca="1" si="12"/>
        <v>178</v>
      </c>
      <c r="H180">
        <f t="shared" ca="1" si="13"/>
        <v>46.446250818774359</v>
      </c>
      <c r="I180">
        <f t="shared" ca="1" si="14"/>
        <v>2780.1017504275273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0.17713200000000001</v>
      </c>
      <c r="B2" s="68">
        <v>0.59516599999999997</v>
      </c>
      <c r="C2" s="68">
        <v>0</v>
      </c>
      <c r="D2" s="68">
        <v>1</v>
      </c>
      <c r="E2" s="68" t="s">
        <v>409</v>
      </c>
    </row>
    <row r="3" spans="1:5">
      <c r="A3" s="68">
        <v>0.182444</v>
      </c>
      <c r="B3" s="68">
        <v>0.58749099999999999</v>
      </c>
      <c r="C3" s="68">
        <v>0.38757200000000003</v>
      </c>
      <c r="D3" s="89">
        <v>1</v>
      </c>
      <c r="E3" s="68" t="s">
        <v>410</v>
      </c>
    </row>
    <row r="4" spans="1:5">
      <c r="A4" s="68">
        <v>0.18739700000000001</v>
      </c>
      <c r="B4" s="68">
        <v>0.58034399999999997</v>
      </c>
      <c r="C4" s="68">
        <v>0.79322300000000001</v>
      </c>
      <c r="D4" s="89">
        <v>1</v>
      </c>
      <c r="E4" s="68" t="s">
        <v>411</v>
      </c>
    </row>
    <row r="5" spans="1:5">
      <c r="A5" s="89">
        <v>0.192276</v>
      </c>
      <c r="B5" s="89">
        <v>0.57357000000000002</v>
      </c>
      <c r="C5" s="89">
        <v>1.1972499999999999</v>
      </c>
      <c r="D5" s="89">
        <v>1</v>
      </c>
      <c r="E5" s="68" t="s">
        <v>412</v>
      </c>
    </row>
    <row r="6" spans="1:5">
      <c r="A6" s="68">
        <v>0.197018</v>
      </c>
      <c r="B6" s="68">
        <v>0.56793400000000005</v>
      </c>
      <c r="C6" s="68">
        <v>1.6061799999999999</v>
      </c>
      <c r="D6" s="68">
        <v>1</v>
      </c>
      <c r="E6" s="68" t="s">
        <v>413</v>
      </c>
    </row>
    <row r="7" spans="1:5">
      <c r="A7" s="68">
        <v>0.20167099999999999</v>
      </c>
      <c r="B7" s="68">
        <v>0.56264499999999995</v>
      </c>
      <c r="C7" s="68">
        <v>2.0120499999999999</v>
      </c>
      <c r="D7" s="68">
        <v>1</v>
      </c>
      <c r="E7" s="68" t="s">
        <v>414</v>
      </c>
    </row>
    <row r="8" spans="1:5">
      <c r="A8" s="68">
        <v>0.206344</v>
      </c>
      <c r="B8" s="68">
        <v>0.55758399999999997</v>
      </c>
      <c r="C8" s="68">
        <v>2.4148999999999998</v>
      </c>
      <c r="D8" s="68">
        <v>1</v>
      </c>
      <c r="E8" s="68" t="s">
        <v>415</v>
      </c>
    </row>
    <row r="9" spans="1:5">
      <c r="A9" s="68">
        <v>0.21104899999999999</v>
      </c>
      <c r="B9" s="68">
        <v>0.55269199999999996</v>
      </c>
      <c r="C9" s="68">
        <v>2.82409</v>
      </c>
      <c r="D9" s="68">
        <v>1</v>
      </c>
      <c r="E9" s="68" t="s">
        <v>416</v>
      </c>
    </row>
    <row r="10" spans="1:5">
      <c r="A10" s="68">
        <v>0.215587</v>
      </c>
      <c r="B10" s="68">
        <v>0.54816799999999999</v>
      </c>
      <c r="C10" s="68">
        <v>3.23184</v>
      </c>
      <c r="D10" s="68">
        <v>1</v>
      </c>
      <c r="E10" s="68" t="s">
        <v>417</v>
      </c>
    </row>
    <row r="11" spans="1:5">
      <c r="A11" s="68">
        <v>0.22002099999999999</v>
      </c>
      <c r="B11" s="68">
        <v>0.54425900000000005</v>
      </c>
      <c r="C11" s="68">
        <v>3.63768</v>
      </c>
      <c r="D11" s="68">
        <v>1</v>
      </c>
      <c r="E11" s="68" t="s">
        <v>418</v>
      </c>
    </row>
    <row r="12" spans="1:5">
      <c r="A12" s="68">
        <v>0.224685</v>
      </c>
      <c r="B12" s="68">
        <v>0.53925400000000001</v>
      </c>
      <c r="C12" s="68">
        <v>4.0446200000000001</v>
      </c>
      <c r="D12" s="68">
        <v>1</v>
      </c>
      <c r="E12" s="68" t="s">
        <v>419</v>
      </c>
    </row>
    <row r="13" spans="1:5">
      <c r="A13" s="68">
        <v>0.22920099999999999</v>
      </c>
      <c r="B13" s="68">
        <v>0.534555</v>
      </c>
      <c r="C13" s="68">
        <v>4.44658</v>
      </c>
      <c r="D13" s="68">
        <v>1</v>
      </c>
      <c r="E13" s="68" t="s">
        <v>420</v>
      </c>
    </row>
    <row r="14" spans="1:5">
      <c r="A14" s="68">
        <v>0.233761</v>
      </c>
      <c r="B14" s="68">
        <v>0.52955099999999999</v>
      </c>
      <c r="C14" s="68">
        <v>4.8525</v>
      </c>
      <c r="D14" s="68">
        <v>1</v>
      </c>
      <c r="E14" s="68" t="s">
        <v>421</v>
      </c>
    </row>
    <row r="15" spans="1:5">
      <c r="A15" s="68">
        <v>0.23796600000000001</v>
      </c>
      <c r="B15" s="68">
        <v>0.52601799999999999</v>
      </c>
      <c r="C15" s="68">
        <v>5.2643300000000002</v>
      </c>
      <c r="D15" s="68">
        <v>1</v>
      </c>
      <c r="E15" s="68" t="s">
        <v>422</v>
      </c>
    </row>
    <row r="16" spans="1:5">
      <c r="A16" s="68">
        <v>0.24173600000000001</v>
      </c>
      <c r="B16" s="68">
        <v>0.52337100000000003</v>
      </c>
      <c r="C16" s="68">
        <v>5.6702899999999996</v>
      </c>
      <c r="D16" s="68">
        <v>1</v>
      </c>
      <c r="E16" s="68" t="s">
        <v>423</v>
      </c>
    </row>
    <row r="17" spans="1:5">
      <c r="A17" s="68">
        <v>0.24490700000000001</v>
      </c>
      <c r="B17" s="68">
        <v>0.522235</v>
      </c>
      <c r="C17" s="68">
        <v>6.0741699999999996</v>
      </c>
      <c r="D17" s="68">
        <v>1</v>
      </c>
      <c r="E17" s="68" t="s">
        <v>424</v>
      </c>
    </row>
    <row r="18" spans="1:5">
      <c r="A18" s="68">
        <v>0.24779100000000001</v>
      </c>
      <c r="B18" s="68">
        <v>0.52158599999999999</v>
      </c>
      <c r="C18" s="68">
        <v>6.4800899999999997</v>
      </c>
      <c r="D18" s="68">
        <v>1</v>
      </c>
      <c r="E18" s="68" t="s">
        <v>425</v>
      </c>
    </row>
    <row r="19" spans="1:5">
      <c r="A19" s="68">
        <v>0.25042799999999998</v>
      </c>
      <c r="B19" s="68">
        <v>0.52116499999999999</v>
      </c>
      <c r="C19" s="68">
        <v>6.8830799999999996</v>
      </c>
      <c r="D19" s="68">
        <v>1</v>
      </c>
      <c r="E19" s="68" t="s">
        <v>426</v>
      </c>
    </row>
    <row r="20" spans="1:5">
      <c r="A20" s="68">
        <v>0.25296800000000003</v>
      </c>
      <c r="B20" s="68">
        <v>0.51970300000000003</v>
      </c>
      <c r="C20" s="68">
        <v>7.2899099999999999</v>
      </c>
      <c r="D20" s="68">
        <v>1</v>
      </c>
      <c r="E20" s="68" t="s">
        <v>427</v>
      </c>
    </row>
    <row r="21" spans="1:5">
      <c r="A21" s="68">
        <v>0.25545499999999999</v>
      </c>
      <c r="B21" s="68">
        <v>0.51843399999999995</v>
      </c>
      <c r="C21" s="68">
        <v>7.7017499999999997</v>
      </c>
      <c r="D21" s="68">
        <v>1</v>
      </c>
      <c r="E21" s="68" t="s">
        <v>428</v>
      </c>
    </row>
    <row r="22" spans="1:5">
      <c r="A22" s="68">
        <v>0.25728099999999998</v>
      </c>
      <c r="B22" s="68">
        <v>0.51740900000000001</v>
      </c>
      <c r="C22" s="68">
        <v>8.1076899999999998</v>
      </c>
      <c r="D22" s="68">
        <v>1</v>
      </c>
      <c r="E22" s="68" t="s">
        <v>429</v>
      </c>
    </row>
    <row r="23" spans="1:5">
      <c r="A23" s="68">
        <v>0.25886199999999998</v>
      </c>
      <c r="B23" s="68">
        <v>0.51647600000000005</v>
      </c>
      <c r="C23" s="68">
        <v>8.5096500000000006</v>
      </c>
      <c r="D23" s="68">
        <v>1</v>
      </c>
      <c r="E23" s="68" t="s">
        <v>430</v>
      </c>
    </row>
    <row r="24" spans="1:5">
      <c r="A24" s="68">
        <v>0.25984499999999999</v>
      </c>
      <c r="B24" s="68">
        <v>0.51548000000000005</v>
      </c>
      <c r="C24" s="68">
        <v>8.9159000000000006</v>
      </c>
      <c r="D24" s="68">
        <v>1</v>
      </c>
      <c r="E24" s="68" t="s">
        <v>431</v>
      </c>
    </row>
    <row r="25" spans="1:5">
      <c r="A25" s="68">
        <v>0.26012600000000002</v>
      </c>
      <c r="B25" s="68">
        <v>0.51434000000000002</v>
      </c>
      <c r="C25" s="68">
        <v>9.3244799999999994</v>
      </c>
      <c r="D25" s="68">
        <v>1</v>
      </c>
      <c r="E25" s="68" t="s">
        <v>432</v>
      </c>
    </row>
    <row r="26" spans="1:5">
      <c r="A26" s="68">
        <v>0.26048399999999999</v>
      </c>
      <c r="B26" s="68">
        <v>0.51321300000000003</v>
      </c>
      <c r="C26" s="68">
        <v>9.7303899999999999</v>
      </c>
      <c r="D26" s="68">
        <v>1</v>
      </c>
      <c r="E26" s="68" t="s">
        <v>433</v>
      </c>
    </row>
    <row r="27" spans="1:5">
      <c r="A27" s="68">
        <v>0.26089099999999998</v>
      </c>
      <c r="B27" s="68">
        <v>0.51207100000000005</v>
      </c>
      <c r="C27" s="68">
        <v>10.1396</v>
      </c>
      <c r="D27" s="68">
        <v>1</v>
      </c>
      <c r="E27" s="68" t="s">
        <v>434</v>
      </c>
    </row>
    <row r="28" spans="1:5">
      <c r="A28" s="68">
        <v>0.26116400000000001</v>
      </c>
      <c r="B28" s="68">
        <v>0.51111200000000001</v>
      </c>
      <c r="C28" s="68">
        <v>10.5403</v>
      </c>
      <c r="D28" s="68">
        <v>1</v>
      </c>
      <c r="E28" s="68" t="s">
        <v>435</v>
      </c>
    </row>
    <row r="29" spans="1:5">
      <c r="A29" s="68">
        <v>0.26144499999999998</v>
      </c>
      <c r="B29" s="68">
        <v>0.51025699999999996</v>
      </c>
      <c r="C29" s="68">
        <v>10.9442</v>
      </c>
      <c r="D29" s="68">
        <v>1</v>
      </c>
      <c r="E29" s="68" t="s">
        <v>436</v>
      </c>
    </row>
    <row r="30" spans="1:5">
      <c r="A30" s="68">
        <v>0.26155299999999998</v>
      </c>
      <c r="B30" s="68">
        <v>0.50973400000000002</v>
      </c>
      <c r="C30" s="68">
        <v>11.3581</v>
      </c>
      <c r="D30" s="68">
        <v>1</v>
      </c>
      <c r="E30" s="68" t="s">
        <v>437</v>
      </c>
    </row>
    <row r="31" spans="1:5">
      <c r="A31" s="68">
        <v>0.26144200000000001</v>
      </c>
      <c r="B31" s="68">
        <v>0.50947299999999995</v>
      </c>
      <c r="C31" s="68">
        <v>11.763999999999999</v>
      </c>
      <c r="D31" s="68">
        <v>1</v>
      </c>
      <c r="E31" s="68" t="s">
        <v>438</v>
      </c>
    </row>
    <row r="32" spans="1:5">
      <c r="A32" s="68">
        <v>0.261183</v>
      </c>
      <c r="B32" s="68">
        <v>0.509548</v>
      </c>
      <c r="C32" s="68">
        <v>12.1699</v>
      </c>
      <c r="D32" s="68">
        <v>1</v>
      </c>
      <c r="E32" s="68" t="s">
        <v>439</v>
      </c>
    </row>
    <row r="33" spans="1:5">
      <c r="A33" s="68">
        <v>0.26097900000000002</v>
      </c>
      <c r="B33" s="68">
        <v>0.50989899999999999</v>
      </c>
      <c r="C33" s="68">
        <v>12.5739</v>
      </c>
      <c r="D33" s="68">
        <v>1</v>
      </c>
      <c r="E33" s="68" t="s">
        <v>440</v>
      </c>
    </row>
    <row r="34" spans="1:5">
      <c r="A34" s="68">
        <v>0.260517</v>
      </c>
      <c r="B34" s="68">
        <v>0.51056299999999999</v>
      </c>
      <c r="C34" s="68">
        <v>12.9777</v>
      </c>
      <c r="D34" s="68">
        <v>1</v>
      </c>
      <c r="E34" s="68" t="s">
        <v>441</v>
      </c>
    </row>
    <row r="35" spans="1:5">
      <c r="A35" s="68">
        <v>0.25992999999999999</v>
      </c>
      <c r="B35" s="68">
        <v>0.51126700000000003</v>
      </c>
      <c r="C35" s="68">
        <v>13.3818</v>
      </c>
      <c r="D35" s="68">
        <v>1</v>
      </c>
      <c r="E35" s="68" t="s">
        <v>442</v>
      </c>
    </row>
    <row r="36" spans="1:5">
      <c r="A36" s="68">
        <v>0.25918999999999998</v>
      </c>
      <c r="B36" s="68">
        <v>0.51206600000000002</v>
      </c>
      <c r="C36" s="68">
        <v>13.7957</v>
      </c>
      <c r="D36" s="68">
        <v>1</v>
      </c>
      <c r="E36" s="68" t="s">
        <v>443</v>
      </c>
    </row>
    <row r="37" spans="1:5">
      <c r="A37" s="68">
        <v>0.25819599999999998</v>
      </c>
      <c r="B37" s="68">
        <v>0.51358800000000004</v>
      </c>
      <c r="C37" s="68">
        <v>14.199400000000001</v>
      </c>
      <c r="D37" s="68">
        <v>1</v>
      </c>
      <c r="E37" s="68" t="s">
        <v>444</v>
      </c>
    </row>
    <row r="38" spans="1:5">
      <c r="A38" s="68">
        <v>0.257102</v>
      </c>
      <c r="B38" s="68">
        <v>0.515432</v>
      </c>
      <c r="C38" s="68">
        <v>14.605600000000001</v>
      </c>
      <c r="D38" s="68">
        <v>1</v>
      </c>
      <c r="E38" s="68" t="s">
        <v>445</v>
      </c>
    </row>
    <row r="39" spans="1:5">
      <c r="A39" s="68">
        <v>0.25567299999999998</v>
      </c>
      <c r="B39" s="68">
        <v>0.51755899999999999</v>
      </c>
      <c r="C39" s="68">
        <v>15.013299999999999</v>
      </c>
      <c r="D39" s="68">
        <v>1</v>
      </c>
      <c r="E39" s="68" t="s">
        <v>446</v>
      </c>
    </row>
    <row r="40" spans="1:5">
      <c r="A40" s="68">
        <v>0.25441799999999998</v>
      </c>
      <c r="B40" s="68">
        <v>0.51941099999999996</v>
      </c>
      <c r="C40" s="68">
        <v>15.4152</v>
      </c>
      <c r="D40" s="68">
        <v>1</v>
      </c>
      <c r="E40" s="68" t="s">
        <v>447</v>
      </c>
    </row>
    <row r="41" spans="1:5">
      <c r="A41" s="68">
        <v>0.25328699999999998</v>
      </c>
      <c r="B41" s="68">
        <v>0.521123</v>
      </c>
      <c r="C41" s="68">
        <v>15.8223</v>
      </c>
      <c r="D41" s="68">
        <v>1</v>
      </c>
      <c r="E41" s="68" t="s">
        <v>448</v>
      </c>
    </row>
    <row r="42" spans="1:5">
      <c r="A42" s="68">
        <v>0.25247700000000001</v>
      </c>
      <c r="B42" s="68">
        <v>0.52190099999999995</v>
      </c>
      <c r="C42" s="68">
        <v>16.225999999999999</v>
      </c>
      <c r="D42" s="68">
        <v>1</v>
      </c>
      <c r="E42" s="68" t="s">
        <v>449</v>
      </c>
    </row>
    <row r="43" spans="1:5">
      <c r="A43" s="68">
        <v>0.25184299999999998</v>
      </c>
      <c r="B43" s="68">
        <v>0.52205999999999997</v>
      </c>
      <c r="C43" s="68">
        <v>16.634</v>
      </c>
      <c r="D43" s="68">
        <v>1</v>
      </c>
      <c r="E43" s="68" t="s">
        <v>450</v>
      </c>
    </row>
    <row r="44" spans="1:5">
      <c r="A44" s="68">
        <v>0.25095800000000001</v>
      </c>
      <c r="B44" s="68">
        <v>0.52226600000000001</v>
      </c>
      <c r="C44" s="68">
        <v>17.044</v>
      </c>
      <c r="D44" s="68">
        <v>1</v>
      </c>
      <c r="E44" s="68" t="s">
        <v>451</v>
      </c>
    </row>
    <row r="45" spans="1:5">
      <c r="A45" s="68">
        <v>0.249726</v>
      </c>
      <c r="B45" s="68">
        <v>0.52324300000000001</v>
      </c>
      <c r="C45" s="68">
        <v>17.448799999999999</v>
      </c>
      <c r="D45" s="68">
        <v>1</v>
      </c>
      <c r="E45" s="68" t="s">
        <v>452</v>
      </c>
    </row>
    <row r="46" spans="1:5">
      <c r="A46" s="68">
        <v>0.248527</v>
      </c>
      <c r="B46" s="68">
        <v>0.52425500000000003</v>
      </c>
      <c r="C46" s="68">
        <v>17.8538</v>
      </c>
      <c r="D46" s="68">
        <v>1</v>
      </c>
      <c r="E46" s="68" t="s">
        <v>453</v>
      </c>
    </row>
    <row r="47" spans="1:5">
      <c r="A47" s="68">
        <v>0.24762100000000001</v>
      </c>
      <c r="B47" s="68">
        <v>0.52456599999999998</v>
      </c>
      <c r="C47" s="68">
        <v>18.258600000000001</v>
      </c>
      <c r="D47" s="68">
        <v>1</v>
      </c>
      <c r="E47" s="68" t="s">
        <v>454</v>
      </c>
    </row>
    <row r="48" spans="1:5">
      <c r="A48" s="68">
        <v>0.24680199999999999</v>
      </c>
      <c r="B48" s="68">
        <v>0.525173</v>
      </c>
      <c r="C48" s="68">
        <v>18.669499999999999</v>
      </c>
      <c r="D48" s="68">
        <v>1</v>
      </c>
      <c r="E48" s="68" t="s">
        <v>455</v>
      </c>
    </row>
    <row r="49" spans="1:5">
      <c r="A49" s="68">
        <v>0.24626600000000001</v>
      </c>
      <c r="B49" s="68">
        <v>0.52539400000000003</v>
      </c>
      <c r="C49" s="68">
        <v>19.074400000000001</v>
      </c>
      <c r="D49" s="68">
        <v>1</v>
      </c>
      <c r="E49" s="68" t="s">
        <v>456</v>
      </c>
    </row>
    <row r="50" spans="1:5">
      <c r="A50" s="68">
        <v>0.24599599999999999</v>
      </c>
      <c r="B50" s="68">
        <v>0.52519400000000005</v>
      </c>
      <c r="C50" s="68">
        <v>19.479299999999999</v>
      </c>
      <c r="D50" s="68">
        <v>1</v>
      </c>
      <c r="E50" s="68" t="s">
        <v>457</v>
      </c>
    </row>
    <row r="51" spans="1:5">
      <c r="A51" s="68">
        <v>0.24543499999999999</v>
      </c>
      <c r="B51" s="68">
        <v>0.52509399999999995</v>
      </c>
      <c r="C51" s="68">
        <v>19.8873</v>
      </c>
      <c r="D51" s="68">
        <v>1</v>
      </c>
      <c r="E51" s="68" t="s">
        <v>458</v>
      </c>
    </row>
    <row r="52" spans="1:5">
      <c r="A52" s="68">
        <v>0.244946</v>
      </c>
      <c r="B52" s="68">
        <v>0.52525100000000002</v>
      </c>
      <c r="C52" s="68">
        <v>20.293399999999998</v>
      </c>
      <c r="D52" s="68">
        <v>1</v>
      </c>
      <c r="E52" s="68" t="s">
        <v>459</v>
      </c>
    </row>
    <row r="53" spans="1:5">
      <c r="A53" s="68">
        <v>0.244283</v>
      </c>
      <c r="B53" s="68">
        <v>0.52476599999999995</v>
      </c>
      <c r="C53" s="68">
        <v>20.696200000000001</v>
      </c>
      <c r="D53" s="68">
        <v>1</v>
      </c>
      <c r="E53" s="68" t="s">
        <v>460</v>
      </c>
    </row>
    <row r="54" spans="1:5">
      <c r="A54" s="68">
        <v>0.243314</v>
      </c>
      <c r="B54" s="68">
        <v>0.52413500000000002</v>
      </c>
      <c r="C54" s="68">
        <v>21.109000000000002</v>
      </c>
      <c r="D54" s="68">
        <v>1</v>
      </c>
      <c r="E54" s="68" t="s">
        <v>461</v>
      </c>
    </row>
    <row r="55" spans="1:5">
      <c r="A55" s="68">
        <v>0.242756</v>
      </c>
      <c r="B55" s="68">
        <v>0.52408600000000005</v>
      </c>
      <c r="C55" s="68">
        <v>21.509899999999998</v>
      </c>
      <c r="D55" s="68">
        <v>1</v>
      </c>
      <c r="E55" s="68" t="s">
        <v>462</v>
      </c>
    </row>
    <row r="56" spans="1:5">
      <c r="A56" s="68">
        <v>0.24212800000000001</v>
      </c>
      <c r="B56" s="68">
        <v>0.52353000000000005</v>
      </c>
      <c r="C56" s="68">
        <v>21.915900000000001</v>
      </c>
      <c r="D56" s="68">
        <v>1</v>
      </c>
      <c r="E56" s="68" t="s">
        <v>463</v>
      </c>
    </row>
    <row r="57" spans="1:5">
      <c r="A57" s="68">
        <v>0.241508</v>
      </c>
      <c r="B57" s="68">
        <v>0.522428</v>
      </c>
      <c r="C57" s="68">
        <v>22.3248</v>
      </c>
      <c r="D57" s="68">
        <v>1</v>
      </c>
      <c r="E57" s="68" t="s">
        <v>464</v>
      </c>
    </row>
    <row r="58" spans="1:5">
      <c r="A58" s="68">
        <v>0.24043</v>
      </c>
      <c r="B58" s="68">
        <v>0.52050399999999997</v>
      </c>
      <c r="C58" s="68">
        <v>22.7317</v>
      </c>
      <c r="D58" s="68">
        <v>1</v>
      </c>
      <c r="E58" s="68" t="s">
        <v>465</v>
      </c>
    </row>
    <row r="59" spans="1:5">
      <c r="A59" s="68">
        <v>0.23984</v>
      </c>
      <c r="B59" s="68">
        <v>0.51832</v>
      </c>
      <c r="C59" s="68">
        <v>23.137499999999999</v>
      </c>
      <c r="D59" s="68">
        <v>1</v>
      </c>
      <c r="E59" s="68" t="s">
        <v>466</v>
      </c>
    </row>
    <row r="60" spans="1:5">
      <c r="A60" s="68">
        <v>0.23943999999999999</v>
      </c>
      <c r="B60" s="68">
        <v>0.51584600000000003</v>
      </c>
      <c r="C60" s="68">
        <v>23.546500000000002</v>
      </c>
      <c r="D60" s="68">
        <v>1</v>
      </c>
      <c r="E60" s="68" t="s">
        <v>467</v>
      </c>
    </row>
    <row r="61" spans="1:5">
      <c r="A61" s="68">
        <v>0.239181</v>
      </c>
      <c r="B61" s="68">
        <v>0.51412800000000003</v>
      </c>
      <c r="C61" s="68">
        <v>23.948399999999999</v>
      </c>
      <c r="D61" s="68">
        <v>1</v>
      </c>
      <c r="E61" s="68" t="s">
        <v>468</v>
      </c>
    </row>
    <row r="62" spans="1:5">
      <c r="A62" s="68">
        <v>0.23860600000000001</v>
      </c>
      <c r="B62" s="68">
        <v>0.51147799999999999</v>
      </c>
      <c r="C62" s="68">
        <v>24.353300000000001</v>
      </c>
      <c r="D62" s="68">
        <v>1</v>
      </c>
      <c r="E62" s="68" t="s">
        <v>469</v>
      </c>
    </row>
    <row r="63" spans="1:5">
      <c r="A63" s="68">
        <v>0.238042</v>
      </c>
      <c r="B63" s="68">
        <v>0.50937600000000005</v>
      </c>
      <c r="C63" s="68">
        <v>24.7623</v>
      </c>
      <c r="D63" s="68">
        <v>1</v>
      </c>
      <c r="E63" s="68" t="s">
        <v>470</v>
      </c>
    </row>
    <row r="64" spans="1:5">
      <c r="A64" s="68">
        <v>0.23761099999999999</v>
      </c>
      <c r="B64" s="68">
        <v>0.50808500000000001</v>
      </c>
      <c r="C64" s="68">
        <v>25.1661</v>
      </c>
      <c r="D64" s="68">
        <v>1</v>
      </c>
      <c r="E64" s="68" t="s">
        <v>471</v>
      </c>
    </row>
    <row r="65" spans="1:5">
      <c r="A65" s="68">
        <v>0.23694200000000001</v>
      </c>
      <c r="B65" s="68">
        <v>0.50672099999999998</v>
      </c>
      <c r="C65" s="68">
        <v>25.574999999999999</v>
      </c>
      <c r="D65" s="68">
        <v>1</v>
      </c>
      <c r="E65" s="68" t="s">
        <v>472</v>
      </c>
    </row>
    <row r="66" spans="1:5">
      <c r="A66" s="68">
        <v>0.23624200000000001</v>
      </c>
      <c r="B66" s="68">
        <v>0.504915</v>
      </c>
      <c r="C66" s="68">
        <v>25.981000000000002</v>
      </c>
      <c r="D66" s="68">
        <v>1</v>
      </c>
      <c r="E66" s="68" t="s">
        <v>473</v>
      </c>
    </row>
    <row r="67" spans="1:5">
      <c r="A67" s="68">
        <v>0.23585999999999999</v>
      </c>
      <c r="B67" s="68">
        <v>0.50370000000000004</v>
      </c>
      <c r="C67" s="68">
        <v>26.384</v>
      </c>
      <c r="D67" s="68">
        <v>1</v>
      </c>
      <c r="E67" s="68" t="s">
        <v>474</v>
      </c>
    </row>
    <row r="68" spans="1:5">
      <c r="A68" s="68">
        <v>0.23571300000000001</v>
      </c>
      <c r="B68" s="68">
        <v>0.50170899999999996</v>
      </c>
      <c r="C68" s="68">
        <v>26.790099999999999</v>
      </c>
      <c r="D68" s="68">
        <v>1</v>
      </c>
      <c r="E68" s="68" t="s">
        <v>475</v>
      </c>
    </row>
    <row r="69" spans="1:5">
      <c r="A69" s="68">
        <v>0.23605400000000001</v>
      </c>
      <c r="B69" s="68">
        <v>0.49917800000000001</v>
      </c>
      <c r="C69" s="68">
        <v>27.1967</v>
      </c>
      <c r="D69" s="68">
        <v>1</v>
      </c>
      <c r="E69" s="68" t="s">
        <v>476</v>
      </c>
    </row>
    <row r="70" spans="1:5">
      <c r="A70" s="68">
        <v>0.236624</v>
      </c>
      <c r="B70" s="68">
        <v>0.49608099999999999</v>
      </c>
      <c r="C70" s="68">
        <v>27.605899999999998</v>
      </c>
      <c r="D70" s="68">
        <v>1</v>
      </c>
      <c r="E70" s="68" t="s">
        <v>477</v>
      </c>
    </row>
    <row r="71" spans="1:5">
      <c r="A71" s="68">
        <v>0.237238</v>
      </c>
      <c r="B71" s="68">
        <v>0.49279099999999998</v>
      </c>
      <c r="C71" s="68">
        <v>28.009599999999999</v>
      </c>
      <c r="D71" s="68">
        <v>1</v>
      </c>
      <c r="E71" s="68" t="s">
        <v>478</v>
      </c>
    </row>
    <row r="72" spans="1:5">
      <c r="A72" s="68">
        <v>0.237984</v>
      </c>
      <c r="B72" s="68">
        <v>0.489319</v>
      </c>
      <c r="C72" s="68">
        <v>28.415500000000002</v>
      </c>
      <c r="D72" s="68">
        <v>1</v>
      </c>
      <c r="E72" s="68" t="s">
        <v>479</v>
      </c>
    </row>
    <row r="73" spans="1:5">
      <c r="A73" s="68">
        <v>0.239893</v>
      </c>
      <c r="B73" s="68">
        <v>0.48182399999999997</v>
      </c>
      <c r="C73" s="68">
        <v>28.8233</v>
      </c>
      <c r="D73" s="68">
        <v>1</v>
      </c>
      <c r="E73" s="68" t="s">
        <v>480</v>
      </c>
    </row>
    <row r="74" spans="1:5">
      <c r="A74" s="68">
        <v>0.24085300000000001</v>
      </c>
      <c r="B74" s="68">
        <v>0.477524</v>
      </c>
      <c r="C74" s="68">
        <v>29.2273</v>
      </c>
      <c r="D74" s="68">
        <v>1</v>
      </c>
      <c r="E74" s="68" t="s">
        <v>481</v>
      </c>
    </row>
    <row r="75" spans="1:5">
      <c r="A75" s="68">
        <v>0.244451</v>
      </c>
      <c r="B75" s="68">
        <v>0.46556999999999998</v>
      </c>
      <c r="C75" s="68">
        <v>29.638300000000001</v>
      </c>
      <c r="D75" s="68">
        <v>1</v>
      </c>
      <c r="E75" s="68" t="s">
        <v>482</v>
      </c>
    </row>
    <row r="76" spans="1:5">
      <c r="A76" s="68">
        <v>0.24709700000000001</v>
      </c>
      <c r="B76" s="68">
        <v>0.45768799999999998</v>
      </c>
      <c r="C76" s="68">
        <v>30.043099999999999</v>
      </c>
      <c r="D76" s="68">
        <v>2</v>
      </c>
      <c r="E76" s="68" t="s">
        <v>483</v>
      </c>
    </row>
    <row r="77" spans="1:5">
      <c r="A77" s="68">
        <v>0.24995000000000001</v>
      </c>
      <c r="B77" s="68">
        <v>0.44948199999999999</v>
      </c>
      <c r="C77" s="68">
        <v>30.508900000000001</v>
      </c>
      <c r="D77" s="68">
        <v>2</v>
      </c>
      <c r="E77" s="68" t="s">
        <v>484</v>
      </c>
    </row>
    <row r="78" spans="1:5">
      <c r="A78" s="68">
        <v>0.25309500000000001</v>
      </c>
      <c r="B78" s="68">
        <v>0.44090800000000002</v>
      </c>
      <c r="C78" s="68">
        <v>30.907399999999999</v>
      </c>
      <c r="D78" s="68">
        <v>2</v>
      </c>
      <c r="E78" s="68" t="s">
        <v>485</v>
      </c>
    </row>
    <row r="79" spans="1:5">
      <c r="A79" s="68">
        <v>0.25631399999999999</v>
      </c>
      <c r="B79" s="68">
        <v>0.432257</v>
      </c>
      <c r="C79" s="68">
        <v>31.310700000000001</v>
      </c>
      <c r="D79" s="68">
        <v>2</v>
      </c>
      <c r="E79" s="68" t="s">
        <v>486</v>
      </c>
    </row>
    <row r="80" spans="1:5">
      <c r="A80" s="68">
        <v>0.26001099999999999</v>
      </c>
      <c r="B80" s="68">
        <v>0.42246499999999998</v>
      </c>
      <c r="C80" s="68">
        <v>31.710699999999999</v>
      </c>
      <c r="D80" s="68">
        <v>2</v>
      </c>
      <c r="E80" s="68" t="s">
        <v>487</v>
      </c>
    </row>
    <row r="81" spans="1:5">
      <c r="A81" s="68">
        <v>0.26388</v>
      </c>
      <c r="B81" s="68">
        <v>0.412352</v>
      </c>
      <c r="C81" s="68">
        <v>32.120600000000003</v>
      </c>
      <c r="D81" s="68">
        <v>2</v>
      </c>
      <c r="E81" s="68" t="s">
        <v>488</v>
      </c>
    </row>
    <row r="82" spans="1:5">
      <c r="A82" s="68">
        <v>0.26777299999999998</v>
      </c>
      <c r="B82" s="68">
        <v>0.40400000000000003</v>
      </c>
      <c r="C82" s="68">
        <v>32.522599999999997</v>
      </c>
      <c r="D82" s="68">
        <v>2</v>
      </c>
      <c r="E82" s="68" t="s">
        <v>489</v>
      </c>
    </row>
    <row r="83" spans="1:5">
      <c r="A83" s="68">
        <v>0.27137099999999997</v>
      </c>
      <c r="B83" s="68">
        <v>0.39721499999999998</v>
      </c>
      <c r="C83" s="68">
        <v>32.933399999999999</v>
      </c>
      <c r="D83" s="68">
        <v>2</v>
      </c>
      <c r="E83" s="68" t="s">
        <v>490</v>
      </c>
    </row>
    <row r="84" spans="1:5">
      <c r="A84" s="68">
        <v>0.27489200000000003</v>
      </c>
      <c r="B84" s="68">
        <v>0.39072499999999999</v>
      </c>
      <c r="C84" s="68">
        <v>33.338500000000003</v>
      </c>
      <c r="D84" s="68">
        <v>2</v>
      </c>
      <c r="E84" s="68" t="s">
        <v>491</v>
      </c>
    </row>
    <row r="85" spans="1:5">
      <c r="A85" s="68">
        <v>0.27839900000000001</v>
      </c>
      <c r="B85" s="68">
        <v>0.38475300000000001</v>
      </c>
      <c r="C85" s="68">
        <v>33.745199999999997</v>
      </c>
      <c r="D85" s="68">
        <v>2</v>
      </c>
      <c r="E85" s="68" t="s">
        <v>492</v>
      </c>
    </row>
    <row r="86" spans="1:5">
      <c r="A86" s="68">
        <v>0.28191100000000002</v>
      </c>
      <c r="B86" s="68">
        <v>0.37968099999999999</v>
      </c>
      <c r="C86" s="68">
        <v>34.149299999999997</v>
      </c>
      <c r="D86" s="68">
        <v>2</v>
      </c>
      <c r="E86" s="68" t="s">
        <v>493</v>
      </c>
    </row>
    <row r="87" spans="1:5">
      <c r="A87" s="68">
        <v>0.28556399999999998</v>
      </c>
      <c r="B87" s="68">
        <v>0.37498900000000002</v>
      </c>
      <c r="C87" s="68">
        <v>34.561</v>
      </c>
      <c r="D87" s="68">
        <v>2</v>
      </c>
      <c r="E87" s="68" t="s">
        <v>494</v>
      </c>
    </row>
    <row r="88" spans="1:5">
      <c r="A88" s="68">
        <v>0.28934700000000002</v>
      </c>
      <c r="B88" s="68">
        <v>0.37068099999999998</v>
      </c>
      <c r="C88" s="68">
        <v>34.965000000000003</v>
      </c>
      <c r="D88" s="68">
        <v>2</v>
      </c>
      <c r="E88" s="68" t="s">
        <v>495</v>
      </c>
    </row>
    <row r="89" spans="1:5">
      <c r="A89" s="68">
        <v>0.29308499999999998</v>
      </c>
      <c r="B89" s="68">
        <v>0.366975</v>
      </c>
      <c r="C89" s="68">
        <v>35.370899999999999</v>
      </c>
      <c r="D89" s="68">
        <v>2</v>
      </c>
      <c r="E89" s="68" t="s">
        <v>496</v>
      </c>
    </row>
    <row r="90" spans="1:5">
      <c r="A90" s="68">
        <v>0.29643599999999998</v>
      </c>
      <c r="B90" s="68">
        <v>0.36440400000000001</v>
      </c>
      <c r="C90" s="68">
        <v>35.774900000000002</v>
      </c>
      <c r="D90" s="68">
        <v>2</v>
      </c>
      <c r="E90" s="68" t="s">
        <v>497</v>
      </c>
    </row>
    <row r="91" spans="1:5">
      <c r="A91" s="68">
        <v>0.29974699999999999</v>
      </c>
      <c r="B91" s="68">
        <v>0.36121799999999998</v>
      </c>
      <c r="C91" s="68">
        <v>36.182000000000002</v>
      </c>
      <c r="D91" s="68">
        <v>2</v>
      </c>
      <c r="E91" s="68" t="s">
        <v>498</v>
      </c>
    </row>
    <row r="92" spans="1:5">
      <c r="A92" s="68">
        <v>0.30266399999999999</v>
      </c>
      <c r="B92" s="68">
        <v>0.35874400000000001</v>
      </c>
      <c r="C92" s="68">
        <v>36.588999999999999</v>
      </c>
      <c r="D92" s="68">
        <v>2</v>
      </c>
      <c r="E92" s="68" t="s">
        <v>499</v>
      </c>
    </row>
    <row r="93" spans="1:5">
      <c r="A93" s="68">
        <v>0.30534699999999998</v>
      </c>
      <c r="B93" s="68">
        <v>0.35593900000000001</v>
      </c>
      <c r="C93" s="68">
        <v>36.993600000000001</v>
      </c>
      <c r="D93" s="68">
        <v>2</v>
      </c>
      <c r="E93" s="68" t="s">
        <v>500</v>
      </c>
    </row>
    <row r="94" spans="1:5">
      <c r="A94" s="68">
        <v>0.30787700000000001</v>
      </c>
      <c r="B94" s="68">
        <v>0.35316799999999998</v>
      </c>
      <c r="C94" s="68">
        <v>37.403500000000001</v>
      </c>
      <c r="D94" s="68">
        <v>2</v>
      </c>
      <c r="E94" s="68" t="s">
        <v>501</v>
      </c>
    </row>
    <row r="95" spans="1:5">
      <c r="A95" s="68">
        <v>0.31025700000000001</v>
      </c>
      <c r="B95" s="68">
        <v>0.35080099999999997</v>
      </c>
      <c r="C95" s="68">
        <v>37.807400000000001</v>
      </c>
      <c r="D95" s="68">
        <v>2</v>
      </c>
      <c r="E95" s="68" t="s">
        <v>502</v>
      </c>
    </row>
    <row r="96" spans="1:5">
      <c r="A96" s="68">
        <v>0.31256099999999998</v>
      </c>
      <c r="B96" s="68">
        <v>0.34894399999999998</v>
      </c>
      <c r="C96" s="68">
        <v>38.212299999999999</v>
      </c>
      <c r="D96" s="68">
        <v>2</v>
      </c>
      <c r="E96" s="68" t="s">
        <v>503</v>
      </c>
    </row>
    <row r="97" spans="1:5">
      <c r="A97" s="68">
        <v>0.31433699999999998</v>
      </c>
      <c r="B97" s="68">
        <v>0.34848200000000001</v>
      </c>
      <c r="C97" s="68">
        <v>38.619199999999999</v>
      </c>
      <c r="D97" s="68">
        <v>2</v>
      </c>
      <c r="E97" s="68" t="s">
        <v>504</v>
      </c>
    </row>
    <row r="98" spans="1:5">
      <c r="A98" s="68">
        <v>0.31548700000000002</v>
      </c>
      <c r="B98" s="68">
        <v>0.34822999999999998</v>
      </c>
      <c r="C98" s="68">
        <v>39.0261</v>
      </c>
      <c r="D98" s="68">
        <v>2</v>
      </c>
      <c r="E98" s="68" t="s">
        <v>505</v>
      </c>
    </row>
    <row r="99" spans="1:5">
      <c r="A99" s="68">
        <v>0.31609799999999999</v>
      </c>
      <c r="B99" s="68">
        <v>0.34792899999999999</v>
      </c>
      <c r="C99" s="68">
        <v>39.431100000000001</v>
      </c>
      <c r="D99" s="68">
        <v>2</v>
      </c>
      <c r="E99" s="68" t="s">
        <v>506</v>
      </c>
    </row>
    <row r="100" spans="1:5">
      <c r="A100" s="68">
        <v>0.31656600000000001</v>
      </c>
      <c r="B100" s="68">
        <v>0.34757399999999999</v>
      </c>
      <c r="C100" s="68">
        <v>39.8369</v>
      </c>
      <c r="D100" s="68">
        <v>2</v>
      </c>
      <c r="E100" s="68" t="s">
        <v>507</v>
      </c>
    </row>
    <row r="101" spans="1:5">
      <c r="A101" s="68">
        <v>0.31712800000000002</v>
      </c>
      <c r="B101" s="68">
        <v>0.34718199999999999</v>
      </c>
      <c r="C101" s="68">
        <v>40.247799999999998</v>
      </c>
      <c r="D101" s="68">
        <v>2</v>
      </c>
      <c r="E101" s="68" t="s">
        <v>508</v>
      </c>
    </row>
    <row r="102" spans="1:5">
      <c r="A102" s="68">
        <v>0.31765100000000002</v>
      </c>
      <c r="B102" s="68">
        <v>0.34694199999999997</v>
      </c>
      <c r="C102" s="68">
        <v>40.650700000000001</v>
      </c>
      <c r="D102" s="68">
        <v>2</v>
      </c>
      <c r="E102" s="68" t="s">
        <v>509</v>
      </c>
    </row>
    <row r="103" spans="1:5">
      <c r="A103" s="68">
        <v>0.31798700000000002</v>
      </c>
      <c r="B103" s="68">
        <v>0.34674700000000003</v>
      </c>
      <c r="C103" s="68">
        <v>41.057699999999997</v>
      </c>
      <c r="D103" s="68">
        <v>2</v>
      </c>
      <c r="E103" s="68" t="s">
        <v>510</v>
      </c>
    </row>
    <row r="104" spans="1:5">
      <c r="A104" s="68">
        <v>0.31816699999999998</v>
      </c>
      <c r="B104" s="68">
        <v>0.34690599999999999</v>
      </c>
      <c r="C104" s="68">
        <v>41.462899999999998</v>
      </c>
      <c r="D104" s="68">
        <v>2</v>
      </c>
      <c r="E104" s="68" t="s">
        <v>511</v>
      </c>
    </row>
    <row r="105" spans="1:5">
      <c r="A105" s="68">
        <v>0.31807800000000003</v>
      </c>
      <c r="B105" s="68">
        <v>0.34756300000000001</v>
      </c>
      <c r="C105" s="68">
        <v>41.873600000000003</v>
      </c>
      <c r="D105" s="68">
        <v>2</v>
      </c>
      <c r="E105" s="68" t="s">
        <v>512</v>
      </c>
    </row>
    <row r="106" spans="1:5">
      <c r="A106" s="68">
        <v>0.31781599999999999</v>
      </c>
      <c r="B106" s="68">
        <v>0.34869499999999998</v>
      </c>
      <c r="C106" s="68">
        <v>42.278399999999998</v>
      </c>
      <c r="D106" s="68">
        <v>2</v>
      </c>
      <c r="E106" s="68" t="s">
        <v>513</v>
      </c>
    </row>
    <row r="107" spans="1:5">
      <c r="A107" s="68">
        <v>0.31762200000000002</v>
      </c>
      <c r="B107" s="68">
        <v>0.349715</v>
      </c>
      <c r="C107" s="68">
        <v>42.683300000000003</v>
      </c>
      <c r="D107" s="68">
        <v>2</v>
      </c>
      <c r="E107" s="68" t="s">
        <v>514</v>
      </c>
    </row>
    <row r="108" spans="1:5">
      <c r="A108" s="68">
        <v>0.31737500000000002</v>
      </c>
      <c r="B108" s="68">
        <v>0.35098000000000001</v>
      </c>
      <c r="C108" s="68">
        <v>43.0852</v>
      </c>
      <c r="D108" s="68">
        <v>2</v>
      </c>
      <c r="E108" s="68" t="s">
        <v>515</v>
      </c>
    </row>
    <row r="109" spans="1:5">
      <c r="A109" s="68">
        <v>0.31690000000000002</v>
      </c>
      <c r="B109" s="68">
        <v>0.35276800000000003</v>
      </c>
      <c r="C109" s="68">
        <v>43.496299999999998</v>
      </c>
      <c r="D109" s="68">
        <v>2</v>
      </c>
      <c r="E109" s="68" t="s">
        <v>516</v>
      </c>
    </row>
    <row r="110" spans="1:5">
      <c r="A110" s="68">
        <v>0.31622</v>
      </c>
      <c r="B110" s="68">
        <v>0.35446499999999997</v>
      </c>
      <c r="C110" s="68">
        <v>43.9041</v>
      </c>
      <c r="D110" s="68">
        <v>2</v>
      </c>
      <c r="E110" s="68" t="s">
        <v>517</v>
      </c>
    </row>
    <row r="111" spans="1:5">
      <c r="A111" s="68">
        <v>0.31527300000000003</v>
      </c>
      <c r="B111" s="68">
        <v>0.35604999999999998</v>
      </c>
      <c r="C111" s="68">
        <v>44.31</v>
      </c>
      <c r="D111" s="68">
        <v>2</v>
      </c>
      <c r="E111" s="68" t="s">
        <v>518</v>
      </c>
    </row>
    <row r="112" spans="1:5">
      <c r="A112" s="68">
        <v>0.31440200000000001</v>
      </c>
      <c r="B112" s="68">
        <v>0.35772999999999999</v>
      </c>
      <c r="C112" s="68">
        <v>44.715800000000002</v>
      </c>
      <c r="D112" s="68">
        <v>2</v>
      </c>
      <c r="E112" s="68" t="s">
        <v>519</v>
      </c>
    </row>
    <row r="113" spans="1:5">
      <c r="A113" s="68">
        <v>0.31360700000000002</v>
      </c>
      <c r="B113" s="68">
        <v>0.35958299999999999</v>
      </c>
      <c r="C113" s="68">
        <v>45.119799999999998</v>
      </c>
      <c r="D113" s="68">
        <v>2</v>
      </c>
      <c r="E113" s="68" t="s">
        <v>520</v>
      </c>
    </row>
    <row r="114" spans="1:5">
      <c r="A114" s="68">
        <v>0.31289299999999998</v>
      </c>
      <c r="B114" s="68">
        <v>0.36110999999999999</v>
      </c>
      <c r="C114" s="68">
        <v>45.5259</v>
      </c>
      <c r="D114" s="68">
        <v>2</v>
      </c>
      <c r="E114" s="68" t="s">
        <v>521</v>
      </c>
    </row>
    <row r="115" spans="1:5">
      <c r="A115" s="68">
        <v>0.312525</v>
      </c>
      <c r="B115" s="68">
        <v>0.36221799999999998</v>
      </c>
      <c r="C115" s="68">
        <v>45.933799999999998</v>
      </c>
      <c r="D115" s="68">
        <v>2</v>
      </c>
      <c r="E115" s="68" t="s">
        <v>522</v>
      </c>
    </row>
    <row r="116" spans="1:5">
      <c r="A116" s="68">
        <v>0.311996</v>
      </c>
      <c r="B116" s="68">
        <v>0.364174</v>
      </c>
      <c r="C116" s="68">
        <v>46.3416</v>
      </c>
      <c r="D116" s="68">
        <v>2</v>
      </c>
      <c r="E116" s="68" t="s">
        <v>523</v>
      </c>
    </row>
    <row r="117" spans="1:5">
      <c r="A117" s="68">
        <v>0.31126399999999999</v>
      </c>
      <c r="B117" s="68">
        <v>0.36590499999999998</v>
      </c>
      <c r="C117" s="68">
        <v>46.7455</v>
      </c>
      <c r="D117" s="68">
        <v>2</v>
      </c>
      <c r="E117" s="68" t="s">
        <v>524</v>
      </c>
    </row>
    <row r="118" spans="1:5">
      <c r="A118" s="68">
        <v>0.31069200000000002</v>
      </c>
      <c r="B118" s="68">
        <v>0.36769499999999999</v>
      </c>
      <c r="C118" s="68">
        <v>47.1494</v>
      </c>
      <c r="D118" s="68">
        <v>2</v>
      </c>
      <c r="E118" s="68" t="s">
        <v>525</v>
      </c>
    </row>
    <row r="119" spans="1:5">
      <c r="A119" s="68">
        <v>0.31008400000000003</v>
      </c>
      <c r="B119" s="68">
        <v>0.36991800000000002</v>
      </c>
      <c r="C119" s="68">
        <v>47.557499999999997</v>
      </c>
      <c r="D119" s="68">
        <v>2</v>
      </c>
      <c r="E119" s="68" t="s">
        <v>526</v>
      </c>
    </row>
    <row r="120" spans="1:5">
      <c r="A120" s="68">
        <v>0.30957200000000001</v>
      </c>
      <c r="B120" s="68">
        <v>0.37209399999999998</v>
      </c>
      <c r="C120" s="68">
        <v>47.963200000000001</v>
      </c>
      <c r="D120" s="68">
        <v>2</v>
      </c>
      <c r="E120" s="68" t="s">
        <v>527</v>
      </c>
    </row>
    <row r="121" spans="1:5">
      <c r="A121" s="68">
        <v>0.30918800000000002</v>
      </c>
      <c r="B121" s="68">
        <v>0.37371300000000002</v>
      </c>
      <c r="C121" s="68">
        <v>48.369100000000003</v>
      </c>
      <c r="D121" s="68">
        <v>2</v>
      </c>
      <c r="E121" s="68" t="s">
        <v>528</v>
      </c>
    </row>
    <row r="122" spans="1:5">
      <c r="A122" s="68">
        <v>0.30918000000000001</v>
      </c>
      <c r="B122" s="68">
        <v>0.374054</v>
      </c>
      <c r="C122" s="68">
        <v>48.776000000000003</v>
      </c>
      <c r="D122" s="68">
        <v>2</v>
      </c>
      <c r="E122" s="68" t="s">
        <v>529</v>
      </c>
    </row>
    <row r="123" spans="1:5">
      <c r="A123" s="68">
        <v>0.30910199999999999</v>
      </c>
      <c r="B123" s="68">
        <v>0.37439800000000001</v>
      </c>
      <c r="C123" s="68">
        <v>49.182000000000002</v>
      </c>
      <c r="D123" s="68">
        <v>2</v>
      </c>
      <c r="E123" s="68" t="s">
        <v>530</v>
      </c>
    </row>
    <row r="124" spans="1:5">
      <c r="A124" s="68">
        <v>0.30914000000000003</v>
      </c>
      <c r="B124" s="68">
        <v>0.37476199999999998</v>
      </c>
      <c r="C124" s="68">
        <v>49.586799999999997</v>
      </c>
      <c r="D124" s="68">
        <v>2</v>
      </c>
      <c r="E124" s="68" t="s">
        <v>531</v>
      </c>
    </row>
    <row r="125" spans="1:5">
      <c r="A125" s="68">
        <v>0.30899799999999999</v>
      </c>
      <c r="B125" s="68">
        <v>0.375054</v>
      </c>
      <c r="C125" s="68">
        <v>49.996699999999997</v>
      </c>
      <c r="D125" s="68">
        <v>2</v>
      </c>
      <c r="E125" s="68" t="s">
        <v>532</v>
      </c>
    </row>
    <row r="126" spans="1:5">
      <c r="A126" s="68">
        <v>0.30901899999999999</v>
      </c>
      <c r="B126" s="68">
        <v>0.37539299999999998</v>
      </c>
      <c r="C126" s="68">
        <v>50.404699999999998</v>
      </c>
      <c r="D126" s="68">
        <v>2</v>
      </c>
      <c r="E126" s="68" t="s">
        <v>533</v>
      </c>
    </row>
    <row r="127" spans="1:5">
      <c r="A127" s="68">
        <v>0.30888199999999999</v>
      </c>
      <c r="B127" s="68">
        <v>0.37586900000000001</v>
      </c>
      <c r="C127" s="68">
        <v>50.808500000000002</v>
      </c>
      <c r="D127" s="68">
        <v>2</v>
      </c>
      <c r="E127" s="68" t="s">
        <v>534</v>
      </c>
    </row>
    <row r="128" spans="1:5">
      <c r="A128" s="68">
        <v>0.30867699999999998</v>
      </c>
      <c r="B128" s="68">
        <v>0.37648300000000001</v>
      </c>
      <c r="C128" s="68">
        <v>51.214500000000001</v>
      </c>
      <c r="D128" s="68">
        <v>2</v>
      </c>
      <c r="E128" s="68" t="s">
        <v>535</v>
      </c>
    </row>
    <row r="129" spans="1:5">
      <c r="A129" s="68">
        <v>0.30859900000000001</v>
      </c>
      <c r="B129" s="68">
        <v>0.37705300000000003</v>
      </c>
      <c r="C129" s="68">
        <v>51.621699999999997</v>
      </c>
      <c r="D129" s="68">
        <v>2</v>
      </c>
      <c r="E129" s="68" t="s">
        <v>536</v>
      </c>
    </row>
    <row r="130" spans="1:5">
      <c r="A130" s="68">
        <v>0.30845899999999998</v>
      </c>
      <c r="B130" s="68">
        <v>0.37754799999999999</v>
      </c>
      <c r="C130" s="68">
        <v>52.026299999999999</v>
      </c>
      <c r="D130" s="68">
        <v>2</v>
      </c>
      <c r="E130" s="68" t="s">
        <v>537</v>
      </c>
    </row>
    <row r="131" spans="1:5">
      <c r="A131" s="68">
        <v>0.30824600000000002</v>
      </c>
      <c r="B131" s="68">
        <v>0.37816100000000002</v>
      </c>
      <c r="C131" s="68">
        <v>52.430199999999999</v>
      </c>
      <c r="D131" s="68">
        <v>2</v>
      </c>
      <c r="E131" s="68" t="s">
        <v>538</v>
      </c>
    </row>
    <row r="132" spans="1:5">
      <c r="A132" s="68">
        <v>0.30806899999999998</v>
      </c>
      <c r="B132" s="68">
        <v>0.37862699999999999</v>
      </c>
      <c r="C132" s="68">
        <v>52.841200000000001</v>
      </c>
      <c r="D132" s="68">
        <v>2</v>
      </c>
      <c r="E132" s="68" t="s">
        <v>539</v>
      </c>
    </row>
    <row r="133" spans="1:5">
      <c r="A133" s="68">
        <v>0.308089</v>
      </c>
      <c r="B133" s="68">
        <v>0.378382</v>
      </c>
      <c r="C133" s="68">
        <v>53.243099999999998</v>
      </c>
      <c r="D133" s="68">
        <v>2</v>
      </c>
      <c r="E133" s="68" t="s">
        <v>540</v>
      </c>
    </row>
    <row r="134" spans="1:5">
      <c r="A134" s="68">
        <v>0.30830200000000002</v>
      </c>
      <c r="B134" s="68">
        <v>0.37767499999999998</v>
      </c>
      <c r="C134" s="68">
        <v>53.652200000000001</v>
      </c>
      <c r="D134" s="68">
        <v>2</v>
      </c>
      <c r="E134" s="68" t="s">
        <v>541</v>
      </c>
    </row>
    <row r="135" spans="1:5">
      <c r="A135" s="68">
        <v>0.30868600000000002</v>
      </c>
      <c r="B135" s="68">
        <v>0.37680900000000001</v>
      </c>
      <c r="C135" s="68">
        <v>54.058900000000001</v>
      </c>
      <c r="D135" s="68">
        <v>2</v>
      </c>
      <c r="E135" s="68" t="s">
        <v>542</v>
      </c>
    </row>
    <row r="136" spans="1:5">
      <c r="A136" s="68">
        <v>0.30956099999999998</v>
      </c>
      <c r="B136" s="68">
        <v>0.37543599999999999</v>
      </c>
      <c r="C136" s="68">
        <v>54.462800000000001</v>
      </c>
      <c r="D136" s="68">
        <v>2</v>
      </c>
      <c r="E136" s="68" t="s">
        <v>543</v>
      </c>
    </row>
    <row r="137" spans="1:5">
      <c r="A137" s="68">
        <v>0.31016700000000003</v>
      </c>
      <c r="B137" s="68">
        <v>0.37417499999999998</v>
      </c>
      <c r="C137" s="68">
        <v>54.873899999999999</v>
      </c>
      <c r="D137" s="68">
        <v>2</v>
      </c>
      <c r="E137" s="68" t="s">
        <v>544</v>
      </c>
    </row>
    <row r="138" spans="1:5">
      <c r="A138" s="68">
        <v>0.31033899999999998</v>
      </c>
      <c r="B138" s="68">
        <v>0.37278499999999998</v>
      </c>
      <c r="C138" s="68">
        <v>55.276600000000002</v>
      </c>
      <c r="D138" s="68">
        <v>2</v>
      </c>
      <c r="E138" s="68" t="s">
        <v>545</v>
      </c>
    </row>
    <row r="139" spans="1:5">
      <c r="A139" s="68">
        <v>0.31023800000000001</v>
      </c>
      <c r="B139" s="68">
        <v>0.37211899999999998</v>
      </c>
      <c r="C139" s="68">
        <v>55.679600000000001</v>
      </c>
      <c r="D139" s="68">
        <v>2</v>
      </c>
      <c r="E139" s="68" t="s">
        <v>546</v>
      </c>
    </row>
    <row r="140" spans="1:5">
      <c r="A140" s="68">
        <v>0.30990899999999999</v>
      </c>
      <c r="B140" s="68">
        <v>0.37189800000000001</v>
      </c>
      <c r="C140" s="68">
        <v>56.087600000000002</v>
      </c>
      <c r="D140" s="68">
        <v>2</v>
      </c>
      <c r="E140" s="68" t="s">
        <v>547</v>
      </c>
    </row>
    <row r="141" spans="1:5">
      <c r="A141" s="68">
        <v>0.30966500000000002</v>
      </c>
      <c r="B141" s="68">
        <v>0.37202600000000002</v>
      </c>
      <c r="C141" s="68">
        <v>56.493400000000001</v>
      </c>
      <c r="D141" s="68">
        <v>2</v>
      </c>
      <c r="E141" s="68" t="s">
        <v>548</v>
      </c>
    </row>
    <row r="142" spans="1:5">
      <c r="A142" s="68">
        <v>0.31022899999999998</v>
      </c>
      <c r="B142" s="68">
        <v>0.371174</v>
      </c>
      <c r="C142" s="68">
        <v>56.903300000000002</v>
      </c>
      <c r="D142" s="68">
        <v>2</v>
      </c>
      <c r="E142" s="68" t="s">
        <v>549</v>
      </c>
    </row>
    <row r="143" spans="1:5">
      <c r="A143" s="68">
        <v>0.31016899999999997</v>
      </c>
      <c r="B143" s="68">
        <v>0.37100699999999998</v>
      </c>
      <c r="C143" s="68">
        <v>57.307299999999998</v>
      </c>
      <c r="D143" s="68">
        <v>2</v>
      </c>
      <c r="E143" s="68" t="s">
        <v>550</v>
      </c>
    </row>
    <row r="144" spans="1:5">
      <c r="A144" s="68">
        <v>0.31027300000000002</v>
      </c>
      <c r="B144" s="68">
        <v>0.369925</v>
      </c>
      <c r="C144" s="68">
        <v>57.713200000000001</v>
      </c>
      <c r="D144" s="68">
        <v>2</v>
      </c>
      <c r="E144" s="68" t="s">
        <v>551</v>
      </c>
    </row>
    <row r="145" spans="1:5">
      <c r="A145" s="68">
        <v>0.30989100000000003</v>
      </c>
      <c r="B145" s="68">
        <v>0.36898399999999998</v>
      </c>
      <c r="C145" s="68">
        <v>58.118200000000002</v>
      </c>
      <c r="D145" s="68">
        <v>2</v>
      </c>
      <c r="E145" s="68" t="s">
        <v>552</v>
      </c>
    </row>
    <row r="146" spans="1:5">
      <c r="A146" s="68">
        <v>0.30828299999999997</v>
      </c>
      <c r="B146" s="68">
        <v>0.36991499999999999</v>
      </c>
      <c r="C146" s="68">
        <v>58.527999999999999</v>
      </c>
      <c r="D146" s="68">
        <v>2</v>
      </c>
      <c r="E146" s="68" t="s">
        <v>553</v>
      </c>
    </row>
    <row r="147" spans="1:5">
      <c r="A147" s="68">
        <v>0.30510500000000002</v>
      </c>
      <c r="B147" s="68">
        <v>0.37248100000000001</v>
      </c>
      <c r="C147" s="68">
        <v>58.934800000000003</v>
      </c>
      <c r="D147" s="68">
        <v>2</v>
      </c>
      <c r="E147" s="68" t="s">
        <v>554</v>
      </c>
    </row>
    <row r="148" spans="1:5">
      <c r="A148" s="68">
        <v>0.30424200000000001</v>
      </c>
      <c r="B148" s="68">
        <v>0.37251600000000001</v>
      </c>
      <c r="C148" s="68">
        <v>59.340800000000002</v>
      </c>
      <c r="D148" s="68">
        <v>2</v>
      </c>
      <c r="E148" s="68" t="s">
        <v>555</v>
      </c>
    </row>
    <row r="149" spans="1:5">
      <c r="A149" s="68">
        <v>0.302763</v>
      </c>
      <c r="B149" s="68">
        <v>0.37203999999999998</v>
      </c>
      <c r="C149" s="68">
        <v>59.745699999999999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43608.385821759257</v>
      </c>
      <c r="B2" s="66" t="s">
        <v>558</v>
      </c>
      <c r="C2" s="66"/>
      <c r="D2" s="66"/>
      <c r="E2" s="66">
        <v>4.9234099999999996</v>
      </c>
      <c r="F2" s="66">
        <v>1.44258</v>
      </c>
      <c r="G2" s="66">
        <v>0.62031099999999995</v>
      </c>
      <c r="H2" s="66">
        <v>0</v>
      </c>
      <c r="I2" s="66">
        <v>93127</v>
      </c>
      <c r="J2" s="66">
        <v>91</v>
      </c>
      <c r="K2" s="66">
        <v>91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2019-05-23T01:16:04Z</cp:lastPrinted>
  <dcterms:created xsi:type="dcterms:W3CDTF">2010-10-29T12:53:05Z</dcterms:created>
  <dcterms:modified xsi:type="dcterms:W3CDTF">2019-05-23T01:18:24Z</dcterms:modified>
</cp:coreProperties>
</file>