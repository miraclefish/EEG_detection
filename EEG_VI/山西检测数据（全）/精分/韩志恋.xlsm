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H19" i="23"/>
  <c r="AH18" i="23"/>
  <c r="AF19" i="23"/>
  <c r="N7" i="23"/>
  <c r="AG18" i="23" l="1"/>
  <c r="Z17" i="23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<sst xmlns="http://schemas.openxmlformats.org/spreadsheetml/2006/main" count="702" uniqueCount="520">
  <si>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</si>
  <si>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</si>
  <si>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</si>
  <si>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</si>
  <si>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</si>
  <si>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</si>
  <si>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</si>
  <si>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</si>
  <si>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</si>
  <si>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</si>
  <si>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</si>
  <si>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</si>
  <si>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</si>
  <si>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</si>
  <si>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</si>
  <si>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</si>
  <si>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</si>
  <si>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</si>
  <si>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</si>
  <si>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</si>
  <si>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</si>
  <si>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</si>
  <si>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</si>
  <si>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</si>
  <si>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</si>
  <si>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</si>
  <si>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</si>
  <si>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</si>
  <si>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</si>
  <si>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</si>
  <si>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</si>
  <si>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</si>
  <si>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</si>
  <si>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</si>
  <si>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</si>
  <si>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</si>
  <si>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</si>
  <si>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</si>
  <si>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</si>
  <si>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</si>
  <si>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</si>
  <si>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</si>
  <si>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</si>
  <si>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</si>
  <si>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</si>
  <si>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</si>
  <si>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</si>
  <si>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</si>
  <si>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</si>
  <si>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</si>
  <si>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</si>
  <si>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</si>
  <si>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</si>
  <si>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</si>
  <si>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</si>
  <si>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</si>
  <si>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</si>
  <si>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</si>
  <si>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</si>
  <si>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</si>
  <si>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</si>
  <si>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</si>
  <si>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</si>
  <si>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</si>
  <si>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</si>
  <si>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</si>
  <si>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</si>
  <si>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</si>
  <si>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</si>
  <si>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</si>
  <si>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</si>
  <si>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</si>
  <si>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</si>
  <si>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</si>
  <si>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</si>
  <si>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</si>
  <si>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</si>
  <si>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</si>
  <si>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</si>
  <si>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</si>
  <si>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</si>
  <si>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</si>
  <si>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</si>
  <si>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</si>
  <si>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</si>
  <si>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</si>
  <si>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</si>
  <si>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</si>
  <si>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</si>
  <si>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</si>
  <si>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</si>
  <si>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</si>
  <si>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</si>
  <si>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</si>
  <si>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</si>
  <si>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</si>
  <si>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</si>
  <si>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</si>
  <si>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</si>
  <si>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</si>
  <si>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</si>
  <si>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</si>
  <si>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</si>
  <si>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</si>
  <si>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</si>
  <si>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</si>
  <si>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</si>
  <si>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</si>
  <si>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</si>
  <si>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</si>
  <si>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</si>
  <si>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</si>
  <si>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</si>
  <si>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</si>
  <si>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</si>
  <si>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</si>
  <si>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</si>
  <si>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</si>
  <si>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</si>
  <si>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</si>
  <si>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</si>
  <si>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</si>
  <si>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</si>
  <si>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</si>
  <si>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</si>
  <si>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</si>
  <si>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</si>
  <si>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</si>
  <si>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</si>
  <si>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</si>
  <si>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</si>
  <si>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</si>
  <si>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</si>
  <si>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</si>
  <si>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</si>
  <si>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</si>
  <si>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</si>
  <si>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</si>
  <si>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</si>
  <si>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</si>
  <si>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</si>
  <si>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</si>
  <si>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</si>
  <si>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</si>
  <si>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</si>
  <si>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</si>
  <si>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</si>
  <si>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</si>
  <si>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</si>
  <si>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</si>
  <si>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</si>
  <si>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</si>
  <si>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</si>
  <si>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</si>
  <si>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</si>
  <si>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</si>
  <si>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</si>
  <si>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</si>
  <si>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</si>
  <si>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</si>
  <si>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</si>
  <si>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</si>
  <si>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</si>
  <si>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</si>
  <si>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</si>
  <si>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</si>
  <si>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</si>
  <si>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</si>
  <si>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</si>
  <si>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</si>
  <si>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</si>
  <si>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</si>
  <si>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</si>
  <si>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</si>
  <si>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</si>
  <si>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</si>
  <si>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</si>
  <si>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</si>
  <si>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</si>
  <si>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</si>
  <si>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</si>
  <si>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</si>
  <si>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</si>
  <si>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</si>
  <si>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</si>
  <si>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</si>
  <si>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</si>
  <si>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</si>
  <si>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</si>
  <si>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</si>
  <si>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</si>
  <si>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</si>
  <si>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</si>
  <si>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</si>
  <si>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</si>
  <si>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</si>
  <si>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</si>
  <si>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</si>
  <si>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</si>
  <si>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</si>
  <si>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</si>
  <si>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</si>
  <si>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</si>
  <si>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</si>
  <si>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</si>
  <si>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</si>
  <si>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</si>
  <si>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</si>
  <si>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</si>
  <si>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</si>
  <si>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</si>
  <si>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</si>
  <si>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</si>
  <si>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</si>
  <si>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</si>
  <si>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</si>
  <si>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</si>
  <si>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</si>
  <si>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</si>
  <si>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</si>
  <si>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</si>
  <si>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</si>
  <si>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</si>
  <si>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</si>
  <si>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</si>
  <si>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</si>
  <si>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</si>
  <si>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</si>
  <si>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</si>
  <si>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</si>
  <si>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</si>
  <si>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</si>
  <si>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</si>
  <si>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</si>
  <si>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</si>
  <si>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</si>
  <si>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</si>
  <si>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</si>
  <si>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</si>
  <si>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</si>
  <si>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</si>
  <si>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</si>
  <si>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</si>
  <si>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</si>
  <si>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</si>
  <si>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</si>
  <si>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</si>
  <si>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</si>
  <si>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</si>
  <si>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</si>
  <si>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</si>
  <si>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</si>
  <si>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</si>
  <si>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</si>
  <si>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</si>
  <si>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</si>
  <si>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</si>
  <si>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</si>
  <si>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</si>
  <si>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</si>
  <si>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</si>
  <si>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</si>
  <si>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</si>
  <si>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</si>
  <si>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</si>
  <si>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</si>
  <si>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</si>
  <si>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</si>
  <si>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</si>
  <si>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</si>
  <si>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</si>
  <si>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</si>
  <si>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</si>
  <si>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</si>
  <si>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</si>
  <si>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</si>
  <si>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</si>
  <si>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</si>
  <si>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</si>
  <si>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</si>
  <si>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</si>
  <si>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</si>
  <si>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</si>
  <si>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</si>
  <si>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</si>
  <si>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</si>
  <si>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</si>
  <si>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</si>
  <si>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</si>
  <si>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</si>
  <si>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</si>
  <si>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</si>
  <si>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</si>
  <si>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</si>
  <si>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</si>
  <si>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</si>
  <si>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</si>
  <si>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</si>
  <si>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</si>
  <si>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</si>
  <si>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</si>
  <si>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</si>
  <si>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</si>
  <si>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</si>
  <si>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</si>
  <si>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</si>
  <si>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</si>
  <si>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</si>
  <si>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</si>
  <si>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</si>
  <si>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</si>
  <si>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</si>
  <si>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</si>
  <si>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</si>
  <si>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</si>
  <si>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</si>
  <si>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</si>
  <si>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</si>
  <si>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</si>
  <si>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</si>
  <si>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</si>
  <si>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</si>
  <si>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</si>
  <si>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</si>
  <si>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</si>
  <si>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</si>
  <si>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</si>
  <si>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</si>
  <si>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</si>
  <si>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</si>
  <si>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</si>
  <si>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</si>
  <si>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</si>
  <si>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</si>
  <si>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</si>
  <si>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</si>
  <si>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</si>
  <si>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</si>
  <si>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</si>
  <si>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</si>
  <si>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</si>
  <si>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</si>
  <si>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</si>
  <si>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</si>
  <si>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</si>
  <si>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</si>
  <si>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每秒输入帧率</t>
    <phoneticPr fontId="29" type="noConversion"/>
  </si>
  <si>
    <t>M</t>
    <phoneticPr fontId="29" type="noConversion"/>
  </si>
  <si>
    <t>BMax</t>
    <phoneticPr fontId="29" type="noConversion"/>
  </si>
  <si>
    <t>A1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</si>
  <si>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</si>
  <si>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</si>
  <si>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</si>
  <si>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</si>
  <si>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</si>
  <si>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</si>
  <si>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</si>
  <si>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</si>
  <si>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[0.376303]</t>
  </si>
  <si>
    <t>1 [0.778551]</t>
  </si>
  <si>
    <t>1 [1.184493]</t>
  </si>
  <si>
    <t>1 [1.590551]</t>
  </si>
  <si>
    <t>1 [1.997314]</t>
  </si>
  <si>
    <t>1 [2.406370]</t>
  </si>
  <si>
    <t>1 [2.808738]</t>
  </si>
  <si>
    <t>1 [3.215638]</t>
  </si>
  <si>
    <t>1 [3.623793]</t>
  </si>
  <si>
    <t>1 [4.031478]</t>
  </si>
  <si>
    <t>1 [4.437359]</t>
  </si>
  <si>
    <t>1 [4.842022]</t>
  </si>
  <si>
    <t>1 [5.246986]</t>
  </si>
  <si>
    <t>1 [5.655093]</t>
  </si>
  <si>
    <t>1 [6.062286]</t>
  </si>
  <si>
    <t>1 [6.467401]</t>
  </si>
  <si>
    <t>1 [6.871632]</t>
  </si>
  <si>
    <t>1 [7.277551]</t>
  </si>
  <si>
    <t>1 [7.683769]</t>
  </si>
  <si>
    <t>1 [8.092617]</t>
  </si>
  <si>
    <t>1 [8.499403]</t>
  </si>
  <si>
    <t>1 [8.905176]</t>
  </si>
  <si>
    <t>1 [9.310775]</t>
  </si>
  <si>
    <t>1 [9.714157]</t>
  </si>
  <si>
    <t>1 [10.121312]</t>
  </si>
  <si>
    <t>1 [10.527702]</t>
  </si>
  <si>
    <t>1 [10.938059]</t>
  </si>
  <si>
    <t>1 [11.343099]</t>
  </si>
  <si>
    <t>1 [11.747788]</t>
  </si>
  <si>
    <t>1 [12.155613]</t>
  </si>
  <si>
    <t>1 [12.559558]</t>
  </si>
  <si>
    <t>1 [12.967398]</t>
  </si>
  <si>
    <t>1 [13.374862]</t>
  </si>
  <si>
    <t>1 [13.781106]</t>
  </si>
  <si>
    <t>1 [14.184516]</t>
  </si>
  <si>
    <t>1 [14.592499]</t>
  </si>
  <si>
    <t>1 [14.997050]</t>
  </si>
  <si>
    <t>1 [15.408262]</t>
  </si>
  <si>
    <t>1 [15.811509]</t>
  </si>
  <si>
    <t>1 [16.219062]</t>
  </si>
  <si>
    <t>1 [16.626111]</t>
  </si>
  <si>
    <t>1 [17.028609]</t>
  </si>
  <si>
    <t>1 [17.436758]</t>
  </si>
  <si>
    <t>1 [17.845524]</t>
  </si>
  <si>
    <t>1 [18.247266]</t>
  </si>
  <si>
    <t>1 [18.654538]</t>
  </si>
  <si>
    <t>1 [19.064164]</t>
  </si>
  <si>
    <t>1 [19.465925]</t>
  </si>
  <si>
    <t>1 [19.874849]</t>
  </si>
  <si>
    <t>1 [20.279153]</t>
  </si>
  <si>
    <t>1 [20.683537]</t>
  </si>
  <si>
    <t>1 [21.095730]</t>
  </si>
  <si>
    <t>1 [21.498974]</t>
  </si>
  <si>
    <t>1 [21.906699]</t>
  </si>
  <si>
    <t>1 [22.309270]</t>
  </si>
  <si>
    <t>1 [22.716989]</t>
  </si>
  <si>
    <t>1 [23.121722]</t>
  </si>
  <si>
    <t>1 [23.530626]</t>
  </si>
  <si>
    <t>1 [23.938199]</t>
  </si>
  <si>
    <t>1 [24.343633]</t>
  </si>
  <si>
    <t>1 [24.746520]</t>
  </si>
  <si>
    <t>1 [25.151830]</t>
  </si>
  <si>
    <t>1 [25.561751]</t>
  </si>
  <si>
    <t>1 [25.964285]</t>
  </si>
  <si>
    <t>1 [26.374538]</t>
  </si>
  <si>
    <t>1 [26.778764]</t>
  </si>
  <si>
    <t>1 [27.186079]</t>
  </si>
  <si>
    <t>1 [27.591051]</t>
  </si>
  <si>
    <t>1 [27.998666]</t>
  </si>
  <si>
    <t>1 [28.408380]</t>
  </si>
  <si>
    <t>1 [28.809150]</t>
  </si>
  <si>
    <t>1 [29.217105]</t>
  </si>
  <si>
    <t>1 [29.622335]</t>
  </si>
  <si>
    <t>1 [30.028633]</t>
  </si>
  <si>
    <t>2 [30.622899]</t>
  </si>
  <si>
    <t>2 [30.998641]</t>
  </si>
  <si>
    <t>2 [31.376469]</t>
  </si>
  <si>
    <t>2 [31.749254]</t>
  </si>
  <si>
    <t>2 [32.123574]</t>
  </si>
  <si>
    <t>2 [32.529451]</t>
  </si>
  <si>
    <t>2 [32.935403]</t>
  </si>
  <si>
    <t>2 [33.342204]</t>
  </si>
  <si>
    <t>2 [33.748987]</t>
  </si>
  <si>
    <t>2 [34.154727]</t>
  </si>
  <si>
    <t>2 [34.559381]</t>
  </si>
  <si>
    <t>2 [34.966936]</t>
  </si>
  <si>
    <t>2 [35.377140]</t>
  </si>
  <si>
    <t>2 [35.781948]</t>
  </si>
  <si>
    <t>2 [36.184195]</t>
  </si>
  <si>
    <t>2 [36.588194]</t>
  </si>
  <si>
    <t>2 [36.999706]</t>
  </si>
  <si>
    <t>2 [37.406709]</t>
  </si>
  <si>
    <t>2 [37.812548]</t>
  </si>
  <si>
    <t>2 [38.217705]</t>
  </si>
  <si>
    <t>2 [38.622132]</t>
  </si>
  <si>
    <t>2 [39.027401]</t>
  </si>
  <si>
    <t>2 [39.438463]</t>
  </si>
  <si>
    <t>2 [39.843161]</t>
  </si>
  <si>
    <t>2 [40.247988]</t>
  </si>
  <si>
    <t>2 [40.654881]</t>
  </si>
  <si>
    <t>2 [41.059637]</t>
  </si>
  <si>
    <t>2 [41.466316]</t>
  </si>
  <si>
    <t>2 [41.874548]</t>
  </si>
  <si>
    <t>2 [42.278191]</t>
  </si>
  <si>
    <t>2 [42.687172]</t>
  </si>
  <si>
    <t>2 [43.090137]</t>
  </si>
  <si>
    <t>2 [43.497750]</t>
  </si>
  <si>
    <t>2 [43.907011]</t>
  </si>
  <si>
    <t>2 [44.310299]</t>
  </si>
  <si>
    <t>2 [44.716091]</t>
  </si>
  <si>
    <t>2 [45.122004]</t>
  </si>
  <si>
    <t>2 [45.528441]</t>
  </si>
  <si>
    <t>2 [45.939277]</t>
  </si>
  <si>
    <t>2 [46.342417]</t>
  </si>
  <si>
    <t>2 [46.747218]</t>
  </si>
  <si>
    <t>2 [47.155948]</t>
  </si>
  <si>
    <t>2 [47.560550]</t>
  </si>
  <si>
    <t>2 [47.964587]</t>
  </si>
  <si>
    <t>2 [48.372252]</t>
  </si>
  <si>
    <t>2 [48.781089]</t>
  </si>
  <si>
    <t>2 [49.185769]</t>
  </si>
  <si>
    <t>2 [49.592010]</t>
  </si>
  <si>
    <t>2 [49.997943]</t>
  </si>
  <si>
    <t>2 [50.401961]</t>
  </si>
  <si>
    <t>2 [50.810542]</t>
  </si>
  <si>
    <t>2 [51.218093]</t>
  </si>
  <si>
    <t>2 [51.621567]</t>
  </si>
  <si>
    <t>2 [52.026131]</t>
  </si>
  <si>
    <t>2 [52.433932]</t>
  </si>
  <si>
    <t>2 [52.842037]</t>
  </si>
  <si>
    <t>2 [53.251629]</t>
  </si>
  <si>
    <t>2 [53.657891]</t>
  </si>
  <si>
    <t>2 [54.060670]</t>
  </si>
  <si>
    <t>2 [54.465562]</t>
  </si>
  <si>
    <t>2 [54.875626]</t>
  </si>
  <si>
    <t>2 [55.280461]</t>
  </si>
  <si>
    <t>2 [55.685076]</t>
  </si>
  <si>
    <t>2 [56.088814]</t>
  </si>
  <si>
    <t>2 [56.497711]</t>
  </si>
  <si>
    <t>2 [56.906534]</t>
  </si>
  <si>
    <t>2 [57.312732]</t>
  </si>
  <si>
    <t>2 [57.716774]</t>
  </si>
  <si>
    <t>2 [58.121714]</t>
  </si>
  <si>
    <t>2 [58.528239]</t>
  </si>
  <si>
    <t>2 [58.936213]</t>
  </si>
  <si>
    <t>2 [59.343312]</t>
  </si>
  <si>
    <t>2 [59.747993]</t>
  </si>
  <si>
    <t>2 [60.155150]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</si>
  <si>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</si>
  <si>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</si>
  <si>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</si>
  <si>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</si>
  <si>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</si>
  <si>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</si>
  <si>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</si>
  <si>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</si>
  <si>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</si>
  <si>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</si>
  <si>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</si>
  <si>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</si>
  <si>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</si>
  <si>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韩志恋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</si>
</sst>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35.535800000000002</c:v>
                </c:pt>
                <c:pt idx="1">
                  <c:v>47.575600000000001</c:v>
                </c:pt>
                <c:pt idx="2">
                  <c:v>28.743099999999998</c:v>
                </c:pt>
                <c:pt idx="3">
                  <c:v>38.744199999999999</c:v>
                </c:pt>
                <c:pt idx="4">
                  <c:v>50.223500000000001</c:v>
                </c:pt>
                <c:pt idx="5">
                  <c:v>56.512999999999998</c:v>
                </c:pt>
                <c:pt idx="6">
                  <c:v>10.9435</c:v>
                </c:pt>
                <c:pt idx="7">
                  <c:v>52.807400000000001</c:v>
                </c:pt>
                <c:pt idx="8">
                  <c:v>17.523900000000001</c:v>
                </c:pt>
                <c:pt idx="9">
                  <c:v>35.467100000000002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0.39920424869008014</c:v>
                </c:pt>
                <c:pt idx="1">
                  <c:v>0.35263392419148148</c:v>
                </c:pt>
                <c:pt idx="2">
                  <c:v>0.24816182711843851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23669</c:v>
                </c:pt>
                <c:pt idx="7">
                  <c:v>0</c:v>
                </c:pt>
                <c:pt idx="8">
                  <c:v>51667</c:v>
                </c:pt>
                <c:pt idx="9">
                  <c:v>0</c:v>
                </c:pt>
                <c:pt idx="10">
                  <c:v>0</c:v>
                </c:pt>
                <c:pt idx="11">
                  <c:v>58290</c:v>
                </c:pt>
                <c:pt idx="12">
                  <c:v>0</c:v>
                </c:pt>
                <c:pt idx="13">
                  <c:v>78126</c:v>
                </c:pt>
                <c:pt idx="14">
                  <c:v>0</c:v>
                </c:pt>
                <c:pt idx="15">
                  <c:v>0</c:v>
                </c:pt>
                <c:pt idx="16">
                  <c:v>76928</c:v>
                </c:pt>
                <c:pt idx="17">
                  <c:v>0</c:v>
                </c:pt>
                <c:pt idx="18">
                  <c:v>0</c:v>
                </c:pt>
                <c:pt idx="19">
                  <c:v>80765</c:v>
                </c:pt>
                <c:pt idx="20">
                  <c:v>0</c:v>
                </c:pt>
                <c:pt idx="21">
                  <c:v>85188</c:v>
                </c:pt>
                <c:pt idx="22">
                  <c:v>0</c:v>
                </c:pt>
                <c:pt idx="23">
                  <c:v>0</c:v>
                </c:pt>
                <c:pt idx="24">
                  <c:v>82222</c:v>
                </c:pt>
                <c:pt idx="25">
                  <c:v>0</c:v>
                </c:pt>
                <c:pt idx="26">
                  <c:v>86320</c:v>
                </c:pt>
                <c:pt idx="27">
                  <c:v>0</c:v>
                </c:pt>
                <c:pt idx="28">
                  <c:v>0</c:v>
                </c:pt>
                <c:pt idx="29">
                  <c:v>70186</c:v>
                </c:pt>
                <c:pt idx="30">
                  <c:v>0</c:v>
                </c:pt>
                <c:pt idx="31">
                  <c:v>73629</c:v>
                </c:pt>
                <c:pt idx="32">
                  <c:v>0</c:v>
                </c:pt>
                <c:pt idx="33">
                  <c:v>0</c:v>
                </c:pt>
                <c:pt idx="34">
                  <c:v>68225</c:v>
                </c:pt>
                <c:pt idx="35">
                  <c:v>0</c:v>
                </c:pt>
                <c:pt idx="36">
                  <c:v>0</c:v>
                </c:pt>
                <c:pt idx="37">
                  <c:v>73890</c:v>
                </c:pt>
                <c:pt idx="38">
                  <c:v>0</c:v>
                </c:pt>
                <c:pt idx="39">
                  <c:v>67234</c:v>
                </c:pt>
                <c:pt idx="40">
                  <c:v>0</c:v>
                </c:pt>
                <c:pt idx="41">
                  <c:v>0</c:v>
                </c:pt>
                <c:pt idx="42">
                  <c:v>67359</c:v>
                </c:pt>
                <c:pt idx="43">
                  <c:v>0</c:v>
                </c:pt>
                <c:pt idx="44">
                  <c:v>75563</c:v>
                </c:pt>
                <c:pt idx="45">
                  <c:v>0</c:v>
                </c:pt>
                <c:pt idx="46">
                  <c:v>0</c:v>
                </c:pt>
                <c:pt idx="47">
                  <c:v>65438</c:v>
                </c:pt>
                <c:pt idx="48">
                  <c:v>0</c:v>
                </c:pt>
                <c:pt idx="49">
                  <c:v>58457</c:v>
                </c:pt>
                <c:pt idx="50">
                  <c:v>0</c:v>
                </c:pt>
                <c:pt idx="51">
                  <c:v>0</c:v>
                </c:pt>
                <c:pt idx="52">
                  <c:v>56452</c:v>
                </c:pt>
                <c:pt idx="53">
                  <c:v>0</c:v>
                </c:pt>
                <c:pt idx="54">
                  <c:v>0</c:v>
                </c:pt>
                <c:pt idx="55">
                  <c:v>56126</c:v>
                </c:pt>
                <c:pt idx="56">
                  <c:v>0</c:v>
                </c:pt>
                <c:pt idx="57">
                  <c:v>50000</c:v>
                </c:pt>
                <c:pt idx="58">
                  <c:v>0</c:v>
                </c:pt>
                <c:pt idx="59">
                  <c:v>0</c:v>
                </c:pt>
                <c:pt idx="60">
                  <c:v>48554</c:v>
                </c:pt>
                <c:pt idx="61">
                  <c:v>0</c:v>
                </c:pt>
                <c:pt idx="62">
                  <c:v>53403</c:v>
                </c:pt>
                <c:pt idx="63">
                  <c:v>0</c:v>
                </c:pt>
                <c:pt idx="64">
                  <c:v>0</c:v>
                </c:pt>
                <c:pt idx="65">
                  <c:v>55105</c:v>
                </c:pt>
                <c:pt idx="66">
                  <c:v>0</c:v>
                </c:pt>
                <c:pt idx="67">
                  <c:v>58730</c:v>
                </c:pt>
                <c:pt idx="68">
                  <c:v>0</c:v>
                </c:pt>
                <c:pt idx="69">
                  <c:v>0</c:v>
                </c:pt>
                <c:pt idx="70">
                  <c:v>59653</c:v>
                </c:pt>
                <c:pt idx="71">
                  <c:v>0</c:v>
                </c:pt>
                <c:pt idx="72">
                  <c:v>0</c:v>
                </c:pt>
                <c:pt idx="73">
                  <c:v>56112</c:v>
                </c:pt>
                <c:pt idx="74">
                  <c:v>0</c:v>
                </c:pt>
                <c:pt idx="75">
                  <c:v>62588</c:v>
                </c:pt>
                <c:pt idx="76">
                  <c:v>0</c:v>
                </c:pt>
                <c:pt idx="77">
                  <c:v>0</c:v>
                </c:pt>
                <c:pt idx="78">
                  <c:v>59968</c:v>
                </c:pt>
                <c:pt idx="79">
                  <c:v>0</c:v>
                </c:pt>
                <c:pt idx="80">
                  <c:v>59143</c:v>
                </c:pt>
                <c:pt idx="81">
                  <c:v>0</c:v>
                </c:pt>
                <c:pt idx="82">
                  <c:v>0</c:v>
                </c:pt>
                <c:pt idx="83">
                  <c:v>57318</c:v>
                </c:pt>
                <c:pt idx="84">
                  <c:v>0</c:v>
                </c:pt>
                <c:pt idx="85">
                  <c:v>0</c:v>
                </c:pt>
                <c:pt idx="86">
                  <c:v>57487</c:v>
                </c:pt>
                <c:pt idx="87">
                  <c:v>0</c:v>
                </c:pt>
                <c:pt idx="88">
                  <c:v>54620</c:v>
                </c:pt>
                <c:pt idx="89">
                  <c:v>0</c:v>
                </c:pt>
                <c:pt idx="90">
                  <c:v>0</c:v>
                </c:pt>
                <c:pt idx="91">
                  <c:v>51370</c:v>
                </c:pt>
                <c:pt idx="92">
                  <c:v>0</c:v>
                </c:pt>
                <c:pt idx="93">
                  <c:v>51358</c:v>
                </c:pt>
                <c:pt idx="94">
                  <c:v>0</c:v>
                </c:pt>
                <c:pt idx="95">
                  <c:v>0</c:v>
                </c:pt>
                <c:pt idx="96">
                  <c:v>48704</c:v>
                </c:pt>
                <c:pt idx="97">
                  <c:v>0</c:v>
                </c:pt>
                <c:pt idx="98">
                  <c:v>49590</c:v>
                </c:pt>
                <c:pt idx="99">
                  <c:v>0</c:v>
                </c:pt>
                <c:pt idx="100">
                  <c:v>0</c:v>
                </c:pt>
                <c:pt idx="101">
                  <c:v>46478</c:v>
                </c:pt>
                <c:pt idx="102">
                  <c:v>0</c:v>
                </c:pt>
                <c:pt idx="103">
                  <c:v>0</c:v>
                </c:pt>
                <c:pt idx="104">
                  <c:v>44424</c:v>
                </c:pt>
                <c:pt idx="105">
                  <c:v>0</c:v>
                </c:pt>
                <c:pt idx="106">
                  <c:v>38742</c:v>
                </c:pt>
                <c:pt idx="107">
                  <c:v>0</c:v>
                </c:pt>
                <c:pt idx="108">
                  <c:v>0</c:v>
                </c:pt>
                <c:pt idx="109">
                  <c:v>34556</c:v>
                </c:pt>
                <c:pt idx="110">
                  <c:v>0</c:v>
                </c:pt>
                <c:pt idx="111">
                  <c:v>32323</c:v>
                </c:pt>
                <c:pt idx="112">
                  <c:v>0</c:v>
                </c:pt>
                <c:pt idx="113">
                  <c:v>0</c:v>
                </c:pt>
                <c:pt idx="114">
                  <c:v>31756</c:v>
                </c:pt>
                <c:pt idx="115">
                  <c:v>0</c:v>
                </c:pt>
                <c:pt idx="116">
                  <c:v>27786</c:v>
                </c:pt>
                <c:pt idx="117">
                  <c:v>0</c:v>
                </c:pt>
                <c:pt idx="118">
                  <c:v>0</c:v>
                </c:pt>
                <c:pt idx="119">
                  <c:v>27285</c:v>
                </c:pt>
                <c:pt idx="120">
                  <c:v>0</c:v>
                </c:pt>
                <c:pt idx="121">
                  <c:v>0</c:v>
                </c:pt>
                <c:pt idx="122">
                  <c:v>25530</c:v>
                </c:pt>
                <c:pt idx="123">
                  <c:v>0</c:v>
                </c:pt>
                <c:pt idx="124">
                  <c:v>24946</c:v>
                </c:pt>
                <c:pt idx="125">
                  <c:v>0</c:v>
                </c:pt>
                <c:pt idx="126">
                  <c:v>0</c:v>
                </c:pt>
                <c:pt idx="127">
                  <c:v>23387</c:v>
                </c:pt>
                <c:pt idx="128">
                  <c:v>0</c:v>
                </c:pt>
                <c:pt idx="129">
                  <c:v>19897</c:v>
                </c:pt>
                <c:pt idx="130">
                  <c:v>0</c:v>
                </c:pt>
                <c:pt idx="131">
                  <c:v>0</c:v>
                </c:pt>
                <c:pt idx="132">
                  <c:v>21217</c:v>
                </c:pt>
                <c:pt idx="133">
                  <c:v>0</c:v>
                </c:pt>
                <c:pt idx="134">
                  <c:v>19642</c:v>
                </c:pt>
                <c:pt idx="135">
                  <c:v>0</c:v>
                </c:pt>
                <c:pt idx="136">
                  <c:v>0</c:v>
                </c:pt>
                <c:pt idx="137">
                  <c:v>16900</c:v>
                </c:pt>
                <c:pt idx="138">
                  <c:v>0</c:v>
                </c:pt>
                <c:pt idx="139">
                  <c:v>0</c:v>
                </c:pt>
                <c:pt idx="140">
                  <c:v>16253</c:v>
                </c:pt>
                <c:pt idx="141">
                  <c:v>0</c:v>
                </c:pt>
                <c:pt idx="142">
                  <c:v>13567</c:v>
                </c:pt>
                <c:pt idx="143">
                  <c:v>0</c:v>
                </c:pt>
                <c:pt idx="144">
                  <c:v>0</c:v>
                </c:pt>
                <c:pt idx="145">
                  <c:v>13064</c:v>
                </c:pt>
                <c:pt idx="146">
                  <c:v>0</c:v>
                </c:pt>
                <c:pt idx="147">
                  <c:v>11336</c:v>
                </c:pt>
                <c:pt idx="148">
                  <c:v>0</c:v>
                </c:pt>
                <c:pt idx="149">
                  <c:v>0</c:v>
                </c:pt>
                <c:pt idx="150">
                  <c:v>8733</c:v>
                </c:pt>
                <c:pt idx="151">
                  <c:v>0</c:v>
                </c:pt>
                <c:pt idx="152">
                  <c:v>6205</c:v>
                </c:pt>
                <c:pt idx="153">
                  <c:v>0</c:v>
                </c:pt>
                <c:pt idx="154">
                  <c:v>0</c:v>
                </c:pt>
                <c:pt idx="155">
                  <c:v>5304</c:v>
                </c:pt>
                <c:pt idx="156">
                  <c:v>0</c:v>
                </c:pt>
                <c:pt idx="157">
                  <c:v>0</c:v>
                </c:pt>
                <c:pt idx="158">
                  <c:v>4379</c:v>
                </c:pt>
                <c:pt idx="159">
                  <c:v>0</c:v>
                </c:pt>
                <c:pt idx="160">
                  <c:v>2822</c:v>
                </c:pt>
                <c:pt idx="161">
                  <c:v>0</c:v>
                </c:pt>
                <c:pt idx="162">
                  <c:v>0</c:v>
                </c:pt>
                <c:pt idx="163">
                  <c:v>1453</c:v>
                </c:pt>
                <c:pt idx="164">
                  <c:v>0</c:v>
                </c:pt>
                <c:pt idx="165">
                  <c:v>762</c:v>
                </c:pt>
                <c:pt idx="166">
                  <c:v>0</c:v>
                </c:pt>
                <c:pt idx="167">
                  <c:v>0</c:v>
                </c:pt>
                <c:pt idx="168">
                  <c:v>703</c:v>
                </c:pt>
                <c:pt idx="169">
                  <c:v>0</c:v>
                </c:pt>
                <c:pt idx="170">
                  <c:v>0</c:v>
                </c:pt>
                <c:pt idx="171">
                  <c:v>334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1.42197</c:v>
                </c:pt>
                <c:pt idx="1">
                  <c:v>1.4737200000000001</c:v>
                </c:pt>
                <c:pt idx="2">
                  <c:v>1.5241199999999999</c:v>
                </c:pt>
                <c:pt idx="3">
                  <c:v>1.57497</c:v>
                </c:pt>
                <c:pt idx="4">
                  <c:v>1.6260399999999999</c:v>
                </c:pt>
                <c:pt idx="5">
                  <c:v>1.67618</c:v>
                </c:pt>
                <c:pt idx="6">
                  <c:v>1.7286099999999998</c:v>
                </c:pt>
                <c:pt idx="7">
                  <c:v>1.7809200000000001</c:v>
                </c:pt>
                <c:pt idx="8">
                  <c:v>1.83277</c:v>
                </c:pt>
                <c:pt idx="9">
                  <c:v>1.8819399999999999</c:v>
                </c:pt>
                <c:pt idx="10">
                  <c:v>1.9303400000000002</c:v>
                </c:pt>
                <c:pt idx="11">
                  <c:v>1.9793400000000001</c:v>
                </c:pt>
                <c:pt idx="12">
                  <c:v>2.0312199999999998</c:v>
                </c:pt>
                <c:pt idx="13">
                  <c:v>2.08304</c:v>
                </c:pt>
                <c:pt idx="14">
                  <c:v>2.1322700000000001</c:v>
                </c:pt>
                <c:pt idx="15">
                  <c:v>2.1800999999999999</c:v>
                </c:pt>
                <c:pt idx="16">
                  <c:v>2.2284699999999997</c:v>
                </c:pt>
                <c:pt idx="17">
                  <c:v>2.2761500000000003</c:v>
                </c:pt>
                <c:pt idx="18">
                  <c:v>2.32551</c:v>
                </c:pt>
                <c:pt idx="19">
                  <c:v>2.3758499999999998</c:v>
                </c:pt>
                <c:pt idx="20">
                  <c:v>2.4241299999999999</c:v>
                </c:pt>
                <c:pt idx="21">
                  <c:v>2.4685299999999999</c:v>
                </c:pt>
                <c:pt idx="22">
                  <c:v>2.5135100000000001</c:v>
                </c:pt>
                <c:pt idx="23">
                  <c:v>2.5588199999999999</c:v>
                </c:pt>
                <c:pt idx="24">
                  <c:v>2.6021899999999998</c:v>
                </c:pt>
                <c:pt idx="25">
                  <c:v>2.6419100000000002</c:v>
                </c:pt>
                <c:pt idx="26">
                  <c:v>2.6801599999999999</c:v>
                </c:pt>
                <c:pt idx="27">
                  <c:v>2.71611</c:v>
                </c:pt>
                <c:pt idx="28">
                  <c:v>2.7479999999999998</c:v>
                </c:pt>
                <c:pt idx="29">
                  <c:v>2.7772799999999997</c:v>
                </c:pt>
                <c:pt idx="30">
                  <c:v>2.80491</c:v>
                </c:pt>
                <c:pt idx="31">
                  <c:v>2.8298899999999998</c:v>
                </c:pt>
                <c:pt idx="32">
                  <c:v>2.8527900000000002</c:v>
                </c:pt>
                <c:pt idx="33">
                  <c:v>2.87466</c:v>
                </c:pt>
                <c:pt idx="34">
                  <c:v>2.89567</c:v>
                </c:pt>
                <c:pt idx="35">
                  <c:v>2.9149700000000003</c:v>
                </c:pt>
                <c:pt idx="36">
                  <c:v>2.9303400000000002</c:v>
                </c:pt>
                <c:pt idx="37">
                  <c:v>2.9419599999999999</c:v>
                </c:pt>
                <c:pt idx="38">
                  <c:v>2.9519299999999999</c:v>
                </c:pt>
                <c:pt idx="39">
                  <c:v>2.9613299999999998</c:v>
                </c:pt>
                <c:pt idx="40">
                  <c:v>2.9689900000000002</c:v>
                </c:pt>
                <c:pt idx="41">
                  <c:v>2.9738100000000003</c:v>
                </c:pt>
                <c:pt idx="42">
                  <c:v>2.9767199999999998</c:v>
                </c:pt>
                <c:pt idx="43">
                  <c:v>2.9791299999999996</c:v>
                </c:pt>
                <c:pt idx="44">
                  <c:v>2.9787499999999998</c:v>
                </c:pt>
                <c:pt idx="45">
                  <c:v>2.9757899999999999</c:v>
                </c:pt>
                <c:pt idx="46">
                  <c:v>2.97296</c:v>
                </c:pt>
                <c:pt idx="47">
                  <c:v>2.9683199999999998</c:v>
                </c:pt>
                <c:pt idx="48">
                  <c:v>2.9595700000000003</c:v>
                </c:pt>
                <c:pt idx="49">
                  <c:v>2.9494899999999999</c:v>
                </c:pt>
                <c:pt idx="50">
                  <c:v>2.9423899999999996</c:v>
                </c:pt>
                <c:pt idx="51">
                  <c:v>2.9328900000000004</c:v>
                </c:pt>
                <c:pt idx="52">
                  <c:v>2.9248000000000003</c:v>
                </c:pt>
                <c:pt idx="53">
                  <c:v>2.91811</c:v>
                </c:pt>
                <c:pt idx="54">
                  <c:v>2.91134</c:v>
                </c:pt>
                <c:pt idx="55">
                  <c:v>2.9027099999999999</c:v>
                </c:pt>
                <c:pt idx="56">
                  <c:v>2.8915299999999999</c:v>
                </c:pt>
                <c:pt idx="57">
                  <c:v>2.8799299999999999</c:v>
                </c:pt>
                <c:pt idx="58">
                  <c:v>2.8690199999999999</c:v>
                </c:pt>
                <c:pt idx="59">
                  <c:v>2.8601999999999999</c:v>
                </c:pt>
                <c:pt idx="60">
                  <c:v>2.85107</c:v>
                </c:pt>
                <c:pt idx="61">
                  <c:v>2.8399200000000002</c:v>
                </c:pt>
                <c:pt idx="62">
                  <c:v>2.8259299999999996</c:v>
                </c:pt>
                <c:pt idx="63">
                  <c:v>2.8102399999999998</c:v>
                </c:pt>
                <c:pt idx="64">
                  <c:v>2.79393</c:v>
                </c:pt>
                <c:pt idx="65">
                  <c:v>2.7768199999999998</c:v>
                </c:pt>
                <c:pt idx="66">
                  <c:v>2.7612999999999999</c:v>
                </c:pt>
                <c:pt idx="67">
                  <c:v>2.7478200000000004</c:v>
                </c:pt>
                <c:pt idx="68">
                  <c:v>2.7310600000000003</c:v>
                </c:pt>
                <c:pt idx="69">
                  <c:v>2.7143099999999998</c:v>
                </c:pt>
                <c:pt idx="70">
                  <c:v>2.7006599999999996</c:v>
                </c:pt>
                <c:pt idx="71">
                  <c:v>2.6875</c:v>
                </c:pt>
                <c:pt idx="72">
                  <c:v>2.6728700000000001</c:v>
                </c:pt>
                <c:pt idx="73">
                  <c:v>2.6592500000000001</c:v>
                </c:pt>
                <c:pt idx="74">
                  <c:v>2.6459100000000002</c:v>
                </c:pt>
                <c:pt idx="75">
                  <c:v>2.6277099999999995</c:v>
                </c:pt>
                <c:pt idx="76">
                  <c:v>2.60867</c:v>
                </c:pt>
                <c:pt idx="77">
                  <c:v>2.5970500000000003</c:v>
                </c:pt>
                <c:pt idx="78">
                  <c:v>2.5840899999999998</c:v>
                </c:pt>
                <c:pt idx="79">
                  <c:v>2.5716399999999999</c:v>
                </c:pt>
                <c:pt idx="80">
                  <c:v>2.5613000000000001</c:v>
                </c:pt>
                <c:pt idx="81">
                  <c:v>2.5496600000000003</c:v>
                </c:pt>
                <c:pt idx="82">
                  <c:v>2.5364399999999998</c:v>
                </c:pt>
                <c:pt idx="83">
                  <c:v>2.5209100000000002</c:v>
                </c:pt>
                <c:pt idx="84">
                  <c:v>2.50197</c:v>
                </c:pt>
                <c:pt idx="85">
                  <c:v>2.4846499999999998</c:v>
                </c:pt>
                <c:pt idx="86">
                  <c:v>2.47078</c:v>
                </c:pt>
                <c:pt idx="87">
                  <c:v>2.4617599999999999</c:v>
                </c:pt>
                <c:pt idx="88">
                  <c:v>2.4519899999999999</c:v>
                </c:pt>
                <c:pt idx="89">
                  <c:v>2.4415200000000001</c:v>
                </c:pt>
                <c:pt idx="90">
                  <c:v>2.42977</c:v>
                </c:pt>
                <c:pt idx="91">
                  <c:v>2.4172099999999999</c:v>
                </c:pt>
                <c:pt idx="92">
                  <c:v>2.40395</c:v>
                </c:pt>
                <c:pt idx="93">
                  <c:v>2.3913100000000003</c:v>
                </c:pt>
                <c:pt idx="94">
                  <c:v>2.3786700000000001</c:v>
                </c:pt>
                <c:pt idx="95">
                  <c:v>2.3655399999999998</c:v>
                </c:pt>
                <c:pt idx="96">
                  <c:v>2.3551799999999998</c:v>
                </c:pt>
                <c:pt idx="97">
                  <c:v>2.3442499999999997</c:v>
                </c:pt>
                <c:pt idx="98">
                  <c:v>2.3345199999999999</c:v>
                </c:pt>
                <c:pt idx="99">
                  <c:v>2.32517</c:v>
                </c:pt>
                <c:pt idx="100">
                  <c:v>2.3162400000000001</c:v>
                </c:pt>
                <c:pt idx="101">
                  <c:v>2.31033</c:v>
                </c:pt>
                <c:pt idx="102">
                  <c:v>2.2949000000000002</c:v>
                </c:pt>
                <c:pt idx="103">
                  <c:v>2.2827199999999999</c:v>
                </c:pt>
                <c:pt idx="104">
                  <c:v>2.27413</c:v>
                </c:pt>
                <c:pt idx="105">
                  <c:v>2.2678499999999997</c:v>
                </c:pt>
                <c:pt idx="106">
                  <c:v>2.2667899999999999</c:v>
                </c:pt>
                <c:pt idx="107">
                  <c:v>2.2692600000000001</c:v>
                </c:pt>
                <c:pt idx="108">
                  <c:v>2.2745600000000001</c:v>
                </c:pt>
                <c:pt idx="109">
                  <c:v>2.2867100000000002</c:v>
                </c:pt>
                <c:pt idx="110">
                  <c:v>2.3001399999999999</c:v>
                </c:pt>
                <c:pt idx="111">
                  <c:v>2.3141099999999999</c:v>
                </c:pt>
                <c:pt idx="112">
                  <c:v>2.3281399999999999</c:v>
                </c:pt>
                <c:pt idx="113">
                  <c:v>2.3426200000000001</c:v>
                </c:pt>
                <c:pt idx="114">
                  <c:v>2.3592200000000001</c:v>
                </c:pt>
                <c:pt idx="115">
                  <c:v>2.3778199999999998</c:v>
                </c:pt>
                <c:pt idx="116">
                  <c:v>2.39547</c:v>
                </c:pt>
                <c:pt idx="117">
                  <c:v>2.4132899999999999</c:v>
                </c:pt>
                <c:pt idx="118">
                  <c:v>2.4294799999999999</c:v>
                </c:pt>
                <c:pt idx="119">
                  <c:v>2.4443999999999999</c:v>
                </c:pt>
                <c:pt idx="120">
                  <c:v>2.45696</c:v>
                </c:pt>
                <c:pt idx="121">
                  <c:v>2.4648700000000003</c:v>
                </c:pt>
                <c:pt idx="122">
                  <c:v>2.4718900000000001</c:v>
                </c:pt>
                <c:pt idx="123">
                  <c:v>2.4776899999999999</c:v>
                </c:pt>
                <c:pt idx="124">
                  <c:v>2.48488</c:v>
                </c:pt>
                <c:pt idx="125">
                  <c:v>2.4970500000000002</c:v>
                </c:pt>
                <c:pt idx="126">
                  <c:v>2.5091299999999999</c:v>
                </c:pt>
                <c:pt idx="127">
                  <c:v>2.5194899999999998</c:v>
                </c:pt>
                <c:pt idx="128">
                  <c:v>2.5265</c:v>
                </c:pt>
                <c:pt idx="129">
                  <c:v>2.5320100000000001</c:v>
                </c:pt>
                <c:pt idx="130">
                  <c:v>2.5363500000000001</c:v>
                </c:pt>
                <c:pt idx="131">
                  <c:v>2.54026</c:v>
                </c:pt>
                <c:pt idx="132">
                  <c:v>2.5428199999999999</c:v>
                </c:pt>
                <c:pt idx="133">
                  <c:v>2.5403099999999998</c:v>
                </c:pt>
                <c:pt idx="134">
                  <c:v>2.5317400000000001</c:v>
                </c:pt>
                <c:pt idx="135">
                  <c:v>2.5223499999999999</c:v>
                </c:pt>
                <c:pt idx="136">
                  <c:v>2.5129600000000001</c:v>
                </c:pt>
                <c:pt idx="137">
                  <c:v>2.5024299999999999</c:v>
                </c:pt>
                <c:pt idx="138">
                  <c:v>2.4918299999999998</c:v>
                </c:pt>
                <c:pt idx="139">
                  <c:v>2.4779599999999999</c:v>
                </c:pt>
                <c:pt idx="140">
                  <c:v>2.46007</c:v>
                </c:pt>
                <c:pt idx="141">
                  <c:v>2.4400599999999999</c:v>
                </c:pt>
                <c:pt idx="142">
                  <c:v>2.4189500000000002</c:v>
                </c:pt>
                <c:pt idx="143">
                  <c:v>2.3994</c:v>
                </c:pt>
                <c:pt idx="144">
                  <c:v>2.3825400000000001</c:v>
                </c:pt>
                <c:pt idx="145">
                  <c:v>2.3645399999999999</c:v>
                </c:pt>
                <c:pt idx="146">
                  <c:v>2.35405</c:v>
                </c:pt>
                <c:pt idx="147">
                  <c:v>2.3431500000000001</c:v>
                </c:pt>
                <c:pt idx="148">
                  <c:v>2.3279800000000002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56.649899999999995</c:v>
                </c:pt>
                <c:pt idx="1">
                  <c:v>55.310499999999998</c:v>
                </c:pt>
                <c:pt idx="2">
                  <c:v>54.048099999999998</c:v>
                </c:pt>
                <c:pt idx="3">
                  <c:v>52.777700000000003</c:v>
                </c:pt>
                <c:pt idx="4">
                  <c:v>51.485199999999999</c:v>
                </c:pt>
                <c:pt idx="5">
                  <c:v>50.236899999999999</c:v>
                </c:pt>
                <c:pt idx="6">
                  <c:v>48.9268</c:v>
                </c:pt>
                <c:pt idx="7">
                  <c:v>47.639399999999995</c:v>
                </c:pt>
                <c:pt idx="8">
                  <c:v>46.402300000000004</c:v>
                </c:pt>
                <c:pt idx="9">
                  <c:v>45.240900000000003</c:v>
                </c:pt>
                <c:pt idx="10">
                  <c:v>44.109700000000004</c:v>
                </c:pt>
                <c:pt idx="11">
                  <c:v>42.828300000000006</c:v>
                </c:pt>
                <c:pt idx="12">
                  <c:v>41.441000000000003</c:v>
                </c:pt>
                <c:pt idx="13">
                  <c:v>40.063700000000004</c:v>
                </c:pt>
                <c:pt idx="14">
                  <c:v>38.805900000000001</c:v>
                </c:pt>
                <c:pt idx="15">
                  <c:v>37.5548</c:v>
                </c:pt>
                <c:pt idx="16">
                  <c:v>36.348200000000006</c:v>
                </c:pt>
                <c:pt idx="17">
                  <c:v>35.194299999999998</c:v>
                </c:pt>
                <c:pt idx="18">
                  <c:v>33.989000000000004</c:v>
                </c:pt>
                <c:pt idx="19">
                  <c:v>32.764800000000001</c:v>
                </c:pt>
                <c:pt idx="20">
                  <c:v>31.685999999999996</c:v>
                </c:pt>
                <c:pt idx="21">
                  <c:v>30.719600000000003</c:v>
                </c:pt>
                <c:pt idx="22">
                  <c:v>29.700100000000003</c:v>
                </c:pt>
                <c:pt idx="23">
                  <c:v>28.631899999999998</c:v>
                </c:pt>
                <c:pt idx="24">
                  <c:v>27.645700000000001</c:v>
                </c:pt>
                <c:pt idx="25">
                  <c:v>26.805499999999999</c:v>
                </c:pt>
                <c:pt idx="26">
                  <c:v>26.0639</c:v>
                </c:pt>
                <c:pt idx="27">
                  <c:v>25.3977</c:v>
                </c:pt>
                <c:pt idx="28">
                  <c:v>24.8124</c:v>
                </c:pt>
                <c:pt idx="29">
                  <c:v>24.310100000000002</c:v>
                </c:pt>
                <c:pt idx="30">
                  <c:v>23.8447</c:v>
                </c:pt>
                <c:pt idx="31">
                  <c:v>23.404900000000001</c:v>
                </c:pt>
                <c:pt idx="32">
                  <c:v>23.0214</c:v>
                </c:pt>
                <c:pt idx="33">
                  <c:v>22.645100000000003</c:v>
                </c:pt>
                <c:pt idx="34">
                  <c:v>22.283200000000001</c:v>
                </c:pt>
                <c:pt idx="35">
                  <c:v>21.963699999999999</c:v>
                </c:pt>
                <c:pt idx="36">
                  <c:v>21.702500000000001</c:v>
                </c:pt>
                <c:pt idx="37">
                  <c:v>21.479599999999998</c:v>
                </c:pt>
                <c:pt idx="38">
                  <c:v>21.274899999999999</c:v>
                </c:pt>
                <c:pt idx="39">
                  <c:v>21.083299999999998</c:v>
                </c:pt>
                <c:pt idx="40">
                  <c:v>20.9206</c:v>
                </c:pt>
                <c:pt idx="41">
                  <c:v>20.7956</c:v>
                </c:pt>
                <c:pt idx="42">
                  <c:v>20.722799999999999</c:v>
                </c:pt>
                <c:pt idx="43">
                  <c:v>20.669699999999999</c:v>
                </c:pt>
                <c:pt idx="44">
                  <c:v>20.674899999999997</c:v>
                </c:pt>
                <c:pt idx="45">
                  <c:v>20.677799999999998</c:v>
                </c:pt>
                <c:pt idx="46">
                  <c:v>20.679400000000001</c:v>
                </c:pt>
                <c:pt idx="47">
                  <c:v>20.731300000000001</c:v>
                </c:pt>
                <c:pt idx="48">
                  <c:v>20.888999999999999</c:v>
                </c:pt>
                <c:pt idx="49">
                  <c:v>21.080399999999997</c:v>
                </c:pt>
                <c:pt idx="50">
                  <c:v>21.2181</c:v>
                </c:pt>
                <c:pt idx="51">
                  <c:v>21.316199999999998</c:v>
                </c:pt>
                <c:pt idx="52">
                  <c:v>21.3797</c:v>
                </c:pt>
                <c:pt idx="53">
                  <c:v>21.412300000000002</c:v>
                </c:pt>
                <c:pt idx="54">
                  <c:v>21.434800000000003</c:v>
                </c:pt>
                <c:pt idx="55">
                  <c:v>21.486599999999999</c:v>
                </c:pt>
                <c:pt idx="56">
                  <c:v>21.5428</c:v>
                </c:pt>
                <c:pt idx="57">
                  <c:v>21.555900000000001</c:v>
                </c:pt>
                <c:pt idx="58">
                  <c:v>21.509700000000002</c:v>
                </c:pt>
                <c:pt idx="59">
                  <c:v>21.433800000000002</c:v>
                </c:pt>
                <c:pt idx="60">
                  <c:v>21.346399999999999</c:v>
                </c:pt>
                <c:pt idx="61">
                  <c:v>21.3218</c:v>
                </c:pt>
                <c:pt idx="62">
                  <c:v>21.366800000000001</c:v>
                </c:pt>
                <c:pt idx="63">
                  <c:v>21.461400000000001</c:v>
                </c:pt>
                <c:pt idx="64">
                  <c:v>21.6023</c:v>
                </c:pt>
                <c:pt idx="65">
                  <c:v>21.8583</c:v>
                </c:pt>
                <c:pt idx="66">
                  <c:v>22.112399999999997</c:v>
                </c:pt>
                <c:pt idx="67">
                  <c:v>22.341000000000001</c:v>
                </c:pt>
                <c:pt idx="68">
                  <c:v>22.6905</c:v>
                </c:pt>
                <c:pt idx="69">
                  <c:v>23.090599999999998</c:v>
                </c:pt>
                <c:pt idx="70">
                  <c:v>23.460599999999999</c:v>
                </c:pt>
                <c:pt idx="71">
                  <c:v>23.825499999999998</c:v>
                </c:pt>
                <c:pt idx="72">
                  <c:v>24.245100000000001</c:v>
                </c:pt>
                <c:pt idx="73">
                  <c:v>24.6325</c:v>
                </c:pt>
                <c:pt idx="74">
                  <c:v>25.034499999999998</c:v>
                </c:pt>
                <c:pt idx="75">
                  <c:v>25.569199999999999</c:v>
                </c:pt>
                <c:pt idx="76">
                  <c:v>26.063399999999998</c:v>
                </c:pt>
                <c:pt idx="77">
                  <c:v>26.729599999999998</c:v>
                </c:pt>
                <c:pt idx="78">
                  <c:v>27.497100000000003</c:v>
                </c:pt>
                <c:pt idx="79">
                  <c:v>28.252800000000001</c:v>
                </c:pt>
                <c:pt idx="80">
                  <c:v>28.986099999999997</c:v>
                </c:pt>
                <c:pt idx="81">
                  <c:v>29.711900000000004</c:v>
                </c:pt>
                <c:pt idx="82">
                  <c:v>30.4678</c:v>
                </c:pt>
                <c:pt idx="83">
                  <c:v>31.285800000000002</c:v>
                </c:pt>
                <c:pt idx="84">
                  <c:v>32.144800000000004</c:v>
                </c:pt>
                <c:pt idx="85">
                  <c:v>32.9422</c:v>
                </c:pt>
                <c:pt idx="86">
                  <c:v>33.566899999999997</c:v>
                </c:pt>
                <c:pt idx="87">
                  <c:v>34.0623</c:v>
                </c:pt>
                <c:pt idx="88">
                  <c:v>34.5944</c:v>
                </c:pt>
                <c:pt idx="89">
                  <c:v>35.078099999999999</c:v>
                </c:pt>
                <c:pt idx="90">
                  <c:v>35.504000000000005</c:v>
                </c:pt>
                <c:pt idx="91">
                  <c:v>35.937200000000004</c:v>
                </c:pt>
                <c:pt idx="92">
                  <c:v>36.291000000000004</c:v>
                </c:pt>
                <c:pt idx="93">
                  <c:v>36.578400000000002</c:v>
                </c:pt>
                <c:pt idx="94">
                  <c:v>36.842000000000006</c:v>
                </c:pt>
                <c:pt idx="95">
                  <c:v>37.098399999999998</c:v>
                </c:pt>
                <c:pt idx="96">
                  <c:v>37.242199999999997</c:v>
                </c:pt>
                <c:pt idx="97">
                  <c:v>37.394800000000004</c:v>
                </c:pt>
                <c:pt idx="98">
                  <c:v>37.493099999999998</c:v>
                </c:pt>
                <c:pt idx="99">
                  <c:v>37.5411</c:v>
                </c:pt>
                <c:pt idx="100">
                  <c:v>37.554000000000002</c:v>
                </c:pt>
                <c:pt idx="101">
                  <c:v>37.531100000000002</c:v>
                </c:pt>
                <c:pt idx="102">
                  <c:v>37.5291</c:v>
                </c:pt>
                <c:pt idx="103">
                  <c:v>37.369900000000001</c:v>
                </c:pt>
                <c:pt idx="104">
                  <c:v>37.0717</c:v>
                </c:pt>
                <c:pt idx="105">
                  <c:v>36.643700000000003</c:v>
                </c:pt>
                <c:pt idx="106">
                  <c:v>36.015500000000003</c:v>
                </c:pt>
                <c:pt idx="107">
                  <c:v>35.322800000000001</c:v>
                </c:pt>
                <c:pt idx="108">
                  <c:v>34.588700000000003</c:v>
                </c:pt>
                <c:pt idx="109">
                  <c:v>33.780200000000001</c:v>
                </c:pt>
                <c:pt idx="110">
                  <c:v>32.947800000000001</c:v>
                </c:pt>
                <c:pt idx="111">
                  <c:v>32.159199999999998</c:v>
                </c:pt>
                <c:pt idx="112">
                  <c:v>31.370900000000002</c:v>
                </c:pt>
                <c:pt idx="113">
                  <c:v>30.564299999999999</c:v>
                </c:pt>
                <c:pt idx="114">
                  <c:v>29.700599999999998</c:v>
                </c:pt>
                <c:pt idx="115">
                  <c:v>28.842700000000001</c:v>
                </c:pt>
                <c:pt idx="116">
                  <c:v>28.040500000000002</c:v>
                </c:pt>
                <c:pt idx="117">
                  <c:v>27.318300000000001</c:v>
                </c:pt>
                <c:pt idx="118">
                  <c:v>26.696199999999997</c:v>
                </c:pt>
                <c:pt idx="119">
                  <c:v>26.171399999999998</c:v>
                </c:pt>
                <c:pt idx="120">
                  <c:v>25.8565</c:v>
                </c:pt>
                <c:pt idx="121">
                  <c:v>25.758599999999998</c:v>
                </c:pt>
                <c:pt idx="122">
                  <c:v>25.7209</c:v>
                </c:pt>
                <c:pt idx="123">
                  <c:v>25.6892</c:v>
                </c:pt>
                <c:pt idx="124">
                  <c:v>25.601700000000001</c:v>
                </c:pt>
                <c:pt idx="125">
                  <c:v>25.4453</c:v>
                </c:pt>
                <c:pt idx="126">
                  <c:v>25.257400000000001</c:v>
                </c:pt>
                <c:pt idx="127">
                  <c:v>25.110300000000002</c:v>
                </c:pt>
                <c:pt idx="128">
                  <c:v>25.008399999999998</c:v>
                </c:pt>
                <c:pt idx="129">
                  <c:v>24.909100000000002</c:v>
                </c:pt>
                <c:pt idx="130">
                  <c:v>24.846399999999999</c:v>
                </c:pt>
                <c:pt idx="131">
                  <c:v>24.854100000000003</c:v>
                </c:pt>
                <c:pt idx="132">
                  <c:v>24.921900000000001</c:v>
                </c:pt>
                <c:pt idx="133">
                  <c:v>25.125700000000002</c:v>
                </c:pt>
                <c:pt idx="134">
                  <c:v>25.361699999999999</c:v>
                </c:pt>
                <c:pt idx="135">
                  <c:v>25.606400000000001</c:v>
                </c:pt>
                <c:pt idx="136">
                  <c:v>25.8245</c:v>
                </c:pt>
                <c:pt idx="137">
                  <c:v>26.053900000000002</c:v>
                </c:pt>
                <c:pt idx="138">
                  <c:v>26.274999999999999</c:v>
                </c:pt>
                <c:pt idx="139">
                  <c:v>26.680700000000002</c:v>
                </c:pt>
                <c:pt idx="140">
                  <c:v>27.264500000000002</c:v>
                </c:pt>
                <c:pt idx="141">
                  <c:v>28.009099999999997</c:v>
                </c:pt>
                <c:pt idx="142">
                  <c:v>28.785699999999999</c:v>
                </c:pt>
                <c:pt idx="143">
                  <c:v>29.617900000000002</c:v>
                </c:pt>
                <c:pt idx="144">
                  <c:v>30.331399999999999</c:v>
                </c:pt>
                <c:pt idx="145">
                  <c:v>30.9419</c:v>
                </c:pt>
                <c:pt idx="146">
                  <c:v>31.1785</c:v>
                </c:pt>
                <c:pt idx="147">
                  <c:v>31.251299999999997</c:v>
                </c:pt>
                <c:pt idx="148">
                  <c:v>31.723499999999998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1.42197</c:v>
                </c:pt>
                <c:pt idx="1">
                  <c:v>1.4737200000000001</c:v>
                </c:pt>
                <c:pt idx="2">
                  <c:v>1.5241199999999999</c:v>
                </c:pt>
                <c:pt idx="3">
                  <c:v>1.57497</c:v>
                </c:pt>
                <c:pt idx="4">
                  <c:v>1.6260399999999999</c:v>
                </c:pt>
                <c:pt idx="5">
                  <c:v>1.67618</c:v>
                </c:pt>
                <c:pt idx="6">
                  <c:v>1.7286099999999998</c:v>
                </c:pt>
                <c:pt idx="7">
                  <c:v>1.7809200000000001</c:v>
                </c:pt>
                <c:pt idx="8">
                  <c:v>1.83277</c:v>
                </c:pt>
                <c:pt idx="9">
                  <c:v>1.8819399999999999</c:v>
                </c:pt>
                <c:pt idx="10">
                  <c:v>1.9303400000000002</c:v>
                </c:pt>
                <c:pt idx="11">
                  <c:v>1.9793400000000001</c:v>
                </c:pt>
                <c:pt idx="12">
                  <c:v>2.0312199999999998</c:v>
                </c:pt>
                <c:pt idx="13">
                  <c:v>2.08304</c:v>
                </c:pt>
                <c:pt idx="14">
                  <c:v>2.1322700000000001</c:v>
                </c:pt>
                <c:pt idx="15">
                  <c:v>2.1800999999999999</c:v>
                </c:pt>
                <c:pt idx="16">
                  <c:v>2.2284699999999997</c:v>
                </c:pt>
                <c:pt idx="17">
                  <c:v>2.2761500000000003</c:v>
                </c:pt>
                <c:pt idx="18">
                  <c:v>2.32551</c:v>
                </c:pt>
                <c:pt idx="19">
                  <c:v>2.3758499999999998</c:v>
                </c:pt>
                <c:pt idx="20">
                  <c:v>2.4241299999999999</c:v>
                </c:pt>
                <c:pt idx="21">
                  <c:v>2.4685299999999999</c:v>
                </c:pt>
                <c:pt idx="22">
                  <c:v>2.5135100000000001</c:v>
                </c:pt>
                <c:pt idx="23">
                  <c:v>2.5588199999999999</c:v>
                </c:pt>
                <c:pt idx="24">
                  <c:v>2.6021899999999998</c:v>
                </c:pt>
                <c:pt idx="25">
                  <c:v>2.6419100000000002</c:v>
                </c:pt>
                <c:pt idx="26">
                  <c:v>2.6801599999999999</c:v>
                </c:pt>
                <c:pt idx="27">
                  <c:v>2.71611</c:v>
                </c:pt>
                <c:pt idx="28">
                  <c:v>2.7479999999999998</c:v>
                </c:pt>
                <c:pt idx="29">
                  <c:v>2.7772799999999997</c:v>
                </c:pt>
                <c:pt idx="30">
                  <c:v>2.80491</c:v>
                </c:pt>
                <c:pt idx="31">
                  <c:v>2.8298899999999998</c:v>
                </c:pt>
                <c:pt idx="32">
                  <c:v>2.8527900000000002</c:v>
                </c:pt>
                <c:pt idx="33">
                  <c:v>2.87466</c:v>
                </c:pt>
                <c:pt idx="34">
                  <c:v>2.89567</c:v>
                </c:pt>
                <c:pt idx="35">
                  <c:v>2.9149700000000003</c:v>
                </c:pt>
                <c:pt idx="36">
                  <c:v>2.9303400000000002</c:v>
                </c:pt>
                <c:pt idx="37">
                  <c:v>2.9419599999999999</c:v>
                </c:pt>
                <c:pt idx="38">
                  <c:v>2.9519299999999999</c:v>
                </c:pt>
                <c:pt idx="39">
                  <c:v>2.9613299999999998</c:v>
                </c:pt>
                <c:pt idx="40">
                  <c:v>2.9689900000000002</c:v>
                </c:pt>
                <c:pt idx="41">
                  <c:v>2.9738100000000003</c:v>
                </c:pt>
                <c:pt idx="42">
                  <c:v>2.9767199999999998</c:v>
                </c:pt>
                <c:pt idx="43">
                  <c:v>2.9791299999999996</c:v>
                </c:pt>
                <c:pt idx="44">
                  <c:v>2.9787499999999998</c:v>
                </c:pt>
                <c:pt idx="45">
                  <c:v>2.9757899999999999</c:v>
                </c:pt>
                <c:pt idx="46">
                  <c:v>2.97296</c:v>
                </c:pt>
                <c:pt idx="47">
                  <c:v>2.9683199999999998</c:v>
                </c:pt>
                <c:pt idx="48">
                  <c:v>2.9595700000000003</c:v>
                </c:pt>
                <c:pt idx="49">
                  <c:v>2.9494899999999999</c:v>
                </c:pt>
                <c:pt idx="50">
                  <c:v>2.9423899999999996</c:v>
                </c:pt>
                <c:pt idx="51">
                  <c:v>2.9328900000000004</c:v>
                </c:pt>
                <c:pt idx="52">
                  <c:v>2.9248000000000003</c:v>
                </c:pt>
                <c:pt idx="53">
                  <c:v>2.91811</c:v>
                </c:pt>
                <c:pt idx="54">
                  <c:v>2.91134</c:v>
                </c:pt>
                <c:pt idx="55">
                  <c:v>2.9027099999999999</c:v>
                </c:pt>
                <c:pt idx="56">
                  <c:v>2.8915299999999999</c:v>
                </c:pt>
                <c:pt idx="57">
                  <c:v>2.8799299999999999</c:v>
                </c:pt>
                <c:pt idx="58">
                  <c:v>2.8690199999999999</c:v>
                </c:pt>
                <c:pt idx="59">
                  <c:v>2.8601999999999999</c:v>
                </c:pt>
                <c:pt idx="60">
                  <c:v>2.85107</c:v>
                </c:pt>
                <c:pt idx="61">
                  <c:v>2.8399200000000002</c:v>
                </c:pt>
                <c:pt idx="62">
                  <c:v>2.8259299999999996</c:v>
                </c:pt>
                <c:pt idx="63">
                  <c:v>2.8102399999999998</c:v>
                </c:pt>
                <c:pt idx="64">
                  <c:v>2.79393</c:v>
                </c:pt>
                <c:pt idx="65">
                  <c:v>2.7768199999999998</c:v>
                </c:pt>
                <c:pt idx="66">
                  <c:v>2.7612999999999999</c:v>
                </c:pt>
                <c:pt idx="67">
                  <c:v>2.7478200000000004</c:v>
                </c:pt>
                <c:pt idx="68">
                  <c:v>2.7310600000000003</c:v>
                </c:pt>
                <c:pt idx="69">
                  <c:v>2.7143099999999998</c:v>
                </c:pt>
                <c:pt idx="70">
                  <c:v>2.7006599999999996</c:v>
                </c:pt>
                <c:pt idx="71">
                  <c:v>2.6875</c:v>
                </c:pt>
                <c:pt idx="72">
                  <c:v>2.6728700000000001</c:v>
                </c:pt>
                <c:pt idx="73">
                  <c:v>2.6592500000000001</c:v>
                </c:pt>
                <c:pt idx="74">
                  <c:v>2.6459100000000002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56.649899999999995</c:v>
                </c:pt>
                <c:pt idx="1">
                  <c:v>55.310499999999998</c:v>
                </c:pt>
                <c:pt idx="2">
                  <c:v>54.048099999999998</c:v>
                </c:pt>
                <c:pt idx="3">
                  <c:v>52.777700000000003</c:v>
                </c:pt>
                <c:pt idx="4">
                  <c:v>51.485199999999999</c:v>
                </c:pt>
                <c:pt idx="5">
                  <c:v>50.236899999999999</c:v>
                </c:pt>
                <c:pt idx="6">
                  <c:v>48.9268</c:v>
                </c:pt>
                <c:pt idx="7">
                  <c:v>47.639399999999995</c:v>
                </c:pt>
                <c:pt idx="8">
                  <c:v>46.402300000000004</c:v>
                </c:pt>
                <c:pt idx="9">
                  <c:v>45.240900000000003</c:v>
                </c:pt>
                <c:pt idx="10">
                  <c:v>44.109700000000004</c:v>
                </c:pt>
                <c:pt idx="11">
                  <c:v>42.828300000000006</c:v>
                </c:pt>
                <c:pt idx="12">
                  <c:v>41.441000000000003</c:v>
                </c:pt>
                <c:pt idx="13">
                  <c:v>40.063700000000004</c:v>
                </c:pt>
                <c:pt idx="14">
                  <c:v>38.805900000000001</c:v>
                </c:pt>
                <c:pt idx="15">
                  <c:v>37.5548</c:v>
                </c:pt>
                <c:pt idx="16">
                  <c:v>36.348200000000006</c:v>
                </c:pt>
                <c:pt idx="17">
                  <c:v>35.194299999999998</c:v>
                </c:pt>
                <c:pt idx="18">
                  <c:v>33.989000000000004</c:v>
                </c:pt>
                <c:pt idx="19">
                  <c:v>32.764800000000001</c:v>
                </c:pt>
                <c:pt idx="20">
                  <c:v>31.685999999999996</c:v>
                </c:pt>
                <c:pt idx="21">
                  <c:v>30.719600000000003</c:v>
                </c:pt>
                <c:pt idx="22">
                  <c:v>29.700100000000003</c:v>
                </c:pt>
                <c:pt idx="23">
                  <c:v>28.631899999999998</c:v>
                </c:pt>
                <c:pt idx="24">
                  <c:v>27.645700000000001</c:v>
                </c:pt>
                <c:pt idx="25">
                  <c:v>26.805499999999999</c:v>
                </c:pt>
                <c:pt idx="26">
                  <c:v>26.0639</c:v>
                </c:pt>
                <c:pt idx="27">
                  <c:v>25.3977</c:v>
                </c:pt>
                <c:pt idx="28">
                  <c:v>24.8124</c:v>
                </c:pt>
                <c:pt idx="29">
                  <c:v>24.310100000000002</c:v>
                </c:pt>
                <c:pt idx="30">
                  <c:v>23.8447</c:v>
                </c:pt>
                <c:pt idx="31">
                  <c:v>23.404900000000001</c:v>
                </c:pt>
                <c:pt idx="32">
                  <c:v>23.0214</c:v>
                </c:pt>
                <c:pt idx="33">
                  <c:v>22.645100000000003</c:v>
                </c:pt>
                <c:pt idx="34">
                  <c:v>22.283200000000001</c:v>
                </c:pt>
                <c:pt idx="35">
                  <c:v>21.963699999999999</c:v>
                </c:pt>
                <c:pt idx="36">
                  <c:v>21.702500000000001</c:v>
                </c:pt>
                <c:pt idx="37">
                  <c:v>21.479599999999998</c:v>
                </c:pt>
                <c:pt idx="38">
                  <c:v>21.274899999999999</c:v>
                </c:pt>
                <c:pt idx="39">
                  <c:v>21.083299999999998</c:v>
                </c:pt>
                <c:pt idx="40">
                  <c:v>20.9206</c:v>
                </c:pt>
                <c:pt idx="41">
                  <c:v>20.7956</c:v>
                </c:pt>
                <c:pt idx="42">
                  <c:v>20.722799999999999</c:v>
                </c:pt>
                <c:pt idx="43">
                  <c:v>20.669699999999999</c:v>
                </c:pt>
                <c:pt idx="44">
                  <c:v>20.674899999999997</c:v>
                </c:pt>
                <c:pt idx="45">
                  <c:v>20.677799999999998</c:v>
                </c:pt>
                <c:pt idx="46">
                  <c:v>20.679400000000001</c:v>
                </c:pt>
                <c:pt idx="47">
                  <c:v>20.731300000000001</c:v>
                </c:pt>
                <c:pt idx="48">
                  <c:v>20.888999999999999</c:v>
                </c:pt>
                <c:pt idx="49">
                  <c:v>21.080399999999997</c:v>
                </c:pt>
                <c:pt idx="50">
                  <c:v>21.2181</c:v>
                </c:pt>
                <c:pt idx="51">
                  <c:v>21.316199999999998</c:v>
                </c:pt>
                <c:pt idx="52">
                  <c:v>21.3797</c:v>
                </c:pt>
                <c:pt idx="53">
                  <c:v>21.412300000000002</c:v>
                </c:pt>
                <c:pt idx="54">
                  <c:v>21.434800000000003</c:v>
                </c:pt>
                <c:pt idx="55">
                  <c:v>21.486599999999999</c:v>
                </c:pt>
                <c:pt idx="56">
                  <c:v>21.5428</c:v>
                </c:pt>
                <c:pt idx="57">
                  <c:v>21.555900000000001</c:v>
                </c:pt>
                <c:pt idx="58">
                  <c:v>21.509700000000002</c:v>
                </c:pt>
                <c:pt idx="59">
                  <c:v>21.433800000000002</c:v>
                </c:pt>
                <c:pt idx="60">
                  <c:v>21.346399999999999</c:v>
                </c:pt>
                <c:pt idx="61">
                  <c:v>21.3218</c:v>
                </c:pt>
                <c:pt idx="62">
                  <c:v>21.366800000000001</c:v>
                </c:pt>
                <c:pt idx="63">
                  <c:v>21.461400000000001</c:v>
                </c:pt>
                <c:pt idx="64">
                  <c:v>21.6023</c:v>
                </c:pt>
                <c:pt idx="65">
                  <c:v>21.8583</c:v>
                </c:pt>
                <c:pt idx="66">
                  <c:v>22.112399999999997</c:v>
                </c:pt>
                <c:pt idx="67">
                  <c:v>22.341000000000001</c:v>
                </c:pt>
                <c:pt idx="68">
                  <c:v>22.6905</c:v>
                </c:pt>
                <c:pt idx="69">
                  <c:v>23.090599999999998</c:v>
                </c:pt>
                <c:pt idx="70">
                  <c:v>23.460599999999999</c:v>
                </c:pt>
                <c:pt idx="71">
                  <c:v>23.825499999999998</c:v>
                </c:pt>
                <c:pt idx="72">
                  <c:v>24.245100000000001</c:v>
                </c:pt>
                <c:pt idx="73">
                  <c:v>24.6325</c:v>
                </c:pt>
                <c:pt idx="74">
                  <c:v>25.034499999999998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2.6459100000000002</c:v>
                </c:pt>
                <c:pt idx="1">
                  <c:v>2.6277099999999995</c:v>
                </c:pt>
                <c:pt idx="2">
                  <c:v>2.60867</c:v>
                </c:pt>
                <c:pt idx="3">
                  <c:v>2.5970500000000003</c:v>
                </c:pt>
                <c:pt idx="4">
                  <c:v>2.5840899999999998</c:v>
                </c:pt>
                <c:pt idx="5">
                  <c:v>2.5716399999999999</c:v>
                </c:pt>
                <c:pt idx="6">
                  <c:v>2.5613000000000001</c:v>
                </c:pt>
                <c:pt idx="7">
                  <c:v>2.5496600000000003</c:v>
                </c:pt>
                <c:pt idx="8">
                  <c:v>2.5364399999999998</c:v>
                </c:pt>
                <c:pt idx="9">
                  <c:v>2.5209100000000002</c:v>
                </c:pt>
                <c:pt idx="10">
                  <c:v>2.50197</c:v>
                </c:pt>
                <c:pt idx="11">
                  <c:v>2.4846499999999998</c:v>
                </c:pt>
                <c:pt idx="12">
                  <c:v>2.47078</c:v>
                </c:pt>
                <c:pt idx="13">
                  <c:v>2.4617599999999999</c:v>
                </c:pt>
                <c:pt idx="14">
                  <c:v>2.4519899999999999</c:v>
                </c:pt>
                <c:pt idx="15">
                  <c:v>2.4415200000000001</c:v>
                </c:pt>
                <c:pt idx="16">
                  <c:v>2.42977</c:v>
                </c:pt>
                <c:pt idx="17">
                  <c:v>2.4172099999999999</c:v>
                </c:pt>
                <c:pt idx="18">
                  <c:v>2.40395</c:v>
                </c:pt>
                <c:pt idx="19">
                  <c:v>2.3913100000000003</c:v>
                </c:pt>
                <c:pt idx="20">
                  <c:v>2.3786700000000001</c:v>
                </c:pt>
                <c:pt idx="21">
                  <c:v>2.3655399999999998</c:v>
                </c:pt>
                <c:pt idx="22">
                  <c:v>2.3551799999999998</c:v>
                </c:pt>
                <c:pt idx="23">
                  <c:v>2.3442499999999997</c:v>
                </c:pt>
                <c:pt idx="24">
                  <c:v>2.3345199999999999</c:v>
                </c:pt>
                <c:pt idx="25">
                  <c:v>2.32517</c:v>
                </c:pt>
                <c:pt idx="26">
                  <c:v>2.3162400000000001</c:v>
                </c:pt>
                <c:pt idx="27">
                  <c:v>2.31033</c:v>
                </c:pt>
                <c:pt idx="28">
                  <c:v>2.2949000000000002</c:v>
                </c:pt>
                <c:pt idx="29">
                  <c:v>2.2827199999999999</c:v>
                </c:pt>
                <c:pt idx="30">
                  <c:v>2.27413</c:v>
                </c:pt>
                <c:pt idx="31">
                  <c:v>2.2678499999999997</c:v>
                </c:pt>
                <c:pt idx="32">
                  <c:v>2.2667899999999999</c:v>
                </c:pt>
                <c:pt idx="33">
                  <c:v>2.2692600000000001</c:v>
                </c:pt>
                <c:pt idx="34">
                  <c:v>2.2745600000000001</c:v>
                </c:pt>
                <c:pt idx="35">
                  <c:v>2.2867100000000002</c:v>
                </c:pt>
                <c:pt idx="36">
                  <c:v>2.3001399999999999</c:v>
                </c:pt>
                <c:pt idx="37">
                  <c:v>2.3141099999999999</c:v>
                </c:pt>
                <c:pt idx="38">
                  <c:v>2.3281399999999999</c:v>
                </c:pt>
                <c:pt idx="39">
                  <c:v>2.3426200000000001</c:v>
                </c:pt>
                <c:pt idx="40">
                  <c:v>2.3592200000000001</c:v>
                </c:pt>
                <c:pt idx="41">
                  <c:v>2.3778199999999998</c:v>
                </c:pt>
                <c:pt idx="42">
                  <c:v>2.39547</c:v>
                </c:pt>
                <c:pt idx="43">
                  <c:v>2.4132899999999999</c:v>
                </c:pt>
                <c:pt idx="44">
                  <c:v>2.4294799999999999</c:v>
                </c:pt>
                <c:pt idx="45">
                  <c:v>2.4443999999999999</c:v>
                </c:pt>
                <c:pt idx="46">
                  <c:v>2.45696</c:v>
                </c:pt>
                <c:pt idx="47">
                  <c:v>2.4648700000000003</c:v>
                </c:pt>
                <c:pt idx="48">
                  <c:v>2.4718900000000001</c:v>
                </c:pt>
                <c:pt idx="49">
                  <c:v>2.4776899999999999</c:v>
                </c:pt>
                <c:pt idx="50">
                  <c:v>2.48488</c:v>
                </c:pt>
                <c:pt idx="51">
                  <c:v>2.4970500000000002</c:v>
                </c:pt>
                <c:pt idx="52">
                  <c:v>2.5091299999999999</c:v>
                </c:pt>
                <c:pt idx="53">
                  <c:v>2.5194899999999998</c:v>
                </c:pt>
                <c:pt idx="54">
                  <c:v>2.5265</c:v>
                </c:pt>
                <c:pt idx="55">
                  <c:v>2.5320100000000001</c:v>
                </c:pt>
                <c:pt idx="56">
                  <c:v>2.5363500000000001</c:v>
                </c:pt>
                <c:pt idx="57">
                  <c:v>2.54026</c:v>
                </c:pt>
                <c:pt idx="58">
                  <c:v>2.5428199999999999</c:v>
                </c:pt>
                <c:pt idx="59">
                  <c:v>2.5403099999999998</c:v>
                </c:pt>
                <c:pt idx="60">
                  <c:v>2.5317400000000001</c:v>
                </c:pt>
                <c:pt idx="61">
                  <c:v>2.5223499999999999</c:v>
                </c:pt>
                <c:pt idx="62">
                  <c:v>2.5129600000000001</c:v>
                </c:pt>
                <c:pt idx="63">
                  <c:v>2.5024299999999999</c:v>
                </c:pt>
                <c:pt idx="64">
                  <c:v>2.4918299999999998</c:v>
                </c:pt>
                <c:pt idx="65">
                  <c:v>2.4779599999999999</c:v>
                </c:pt>
                <c:pt idx="66">
                  <c:v>2.46007</c:v>
                </c:pt>
                <c:pt idx="67">
                  <c:v>2.4400599999999999</c:v>
                </c:pt>
                <c:pt idx="68">
                  <c:v>2.4189500000000002</c:v>
                </c:pt>
                <c:pt idx="69">
                  <c:v>2.3994</c:v>
                </c:pt>
                <c:pt idx="70">
                  <c:v>2.3825400000000001</c:v>
                </c:pt>
                <c:pt idx="71">
                  <c:v>2.3645399999999999</c:v>
                </c:pt>
                <c:pt idx="72">
                  <c:v>2.35405</c:v>
                </c:pt>
                <c:pt idx="73">
                  <c:v>2.3431500000000001</c:v>
                </c:pt>
                <c:pt idx="74">
                  <c:v>2.3279800000000002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25.034499999999998</c:v>
                </c:pt>
                <c:pt idx="1">
                  <c:v>25.569199999999999</c:v>
                </c:pt>
                <c:pt idx="2">
                  <c:v>26.063399999999998</c:v>
                </c:pt>
                <c:pt idx="3">
                  <c:v>26.729599999999998</c:v>
                </c:pt>
                <c:pt idx="4">
                  <c:v>27.497100000000003</c:v>
                </c:pt>
                <c:pt idx="5">
                  <c:v>28.252800000000001</c:v>
                </c:pt>
                <c:pt idx="6">
                  <c:v>28.986099999999997</c:v>
                </c:pt>
                <c:pt idx="7">
                  <c:v>29.711900000000004</c:v>
                </c:pt>
                <c:pt idx="8">
                  <c:v>30.4678</c:v>
                </c:pt>
                <c:pt idx="9">
                  <c:v>31.285800000000002</c:v>
                </c:pt>
                <c:pt idx="10">
                  <c:v>32.144800000000004</c:v>
                </c:pt>
                <c:pt idx="11">
                  <c:v>32.9422</c:v>
                </c:pt>
                <c:pt idx="12">
                  <c:v>33.566899999999997</c:v>
                </c:pt>
                <c:pt idx="13">
                  <c:v>34.0623</c:v>
                </c:pt>
                <c:pt idx="14">
                  <c:v>34.5944</c:v>
                </c:pt>
                <c:pt idx="15">
                  <c:v>35.078099999999999</c:v>
                </c:pt>
                <c:pt idx="16">
                  <c:v>35.504000000000005</c:v>
                </c:pt>
                <c:pt idx="17">
                  <c:v>35.937200000000004</c:v>
                </c:pt>
                <c:pt idx="18">
                  <c:v>36.291000000000004</c:v>
                </c:pt>
                <c:pt idx="19">
                  <c:v>36.578400000000002</c:v>
                </c:pt>
                <c:pt idx="20">
                  <c:v>36.842000000000006</c:v>
                </c:pt>
                <c:pt idx="21">
                  <c:v>37.098399999999998</c:v>
                </c:pt>
                <c:pt idx="22">
                  <c:v>37.242199999999997</c:v>
                </c:pt>
                <c:pt idx="23">
                  <c:v>37.394800000000004</c:v>
                </c:pt>
                <c:pt idx="24">
                  <c:v>37.493099999999998</c:v>
                </c:pt>
                <c:pt idx="25">
                  <c:v>37.5411</c:v>
                </c:pt>
                <c:pt idx="26">
                  <c:v>37.554000000000002</c:v>
                </c:pt>
                <c:pt idx="27">
                  <c:v>37.531100000000002</c:v>
                </c:pt>
                <c:pt idx="28">
                  <c:v>37.5291</c:v>
                </c:pt>
                <c:pt idx="29">
                  <c:v>37.369900000000001</c:v>
                </c:pt>
                <c:pt idx="30">
                  <c:v>37.0717</c:v>
                </c:pt>
                <c:pt idx="31">
                  <c:v>36.643700000000003</c:v>
                </c:pt>
                <c:pt idx="32">
                  <c:v>36.015500000000003</c:v>
                </c:pt>
                <c:pt idx="33">
                  <c:v>35.322800000000001</c:v>
                </c:pt>
                <c:pt idx="34">
                  <c:v>34.588700000000003</c:v>
                </c:pt>
                <c:pt idx="35">
                  <c:v>33.780200000000001</c:v>
                </c:pt>
                <c:pt idx="36">
                  <c:v>32.947800000000001</c:v>
                </c:pt>
                <c:pt idx="37">
                  <c:v>32.159199999999998</c:v>
                </c:pt>
                <c:pt idx="38">
                  <c:v>31.370900000000002</c:v>
                </c:pt>
                <c:pt idx="39">
                  <c:v>30.564299999999999</c:v>
                </c:pt>
                <c:pt idx="40">
                  <c:v>29.700599999999998</c:v>
                </c:pt>
                <c:pt idx="41">
                  <c:v>28.842700000000001</c:v>
                </c:pt>
                <c:pt idx="42">
                  <c:v>28.040500000000002</c:v>
                </c:pt>
                <c:pt idx="43">
                  <c:v>27.318300000000001</c:v>
                </c:pt>
                <c:pt idx="44">
                  <c:v>26.696199999999997</c:v>
                </c:pt>
                <c:pt idx="45">
                  <c:v>26.171399999999998</c:v>
                </c:pt>
                <c:pt idx="46">
                  <c:v>25.8565</c:v>
                </c:pt>
                <c:pt idx="47">
                  <c:v>25.758599999999998</c:v>
                </c:pt>
                <c:pt idx="48">
                  <c:v>25.7209</c:v>
                </c:pt>
                <c:pt idx="49">
                  <c:v>25.6892</c:v>
                </c:pt>
                <c:pt idx="50">
                  <c:v>25.601700000000001</c:v>
                </c:pt>
                <c:pt idx="51">
                  <c:v>25.4453</c:v>
                </c:pt>
                <c:pt idx="52">
                  <c:v>25.257400000000001</c:v>
                </c:pt>
                <c:pt idx="53">
                  <c:v>25.110300000000002</c:v>
                </c:pt>
                <c:pt idx="54">
                  <c:v>25.008399999999998</c:v>
                </c:pt>
                <c:pt idx="55">
                  <c:v>24.909100000000002</c:v>
                </c:pt>
                <c:pt idx="56">
                  <c:v>24.846399999999999</c:v>
                </c:pt>
                <c:pt idx="57">
                  <c:v>24.854100000000003</c:v>
                </c:pt>
                <c:pt idx="58">
                  <c:v>24.921900000000001</c:v>
                </c:pt>
                <c:pt idx="59">
                  <c:v>25.125700000000002</c:v>
                </c:pt>
                <c:pt idx="60">
                  <c:v>25.361699999999999</c:v>
                </c:pt>
                <c:pt idx="61">
                  <c:v>25.606400000000001</c:v>
                </c:pt>
                <c:pt idx="62">
                  <c:v>25.8245</c:v>
                </c:pt>
                <c:pt idx="63">
                  <c:v>26.053900000000002</c:v>
                </c:pt>
                <c:pt idx="64">
                  <c:v>26.274999999999999</c:v>
                </c:pt>
                <c:pt idx="65">
                  <c:v>26.680700000000002</c:v>
                </c:pt>
                <c:pt idx="66">
                  <c:v>27.264500000000002</c:v>
                </c:pt>
                <c:pt idx="67">
                  <c:v>28.009099999999997</c:v>
                </c:pt>
                <c:pt idx="68">
                  <c:v>28.785699999999999</c:v>
                </c:pt>
                <c:pt idx="69">
                  <c:v>29.617900000000002</c:v>
                </c:pt>
                <c:pt idx="70">
                  <c:v>30.331399999999999</c:v>
                </c:pt>
                <c:pt idx="71">
                  <c:v>30.9419</c:v>
                </c:pt>
                <c:pt idx="72">
                  <c:v>31.1785</c:v>
                </c:pt>
                <c:pt idx="73">
                  <c:v>31.251299999999997</c:v>
                </c:pt>
                <c:pt idx="74">
                  <c:v>31.723499999999998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1.42197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2.5738074324324298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28.753786486486486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2.4352978378378372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30.465077027027014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2.4352978378378372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30.465077027027014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0.20333635773822969</c:v>
                </c:pt>
                <c:pt idx="1">
                  <c:v>0.36212645261258614</c:v>
                </c:pt>
                <c:pt idx="2">
                  <c:v>0.43453718964918414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0.376303</c:v>
                </c:pt>
                <c:pt idx="2">
                  <c:v>0.77855099999999999</c:v>
                </c:pt>
                <c:pt idx="3">
                  <c:v>1.18449</c:v>
                </c:pt>
                <c:pt idx="4">
                  <c:v>1.5905499999999999</c:v>
                </c:pt>
                <c:pt idx="5">
                  <c:v>1.9973099999999999</c:v>
                </c:pt>
                <c:pt idx="6">
                  <c:v>2.4063699999999999</c:v>
                </c:pt>
                <c:pt idx="7">
                  <c:v>2.8087399999999998</c:v>
                </c:pt>
                <c:pt idx="8">
                  <c:v>3.2156400000000001</c:v>
                </c:pt>
                <c:pt idx="9">
                  <c:v>3.6237900000000001</c:v>
                </c:pt>
                <c:pt idx="10">
                  <c:v>4.0314800000000002</c:v>
                </c:pt>
                <c:pt idx="11">
                  <c:v>4.43736</c:v>
                </c:pt>
                <c:pt idx="12">
                  <c:v>4.8420199999999998</c:v>
                </c:pt>
                <c:pt idx="13">
                  <c:v>5.2469900000000003</c:v>
                </c:pt>
                <c:pt idx="14">
                  <c:v>5.6550900000000004</c:v>
                </c:pt>
                <c:pt idx="15">
                  <c:v>6.06229</c:v>
                </c:pt>
                <c:pt idx="16">
                  <c:v>6.4673999999999996</c:v>
                </c:pt>
                <c:pt idx="17">
                  <c:v>6.8716299999999997</c:v>
                </c:pt>
                <c:pt idx="18">
                  <c:v>7.2775499999999997</c:v>
                </c:pt>
                <c:pt idx="19">
                  <c:v>7.68377</c:v>
                </c:pt>
                <c:pt idx="20">
                  <c:v>8.0926200000000001</c:v>
                </c:pt>
                <c:pt idx="21">
                  <c:v>8.4993999999999996</c:v>
                </c:pt>
                <c:pt idx="22">
                  <c:v>8.9051799999999997</c:v>
                </c:pt>
                <c:pt idx="23">
                  <c:v>9.3107699999999998</c:v>
                </c:pt>
                <c:pt idx="24">
                  <c:v>9.7141599999999997</c:v>
                </c:pt>
                <c:pt idx="25">
                  <c:v>10.1213</c:v>
                </c:pt>
                <c:pt idx="26">
                  <c:v>10.527699999999999</c:v>
                </c:pt>
                <c:pt idx="27">
                  <c:v>10.9381</c:v>
                </c:pt>
                <c:pt idx="28">
                  <c:v>11.3431</c:v>
                </c:pt>
                <c:pt idx="29">
                  <c:v>11.7478</c:v>
                </c:pt>
                <c:pt idx="30">
                  <c:v>12.1556</c:v>
                </c:pt>
                <c:pt idx="31">
                  <c:v>12.5596</c:v>
                </c:pt>
                <c:pt idx="32">
                  <c:v>12.9674</c:v>
                </c:pt>
                <c:pt idx="33">
                  <c:v>13.3749</c:v>
                </c:pt>
                <c:pt idx="34">
                  <c:v>13.7811</c:v>
                </c:pt>
                <c:pt idx="35">
                  <c:v>14.1845</c:v>
                </c:pt>
                <c:pt idx="36">
                  <c:v>14.592499999999999</c:v>
                </c:pt>
                <c:pt idx="37">
                  <c:v>14.9971</c:v>
                </c:pt>
                <c:pt idx="38">
                  <c:v>15.408300000000001</c:v>
                </c:pt>
                <c:pt idx="39">
                  <c:v>15.811500000000001</c:v>
                </c:pt>
                <c:pt idx="40">
                  <c:v>16.219100000000001</c:v>
                </c:pt>
                <c:pt idx="41">
                  <c:v>16.626100000000001</c:v>
                </c:pt>
                <c:pt idx="42">
                  <c:v>17.028600000000001</c:v>
                </c:pt>
                <c:pt idx="43">
                  <c:v>17.436800000000002</c:v>
                </c:pt>
                <c:pt idx="44">
                  <c:v>17.845500000000001</c:v>
                </c:pt>
                <c:pt idx="45">
                  <c:v>18.247299999999999</c:v>
                </c:pt>
                <c:pt idx="46">
                  <c:v>18.654499999999999</c:v>
                </c:pt>
                <c:pt idx="47">
                  <c:v>19.0642</c:v>
                </c:pt>
                <c:pt idx="48">
                  <c:v>19.465900000000001</c:v>
                </c:pt>
                <c:pt idx="49">
                  <c:v>19.8748</c:v>
                </c:pt>
                <c:pt idx="50">
                  <c:v>20.279199999999999</c:v>
                </c:pt>
                <c:pt idx="51">
                  <c:v>20.683499999999999</c:v>
                </c:pt>
                <c:pt idx="52">
                  <c:v>21.095700000000001</c:v>
                </c:pt>
                <c:pt idx="53">
                  <c:v>21.498999999999999</c:v>
                </c:pt>
                <c:pt idx="54">
                  <c:v>21.906700000000001</c:v>
                </c:pt>
                <c:pt idx="55">
                  <c:v>22.3093</c:v>
                </c:pt>
                <c:pt idx="56">
                  <c:v>22.716999999999999</c:v>
                </c:pt>
                <c:pt idx="57">
                  <c:v>23.121700000000001</c:v>
                </c:pt>
                <c:pt idx="58">
                  <c:v>23.5306</c:v>
                </c:pt>
                <c:pt idx="59">
                  <c:v>23.938199999999998</c:v>
                </c:pt>
                <c:pt idx="60">
                  <c:v>24.343599999999999</c:v>
                </c:pt>
                <c:pt idx="61">
                  <c:v>24.746500000000001</c:v>
                </c:pt>
                <c:pt idx="62">
                  <c:v>25.151800000000001</c:v>
                </c:pt>
                <c:pt idx="63">
                  <c:v>25.561800000000002</c:v>
                </c:pt>
                <c:pt idx="64">
                  <c:v>25.964300000000001</c:v>
                </c:pt>
                <c:pt idx="65">
                  <c:v>26.374500000000001</c:v>
                </c:pt>
                <c:pt idx="66">
                  <c:v>26.7788</c:v>
                </c:pt>
                <c:pt idx="67">
                  <c:v>27.1861</c:v>
                </c:pt>
                <c:pt idx="68">
                  <c:v>27.591100000000001</c:v>
                </c:pt>
                <c:pt idx="69">
                  <c:v>27.998699999999999</c:v>
                </c:pt>
                <c:pt idx="70">
                  <c:v>28.4084</c:v>
                </c:pt>
                <c:pt idx="71">
                  <c:v>28.809100000000001</c:v>
                </c:pt>
                <c:pt idx="72">
                  <c:v>29.217099999999999</c:v>
                </c:pt>
                <c:pt idx="73">
                  <c:v>29.622299999999999</c:v>
                </c:pt>
                <c:pt idx="74">
                  <c:v>30.028600000000001</c:v>
                </c:pt>
                <c:pt idx="75">
                  <c:v>30.622900000000001</c:v>
                </c:pt>
                <c:pt idx="76">
                  <c:v>30.9986</c:v>
                </c:pt>
                <c:pt idx="77">
                  <c:v>31.3765</c:v>
                </c:pt>
                <c:pt idx="78">
                  <c:v>31.749300000000002</c:v>
                </c:pt>
                <c:pt idx="79">
                  <c:v>32.123600000000003</c:v>
                </c:pt>
                <c:pt idx="80">
                  <c:v>32.529499999999999</c:v>
                </c:pt>
                <c:pt idx="81">
                  <c:v>32.935400000000001</c:v>
                </c:pt>
                <c:pt idx="82">
                  <c:v>33.342199999999998</c:v>
                </c:pt>
                <c:pt idx="83">
                  <c:v>33.749000000000002</c:v>
                </c:pt>
                <c:pt idx="84">
                  <c:v>34.154699999999998</c:v>
                </c:pt>
                <c:pt idx="85">
                  <c:v>34.559399999999997</c:v>
                </c:pt>
                <c:pt idx="86">
                  <c:v>34.966900000000003</c:v>
                </c:pt>
                <c:pt idx="87">
                  <c:v>35.377099999999999</c:v>
                </c:pt>
                <c:pt idx="88">
                  <c:v>35.7819</c:v>
                </c:pt>
                <c:pt idx="89">
                  <c:v>36.184199999999997</c:v>
                </c:pt>
                <c:pt idx="90">
                  <c:v>36.588200000000001</c:v>
                </c:pt>
                <c:pt idx="91">
                  <c:v>36.999699999999997</c:v>
                </c:pt>
                <c:pt idx="92">
                  <c:v>37.406700000000001</c:v>
                </c:pt>
                <c:pt idx="93">
                  <c:v>37.8125</c:v>
                </c:pt>
                <c:pt idx="94">
                  <c:v>38.217700000000001</c:v>
                </c:pt>
                <c:pt idx="95">
                  <c:v>38.622100000000003</c:v>
                </c:pt>
                <c:pt idx="96">
                  <c:v>39.0274</c:v>
                </c:pt>
                <c:pt idx="97">
                  <c:v>39.438499999999998</c:v>
                </c:pt>
                <c:pt idx="98">
                  <c:v>39.843200000000003</c:v>
                </c:pt>
                <c:pt idx="99">
                  <c:v>40.247999999999998</c:v>
                </c:pt>
                <c:pt idx="100">
                  <c:v>40.654899999999998</c:v>
                </c:pt>
                <c:pt idx="101">
                  <c:v>41.059600000000003</c:v>
                </c:pt>
                <c:pt idx="102">
                  <c:v>41.466299999999997</c:v>
                </c:pt>
                <c:pt idx="103">
                  <c:v>41.874499999999998</c:v>
                </c:pt>
                <c:pt idx="104">
                  <c:v>42.278199999999998</c:v>
                </c:pt>
                <c:pt idx="105">
                  <c:v>42.687199999999997</c:v>
                </c:pt>
                <c:pt idx="106">
                  <c:v>43.0901</c:v>
                </c:pt>
                <c:pt idx="107">
                  <c:v>43.497700000000002</c:v>
                </c:pt>
                <c:pt idx="108">
                  <c:v>43.906999999999996</c:v>
                </c:pt>
                <c:pt idx="109">
                  <c:v>44.310299999999998</c:v>
                </c:pt>
                <c:pt idx="110">
                  <c:v>44.716099999999997</c:v>
                </c:pt>
                <c:pt idx="111">
                  <c:v>45.122</c:v>
                </c:pt>
                <c:pt idx="112">
                  <c:v>45.528399999999998</c:v>
                </c:pt>
                <c:pt idx="113">
                  <c:v>45.939300000000003</c:v>
                </c:pt>
                <c:pt idx="114">
                  <c:v>46.342399999999998</c:v>
                </c:pt>
                <c:pt idx="115">
                  <c:v>46.747199999999999</c:v>
                </c:pt>
                <c:pt idx="116">
                  <c:v>47.155900000000003</c:v>
                </c:pt>
                <c:pt idx="117">
                  <c:v>47.560600000000001</c:v>
                </c:pt>
                <c:pt idx="118">
                  <c:v>47.964599999999997</c:v>
                </c:pt>
                <c:pt idx="119">
                  <c:v>48.372300000000003</c:v>
                </c:pt>
                <c:pt idx="120">
                  <c:v>48.781100000000002</c:v>
                </c:pt>
                <c:pt idx="121">
                  <c:v>49.1858</c:v>
                </c:pt>
                <c:pt idx="122">
                  <c:v>49.591999999999999</c:v>
                </c:pt>
                <c:pt idx="123">
                  <c:v>49.997900000000001</c:v>
                </c:pt>
                <c:pt idx="124">
                  <c:v>50.402000000000001</c:v>
                </c:pt>
                <c:pt idx="125">
                  <c:v>50.810499999999998</c:v>
                </c:pt>
                <c:pt idx="126">
                  <c:v>51.2181</c:v>
                </c:pt>
                <c:pt idx="127">
                  <c:v>51.621600000000001</c:v>
                </c:pt>
                <c:pt idx="128">
                  <c:v>52.0261</c:v>
                </c:pt>
                <c:pt idx="129">
                  <c:v>52.433900000000001</c:v>
                </c:pt>
                <c:pt idx="130">
                  <c:v>52.841999999999999</c:v>
                </c:pt>
                <c:pt idx="131">
                  <c:v>53.251600000000003</c:v>
                </c:pt>
                <c:pt idx="132">
                  <c:v>53.657899999999998</c:v>
                </c:pt>
                <c:pt idx="133">
                  <c:v>54.060699999999997</c:v>
                </c:pt>
                <c:pt idx="134">
                  <c:v>54.465600000000002</c:v>
                </c:pt>
                <c:pt idx="135">
                  <c:v>54.875599999999999</c:v>
                </c:pt>
                <c:pt idx="136">
                  <c:v>55.280500000000004</c:v>
                </c:pt>
                <c:pt idx="137">
                  <c:v>55.685099999999998</c:v>
                </c:pt>
                <c:pt idx="138">
                  <c:v>56.088799999999999</c:v>
                </c:pt>
                <c:pt idx="139">
                  <c:v>56.497700000000002</c:v>
                </c:pt>
                <c:pt idx="140">
                  <c:v>56.906500000000001</c:v>
                </c:pt>
                <c:pt idx="141">
                  <c:v>57.3127</c:v>
                </c:pt>
                <c:pt idx="142">
                  <c:v>57.716799999999999</c:v>
                </c:pt>
                <c:pt idx="143">
                  <c:v>58.121699999999997</c:v>
                </c:pt>
                <c:pt idx="144">
                  <c:v>58.528199999999998</c:v>
                </c:pt>
                <c:pt idx="145">
                  <c:v>58.936199999999999</c:v>
                </c:pt>
                <c:pt idx="146">
                  <c:v>59.343299999999999</c:v>
                </c:pt>
                <c:pt idx="147">
                  <c:v>59.747999999999998</c:v>
                </c:pt>
                <c:pt idx="148">
                  <c:v>60.155099999999997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1.42197</c:v>
                </c:pt>
                <c:pt idx="1">
                  <c:v>1.4737200000000001</c:v>
                </c:pt>
                <c:pt idx="2">
                  <c:v>1.5241199999999999</c:v>
                </c:pt>
                <c:pt idx="3">
                  <c:v>1.57497</c:v>
                </c:pt>
                <c:pt idx="4">
                  <c:v>1.6260399999999999</c:v>
                </c:pt>
                <c:pt idx="5">
                  <c:v>1.67618</c:v>
                </c:pt>
                <c:pt idx="6">
                  <c:v>1.7286099999999998</c:v>
                </c:pt>
                <c:pt idx="7">
                  <c:v>1.7809200000000001</c:v>
                </c:pt>
                <c:pt idx="8">
                  <c:v>1.83277</c:v>
                </c:pt>
                <c:pt idx="9">
                  <c:v>1.8819399999999999</c:v>
                </c:pt>
                <c:pt idx="10">
                  <c:v>1.9303400000000002</c:v>
                </c:pt>
                <c:pt idx="11">
                  <c:v>1.9793400000000001</c:v>
                </c:pt>
                <c:pt idx="12">
                  <c:v>2.0312199999999998</c:v>
                </c:pt>
                <c:pt idx="13">
                  <c:v>2.08304</c:v>
                </c:pt>
                <c:pt idx="14">
                  <c:v>2.1322700000000001</c:v>
                </c:pt>
                <c:pt idx="15">
                  <c:v>2.1800999999999999</c:v>
                </c:pt>
                <c:pt idx="16">
                  <c:v>2.2284699999999997</c:v>
                </c:pt>
                <c:pt idx="17">
                  <c:v>2.2761500000000003</c:v>
                </c:pt>
                <c:pt idx="18">
                  <c:v>2.32551</c:v>
                </c:pt>
                <c:pt idx="19">
                  <c:v>2.3758499999999998</c:v>
                </c:pt>
                <c:pt idx="20">
                  <c:v>2.4241299999999999</c:v>
                </c:pt>
                <c:pt idx="21">
                  <c:v>2.4685299999999999</c:v>
                </c:pt>
                <c:pt idx="22">
                  <c:v>2.5135100000000001</c:v>
                </c:pt>
                <c:pt idx="23">
                  <c:v>2.5588199999999999</c:v>
                </c:pt>
                <c:pt idx="24">
                  <c:v>2.6021899999999998</c:v>
                </c:pt>
                <c:pt idx="25">
                  <c:v>2.6419100000000002</c:v>
                </c:pt>
                <c:pt idx="26">
                  <c:v>2.6801599999999999</c:v>
                </c:pt>
                <c:pt idx="27">
                  <c:v>2.71611</c:v>
                </c:pt>
                <c:pt idx="28">
                  <c:v>2.7479999999999998</c:v>
                </c:pt>
                <c:pt idx="29">
                  <c:v>2.7772799999999997</c:v>
                </c:pt>
                <c:pt idx="30">
                  <c:v>2.80491</c:v>
                </c:pt>
                <c:pt idx="31">
                  <c:v>2.8298899999999998</c:v>
                </c:pt>
                <c:pt idx="32">
                  <c:v>2.8527900000000002</c:v>
                </c:pt>
                <c:pt idx="33">
                  <c:v>2.87466</c:v>
                </c:pt>
                <c:pt idx="34">
                  <c:v>2.89567</c:v>
                </c:pt>
                <c:pt idx="35">
                  <c:v>2.9149700000000003</c:v>
                </c:pt>
                <c:pt idx="36">
                  <c:v>2.9303400000000002</c:v>
                </c:pt>
                <c:pt idx="37">
                  <c:v>2.9419599999999999</c:v>
                </c:pt>
                <c:pt idx="38">
                  <c:v>2.9519299999999999</c:v>
                </c:pt>
                <c:pt idx="39">
                  <c:v>2.9613299999999998</c:v>
                </c:pt>
                <c:pt idx="40">
                  <c:v>2.9689900000000002</c:v>
                </c:pt>
                <c:pt idx="41">
                  <c:v>2.9738100000000003</c:v>
                </c:pt>
                <c:pt idx="42">
                  <c:v>2.9767199999999998</c:v>
                </c:pt>
                <c:pt idx="43">
                  <c:v>2.9791299999999996</c:v>
                </c:pt>
                <c:pt idx="44">
                  <c:v>2.9787499999999998</c:v>
                </c:pt>
                <c:pt idx="45">
                  <c:v>2.9757899999999999</c:v>
                </c:pt>
                <c:pt idx="46">
                  <c:v>2.97296</c:v>
                </c:pt>
                <c:pt idx="47">
                  <c:v>2.9683199999999998</c:v>
                </c:pt>
                <c:pt idx="48">
                  <c:v>2.9595700000000003</c:v>
                </c:pt>
                <c:pt idx="49">
                  <c:v>2.9494899999999999</c:v>
                </c:pt>
                <c:pt idx="50">
                  <c:v>2.9423899999999996</c:v>
                </c:pt>
                <c:pt idx="51">
                  <c:v>2.9328900000000004</c:v>
                </c:pt>
                <c:pt idx="52">
                  <c:v>2.9248000000000003</c:v>
                </c:pt>
                <c:pt idx="53">
                  <c:v>2.91811</c:v>
                </c:pt>
                <c:pt idx="54">
                  <c:v>2.91134</c:v>
                </c:pt>
                <c:pt idx="55">
                  <c:v>2.9027099999999999</c:v>
                </c:pt>
                <c:pt idx="56">
                  <c:v>2.8915299999999999</c:v>
                </c:pt>
                <c:pt idx="57">
                  <c:v>2.8799299999999999</c:v>
                </c:pt>
                <c:pt idx="58">
                  <c:v>2.8690199999999999</c:v>
                </c:pt>
                <c:pt idx="59">
                  <c:v>2.8601999999999999</c:v>
                </c:pt>
                <c:pt idx="60">
                  <c:v>2.85107</c:v>
                </c:pt>
                <c:pt idx="61">
                  <c:v>2.8399200000000002</c:v>
                </c:pt>
                <c:pt idx="62">
                  <c:v>2.8259299999999996</c:v>
                </c:pt>
                <c:pt idx="63">
                  <c:v>2.8102399999999998</c:v>
                </c:pt>
                <c:pt idx="64">
                  <c:v>2.79393</c:v>
                </c:pt>
                <c:pt idx="65">
                  <c:v>2.7768199999999998</c:v>
                </c:pt>
                <c:pt idx="66">
                  <c:v>2.7612999999999999</c:v>
                </c:pt>
                <c:pt idx="67">
                  <c:v>2.7478200000000004</c:v>
                </c:pt>
                <c:pt idx="68">
                  <c:v>2.7310600000000003</c:v>
                </c:pt>
                <c:pt idx="69">
                  <c:v>2.7143099999999998</c:v>
                </c:pt>
                <c:pt idx="70">
                  <c:v>2.7006599999999996</c:v>
                </c:pt>
                <c:pt idx="71">
                  <c:v>2.6875</c:v>
                </c:pt>
                <c:pt idx="72">
                  <c:v>2.6728700000000001</c:v>
                </c:pt>
                <c:pt idx="73">
                  <c:v>2.6592500000000001</c:v>
                </c:pt>
                <c:pt idx="74">
                  <c:v>2.6459100000000002</c:v>
                </c:pt>
                <c:pt idx="75">
                  <c:v>2.6277099999999995</c:v>
                </c:pt>
                <c:pt idx="76">
                  <c:v>2.60867</c:v>
                </c:pt>
                <c:pt idx="77">
                  <c:v>2.5970500000000003</c:v>
                </c:pt>
                <c:pt idx="78">
                  <c:v>2.5840899999999998</c:v>
                </c:pt>
                <c:pt idx="79">
                  <c:v>2.5716399999999999</c:v>
                </c:pt>
                <c:pt idx="80">
                  <c:v>2.5613000000000001</c:v>
                </c:pt>
                <c:pt idx="81">
                  <c:v>2.5496600000000003</c:v>
                </c:pt>
                <c:pt idx="82">
                  <c:v>2.5364399999999998</c:v>
                </c:pt>
                <c:pt idx="83">
                  <c:v>2.5209100000000002</c:v>
                </c:pt>
                <c:pt idx="84">
                  <c:v>2.50197</c:v>
                </c:pt>
                <c:pt idx="85">
                  <c:v>2.4846499999999998</c:v>
                </c:pt>
                <c:pt idx="86">
                  <c:v>2.47078</c:v>
                </c:pt>
                <c:pt idx="87">
                  <c:v>2.4617599999999999</c:v>
                </c:pt>
                <c:pt idx="88">
                  <c:v>2.4519899999999999</c:v>
                </c:pt>
                <c:pt idx="89">
                  <c:v>2.4415200000000001</c:v>
                </c:pt>
                <c:pt idx="90">
                  <c:v>2.42977</c:v>
                </c:pt>
                <c:pt idx="91">
                  <c:v>2.4172099999999999</c:v>
                </c:pt>
                <c:pt idx="92">
                  <c:v>2.40395</c:v>
                </c:pt>
                <c:pt idx="93">
                  <c:v>2.3913100000000003</c:v>
                </c:pt>
                <c:pt idx="94">
                  <c:v>2.3786700000000001</c:v>
                </c:pt>
                <c:pt idx="95">
                  <c:v>2.3655399999999998</c:v>
                </c:pt>
                <c:pt idx="96">
                  <c:v>2.3551799999999998</c:v>
                </c:pt>
                <c:pt idx="97">
                  <c:v>2.3442499999999997</c:v>
                </c:pt>
                <c:pt idx="98">
                  <c:v>2.3345199999999999</c:v>
                </c:pt>
                <c:pt idx="99">
                  <c:v>2.32517</c:v>
                </c:pt>
                <c:pt idx="100">
                  <c:v>2.3162400000000001</c:v>
                </c:pt>
                <c:pt idx="101">
                  <c:v>2.31033</c:v>
                </c:pt>
                <c:pt idx="102">
                  <c:v>2.2949000000000002</c:v>
                </c:pt>
                <c:pt idx="103">
                  <c:v>2.2827199999999999</c:v>
                </c:pt>
                <c:pt idx="104">
                  <c:v>2.27413</c:v>
                </c:pt>
                <c:pt idx="105">
                  <c:v>2.2678499999999997</c:v>
                </c:pt>
                <c:pt idx="106">
                  <c:v>2.2667899999999999</c:v>
                </c:pt>
                <c:pt idx="107">
                  <c:v>2.2692600000000001</c:v>
                </c:pt>
                <c:pt idx="108">
                  <c:v>2.2745600000000001</c:v>
                </c:pt>
                <c:pt idx="109">
                  <c:v>2.2867100000000002</c:v>
                </c:pt>
                <c:pt idx="110">
                  <c:v>2.3001399999999999</c:v>
                </c:pt>
                <c:pt idx="111">
                  <c:v>2.3141099999999999</c:v>
                </c:pt>
                <c:pt idx="112">
                  <c:v>2.3281399999999999</c:v>
                </c:pt>
                <c:pt idx="113">
                  <c:v>2.3426200000000001</c:v>
                </c:pt>
                <c:pt idx="114">
                  <c:v>2.3592200000000001</c:v>
                </c:pt>
                <c:pt idx="115">
                  <c:v>2.3778199999999998</c:v>
                </c:pt>
                <c:pt idx="116">
                  <c:v>2.39547</c:v>
                </c:pt>
                <c:pt idx="117">
                  <c:v>2.4132899999999999</c:v>
                </c:pt>
                <c:pt idx="118">
                  <c:v>2.4294799999999999</c:v>
                </c:pt>
                <c:pt idx="119">
                  <c:v>2.4443999999999999</c:v>
                </c:pt>
                <c:pt idx="120">
                  <c:v>2.45696</c:v>
                </c:pt>
                <c:pt idx="121">
                  <c:v>2.4648700000000003</c:v>
                </c:pt>
                <c:pt idx="122">
                  <c:v>2.4718900000000001</c:v>
                </c:pt>
                <c:pt idx="123">
                  <c:v>2.4776899999999999</c:v>
                </c:pt>
                <c:pt idx="124">
                  <c:v>2.48488</c:v>
                </c:pt>
                <c:pt idx="125">
                  <c:v>2.4970500000000002</c:v>
                </c:pt>
                <c:pt idx="126">
                  <c:v>2.5091299999999999</c:v>
                </c:pt>
                <c:pt idx="127">
                  <c:v>2.5194899999999998</c:v>
                </c:pt>
                <c:pt idx="128">
                  <c:v>2.5265</c:v>
                </c:pt>
                <c:pt idx="129">
                  <c:v>2.5320100000000001</c:v>
                </c:pt>
                <c:pt idx="130">
                  <c:v>2.5363500000000001</c:v>
                </c:pt>
                <c:pt idx="131">
                  <c:v>2.54026</c:v>
                </c:pt>
                <c:pt idx="132">
                  <c:v>2.5428199999999999</c:v>
                </c:pt>
                <c:pt idx="133">
                  <c:v>2.5403099999999998</c:v>
                </c:pt>
                <c:pt idx="134">
                  <c:v>2.5317400000000001</c:v>
                </c:pt>
                <c:pt idx="135">
                  <c:v>2.5223499999999999</c:v>
                </c:pt>
                <c:pt idx="136">
                  <c:v>2.5129600000000001</c:v>
                </c:pt>
                <c:pt idx="137">
                  <c:v>2.5024299999999999</c:v>
                </c:pt>
                <c:pt idx="138">
                  <c:v>2.4918299999999998</c:v>
                </c:pt>
                <c:pt idx="139">
                  <c:v>2.4779599999999999</c:v>
                </c:pt>
                <c:pt idx="140">
                  <c:v>2.46007</c:v>
                </c:pt>
                <c:pt idx="141">
                  <c:v>2.4400599999999999</c:v>
                </c:pt>
                <c:pt idx="142">
                  <c:v>2.4189500000000002</c:v>
                </c:pt>
                <c:pt idx="143">
                  <c:v>2.3994</c:v>
                </c:pt>
                <c:pt idx="144">
                  <c:v>2.3825400000000001</c:v>
                </c:pt>
                <c:pt idx="145">
                  <c:v>2.3645399999999999</c:v>
                </c:pt>
                <c:pt idx="146">
                  <c:v>2.35405</c:v>
                </c:pt>
                <c:pt idx="147">
                  <c:v>2.3431500000000001</c:v>
                </c:pt>
                <c:pt idx="148">
                  <c:v>2.3279800000000002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0.376303</c:v>
                </c:pt>
                <c:pt idx="2">
                  <c:v>0.77855099999999999</c:v>
                </c:pt>
                <c:pt idx="3">
                  <c:v>1.18449</c:v>
                </c:pt>
                <c:pt idx="4">
                  <c:v>1.5905499999999999</c:v>
                </c:pt>
                <c:pt idx="5">
                  <c:v>1.9973099999999999</c:v>
                </c:pt>
                <c:pt idx="6">
                  <c:v>2.4063699999999999</c:v>
                </c:pt>
                <c:pt idx="7">
                  <c:v>2.8087399999999998</c:v>
                </c:pt>
                <c:pt idx="8">
                  <c:v>3.2156400000000001</c:v>
                </c:pt>
                <c:pt idx="9">
                  <c:v>3.6237900000000001</c:v>
                </c:pt>
                <c:pt idx="10">
                  <c:v>4.0314800000000002</c:v>
                </c:pt>
                <c:pt idx="11">
                  <c:v>4.43736</c:v>
                </c:pt>
                <c:pt idx="12">
                  <c:v>4.8420199999999998</c:v>
                </c:pt>
                <c:pt idx="13">
                  <c:v>5.2469900000000003</c:v>
                </c:pt>
                <c:pt idx="14">
                  <c:v>5.6550900000000004</c:v>
                </c:pt>
                <c:pt idx="15">
                  <c:v>6.06229</c:v>
                </c:pt>
                <c:pt idx="16">
                  <c:v>6.4673999999999996</c:v>
                </c:pt>
                <c:pt idx="17">
                  <c:v>6.8716299999999997</c:v>
                </c:pt>
                <c:pt idx="18">
                  <c:v>7.2775499999999997</c:v>
                </c:pt>
                <c:pt idx="19">
                  <c:v>7.68377</c:v>
                </c:pt>
                <c:pt idx="20">
                  <c:v>8.0926200000000001</c:v>
                </c:pt>
                <c:pt idx="21">
                  <c:v>8.4993999999999996</c:v>
                </c:pt>
                <c:pt idx="22">
                  <c:v>8.9051799999999997</c:v>
                </c:pt>
                <c:pt idx="23">
                  <c:v>9.3107699999999998</c:v>
                </c:pt>
                <c:pt idx="24">
                  <c:v>9.7141599999999997</c:v>
                </c:pt>
                <c:pt idx="25">
                  <c:v>10.1213</c:v>
                </c:pt>
                <c:pt idx="26">
                  <c:v>10.527699999999999</c:v>
                </c:pt>
                <c:pt idx="27">
                  <c:v>10.9381</c:v>
                </c:pt>
                <c:pt idx="28">
                  <c:v>11.3431</c:v>
                </c:pt>
                <c:pt idx="29">
                  <c:v>11.7478</c:v>
                </c:pt>
                <c:pt idx="30">
                  <c:v>12.1556</c:v>
                </c:pt>
                <c:pt idx="31">
                  <c:v>12.5596</c:v>
                </c:pt>
                <c:pt idx="32">
                  <c:v>12.9674</c:v>
                </c:pt>
                <c:pt idx="33">
                  <c:v>13.3749</c:v>
                </c:pt>
                <c:pt idx="34">
                  <c:v>13.7811</c:v>
                </c:pt>
                <c:pt idx="35">
                  <c:v>14.1845</c:v>
                </c:pt>
                <c:pt idx="36">
                  <c:v>14.592499999999999</c:v>
                </c:pt>
                <c:pt idx="37">
                  <c:v>14.9971</c:v>
                </c:pt>
                <c:pt idx="38">
                  <c:v>15.408300000000001</c:v>
                </c:pt>
                <c:pt idx="39">
                  <c:v>15.811500000000001</c:v>
                </c:pt>
                <c:pt idx="40">
                  <c:v>16.219100000000001</c:v>
                </c:pt>
                <c:pt idx="41">
                  <c:v>16.626100000000001</c:v>
                </c:pt>
                <c:pt idx="42">
                  <c:v>17.028600000000001</c:v>
                </c:pt>
                <c:pt idx="43">
                  <c:v>17.436800000000002</c:v>
                </c:pt>
                <c:pt idx="44">
                  <c:v>17.845500000000001</c:v>
                </c:pt>
                <c:pt idx="45">
                  <c:v>18.247299999999999</c:v>
                </c:pt>
                <c:pt idx="46">
                  <c:v>18.654499999999999</c:v>
                </c:pt>
                <c:pt idx="47">
                  <c:v>19.0642</c:v>
                </c:pt>
                <c:pt idx="48">
                  <c:v>19.465900000000001</c:v>
                </c:pt>
                <c:pt idx="49">
                  <c:v>19.8748</c:v>
                </c:pt>
                <c:pt idx="50">
                  <c:v>20.279199999999999</c:v>
                </c:pt>
                <c:pt idx="51">
                  <c:v>20.683499999999999</c:v>
                </c:pt>
                <c:pt idx="52">
                  <c:v>21.095700000000001</c:v>
                </c:pt>
                <c:pt idx="53">
                  <c:v>21.498999999999999</c:v>
                </c:pt>
                <c:pt idx="54">
                  <c:v>21.906700000000001</c:v>
                </c:pt>
                <c:pt idx="55">
                  <c:v>22.3093</c:v>
                </c:pt>
                <c:pt idx="56">
                  <c:v>22.716999999999999</c:v>
                </c:pt>
                <c:pt idx="57">
                  <c:v>23.121700000000001</c:v>
                </c:pt>
                <c:pt idx="58">
                  <c:v>23.5306</c:v>
                </c:pt>
                <c:pt idx="59">
                  <c:v>23.938199999999998</c:v>
                </c:pt>
                <c:pt idx="60">
                  <c:v>24.343599999999999</c:v>
                </c:pt>
                <c:pt idx="61">
                  <c:v>24.746500000000001</c:v>
                </c:pt>
                <c:pt idx="62">
                  <c:v>25.151800000000001</c:v>
                </c:pt>
                <c:pt idx="63">
                  <c:v>25.561800000000002</c:v>
                </c:pt>
                <c:pt idx="64">
                  <c:v>25.964300000000001</c:v>
                </c:pt>
                <c:pt idx="65">
                  <c:v>26.374500000000001</c:v>
                </c:pt>
                <c:pt idx="66">
                  <c:v>26.7788</c:v>
                </c:pt>
                <c:pt idx="67">
                  <c:v>27.1861</c:v>
                </c:pt>
                <c:pt idx="68">
                  <c:v>27.591100000000001</c:v>
                </c:pt>
                <c:pt idx="69">
                  <c:v>27.998699999999999</c:v>
                </c:pt>
                <c:pt idx="70">
                  <c:v>28.4084</c:v>
                </c:pt>
                <c:pt idx="71">
                  <c:v>28.809100000000001</c:v>
                </c:pt>
                <c:pt idx="72">
                  <c:v>29.217099999999999</c:v>
                </c:pt>
                <c:pt idx="73">
                  <c:v>29.622299999999999</c:v>
                </c:pt>
                <c:pt idx="74">
                  <c:v>30.028600000000001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1.42197</c:v>
                </c:pt>
                <c:pt idx="1">
                  <c:v>1.4737200000000001</c:v>
                </c:pt>
                <c:pt idx="2">
                  <c:v>1.5241199999999999</c:v>
                </c:pt>
                <c:pt idx="3">
                  <c:v>1.57497</c:v>
                </c:pt>
                <c:pt idx="4">
                  <c:v>1.6260399999999999</c:v>
                </c:pt>
                <c:pt idx="5">
                  <c:v>1.67618</c:v>
                </c:pt>
                <c:pt idx="6">
                  <c:v>1.7286099999999998</c:v>
                </c:pt>
                <c:pt idx="7">
                  <c:v>1.7809200000000001</c:v>
                </c:pt>
                <c:pt idx="8">
                  <c:v>1.83277</c:v>
                </c:pt>
                <c:pt idx="9">
                  <c:v>1.8819399999999999</c:v>
                </c:pt>
                <c:pt idx="10">
                  <c:v>1.9303400000000002</c:v>
                </c:pt>
                <c:pt idx="11">
                  <c:v>1.9793400000000001</c:v>
                </c:pt>
                <c:pt idx="12">
                  <c:v>2.0312199999999998</c:v>
                </c:pt>
                <c:pt idx="13">
                  <c:v>2.08304</c:v>
                </c:pt>
                <c:pt idx="14">
                  <c:v>2.1322700000000001</c:v>
                </c:pt>
                <c:pt idx="15">
                  <c:v>2.1800999999999999</c:v>
                </c:pt>
                <c:pt idx="16">
                  <c:v>2.2284699999999997</c:v>
                </c:pt>
                <c:pt idx="17">
                  <c:v>2.2761500000000003</c:v>
                </c:pt>
                <c:pt idx="18">
                  <c:v>2.32551</c:v>
                </c:pt>
                <c:pt idx="19">
                  <c:v>2.3758499999999998</c:v>
                </c:pt>
                <c:pt idx="20">
                  <c:v>2.4241299999999999</c:v>
                </c:pt>
                <c:pt idx="21">
                  <c:v>2.4685299999999999</c:v>
                </c:pt>
                <c:pt idx="22">
                  <c:v>2.5135100000000001</c:v>
                </c:pt>
                <c:pt idx="23">
                  <c:v>2.5588199999999999</c:v>
                </c:pt>
                <c:pt idx="24">
                  <c:v>2.6021899999999998</c:v>
                </c:pt>
                <c:pt idx="25">
                  <c:v>2.6419100000000002</c:v>
                </c:pt>
                <c:pt idx="26">
                  <c:v>2.6801599999999999</c:v>
                </c:pt>
                <c:pt idx="27">
                  <c:v>2.71611</c:v>
                </c:pt>
                <c:pt idx="28">
                  <c:v>2.7479999999999998</c:v>
                </c:pt>
                <c:pt idx="29">
                  <c:v>2.7772799999999997</c:v>
                </c:pt>
                <c:pt idx="30">
                  <c:v>2.80491</c:v>
                </c:pt>
                <c:pt idx="31">
                  <c:v>2.8298899999999998</c:v>
                </c:pt>
                <c:pt idx="32">
                  <c:v>2.8527900000000002</c:v>
                </c:pt>
                <c:pt idx="33">
                  <c:v>2.87466</c:v>
                </c:pt>
                <c:pt idx="34">
                  <c:v>2.89567</c:v>
                </c:pt>
                <c:pt idx="35">
                  <c:v>2.9149700000000003</c:v>
                </c:pt>
                <c:pt idx="36">
                  <c:v>2.9303400000000002</c:v>
                </c:pt>
                <c:pt idx="37">
                  <c:v>2.9419599999999999</c:v>
                </c:pt>
                <c:pt idx="38">
                  <c:v>2.9519299999999999</c:v>
                </c:pt>
                <c:pt idx="39">
                  <c:v>2.9613299999999998</c:v>
                </c:pt>
                <c:pt idx="40">
                  <c:v>2.9689900000000002</c:v>
                </c:pt>
                <c:pt idx="41">
                  <c:v>2.9738100000000003</c:v>
                </c:pt>
                <c:pt idx="42">
                  <c:v>2.9767199999999998</c:v>
                </c:pt>
                <c:pt idx="43">
                  <c:v>2.9791299999999996</c:v>
                </c:pt>
                <c:pt idx="44">
                  <c:v>2.9787499999999998</c:v>
                </c:pt>
                <c:pt idx="45">
                  <c:v>2.9757899999999999</c:v>
                </c:pt>
                <c:pt idx="46">
                  <c:v>2.97296</c:v>
                </c:pt>
                <c:pt idx="47">
                  <c:v>2.9683199999999998</c:v>
                </c:pt>
                <c:pt idx="48">
                  <c:v>2.9595700000000003</c:v>
                </c:pt>
                <c:pt idx="49">
                  <c:v>2.9494899999999999</c:v>
                </c:pt>
                <c:pt idx="50">
                  <c:v>2.9423899999999996</c:v>
                </c:pt>
                <c:pt idx="51">
                  <c:v>2.9328900000000004</c:v>
                </c:pt>
                <c:pt idx="52">
                  <c:v>2.9248000000000003</c:v>
                </c:pt>
                <c:pt idx="53">
                  <c:v>2.91811</c:v>
                </c:pt>
                <c:pt idx="54">
                  <c:v>2.91134</c:v>
                </c:pt>
                <c:pt idx="55">
                  <c:v>2.9027099999999999</c:v>
                </c:pt>
                <c:pt idx="56">
                  <c:v>2.8915299999999999</c:v>
                </c:pt>
                <c:pt idx="57">
                  <c:v>2.8799299999999999</c:v>
                </c:pt>
                <c:pt idx="58">
                  <c:v>2.8690199999999999</c:v>
                </c:pt>
                <c:pt idx="59">
                  <c:v>2.8601999999999999</c:v>
                </c:pt>
                <c:pt idx="60">
                  <c:v>2.85107</c:v>
                </c:pt>
                <c:pt idx="61">
                  <c:v>2.8399200000000002</c:v>
                </c:pt>
                <c:pt idx="62">
                  <c:v>2.8259299999999996</c:v>
                </c:pt>
                <c:pt idx="63">
                  <c:v>2.8102399999999998</c:v>
                </c:pt>
                <c:pt idx="64">
                  <c:v>2.79393</c:v>
                </c:pt>
                <c:pt idx="65">
                  <c:v>2.7768199999999998</c:v>
                </c:pt>
                <c:pt idx="66">
                  <c:v>2.7612999999999999</c:v>
                </c:pt>
                <c:pt idx="67">
                  <c:v>2.7478200000000004</c:v>
                </c:pt>
                <c:pt idx="68">
                  <c:v>2.7310600000000003</c:v>
                </c:pt>
                <c:pt idx="69">
                  <c:v>2.7143099999999998</c:v>
                </c:pt>
                <c:pt idx="70">
                  <c:v>2.7006599999999996</c:v>
                </c:pt>
                <c:pt idx="71">
                  <c:v>2.6875</c:v>
                </c:pt>
                <c:pt idx="72">
                  <c:v>2.6728700000000001</c:v>
                </c:pt>
                <c:pt idx="73">
                  <c:v>2.6592500000000001</c:v>
                </c:pt>
                <c:pt idx="74">
                  <c:v>2.6459100000000002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30.028600000000001</c:v>
                </c:pt>
                <c:pt idx="1">
                  <c:v>30.622900000000001</c:v>
                </c:pt>
                <c:pt idx="2">
                  <c:v>30.9986</c:v>
                </c:pt>
                <c:pt idx="3">
                  <c:v>31.3765</c:v>
                </c:pt>
                <c:pt idx="4">
                  <c:v>31.749300000000002</c:v>
                </c:pt>
                <c:pt idx="5">
                  <c:v>32.123600000000003</c:v>
                </c:pt>
                <c:pt idx="6">
                  <c:v>32.529499999999999</c:v>
                </c:pt>
                <c:pt idx="7">
                  <c:v>32.935400000000001</c:v>
                </c:pt>
                <c:pt idx="8">
                  <c:v>33.342199999999998</c:v>
                </c:pt>
                <c:pt idx="9">
                  <c:v>33.749000000000002</c:v>
                </c:pt>
                <c:pt idx="10">
                  <c:v>34.154699999999998</c:v>
                </c:pt>
                <c:pt idx="11">
                  <c:v>34.559399999999997</c:v>
                </c:pt>
                <c:pt idx="12">
                  <c:v>34.966900000000003</c:v>
                </c:pt>
                <c:pt idx="13">
                  <c:v>35.377099999999999</c:v>
                </c:pt>
                <c:pt idx="14">
                  <c:v>35.7819</c:v>
                </c:pt>
                <c:pt idx="15">
                  <c:v>36.184199999999997</c:v>
                </c:pt>
                <c:pt idx="16">
                  <c:v>36.588200000000001</c:v>
                </c:pt>
                <c:pt idx="17">
                  <c:v>36.999699999999997</c:v>
                </c:pt>
                <c:pt idx="18">
                  <c:v>37.406700000000001</c:v>
                </c:pt>
                <c:pt idx="19">
                  <c:v>37.8125</c:v>
                </c:pt>
                <c:pt idx="20">
                  <c:v>38.217700000000001</c:v>
                </c:pt>
                <c:pt idx="21">
                  <c:v>38.622100000000003</c:v>
                </c:pt>
                <c:pt idx="22">
                  <c:v>39.0274</c:v>
                </c:pt>
                <c:pt idx="23">
                  <c:v>39.438499999999998</c:v>
                </c:pt>
                <c:pt idx="24">
                  <c:v>39.843200000000003</c:v>
                </c:pt>
                <c:pt idx="25">
                  <c:v>40.247999999999998</c:v>
                </c:pt>
                <c:pt idx="26">
                  <c:v>40.654899999999998</c:v>
                </c:pt>
                <c:pt idx="27">
                  <c:v>41.059600000000003</c:v>
                </c:pt>
                <c:pt idx="28">
                  <c:v>41.466299999999997</c:v>
                </c:pt>
                <c:pt idx="29">
                  <c:v>41.874499999999998</c:v>
                </c:pt>
                <c:pt idx="30">
                  <c:v>42.278199999999998</c:v>
                </c:pt>
                <c:pt idx="31">
                  <c:v>42.687199999999997</c:v>
                </c:pt>
                <c:pt idx="32">
                  <c:v>43.0901</c:v>
                </c:pt>
                <c:pt idx="33">
                  <c:v>43.497700000000002</c:v>
                </c:pt>
                <c:pt idx="34">
                  <c:v>43.906999999999996</c:v>
                </c:pt>
                <c:pt idx="35">
                  <c:v>44.310299999999998</c:v>
                </c:pt>
                <c:pt idx="36">
                  <c:v>44.716099999999997</c:v>
                </c:pt>
                <c:pt idx="37">
                  <c:v>45.122</c:v>
                </c:pt>
                <c:pt idx="38">
                  <c:v>45.528399999999998</c:v>
                </c:pt>
                <c:pt idx="39">
                  <c:v>45.939300000000003</c:v>
                </c:pt>
                <c:pt idx="40">
                  <c:v>46.342399999999998</c:v>
                </c:pt>
                <c:pt idx="41">
                  <c:v>46.747199999999999</c:v>
                </c:pt>
                <c:pt idx="42">
                  <c:v>47.155900000000003</c:v>
                </c:pt>
                <c:pt idx="43">
                  <c:v>47.560600000000001</c:v>
                </c:pt>
                <c:pt idx="44">
                  <c:v>47.964599999999997</c:v>
                </c:pt>
                <c:pt idx="45">
                  <c:v>48.372300000000003</c:v>
                </c:pt>
                <c:pt idx="46">
                  <c:v>48.781100000000002</c:v>
                </c:pt>
                <c:pt idx="47">
                  <c:v>49.1858</c:v>
                </c:pt>
                <c:pt idx="48">
                  <c:v>49.591999999999999</c:v>
                </c:pt>
                <c:pt idx="49">
                  <c:v>49.997900000000001</c:v>
                </c:pt>
                <c:pt idx="50">
                  <c:v>50.402000000000001</c:v>
                </c:pt>
                <c:pt idx="51">
                  <c:v>50.810499999999998</c:v>
                </c:pt>
                <c:pt idx="52">
                  <c:v>51.2181</c:v>
                </c:pt>
                <c:pt idx="53">
                  <c:v>51.621600000000001</c:v>
                </c:pt>
                <c:pt idx="54">
                  <c:v>52.0261</c:v>
                </c:pt>
                <c:pt idx="55">
                  <c:v>52.433900000000001</c:v>
                </c:pt>
                <c:pt idx="56">
                  <c:v>52.841999999999999</c:v>
                </c:pt>
                <c:pt idx="57">
                  <c:v>53.251600000000003</c:v>
                </c:pt>
                <c:pt idx="58">
                  <c:v>53.657899999999998</c:v>
                </c:pt>
                <c:pt idx="59">
                  <c:v>54.060699999999997</c:v>
                </c:pt>
                <c:pt idx="60">
                  <c:v>54.465600000000002</c:v>
                </c:pt>
                <c:pt idx="61">
                  <c:v>54.875599999999999</c:v>
                </c:pt>
                <c:pt idx="62">
                  <c:v>55.280500000000004</c:v>
                </c:pt>
                <c:pt idx="63">
                  <c:v>55.685099999999998</c:v>
                </c:pt>
                <c:pt idx="64">
                  <c:v>56.088799999999999</c:v>
                </c:pt>
                <c:pt idx="65">
                  <c:v>56.497700000000002</c:v>
                </c:pt>
                <c:pt idx="66">
                  <c:v>56.906500000000001</c:v>
                </c:pt>
                <c:pt idx="67">
                  <c:v>57.3127</c:v>
                </c:pt>
                <c:pt idx="68">
                  <c:v>57.716799999999999</c:v>
                </c:pt>
                <c:pt idx="69">
                  <c:v>58.121699999999997</c:v>
                </c:pt>
                <c:pt idx="70">
                  <c:v>58.528199999999998</c:v>
                </c:pt>
                <c:pt idx="71">
                  <c:v>58.936199999999999</c:v>
                </c:pt>
                <c:pt idx="72">
                  <c:v>59.343299999999999</c:v>
                </c:pt>
                <c:pt idx="73">
                  <c:v>59.747999999999998</c:v>
                </c:pt>
                <c:pt idx="74">
                  <c:v>60.155099999999997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2.6459100000000002</c:v>
                </c:pt>
                <c:pt idx="1">
                  <c:v>2.6277099999999995</c:v>
                </c:pt>
                <c:pt idx="2">
                  <c:v>2.60867</c:v>
                </c:pt>
                <c:pt idx="3">
                  <c:v>2.5970500000000003</c:v>
                </c:pt>
                <c:pt idx="4">
                  <c:v>2.5840899999999998</c:v>
                </c:pt>
                <c:pt idx="5">
                  <c:v>2.5716399999999999</c:v>
                </c:pt>
                <c:pt idx="6">
                  <c:v>2.5613000000000001</c:v>
                </c:pt>
                <c:pt idx="7">
                  <c:v>2.5496600000000003</c:v>
                </c:pt>
                <c:pt idx="8">
                  <c:v>2.5364399999999998</c:v>
                </c:pt>
                <c:pt idx="9">
                  <c:v>2.5209100000000002</c:v>
                </c:pt>
                <c:pt idx="10">
                  <c:v>2.50197</c:v>
                </c:pt>
                <c:pt idx="11">
                  <c:v>2.4846499999999998</c:v>
                </c:pt>
                <c:pt idx="12">
                  <c:v>2.47078</c:v>
                </c:pt>
                <c:pt idx="13">
                  <c:v>2.4617599999999999</c:v>
                </c:pt>
                <c:pt idx="14">
                  <c:v>2.4519899999999999</c:v>
                </c:pt>
                <c:pt idx="15">
                  <c:v>2.4415200000000001</c:v>
                </c:pt>
                <c:pt idx="16">
                  <c:v>2.42977</c:v>
                </c:pt>
                <c:pt idx="17">
                  <c:v>2.4172099999999999</c:v>
                </c:pt>
                <c:pt idx="18">
                  <c:v>2.40395</c:v>
                </c:pt>
                <c:pt idx="19">
                  <c:v>2.3913100000000003</c:v>
                </c:pt>
                <c:pt idx="20">
                  <c:v>2.3786700000000001</c:v>
                </c:pt>
                <c:pt idx="21">
                  <c:v>2.3655399999999998</c:v>
                </c:pt>
                <c:pt idx="22">
                  <c:v>2.3551799999999998</c:v>
                </c:pt>
                <c:pt idx="23">
                  <c:v>2.3442499999999997</c:v>
                </c:pt>
                <c:pt idx="24">
                  <c:v>2.3345199999999999</c:v>
                </c:pt>
                <c:pt idx="25">
                  <c:v>2.32517</c:v>
                </c:pt>
                <c:pt idx="26">
                  <c:v>2.3162400000000001</c:v>
                </c:pt>
                <c:pt idx="27">
                  <c:v>2.31033</c:v>
                </c:pt>
                <c:pt idx="28">
                  <c:v>2.2949000000000002</c:v>
                </c:pt>
                <c:pt idx="29">
                  <c:v>2.2827199999999999</c:v>
                </c:pt>
                <c:pt idx="30">
                  <c:v>2.27413</c:v>
                </c:pt>
                <c:pt idx="31">
                  <c:v>2.2678499999999997</c:v>
                </c:pt>
                <c:pt idx="32">
                  <c:v>2.2667899999999999</c:v>
                </c:pt>
                <c:pt idx="33">
                  <c:v>2.2692600000000001</c:v>
                </c:pt>
                <c:pt idx="34">
                  <c:v>2.2745600000000001</c:v>
                </c:pt>
                <c:pt idx="35">
                  <c:v>2.2867100000000002</c:v>
                </c:pt>
                <c:pt idx="36">
                  <c:v>2.3001399999999999</c:v>
                </c:pt>
                <c:pt idx="37">
                  <c:v>2.3141099999999999</c:v>
                </c:pt>
                <c:pt idx="38">
                  <c:v>2.3281399999999999</c:v>
                </c:pt>
                <c:pt idx="39">
                  <c:v>2.3426200000000001</c:v>
                </c:pt>
                <c:pt idx="40">
                  <c:v>2.3592200000000001</c:v>
                </c:pt>
                <c:pt idx="41">
                  <c:v>2.3778199999999998</c:v>
                </c:pt>
                <c:pt idx="42">
                  <c:v>2.39547</c:v>
                </c:pt>
                <c:pt idx="43">
                  <c:v>2.4132899999999999</c:v>
                </c:pt>
                <c:pt idx="44">
                  <c:v>2.4294799999999999</c:v>
                </c:pt>
                <c:pt idx="45">
                  <c:v>2.4443999999999999</c:v>
                </c:pt>
                <c:pt idx="46">
                  <c:v>2.45696</c:v>
                </c:pt>
                <c:pt idx="47">
                  <c:v>2.4648700000000003</c:v>
                </c:pt>
                <c:pt idx="48">
                  <c:v>2.4718900000000001</c:v>
                </c:pt>
                <c:pt idx="49">
                  <c:v>2.4776899999999999</c:v>
                </c:pt>
                <c:pt idx="50">
                  <c:v>2.48488</c:v>
                </c:pt>
                <c:pt idx="51">
                  <c:v>2.4970500000000002</c:v>
                </c:pt>
                <c:pt idx="52">
                  <c:v>2.5091299999999999</c:v>
                </c:pt>
                <c:pt idx="53">
                  <c:v>2.5194899999999998</c:v>
                </c:pt>
                <c:pt idx="54">
                  <c:v>2.5265</c:v>
                </c:pt>
                <c:pt idx="55">
                  <c:v>2.5320100000000001</c:v>
                </c:pt>
                <c:pt idx="56">
                  <c:v>2.5363500000000001</c:v>
                </c:pt>
                <c:pt idx="57">
                  <c:v>2.54026</c:v>
                </c:pt>
                <c:pt idx="58">
                  <c:v>2.5428199999999999</c:v>
                </c:pt>
                <c:pt idx="59">
                  <c:v>2.5403099999999998</c:v>
                </c:pt>
                <c:pt idx="60">
                  <c:v>2.5317400000000001</c:v>
                </c:pt>
                <c:pt idx="61">
                  <c:v>2.5223499999999999</c:v>
                </c:pt>
                <c:pt idx="62">
                  <c:v>2.5129600000000001</c:v>
                </c:pt>
                <c:pt idx="63">
                  <c:v>2.5024299999999999</c:v>
                </c:pt>
                <c:pt idx="64">
                  <c:v>2.4918299999999998</c:v>
                </c:pt>
                <c:pt idx="65">
                  <c:v>2.4779599999999999</c:v>
                </c:pt>
                <c:pt idx="66">
                  <c:v>2.46007</c:v>
                </c:pt>
                <c:pt idx="67">
                  <c:v>2.4400599999999999</c:v>
                </c:pt>
                <c:pt idx="68">
                  <c:v>2.4189500000000002</c:v>
                </c:pt>
                <c:pt idx="69">
                  <c:v>2.3994</c:v>
                </c:pt>
                <c:pt idx="70">
                  <c:v>2.3825400000000001</c:v>
                </c:pt>
                <c:pt idx="71">
                  <c:v>2.3645399999999999</c:v>
                </c:pt>
                <c:pt idx="72">
                  <c:v>2.35405</c:v>
                </c:pt>
                <c:pt idx="73">
                  <c:v>2.3431500000000001</c:v>
                </c:pt>
                <c:pt idx="74">
                  <c:v>2.3279800000000002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15.038774999999999</c:v>
                </c:pt>
                <c:pt idx="1">
                  <c:v>45.116324999999996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2.5738074324324298</c:v>
                </c:pt>
                <c:pt idx="1">
                  <c:v>2.4352978378378372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0.376303</c:v>
                </c:pt>
                <c:pt idx="2">
                  <c:v>0.77855099999999999</c:v>
                </c:pt>
                <c:pt idx="3">
                  <c:v>1.18449</c:v>
                </c:pt>
                <c:pt idx="4">
                  <c:v>1.5905499999999999</c:v>
                </c:pt>
                <c:pt idx="5">
                  <c:v>1.9973099999999999</c:v>
                </c:pt>
                <c:pt idx="6">
                  <c:v>2.4063699999999999</c:v>
                </c:pt>
                <c:pt idx="7">
                  <c:v>2.8087399999999998</c:v>
                </c:pt>
                <c:pt idx="8">
                  <c:v>3.2156400000000001</c:v>
                </c:pt>
                <c:pt idx="9">
                  <c:v>3.6237900000000001</c:v>
                </c:pt>
                <c:pt idx="10">
                  <c:v>4.0314800000000002</c:v>
                </c:pt>
                <c:pt idx="11">
                  <c:v>4.43736</c:v>
                </c:pt>
                <c:pt idx="12">
                  <c:v>4.8420199999999998</c:v>
                </c:pt>
                <c:pt idx="13">
                  <c:v>5.2469900000000003</c:v>
                </c:pt>
                <c:pt idx="14">
                  <c:v>5.6550900000000004</c:v>
                </c:pt>
                <c:pt idx="15">
                  <c:v>6.06229</c:v>
                </c:pt>
                <c:pt idx="16">
                  <c:v>6.4673999999999996</c:v>
                </c:pt>
                <c:pt idx="17">
                  <c:v>6.8716299999999997</c:v>
                </c:pt>
                <c:pt idx="18">
                  <c:v>7.2775499999999997</c:v>
                </c:pt>
                <c:pt idx="19">
                  <c:v>7.68377</c:v>
                </c:pt>
                <c:pt idx="20">
                  <c:v>8.0926200000000001</c:v>
                </c:pt>
                <c:pt idx="21">
                  <c:v>8.4993999999999996</c:v>
                </c:pt>
                <c:pt idx="22">
                  <c:v>8.9051799999999997</c:v>
                </c:pt>
                <c:pt idx="23">
                  <c:v>9.3107699999999998</c:v>
                </c:pt>
                <c:pt idx="24">
                  <c:v>9.7141599999999997</c:v>
                </c:pt>
                <c:pt idx="25">
                  <c:v>10.1213</c:v>
                </c:pt>
                <c:pt idx="26">
                  <c:v>10.527699999999999</c:v>
                </c:pt>
                <c:pt idx="27">
                  <c:v>10.9381</c:v>
                </c:pt>
                <c:pt idx="28">
                  <c:v>11.3431</c:v>
                </c:pt>
                <c:pt idx="29">
                  <c:v>11.7478</c:v>
                </c:pt>
                <c:pt idx="30">
                  <c:v>12.1556</c:v>
                </c:pt>
                <c:pt idx="31">
                  <c:v>12.5596</c:v>
                </c:pt>
                <c:pt idx="32">
                  <c:v>12.9674</c:v>
                </c:pt>
                <c:pt idx="33">
                  <c:v>13.3749</c:v>
                </c:pt>
                <c:pt idx="34">
                  <c:v>13.7811</c:v>
                </c:pt>
                <c:pt idx="35">
                  <c:v>14.1845</c:v>
                </c:pt>
                <c:pt idx="36">
                  <c:v>14.592499999999999</c:v>
                </c:pt>
                <c:pt idx="37">
                  <c:v>14.9971</c:v>
                </c:pt>
                <c:pt idx="38">
                  <c:v>15.408300000000001</c:v>
                </c:pt>
                <c:pt idx="39">
                  <c:v>15.811500000000001</c:v>
                </c:pt>
                <c:pt idx="40">
                  <c:v>16.219100000000001</c:v>
                </c:pt>
                <c:pt idx="41">
                  <c:v>16.626100000000001</c:v>
                </c:pt>
                <c:pt idx="42">
                  <c:v>17.028600000000001</c:v>
                </c:pt>
                <c:pt idx="43">
                  <c:v>17.436800000000002</c:v>
                </c:pt>
                <c:pt idx="44">
                  <c:v>17.845500000000001</c:v>
                </c:pt>
                <c:pt idx="45">
                  <c:v>18.247299999999999</c:v>
                </c:pt>
                <c:pt idx="46">
                  <c:v>18.654499999999999</c:v>
                </c:pt>
                <c:pt idx="47">
                  <c:v>19.0642</c:v>
                </c:pt>
                <c:pt idx="48">
                  <c:v>19.465900000000001</c:v>
                </c:pt>
                <c:pt idx="49">
                  <c:v>19.8748</c:v>
                </c:pt>
                <c:pt idx="50">
                  <c:v>20.279199999999999</c:v>
                </c:pt>
                <c:pt idx="51">
                  <c:v>20.683499999999999</c:v>
                </c:pt>
                <c:pt idx="52">
                  <c:v>21.095700000000001</c:v>
                </c:pt>
                <c:pt idx="53">
                  <c:v>21.498999999999999</c:v>
                </c:pt>
                <c:pt idx="54">
                  <c:v>21.906700000000001</c:v>
                </c:pt>
                <c:pt idx="55">
                  <c:v>22.3093</c:v>
                </c:pt>
                <c:pt idx="56">
                  <c:v>22.716999999999999</c:v>
                </c:pt>
                <c:pt idx="57">
                  <c:v>23.121700000000001</c:v>
                </c:pt>
                <c:pt idx="58">
                  <c:v>23.5306</c:v>
                </c:pt>
                <c:pt idx="59">
                  <c:v>23.938199999999998</c:v>
                </c:pt>
                <c:pt idx="60">
                  <c:v>24.343599999999999</c:v>
                </c:pt>
                <c:pt idx="61">
                  <c:v>24.746500000000001</c:v>
                </c:pt>
                <c:pt idx="62">
                  <c:v>25.151800000000001</c:v>
                </c:pt>
                <c:pt idx="63">
                  <c:v>25.561800000000002</c:v>
                </c:pt>
                <c:pt idx="64">
                  <c:v>25.964300000000001</c:v>
                </c:pt>
                <c:pt idx="65">
                  <c:v>26.374500000000001</c:v>
                </c:pt>
                <c:pt idx="66">
                  <c:v>26.7788</c:v>
                </c:pt>
                <c:pt idx="67">
                  <c:v>27.1861</c:v>
                </c:pt>
                <c:pt idx="68">
                  <c:v>27.591100000000001</c:v>
                </c:pt>
                <c:pt idx="69">
                  <c:v>27.998699999999999</c:v>
                </c:pt>
                <c:pt idx="70">
                  <c:v>28.4084</c:v>
                </c:pt>
                <c:pt idx="71">
                  <c:v>28.809100000000001</c:v>
                </c:pt>
                <c:pt idx="72">
                  <c:v>29.217099999999999</c:v>
                </c:pt>
                <c:pt idx="73">
                  <c:v>29.622299999999999</c:v>
                </c:pt>
                <c:pt idx="74">
                  <c:v>30.028600000000001</c:v>
                </c:pt>
                <c:pt idx="75">
                  <c:v>30.622900000000001</c:v>
                </c:pt>
                <c:pt idx="76">
                  <c:v>30.9986</c:v>
                </c:pt>
                <c:pt idx="77">
                  <c:v>31.3765</c:v>
                </c:pt>
                <c:pt idx="78">
                  <c:v>31.749300000000002</c:v>
                </c:pt>
                <c:pt idx="79">
                  <c:v>32.123600000000003</c:v>
                </c:pt>
                <c:pt idx="80">
                  <c:v>32.529499999999999</c:v>
                </c:pt>
                <c:pt idx="81">
                  <c:v>32.935400000000001</c:v>
                </c:pt>
                <c:pt idx="82">
                  <c:v>33.342199999999998</c:v>
                </c:pt>
                <c:pt idx="83">
                  <c:v>33.749000000000002</c:v>
                </c:pt>
                <c:pt idx="84">
                  <c:v>34.154699999999998</c:v>
                </c:pt>
                <c:pt idx="85">
                  <c:v>34.559399999999997</c:v>
                </c:pt>
                <c:pt idx="86">
                  <c:v>34.966900000000003</c:v>
                </c:pt>
                <c:pt idx="87">
                  <c:v>35.377099999999999</c:v>
                </c:pt>
                <c:pt idx="88">
                  <c:v>35.7819</c:v>
                </c:pt>
                <c:pt idx="89">
                  <c:v>36.184199999999997</c:v>
                </c:pt>
                <c:pt idx="90">
                  <c:v>36.588200000000001</c:v>
                </c:pt>
                <c:pt idx="91">
                  <c:v>36.999699999999997</c:v>
                </c:pt>
                <c:pt idx="92">
                  <c:v>37.406700000000001</c:v>
                </c:pt>
                <c:pt idx="93">
                  <c:v>37.8125</c:v>
                </c:pt>
                <c:pt idx="94">
                  <c:v>38.217700000000001</c:v>
                </c:pt>
                <c:pt idx="95">
                  <c:v>38.622100000000003</c:v>
                </c:pt>
                <c:pt idx="96">
                  <c:v>39.0274</c:v>
                </c:pt>
                <c:pt idx="97">
                  <c:v>39.438499999999998</c:v>
                </c:pt>
                <c:pt idx="98">
                  <c:v>39.843200000000003</c:v>
                </c:pt>
                <c:pt idx="99">
                  <c:v>40.247999999999998</c:v>
                </c:pt>
                <c:pt idx="100">
                  <c:v>40.654899999999998</c:v>
                </c:pt>
                <c:pt idx="101">
                  <c:v>41.059600000000003</c:v>
                </c:pt>
                <c:pt idx="102">
                  <c:v>41.466299999999997</c:v>
                </c:pt>
                <c:pt idx="103">
                  <c:v>41.874499999999998</c:v>
                </c:pt>
                <c:pt idx="104">
                  <c:v>42.278199999999998</c:v>
                </c:pt>
                <c:pt idx="105">
                  <c:v>42.687199999999997</c:v>
                </c:pt>
                <c:pt idx="106">
                  <c:v>43.0901</c:v>
                </c:pt>
                <c:pt idx="107">
                  <c:v>43.497700000000002</c:v>
                </c:pt>
                <c:pt idx="108">
                  <c:v>43.906999999999996</c:v>
                </c:pt>
                <c:pt idx="109">
                  <c:v>44.310299999999998</c:v>
                </c:pt>
                <c:pt idx="110">
                  <c:v>44.716099999999997</c:v>
                </c:pt>
                <c:pt idx="111">
                  <c:v>45.122</c:v>
                </c:pt>
                <c:pt idx="112">
                  <c:v>45.528399999999998</c:v>
                </c:pt>
                <c:pt idx="113">
                  <c:v>45.939300000000003</c:v>
                </c:pt>
                <c:pt idx="114">
                  <c:v>46.342399999999998</c:v>
                </c:pt>
                <c:pt idx="115">
                  <c:v>46.747199999999999</c:v>
                </c:pt>
                <c:pt idx="116">
                  <c:v>47.155900000000003</c:v>
                </c:pt>
                <c:pt idx="117">
                  <c:v>47.560600000000001</c:v>
                </c:pt>
                <c:pt idx="118">
                  <c:v>47.964599999999997</c:v>
                </c:pt>
                <c:pt idx="119">
                  <c:v>48.372300000000003</c:v>
                </c:pt>
                <c:pt idx="120">
                  <c:v>48.781100000000002</c:v>
                </c:pt>
                <c:pt idx="121">
                  <c:v>49.1858</c:v>
                </c:pt>
                <c:pt idx="122">
                  <c:v>49.591999999999999</c:v>
                </c:pt>
                <c:pt idx="123">
                  <c:v>49.997900000000001</c:v>
                </c:pt>
                <c:pt idx="124">
                  <c:v>50.402000000000001</c:v>
                </c:pt>
                <c:pt idx="125">
                  <c:v>50.810499999999998</c:v>
                </c:pt>
                <c:pt idx="126">
                  <c:v>51.2181</c:v>
                </c:pt>
                <c:pt idx="127">
                  <c:v>51.621600000000001</c:v>
                </c:pt>
                <c:pt idx="128">
                  <c:v>52.0261</c:v>
                </c:pt>
                <c:pt idx="129">
                  <c:v>52.433900000000001</c:v>
                </c:pt>
                <c:pt idx="130">
                  <c:v>52.841999999999999</c:v>
                </c:pt>
                <c:pt idx="131">
                  <c:v>53.251600000000003</c:v>
                </c:pt>
                <c:pt idx="132">
                  <c:v>53.657899999999998</c:v>
                </c:pt>
                <c:pt idx="133">
                  <c:v>54.060699999999997</c:v>
                </c:pt>
                <c:pt idx="134">
                  <c:v>54.465600000000002</c:v>
                </c:pt>
                <c:pt idx="135">
                  <c:v>54.875599999999999</c:v>
                </c:pt>
                <c:pt idx="136">
                  <c:v>55.280500000000004</c:v>
                </c:pt>
                <c:pt idx="137">
                  <c:v>55.685099999999998</c:v>
                </c:pt>
                <c:pt idx="138">
                  <c:v>56.088799999999999</c:v>
                </c:pt>
                <c:pt idx="139">
                  <c:v>56.497700000000002</c:v>
                </c:pt>
                <c:pt idx="140">
                  <c:v>56.906500000000001</c:v>
                </c:pt>
                <c:pt idx="141">
                  <c:v>57.3127</c:v>
                </c:pt>
                <c:pt idx="142">
                  <c:v>57.716799999999999</c:v>
                </c:pt>
                <c:pt idx="143">
                  <c:v>58.121699999999997</c:v>
                </c:pt>
                <c:pt idx="144">
                  <c:v>58.528199999999998</c:v>
                </c:pt>
                <c:pt idx="145">
                  <c:v>58.936199999999999</c:v>
                </c:pt>
                <c:pt idx="146">
                  <c:v>59.343299999999999</c:v>
                </c:pt>
                <c:pt idx="147">
                  <c:v>59.747999999999998</c:v>
                </c:pt>
                <c:pt idx="148">
                  <c:v>60.155099999999997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56.649899999999995</c:v>
                </c:pt>
                <c:pt idx="1">
                  <c:v>55.310499999999998</c:v>
                </c:pt>
                <c:pt idx="2">
                  <c:v>54.048099999999998</c:v>
                </c:pt>
                <c:pt idx="3">
                  <c:v>52.777700000000003</c:v>
                </c:pt>
                <c:pt idx="4">
                  <c:v>51.485199999999999</c:v>
                </c:pt>
                <c:pt idx="5">
                  <c:v>50.236899999999999</c:v>
                </c:pt>
                <c:pt idx="6">
                  <c:v>48.9268</c:v>
                </c:pt>
                <c:pt idx="7">
                  <c:v>47.639399999999995</c:v>
                </c:pt>
                <c:pt idx="8">
                  <c:v>46.402300000000004</c:v>
                </c:pt>
                <c:pt idx="9">
                  <c:v>45.240900000000003</c:v>
                </c:pt>
                <c:pt idx="10">
                  <c:v>44.109700000000004</c:v>
                </c:pt>
                <c:pt idx="11">
                  <c:v>42.828300000000006</c:v>
                </c:pt>
                <c:pt idx="12">
                  <c:v>41.441000000000003</c:v>
                </c:pt>
                <c:pt idx="13">
                  <c:v>40.063700000000004</c:v>
                </c:pt>
                <c:pt idx="14">
                  <c:v>38.805900000000001</c:v>
                </c:pt>
                <c:pt idx="15">
                  <c:v>37.5548</c:v>
                </c:pt>
                <c:pt idx="16">
                  <c:v>36.348200000000006</c:v>
                </c:pt>
                <c:pt idx="17">
                  <c:v>35.194299999999998</c:v>
                </c:pt>
                <c:pt idx="18">
                  <c:v>33.989000000000004</c:v>
                </c:pt>
                <c:pt idx="19">
                  <c:v>32.764800000000001</c:v>
                </c:pt>
                <c:pt idx="20">
                  <c:v>31.685999999999996</c:v>
                </c:pt>
                <c:pt idx="21">
                  <c:v>30.719600000000003</c:v>
                </c:pt>
                <c:pt idx="22">
                  <c:v>29.700100000000003</c:v>
                </c:pt>
                <c:pt idx="23">
                  <c:v>28.631899999999998</c:v>
                </c:pt>
                <c:pt idx="24">
                  <c:v>27.645700000000001</c:v>
                </c:pt>
                <c:pt idx="25">
                  <c:v>26.805499999999999</c:v>
                </c:pt>
                <c:pt idx="26">
                  <c:v>26.0639</c:v>
                </c:pt>
                <c:pt idx="27">
                  <c:v>25.3977</c:v>
                </c:pt>
                <c:pt idx="28">
                  <c:v>24.8124</c:v>
                </c:pt>
                <c:pt idx="29">
                  <c:v>24.310100000000002</c:v>
                </c:pt>
                <c:pt idx="30">
                  <c:v>23.8447</c:v>
                </c:pt>
                <c:pt idx="31">
                  <c:v>23.404900000000001</c:v>
                </c:pt>
                <c:pt idx="32">
                  <c:v>23.0214</c:v>
                </c:pt>
                <c:pt idx="33">
                  <c:v>22.645100000000003</c:v>
                </c:pt>
                <c:pt idx="34">
                  <c:v>22.283200000000001</c:v>
                </c:pt>
                <c:pt idx="35">
                  <c:v>21.963699999999999</c:v>
                </c:pt>
                <c:pt idx="36">
                  <c:v>21.702500000000001</c:v>
                </c:pt>
                <c:pt idx="37">
                  <c:v>21.479599999999998</c:v>
                </c:pt>
                <c:pt idx="38">
                  <c:v>21.274899999999999</c:v>
                </c:pt>
                <c:pt idx="39">
                  <c:v>21.083299999999998</c:v>
                </c:pt>
                <c:pt idx="40">
                  <c:v>20.9206</c:v>
                </c:pt>
                <c:pt idx="41">
                  <c:v>20.7956</c:v>
                </c:pt>
                <c:pt idx="42">
                  <c:v>20.722799999999999</c:v>
                </c:pt>
                <c:pt idx="43">
                  <c:v>20.669699999999999</c:v>
                </c:pt>
                <c:pt idx="44">
                  <c:v>20.674899999999997</c:v>
                </c:pt>
                <c:pt idx="45">
                  <c:v>20.677799999999998</c:v>
                </c:pt>
                <c:pt idx="46">
                  <c:v>20.679400000000001</c:v>
                </c:pt>
                <c:pt idx="47">
                  <c:v>20.731300000000001</c:v>
                </c:pt>
                <c:pt idx="48">
                  <c:v>20.888999999999999</c:v>
                </c:pt>
                <c:pt idx="49">
                  <c:v>21.080399999999997</c:v>
                </c:pt>
                <c:pt idx="50">
                  <c:v>21.2181</c:v>
                </c:pt>
                <c:pt idx="51">
                  <c:v>21.316199999999998</c:v>
                </c:pt>
                <c:pt idx="52">
                  <c:v>21.3797</c:v>
                </c:pt>
                <c:pt idx="53">
                  <c:v>21.412300000000002</c:v>
                </c:pt>
                <c:pt idx="54">
                  <c:v>21.434800000000003</c:v>
                </c:pt>
                <c:pt idx="55">
                  <c:v>21.486599999999999</c:v>
                </c:pt>
                <c:pt idx="56">
                  <c:v>21.5428</c:v>
                </c:pt>
                <c:pt idx="57">
                  <c:v>21.555900000000001</c:v>
                </c:pt>
                <c:pt idx="58">
                  <c:v>21.509700000000002</c:v>
                </c:pt>
                <c:pt idx="59">
                  <c:v>21.433800000000002</c:v>
                </c:pt>
                <c:pt idx="60">
                  <c:v>21.346399999999999</c:v>
                </c:pt>
                <c:pt idx="61">
                  <c:v>21.3218</c:v>
                </c:pt>
                <c:pt idx="62">
                  <c:v>21.366800000000001</c:v>
                </c:pt>
                <c:pt idx="63">
                  <c:v>21.461400000000001</c:v>
                </c:pt>
                <c:pt idx="64">
                  <c:v>21.6023</c:v>
                </c:pt>
                <c:pt idx="65">
                  <c:v>21.8583</c:v>
                </c:pt>
                <c:pt idx="66">
                  <c:v>22.112399999999997</c:v>
                </c:pt>
                <c:pt idx="67">
                  <c:v>22.341000000000001</c:v>
                </c:pt>
                <c:pt idx="68">
                  <c:v>22.6905</c:v>
                </c:pt>
                <c:pt idx="69">
                  <c:v>23.090599999999998</c:v>
                </c:pt>
                <c:pt idx="70">
                  <c:v>23.460599999999999</c:v>
                </c:pt>
                <c:pt idx="71">
                  <c:v>23.825499999999998</c:v>
                </c:pt>
                <c:pt idx="72">
                  <c:v>24.245100000000001</c:v>
                </c:pt>
                <c:pt idx="73">
                  <c:v>24.6325</c:v>
                </c:pt>
                <c:pt idx="74">
                  <c:v>25.034499999999998</c:v>
                </c:pt>
                <c:pt idx="75">
                  <c:v>25.569199999999999</c:v>
                </c:pt>
                <c:pt idx="76">
                  <c:v>26.063399999999998</c:v>
                </c:pt>
                <c:pt idx="77">
                  <c:v>26.729599999999998</c:v>
                </c:pt>
                <c:pt idx="78">
                  <c:v>27.497100000000003</c:v>
                </c:pt>
                <c:pt idx="79">
                  <c:v>28.252800000000001</c:v>
                </c:pt>
                <c:pt idx="80">
                  <c:v>28.986099999999997</c:v>
                </c:pt>
                <c:pt idx="81">
                  <c:v>29.711900000000004</c:v>
                </c:pt>
                <c:pt idx="82">
                  <c:v>30.4678</c:v>
                </c:pt>
                <c:pt idx="83">
                  <c:v>31.285800000000002</c:v>
                </c:pt>
                <c:pt idx="84">
                  <c:v>32.144800000000004</c:v>
                </c:pt>
                <c:pt idx="85">
                  <c:v>32.9422</c:v>
                </c:pt>
                <c:pt idx="86">
                  <c:v>33.566899999999997</c:v>
                </c:pt>
                <c:pt idx="87">
                  <c:v>34.0623</c:v>
                </c:pt>
                <c:pt idx="88">
                  <c:v>34.5944</c:v>
                </c:pt>
                <c:pt idx="89">
                  <c:v>35.078099999999999</c:v>
                </c:pt>
                <c:pt idx="90">
                  <c:v>35.504000000000005</c:v>
                </c:pt>
                <c:pt idx="91">
                  <c:v>35.937200000000004</c:v>
                </c:pt>
                <c:pt idx="92">
                  <c:v>36.291000000000004</c:v>
                </c:pt>
                <c:pt idx="93">
                  <c:v>36.578400000000002</c:v>
                </c:pt>
                <c:pt idx="94">
                  <c:v>36.842000000000006</c:v>
                </c:pt>
                <c:pt idx="95">
                  <c:v>37.098399999999998</c:v>
                </c:pt>
                <c:pt idx="96">
                  <c:v>37.242199999999997</c:v>
                </c:pt>
                <c:pt idx="97">
                  <c:v>37.394800000000004</c:v>
                </c:pt>
                <c:pt idx="98">
                  <c:v>37.493099999999998</c:v>
                </c:pt>
                <c:pt idx="99">
                  <c:v>37.5411</c:v>
                </c:pt>
                <c:pt idx="100">
                  <c:v>37.554000000000002</c:v>
                </c:pt>
                <c:pt idx="101">
                  <c:v>37.531100000000002</c:v>
                </c:pt>
                <c:pt idx="102">
                  <c:v>37.5291</c:v>
                </c:pt>
                <c:pt idx="103">
                  <c:v>37.369900000000001</c:v>
                </c:pt>
                <c:pt idx="104">
                  <c:v>37.0717</c:v>
                </c:pt>
                <c:pt idx="105">
                  <c:v>36.643700000000003</c:v>
                </c:pt>
                <c:pt idx="106">
                  <c:v>36.015500000000003</c:v>
                </c:pt>
                <c:pt idx="107">
                  <c:v>35.322800000000001</c:v>
                </c:pt>
                <c:pt idx="108">
                  <c:v>34.588700000000003</c:v>
                </c:pt>
                <c:pt idx="109">
                  <c:v>33.780200000000001</c:v>
                </c:pt>
                <c:pt idx="110">
                  <c:v>32.947800000000001</c:v>
                </c:pt>
                <c:pt idx="111">
                  <c:v>32.159199999999998</c:v>
                </c:pt>
                <c:pt idx="112">
                  <c:v>31.370900000000002</c:v>
                </c:pt>
                <c:pt idx="113">
                  <c:v>30.564299999999999</c:v>
                </c:pt>
                <c:pt idx="114">
                  <c:v>29.700599999999998</c:v>
                </c:pt>
                <c:pt idx="115">
                  <c:v>28.842700000000001</c:v>
                </c:pt>
                <c:pt idx="116">
                  <c:v>28.040500000000002</c:v>
                </c:pt>
                <c:pt idx="117">
                  <c:v>27.318300000000001</c:v>
                </c:pt>
                <c:pt idx="118">
                  <c:v>26.696199999999997</c:v>
                </c:pt>
                <c:pt idx="119">
                  <c:v>26.171399999999998</c:v>
                </c:pt>
                <c:pt idx="120">
                  <c:v>25.8565</c:v>
                </c:pt>
                <c:pt idx="121">
                  <c:v>25.758599999999998</c:v>
                </c:pt>
                <c:pt idx="122">
                  <c:v>25.7209</c:v>
                </c:pt>
                <c:pt idx="123">
                  <c:v>25.6892</c:v>
                </c:pt>
                <c:pt idx="124">
                  <c:v>25.601700000000001</c:v>
                </c:pt>
                <c:pt idx="125">
                  <c:v>25.4453</c:v>
                </c:pt>
                <c:pt idx="126">
                  <c:v>25.257400000000001</c:v>
                </c:pt>
                <c:pt idx="127">
                  <c:v>25.110300000000002</c:v>
                </c:pt>
                <c:pt idx="128">
                  <c:v>25.008399999999998</c:v>
                </c:pt>
                <c:pt idx="129">
                  <c:v>24.909100000000002</c:v>
                </c:pt>
                <c:pt idx="130">
                  <c:v>24.846399999999999</c:v>
                </c:pt>
                <c:pt idx="131">
                  <c:v>24.854100000000003</c:v>
                </c:pt>
                <c:pt idx="132">
                  <c:v>24.921900000000001</c:v>
                </c:pt>
                <c:pt idx="133">
                  <c:v>25.125700000000002</c:v>
                </c:pt>
                <c:pt idx="134">
                  <c:v>25.361699999999999</c:v>
                </c:pt>
                <c:pt idx="135">
                  <c:v>25.606400000000001</c:v>
                </c:pt>
                <c:pt idx="136">
                  <c:v>25.8245</c:v>
                </c:pt>
                <c:pt idx="137">
                  <c:v>26.053900000000002</c:v>
                </c:pt>
                <c:pt idx="138">
                  <c:v>26.274999999999999</c:v>
                </c:pt>
                <c:pt idx="139">
                  <c:v>26.680700000000002</c:v>
                </c:pt>
                <c:pt idx="140">
                  <c:v>27.264500000000002</c:v>
                </c:pt>
                <c:pt idx="141">
                  <c:v>28.009099999999997</c:v>
                </c:pt>
                <c:pt idx="142">
                  <c:v>28.785699999999999</c:v>
                </c:pt>
                <c:pt idx="143">
                  <c:v>29.617900000000002</c:v>
                </c:pt>
                <c:pt idx="144">
                  <c:v>30.331399999999999</c:v>
                </c:pt>
                <c:pt idx="145">
                  <c:v>30.9419</c:v>
                </c:pt>
                <c:pt idx="146">
                  <c:v>31.1785</c:v>
                </c:pt>
                <c:pt idx="147">
                  <c:v>31.251299999999997</c:v>
                </c:pt>
                <c:pt idx="148">
                  <c:v>31.723499999999998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0.376303</c:v>
                </c:pt>
                <c:pt idx="2">
                  <c:v>0.77855099999999999</c:v>
                </c:pt>
                <c:pt idx="3">
                  <c:v>1.18449</c:v>
                </c:pt>
                <c:pt idx="4">
                  <c:v>1.5905499999999999</c:v>
                </c:pt>
                <c:pt idx="5">
                  <c:v>1.9973099999999999</c:v>
                </c:pt>
                <c:pt idx="6">
                  <c:v>2.4063699999999999</c:v>
                </c:pt>
                <c:pt idx="7">
                  <c:v>2.8087399999999998</c:v>
                </c:pt>
                <c:pt idx="8">
                  <c:v>3.2156400000000001</c:v>
                </c:pt>
                <c:pt idx="9">
                  <c:v>3.6237900000000001</c:v>
                </c:pt>
                <c:pt idx="10">
                  <c:v>4.0314800000000002</c:v>
                </c:pt>
                <c:pt idx="11">
                  <c:v>4.43736</c:v>
                </c:pt>
                <c:pt idx="12">
                  <c:v>4.8420199999999998</c:v>
                </c:pt>
                <c:pt idx="13">
                  <c:v>5.2469900000000003</c:v>
                </c:pt>
                <c:pt idx="14">
                  <c:v>5.6550900000000004</c:v>
                </c:pt>
                <c:pt idx="15">
                  <c:v>6.06229</c:v>
                </c:pt>
                <c:pt idx="16">
                  <c:v>6.4673999999999996</c:v>
                </c:pt>
                <c:pt idx="17">
                  <c:v>6.8716299999999997</c:v>
                </c:pt>
                <c:pt idx="18">
                  <c:v>7.2775499999999997</c:v>
                </c:pt>
                <c:pt idx="19">
                  <c:v>7.68377</c:v>
                </c:pt>
                <c:pt idx="20">
                  <c:v>8.0926200000000001</c:v>
                </c:pt>
                <c:pt idx="21">
                  <c:v>8.4993999999999996</c:v>
                </c:pt>
                <c:pt idx="22">
                  <c:v>8.9051799999999997</c:v>
                </c:pt>
                <c:pt idx="23">
                  <c:v>9.3107699999999998</c:v>
                </c:pt>
                <c:pt idx="24">
                  <c:v>9.7141599999999997</c:v>
                </c:pt>
                <c:pt idx="25">
                  <c:v>10.1213</c:v>
                </c:pt>
                <c:pt idx="26">
                  <c:v>10.527699999999999</c:v>
                </c:pt>
                <c:pt idx="27">
                  <c:v>10.9381</c:v>
                </c:pt>
                <c:pt idx="28">
                  <c:v>11.3431</c:v>
                </c:pt>
                <c:pt idx="29">
                  <c:v>11.7478</c:v>
                </c:pt>
                <c:pt idx="30">
                  <c:v>12.1556</c:v>
                </c:pt>
                <c:pt idx="31">
                  <c:v>12.5596</c:v>
                </c:pt>
                <c:pt idx="32">
                  <c:v>12.9674</c:v>
                </c:pt>
                <c:pt idx="33">
                  <c:v>13.3749</c:v>
                </c:pt>
                <c:pt idx="34">
                  <c:v>13.7811</c:v>
                </c:pt>
                <c:pt idx="35">
                  <c:v>14.1845</c:v>
                </c:pt>
                <c:pt idx="36">
                  <c:v>14.592499999999999</c:v>
                </c:pt>
                <c:pt idx="37">
                  <c:v>14.9971</c:v>
                </c:pt>
                <c:pt idx="38">
                  <c:v>15.408300000000001</c:v>
                </c:pt>
                <c:pt idx="39">
                  <c:v>15.811500000000001</c:v>
                </c:pt>
                <c:pt idx="40">
                  <c:v>16.219100000000001</c:v>
                </c:pt>
                <c:pt idx="41">
                  <c:v>16.626100000000001</c:v>
                </c:pt>
                <c:pt idx="42">
                  <c:v>17.028600000000001</c:v>
                </c:pt>
                <c:pt idx="43">
                  <c:v>17.436800000000002</c:v>
                </c:pt>
                <c:pt idx="44">
                  <c:v>17.845500000000001</c:v>
                </c:pt>
                <c:pt idx="45">
                  <c:v>18.247299999999999</c:v>
                </c:pt>
                <c:pt idx="46">
                  <c:v>18.654499999999999</c:v>
                </c:pt>
                <c:pt idx="47">
                  <c:v>19.0642</c:v>
                </c:pt>
                <c:pt idx="48">
                  <c:v>19.465900000000001</c:v>
                </c:pt>
                <c:pt idx="49">
                  <c:v>19.8748</c:v>
                </c:pt>
                <c:pt idx="50">
                  <c:v>20.279199999999999</c:v>
                </c:pt>
                <c:pt idx="51">
                  <c:v>20.683499999999999</c:v>
                </c:pt>
                <c:pt idx="52">
                  <c:v>21.095700000000001</c:v>
                </c:pt>
                <c:pt idx="53">
                  <c:v>21.498999999999999</c:v>
                </c:pt>
                <c:pt idx="54">
                  <c:v>21.906700000000001</c:v>
                </c:pt>
                <c:pt idx="55">
                  <c:v>22.3093</c:v>
                </c:pt>
                <c:pt idx="56">
                  <c:v>22.716999999999999</c:v>
                </c:pt>
                <c:pt idx="57">
                  <c:v>23.121700000000001</c:v>
                </c:pt>
                <c:pt idx="58">
                  <c:v>23.5306</c:v>
                </c:pt>
                <c:pt idx="59">
                  <c:v>23.938199999999998</c:v>
                </c:pt>
                <c:pt idx="60">
                  <c:v>24.343599999999999</c:v>
                </c:pt>
                <c:pt idx="61">
                  <c:v>24.746500000000001</c:v>
                </c:pt>
                <c:pt idx="62">
                  <c:v>25.151800000000001</c:v>
                </c:pt>
                <c:pt idx="63">
                  <c:v>25.561800000000002</c:v>
                </c:pt>
                <c:pt idx="64">
                  <c:v>25.964300000000001</c:v>
                </c:pt>
                <c:pt idx="65">
                  <c:v>26.374500000000001</c:v>
                </c:pt>
                <c:pt idx="66">
                  <c:v>26.7788</c:v>
                </c:pt>
                <c:pt idx="67">
                  <c:v>27.1861</c:v>
                </c:pt>
                <c:pt idx="68">
                  <c:v>27.591100000000001</c:v>
                </c:pt>
                <c:pt idx="69">
                  <c:v>27.998699999999999</c:v>
                </c:pt>
                <c:pt idx="70">
                  <c:v>28.4084</c:v>
                </c:pt>
                <c:pt idx="71">
                  <c:v>28.809100000000001</c:v>
                </c:pt>
                <c:pt idx="72">
                  <c:v>29.217099999999999</c:v>
                </c:pt>
                <c:pt idx="73">
                  <c:v>29.622299999999999</c:v>
                </c:pt>
                <c:pt idx="74">
                  <c:v>30.028600000000001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56.649899999999995</c:v>
                </c:pt>
                <c:pt idx="1">
                  <c:v>55.310499999999998</c:v>
                </c:pt>
                <c:pt idx="2">
                  <c:v>54.048099999999998</c:v>
                </c:pt>
                <c:pt idx="3">
                  <c:v>52.777700000000003</c:v>
                </c:pt>
                <c:pt idx="4">
                  <c:v>51.485199999999999</c:v>
                </c:pt>
                <c:pt idx="5">
                  <c:v>50.236899999999999</c:v>
                </c:pt>
                <c:pt idx="6">
                  <c:v>48.9268</c:v>
                </c:pt>
                <c:pt idx="7">
                  <c:v>47.639399999999995</c:v>
                </c:pt>
                <c:pt idx="8">
                  <c:v>46.402300000000004</c:v>
                </c:pt>
                <c:pt idx="9">
                  <c:v>45.240900000000003</c:v>
                </c:pt>
                <c:pt idx="10">
                  <c:v>44.109700000000004</c:v>
                </c:pt>
                <c:pt idx="11">
                  <c:v>42.828300000000006</c:v>
                </c:pt>
                <c:pt idx="12">
                  <c:v>41.441000000000003</c:v>
                </c:pt>
                <c:pt idx="13">
                  <c:v>40.063700000000004</c:v>
                </c:pt>
                <c:pt idx="14">
                  <c:v>38.805900000000001</c:v>
                </c:pt>
                <c:pt idx="15">
                  <c:v>37.5548</c:v>
                </c:pt>
                <c:pt idx="16">
                  <c:v>36.348200000000006</c:v>
                </c:pt>
                <c:pt idx="17">
                  <c:v>35.194299999999998</c:v>
                </c:pt>
                <c:pt idx="18">
                  <c:v>33.989000000000004</c:v>
                </c:pt>
                <c:pt idx="19">
                  <c:v>32.764800000000001</c:v>
                </c:pt>
                <c:pt idx="20">
                  <c:v>31.685999999999996</c:v>
                </c:pt>
                <c:pt idx="21">
                  <c:v>30.719600000000003</c:v>
                </c:pt>
                <c:pt idx="22">
                  <c:v>29.700100000000003</c:v>
                </c:pt>
                <c:pt idx="23">
                  <c:v>28.631899999999998</c:v>
                </c:pt>
                <c:pt idx="24">
                  <c:v>27.645700000000001</c:v>
                </c:pt>
                <c:pt idx="25">
                  <c:v>26.805499999999999</c:v>
                </c:pt>
                <c:pt idx="26">
                  <c:v>26.0639</c:v>
                </c:pt>
                <c:pt idx="27">
                  <c:v>25.3977</c:v>
                </c:pt>
                <c:pt idx="28">
                  <c:v>24.8124</c:v>
                </c:pt>
                <c:pt idx="29">
                  <c:v>24.310100000000002</c:v>
                </c:pt>
                <c:pt idx="30">
                  <c:v>23.8447</c:v>
                </c:pt>
                <c:pt idx="31">
                  <c:v>23.404900000000001</c:v>
                </c:pt>
                <c:pt idx="32">
                  <c:v>23.0214</c:v>
                </c:pt>
                <c:pt idx="33">
                  <c:v>22.645100000000003</c:v>
                </c:pt>
                <c:pt idx="34">
                  <c:v>22.283200000000001</c:v>
                </c:pt>
                <c:pt idx="35">
                  <c:v>21.963699999999999</c:v>
                </c:pt>
                <c:pt idx="36">
                  <c:v>21.702500000000001</c:v>
                </c:pt>
                <c:pt idx="37">
                  <c:v>21.479599999999998</c:v>
                </c:pt>
                <c:pt idx="38">
                  <c:v>21.274899999999999</c:v>
                </c:pt>
                <c:pt idx="39">
                  <c:v>21.083299999999998</c:v>
                </c:pt>
                <c:pt idx="40">
                  <c:v>20.9206</c:v>
                </c:pt>
                <c:pt idx="41">
                  <c:v>20.7956</c:v>
                </c:pt>
                <c:pt idx="42">
                  <c:v>20.722799999999999</c:v>
                </c:pt>
                <c:pt idx="43">
                  <c:v>20.669699999999999</c:v>
                </c:pt>
                <c:pt idx="44">
                  <c:v>20.674899999999997</c:v>
                </c:pt>
                <c:pt idx="45">
                  <c:v>20.677799999999998</c:v>
                </c:pt>
                <c:pt idx="46">
                  <c:v>20.679400000000001</c:v>
                </c:pt>
                <c:pt idx="47">
                  <c:v>20.731300000000001</c:v>
                </c:pt>
                <c:pt idx="48">
                  <c:v>20.888999999999999</c:v>
                </c:pt>
                <c:pt idx="49">
                  <c:v>21.080399999999997</c:v>
                </c:pt>
                <c:pt idx="50">
                  <c:v>21.2181</c:v>
                </c:pt>
                <c:pt idx="51">
                  <c:v>21.316199999999998</c:v>
                </c:pt>
                <c:pt idx="52">
                  <c:v>21.3797</c:v>
                </c:pt>
                <c:pt idx="53">
                  <c:v>21.412300000000002</c:v>
                </c:pt>
                <c:pt idx="54">
                  <c:v>21.434800000000003</c:v>
                </c:pt>
                <c:pt idx="55">
                  <c:v>21.486599999999999</c:v>
                </c:pt>
                <c:pt idx="56">
                  <c:v>21.5428</c:v>
                </c:pt>
                <c:pt idx="57">
                  <c:v>21.555900000000001</c:v>
                </c:pt>
                <c:pt idx="58">
                  <c:v>21.509700000000002</c:v>
                </c:pt>
                <c:pt idx="59">
                  <c:v>21.433800000000002</c:v>
                </c:pt>
                <c:pt idx="60">
                  <c:v>21.346399999999999</c:v>
                </c:pt>
                <c:pt idx="61">
                  <c:v>21.3218</c:v>
                </c:pt>
                <c:pt idx="62">
                  <c:v>21.366800000000001</c:v>
                </c:pt>
                <c:pt idx="63">
                  <c:v>21.461400000000001</c:v>
                </c:pt>
                <c:pt idx="64">
                  <c:v>21.6023</c:v>
                </c:pt>
                <c:pt idx="65">
                  <c:v>21.8583</c:v>
                </c:pt>
                <c:pt idx="66">
                  <c:v>22.112399999999997</c:v>
                </c:pt>
                <c:pt idx="67">
                  <c:v>22.341000000000001</c:v>
                </c:pt>
                <c:pt idx="68">
                  <c:v>22.6905</c:v>
                </c:pt>
                <c:pt idx="69">
                  <c:v>23.090599999999998</c:v>
                </c:pt>
                <c:pt idx="70">
                  <c:v>23.460599999999999</c:v>
                </c:pt>
                <c:pt idx="71">
                  <c:v>23.825499999999998</c:v>
                </c:pt>
                <c:pt idx="72">
                  <c:v>24.245100000000001</c:v>
                </c:pt>
                <c:pt idx="73">
                  <c:v>24.6325</c:v>
                </c:pt>
                <c:pt idx="74">
                  <c:v>25.034499999999998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30.028600000000001</c:v>
                </c:pt>
                <c:pt idx="1">
                  <c:v>30.622900000000001</c:v>
                </c:pt>
                <c:pt idx="2">
                  <c:v>30.9986</c:v>
                </c:pt>
                <c:pt idx="3">
                  <c:v>31.3765</c:v>
                </c:pt>
                <c:pt idx="4">
                  <c:v>31.749300000000002</c:v>
                </c:pt>
                <c:pt idx="5">
                  <c:v>32.123600000000003</c:v>
                </c:pt>
                <c:pt idx="6">
                  <c:v>32.529499999999999</c:v>
                </c:pt>
                <c:pt idx="7">
                  <c:v>32.935400000000001</c:v>
                </c:pt>
                <c:pt idx="8">
                  <c:v>33.342199999999998</c:v>
                </c:pt>
                <c:pt idx="9">
                  <c:v>33.749000000000002</c:v>
                </c:pt>
                <c:pt idx="10">
                  <c:v>34.154699999999998</c:v>
                </c:pt>
                <c:pt idx="11">
                  <c:v>34.559399999999997</c:v>
                </c:pt>
                <c:pt idx="12">
                  <c:v>34.966900000000003</c:v>
                </c:pt>
                <c:pt idx="13">
                  <c:v>35.377099999999999</c:v>
                </c:pt>
                <c:pt idx="14">
                  <c:v>35.7819</c:v>
                </c:pt>
                <c:pt idx="15">
                  <c:v>36.184199999999997</c:v>
                </c:pt>
                <c:pt idx="16">
                  <c:v>36.588200000000001</c:v>
                </c:pt>
                <c:pt idx="17">
                  <c:v>36.999699999999997</c:v>
                </c:pt>
                <c:pt idx="18">
                  <c:v>37.406700000000001</c:v>
                </c:pt>
                <c:pt idx="19">
                  <c:v>37.8125</c:v>
                </c:pt>
                <c:pt idx="20">
                  <c:v>38.217700000000001</c:v>
                </c:pt>
                <c:pt idx="21">
                  <c:v>38.622100000000003</c:v>
                </c:pt>
                <c:pt idx="22">
                  <c:v>39.0274</c:v>
                </c:pt>
                <c:pt idx="23">
                  <c:v>39.438499999999998</c:v>
                </c:pt>
                <c:pt idx="24">
                  <c:v>39.843200000000003</c:v>
                </c:pt>
                <c:pt idx="25">
                  <c:v>40.247999999999998</c:v>
                </c:pt>
                <c:pt idx="26">
                  <c:v>40.654899999999998</c:v>
                </c:pt>
                <c:pt idx="27">
                  <c:v>41.059600000000003</c:v>
                </c:pt>
                <c:pt idx="28">
                  <c:v>41.466299999999997</c:v>
                </c:pt>
                <c:pt idx="29">
                  <c:v>41.874499999999998</c:v>
                </c:pt>
                <c:pt idx="30">
                  <c:v>42.278199999999998</c:v>
                </c:pt>
                <c:pt idx="31">
                  <c:v>42.687199999999997</c:v>
                </c:pt>
                <c:pt idx="32">
                  <c:v>43.0901</c:v>
                </c:pt>
                <c:pt idx="33">
                  <c:v>43.497700000000002</c:v>
                </c:pt>
                <c:pt idx="34">
                  <c:v>43.906999999999996</c:v>
                </c:pt>
                <c:pt idx="35">
                  <c:v>44.310299999999998</c:v>
                </c:pt>
                <c:pt idx="36">
                  <c:v>44.716099999999997</c:v>
                </c:pt>
                <c:pt idx="37">
                  <c:v>45.122</c:v>
                </c:pt>
                <c:pt idx="38">
                  <c:v>45.528399999999998</c:v>
                </c:pt>
                <c:pt idx="39">
                  <c:v>45.939300000000003</c:v>
                </c:pt>
                <c:pt idx="40">
                  <c:v>46.342399999999998</c:v>
                </c:pt>
                <c:pt idx="41">
                  <c:v>46.747199999999999</c:v>
                </c:pt>
                <c:pt idx="42">
                  <c:v>47.155900000000003</c:v>
                </c:pt>
                <c:pt idx="43">
                  <c:v>47.560600000000001</c:v>
                </c:pt>
                <c:pt idx="44">
                  <c:v>47.964599999999997</c:v>
                </c:pt>
                <c:pt idx="45">
                  <c:v>48.372300000000003</c:v>
                </c:pt>
                <c:pt idx="46">
                  <c:v>48.781100000000002</c:v>
                </c:pt>
                <c:pt idx="47">
                  <c:v>49.1858</c:v>
                </c:pt>
                <c:pt idx="48">
                  <c:v>49.591999999999999</c:v>
                </c:pt>
                <c:pt idx="49">
                  <c:v>49.997900000000001</c:v>
                </c:pt>
                <c:pt idx="50">
                  <c:v>50.402000000000001</c:v>
                </c:pt>
                <c:pt idx="51">
                  <c:v>50.810499999999998</c:v>
                </c:pt>
                <c:pt idx="52">
                  <c:v>51.2181</c:v>
                </c:pt>
                <c:pt idx="53">
                  <c:v>51.621600000000001</c:v>
                </c:pt>
                <c:pt idx="54">
                  <c:v>52.0261</c:v>
                </c:pt>
                <c:pt idx="55">
                  <c:v>52.433900000000001</c:v>
                </c:pt>
                <c:pt idx="56">
                  <c:v>52.841999999999999</c:v>
                </c:pt>
                <c:pt idx="57">
                  <c:v>53.251600000000003</c:v>
                </c:pt>
                <c:pt idx="58">
                  <c:v>53.657899999999998</c:v>
                </c:pt>
                <c:pt idx="59">
                  <c:v>54.060699999999997</c:v>
                </c:pt>
                <c:pt idx="60">
                  <c:v>54.465600000000002</c:v>
                </c:pt>
                <c:pt idx="61">
                  <c:v>54.875599999999999</c:v>
                </c:pt>
                <c:pt idx="62">
                  <c:v>55.280500000000004</c:v>
                </c:pt>
                <c:pt idx="63">
                  <c:v>55.685099999999998</c:v>
                </c:pt>
                <c:pt idx="64">
                  <c:v>56.088799999999999</c:v>
                </c:pt>
                <c:pt idx="65">
                  <c:v>56.497700000000002</c:v>
                </c:pt>
                <c:pt idx="66">
                  <c:v>56.906500000000001</c:v>
                </c:pt>
                <c:pt idx="67">
                  <c:v>57.3127</c:v>
                </c:pt>
                <c:pt idx="68">
                  <c:v>57.716799999999999</c:v>
                </c:pt>
                <c:pt idx="69">
                  <c:v>58.121699999999997</c:v>
                </c:pt>
                <c:pt idx="70">
                  <c:v>58.528199999999998</c:v>
                </c:pt>
                <c:pt idx="71">
                  <c:v>58.936199999999999</c:v>
                </c:pt>
                <c:pt idx="72">
                  <c:v>59.343299999999999</c:v>
                </c:pt>
                <c:pt idx="73">
                  <c:v>59.747999999999998</c:v>
                </c:pt>
                <c:pt idx="74">
                  <c:v>60.155099999999997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25.034499999999998</c:v>
                </c:pt>
                <c:pt idx="1">
                  <c:v>25.569199999999999</c:v>
                </c:pt>
                <c:pt idx="2">
                  <c:v>26.063399999999998</c:v>
                </c:pt>
                <c:pt idx="3">
                  <c:v>26.729599999999998</c:v>
                </c:pt>
                <c:pt idx="4">
                  <c:v>27.497100000000003</c:v>
                </c:pt>
                <c:pt idx="5">
                  <c:v>28.252800000000001</c:v>
                </c:pt>
                <c:pt idx="6">
                  <c:v>28.986099999999997</c:v>
                </c:pt>
                <c:pt idx="7">
                  <c:v>29.711900000000004</c:v>
                </c:pt>
                <c:pt idx="8">
                  <c:v>30.4678</c:v>
                </c:pt>
                <c:pt idx="9">
                  <c:v>31.285800000000002</c:v>
                </c:pt>
                <c:pt idx="10">
                  <c:v>32.144800000000004</c:v>
                </c:pt>
                <c:pt idx="11">
                  <c:v>32.9422</c:v>
                </c:pt>
                <c:pt idx="12">
                  <c:v>33.566899999999997</c:v>
                </c:pt>
                <c:pt idx="13">
                  <c:v>34.0623</c:v>
                </c:pt>
                <c:pt idx="14">
                  <c:v>34.5944</c:v>
                </c:pt>
                <c:pt idx="15">
                  <c:v>35.078099999999999</c:v>
                </c:pt>
                <c:pt idx="16">
                  <c:v>35.504000000000005</c:v>
                </c:pt>
                <c:pt idx="17">
                  <c:v>35.937200000000004</c:v>
                </c:pt>
                <c:pt idx="18">
                  <c:v>36.291000000000004</c:v>
                </c:pt>
                <c:pt idx="19">
                  <c:v>36.578400000000002</c:v>
                </c:pt>
                <c:pt idx="20">
                  <c:v>36.842000000000006</c:v>
                </c:pt>
                <c:pt idx="21">
                  <c:v>37.098399999999998</c:v>
                </c:pt>
                <c:pt idx="22">
                  <c:v>37.242199999999997</c:v>
                </c:pt>
                <c:pt idx="23">
                  <c:v>37.394800000000004</c:v>
                </c:pt>
                <c:pt idx="24">
                  <c:v>37.493099999999998</c:v>
                </c:pt>
                <c:pt idx="25">
                  <c:v>37.5411</c:v>
                </c:pt>
                <c:pt idx="26">
                  <c:v>37.554000000000002</c:v>
                </c:pt>
                <c:pt idx="27">
                  <c:v>37.531100000000002</c:v>
                </c:pt>
                <c:pt idx="28">
                  <c:v>37.5291</c:v>
                </c:pt>
                <c:pt idx="29">
                  <c:v>37.369900000000001</c:v>
                </c:pt>
                <c:pt idx="30">
                  <c:v>37.0717</c:v>
                </c:pt>
                <c:pt idx="31">
                  <c:v>36.643700000000003</c:v>
                </c:pt>
                <c:pt idx="32">
                  <c:v>36.015500000000003</c:v>
                </c:pt>
                <c:pt idx="33">
                  <c:v>35.322800000000001</c:v>
                </c:pt>
                <c:pt idx="34">
                  <c:v>34.588700000000003</c:v>
                </c:pt>
                <c:pt idx="35">
                  <c:v>33.780200000000001</c:v>
                </c:pt>
                <c:pt idx="36">
                  <c:v>32.947800000000001</c:v>
                </c:pt>
                <c:pt idx="37">
                  <c:v>32.159199999999998</c:v>
                </c:pt>
                <c:pt idx="38">
                  <c:v>31.370900000000002</c:v>
                </c:pt>
                <c:pt idx="39">
                  <c:v>30.564299999999999</c:v>
                </c:pt>
                <c:pt idx="40">
                  <c:v>29.700599999999998</c:v>
                </c:pt>
                <c:pt idx="41">
                  <c:v>28.842700000000001</c:v>
                </c:pt>
                <c:pt idx="42">
                  <c:v>28.040500000000002</c:v>
                </c:pt>
                <c:pt idx="43">
                  <c:v>27.318300000000001</c:v>
                </c:pt>
                <c:pt idx="44">
                  <c:v>26.696199999999997</c:v>
                </c:pt>
                <c:pt idx="45">
                  <c:v>26.171399999999998</c:v>
                </c:pt>
                <c:pt idx="46">
                  <c:v>25.8565</c:v>
                </c:pt>
                <c:pt idx="47">
                  <c:v>25.758599999999998</c:v>
                </c:pt>
                <c:pt idx="48">
                  <c:v>25.7209</c:v>
                </c:pt>
                <c:pt idx="49">
                  <c:v>25.6892</c:v>
                </c:pt>
                <c:pt idx="50">
                  <c:v>25.601700000000001</c:v>
                </c:pt>
                <c:pt idx="51">
                  <c:v>25.4453</c:v>
                </c:pt>
                <c:pt idx="52">
                  <c:v>25.257400000000001</c:v>
                </c:pt>
                <c:pt idx="53">
                  <c:v>25.110300000000002</c:v>
                </c:pt>
                <c:pt idx="54">
                  <c:v>25.008399999999998</c:v>
                </c:pt>
                <c:pt idx="55">
                  <c:v>24.909100000000002</c:v>
                </c:pt>
                <c:pt idx="56">
                  <c:v>24.846399999999999</c:v>
                </c:pt>
                <c:pt idx="57">
                  <c:v>24.854100000000003</c:v>
                </c:pt>
                <c:pt idx="58">
                  <c:v>24.921900000000001</c:v>
                </c:pt>
                <c:pt idx="59">
                  <c:v>25.125700000000002</c:v>
                </c:pt>
                <c:pt idx="60">
                  <c:v>25.361699999999999</c:v>
                </c:pt>
                <c:pt idx="61">
                  <c:v>25.606400000000001</c:v>
                </c:pt>
                <c:pt idx="62">
                  <c:v>25.8245</c:v>
                </c:pt>
                <c:pt idx="63">
                  <c:v>26.053900000000002</c:v>
                </c:pt>
                <c:pt idx="64">
                  <c:v>26.274999999999999</c:v>
                </c:pt>
                <c:pt idx="65">
                  <c:v>26.680700000000002</c:v>
                </c:pt>
                <c:pt idx="66">
                  <c:v>27.264500000000002</c:v>
                </c:pt>
                <c:pt idx="67">
                  <c:v>28.009099999999997</c:v>
                </c:pt>
                <c:pt idx="68">
                  <c:v>28.785699999999999</c:v>
                </c:pt>
                <c:pt idx="69">
                  <c:v>29.617900000000002</c:v>
                </c:pt>
                <c:pt idx="70">
                  <c:v>30.331399999999999</c:v>
                </c:pt>
                <c:pt idx="71">
                  <c:v>30.9419</c:v>
                </c:pt>
                <c:pt idx="72">
                  <c:v>31.1785</c:v>
                </c:pt>
                <c:pt idx="73">
                  <c:v>31.251299999999997</c:v>
                </c:pt>
                <c:pt idx="74">
                  <c:v>31.723499999999998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15.038774999999999</c:v>
                </c:pt>
                <c:pt idx="1">
                  <c:v>45.116324999999996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28.753786486486486</c:v>
                </c:pt>
                <c:pt idx="1">
                  <c:v>30.465077027027014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36.0045</c:v>
                </c:pt>
                <c:pt idx="1">
                  <c:v>47.263199999999998</c:v>
                </c:pt>
                <c:pt idx="2">
                  <c:v>28.5411</c:v>
                </c:pt>
                <c:pt idx="3">
                  <c:v>37.149799999999999</c:v>
                </c:pt>
                <c:pt idx="4">
                  <c:v>55.915199999999999</c:v>
                </c:pt>
                <c:pt idx="5">
                  <c:v>56.896900000000002</c:v>
                </c:pt>
                <c:pt idx="6">
                  <c:v>12.3933</c:v>
                </c:pt>
                <c:pt idx="7">
                  <c:v>54.834299999999999</c:v>
                </c:pt>
                <c:pt idx="8">
                  <c:v>17.823499999999999</c:v>
                </c:pt>
                <c:pt idx="9">
                  <c:v>35.363199999999999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34.728499999999997</c:v>
                </c:pt>
                <c:pt idx="1">
                  <c:v>47.921700000000001</c:v>
                </c:pt>
                <c:pt idx="2">
                  <c:v>30.68</c:v>
                </c:pt>
                <c:pt idx="3">
                  <c:v>40.282699999999998</c:v>
                </c:pt>
                <c:pt idx="4">
                  <c:v>47.937199999999997</c:v>
                </c:pt>
                <c:pt idx="5">
                  <c:v>56.2119</c:v>
                </c:pt>
                <c:pt idx="6">
                  <c:v>10.799099999999999</c:v>
                </c:pt>
                <c:pt idx="7">
                  <c:v>51.523099999999999</c:v>
                </c:pt>
                <c:pt idx="8">
                  <c:v>17.2407</c:v>
                </c:pt>
                <c:pt idx="9">
                  <c:v>34.746400000000001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0.41353101269558862</c:v>
                </c:pt>
                <c:pt idx="1">
                  <c:v>0.34214120945389881</c:v>
                </c:pt>
                <c:pt idx="2">
                  <c:v>0.24432777785051257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17073</c:v>
                </c:pt>
                <c:pt idx="7">
                  <c:v>0</c:v>
                </c:pt>
                <c:pt idx="8">
                  <c:v>37369</c:v>
                </c:pt>
                <c:pt idx="9">
                  <c:v>0</c:v>
                </c:pt>
                <c:pt idx="10">
                  <c:v>0</c:v>
                </c:pt>
                <c:pt idx="11">
                  <c:v>31096</c:v>
                </c:pt>
                <c:pt idx="12">
                  <c:v>0</c:v>
                </c:pt>
                <c:pt idx="13">
                  <c:v>36562</c:v>
                </c:pt>
                <c:pt idx="14">
                  <c:v>0</c:v>
                </c:pt>
                <c:pt idx="15">
                  <c:v>0</c:v>
                </c:pt>
                <c:pt idx="16">
                  <c:v>33239</c:v>
                </c:pt>
                <c:pt idx="17">
                  <c:v>0</c:v>
                </c:pt>
                <c:pt idx="18">
                  <c:v>0</c:v>
                </c:pt>
                <c:pt idx="19">
                  <c:v>36751</c:v>
                </c:pt>
                <c:pt idx="20">
                  <c:v>0</c:v>
                </c:pt>
                <c:pt idx="21">
                  <c:v>45881</c:v>
                </c:pt>
                <c:pt idx="22">
                  <c:v>0</c:v>
                </c:pt>
                <c:pt idx="23">
                  <c:v>0</c:v>
                </c:pt>
                <c:pt idx="24">
                  <c:v>45643</c:v>
                </c:pt>
                <c:pt idx="25">
                  <c:v>0</c:v>
                </c:pt>
                <c:pt idx="26">
                  <c:v>47354</c:v>
                </c:pt>
                <c:pt idx="27">
                  <c:v>0</c:v>
                </c:pt>
                <c:pt idx="28">
                  <c:v>0</c:v>
                </c:pt>
                <c:pt idx="29">
                  <c:v>40286</c:v>
                </c:pt>
                <c:pt idx="30">
                  <c:v>0</c:v>
                </c:pt>
                <c:pt idx="31">
                  <c:v>41543</c:v>
                </c:pt>
                <c:pt idx="32">
                  <c:v>0</c:v>
                </c:pt>
                <c:pt idx="33">
                  <c:v>0</c:v>
                </c:pt>
                <c:pt idx="34">
                  <c:v>40723</c:v>
                </c:pt>
                <c:pt idx="35">
                  <c:v>0</c:v>
                </c:pt>
                <c:pt idx="36">
                  <c:v>0</c:v>
                </c:pt>
                <c:pt idx="37">
                  <c:v>42369</c:v>
                </c:pt>
                <c:pt idx="38">
                  <c:v>0</c:v>
                </c:pt>
                <c:pt idx="39">
                  <c:v>36468</c:v>
                </c:pt>
                <c:pt idx="40">
                  <c:v>0</c:v>
                </c:pt>
                <c:pt idx="41">
                  <c:v>0</c:v>
                </c:pt>
                <c:pt idx="42">
                  <c:v>36327</c:v>
                </c:pt>
                <c:pt idx="43">
                  <c:v>0</c:v>
                </c:pt>
                <c:pt idx="44">
                  <c:v>46164</c:v>
                </c:pt>
                <c:pt idx="45">
                  <c:v>0</c:v>
                </c:pt>
                <c:pt idx="46">
                  <c:v>0</c:v>
                </c:pt>
                <c:pt idx="47">
                  <c:v>38403</c:v>
                </c:pt>
                <c:pt idx="48">
                  <c:v>0</c:v>
                </c:pt>
                <c:pt idx="49">
                  <c:v>36871</c:v>
                </c:pt>
                <c:pt idx="50">
                  <c:v>0</c:v>
                </c:pt>
                <c:pt idx="51">
                  <c:v>0</c:v>
                </c:pt>
                <c:pt idx="52">
                  <c:v>35110</c:v>
                </c:pt>
                <c:pt idx="53">
                  <c:v>0</c:v>
                </c:pt>
                <c:pt idx="54">
                  <c:v>0</c:v>
                </c:pt>
                <c:pt idx="55">
                  <c:v>34681</c:v>
                </c:pt>
                <c:pt idx="56">
                  <c:v>0</c:v>
                </c:pt>
                <c:pt idx="57">
                  <c:v>31456</c:v>
                </c:pt>
                <c:pt idx="58">
                  <c:v>0</c:v>
                </c:pt>
                <c:pt idx="59">
                  <c:v>0</c:v>
                </c:pt>
                <c:pt idx="60">
                  <c:v>28220</c:v>
                </c:pt>
                <c:pt idx="61">
                  <c:v>0</c:v>
                </c:pt>
                <c:pt idx="62">
                  <c:v>28094</c:v>
                </c:pt>
                <c:pt idx="63">
                  <c:v>0</c:v>
                </c:pt>
                <c:pt idx="64">
                  <c:v>0</c:v>
                </c:pt>
                <c:pt idx="65">
                  <c:v>25825</c:v>
                </c:pt>
                <c:pt idx="66">
                  <c:v>0</c:v>
                </c:pt>
                <c:pt idx="67">
                  <c:v>31688</c:v>
                </c:pt>
                <c:pt idx="68">
                  <c:v>0</c:v>
                </c:pt>
                <c:pt idx="69">
                  <c:v>0</c:v>
                </c:pt>
                <c:pt idx="70">
                  <c:v>31727</c:v>
                </c:pt>
                <c:pt idx="71">
                  <c:v>0</c:v>
                </c:pt>
                <c:pt idx="72">
                  <c:v>0</c:v>
                </c:pt>
                <c:pt idx="73">
                  <c:v>25412</c:v>
                </c:pt>
                <c:pt idx="74">
                  <c:v>0</c:v>
                </c:pt>
                <c:pt idx="75">
                  <c:v>32205</c:v>
                </c:pt>
                <c:pt idx="76">
                  <c:v>0</c:v>
                </c:pt>
                <c:pt idx="77">
                  <c:v>0</c:v>
                </c:pt>
                <c:pt idx="78">
                  <c:v>28685</c:v>
                </c:pt>
                <c:pt idx="79">
                  <c:v>0</c:v>
                </c:pt>
                <c:pt idx="80">
                  <c:v>26893</c:v>
                </c:pt>
                <c:pt idx="81">
                  <c:v>0</c:v>
                </c:pt>
                <c:pt idx="82">
                  <c:v>0</c:v>
                </c:pt>
                <c:pt idx="83">
                  <c:v>25697</c:v>
                </c:pt>
                <c:pt idx="84">
                  <c:v>0</c:v>
                </c:pt>
                <c:pt idx="85">
                  <c:v>0</c:v>
                </c:pt>
                <c:pt idx="86">
                  <c:v>24428</c:v>
                </c:pt>
                <c:pt idx="87">
                  <c:v>0</c:v>
                </c:pt>
                <c:pt idx="88">
                  <c:v>22498</c:v>
                </c:pt>
                <c:pt idx="89">
                  <c:v>0</c:v>
                </c:pt>
                <c:pt idx="90">
                  <c:v>0</c:v>
                </c:pt>
                <c:pt idx="91">
                  <c:v>21435</c:v>
                </c:pt>
                <c:pt idx="92">
                  <c:v>0</c:v>
                </c:pt>
                <c:pt idx="93">
                  <c:v>21750</c:v>
                </c:pt>
                <c:pt idx="94">
                  <c:v>0</c:v>
                </c:pt>
                <c:pt idx="95">
                  <c:v>0</c:v>
                </c:pt>
                <c:pt idx="96">
                  <c:v>21453</c:v>
                </c:pt>
                <c:pt idx="97">
                  <c:v>0</c:v>
                </c:pt>
                <c:pt idx="98">
                  <c:v>20777</c:v>
                </c:pt>
                <c:pt idx="99">
                  <c:v>0</c:v>
                </c:pt>
                <c:pt idx="100">
                  <c:v>0</c:v>
                </c:pt>
                <c:pt idx="101">
                  <c:v>18288</c:v>
                </c:pt>
                <c:pt idx="102">
                  <c:v>0</c:v>
                </c:pt>
                <c:pt idx="103">
                  <c:v>0</c:v>
                </c:pt>
                <c:pt idx="104">
                  <c:v>19798</c:v>
                </c:pt>
                <c:pt idx="105">
                  <c:v>0</c:v>
                </c:pt>
                <c:pt idx="106">
                  <c:v>17657</c:v>
                </c:pt>
                <c:pt idx="107">
                  <c:v>0</c:v>
                </c:pt>
                <c:pt idx="108">
                  <c:v>0</c:v>
                </c:pt>
                <c:pt idx="109">
                  <c:v>17021</c:v>
                </c:pt>
                <c:pt idx="110">
                  <c:v>0</c:v>
                </c:pt>
                <c:pt idx="111">
                  <c:v>14748</c:v>
                </c:pt>
                <c:pt idx="112">
                  <c:v>0</c:v>
                </c:pt>
                <c:pt idx="113">
                  <c:v>0</c:v>
                </c:pt>
                <c:pt idx="114">
                  <c:v>14571</c:v>
                </c:pt>
                <c:pt idx="115">
                  <c:v>0</c:v>
                </c:pt>
                <c:pt idx="116">
                  <c:v>13970</c:v>
                </c:pt>
                <c:pt idx="117">
                  <c:v>0</c:v>
                </c:pt>
                <c:pt idx="118">
                  <c:v>0</c:v>
                </c:pt>
                <c:pt idx="119">
                  <c:v>13821</c:v>
                </c:pt>
                <c:pt idx="120">
                  <c:v>0</c:v>
                </c:pt>
                <c:pt idx="121">
                  <c:v>0</c:v>
                </c:pt>
                <c:pt idx="122">
                  <c:v>12998</c:v>
                </c:pt>
                <c:pt idx="123">
                  <c:v>0</c:v>
                </c:pt>
                <c:pt idx="124">
                  <c:v>13840</c:v>
                </c:pt>
                <c:pt idx="125">
                  <c:v>0</c:v>
                </c:pt>
                <c:pt idx="126">
                  <c:v>0</c:v>
                </c:pt>
                <c:pt idx="127">
                  <c:v>13387</c:v>
                </c:pt>
                <c:pt idx="128">
                  <c:v>0</c:v>
                </c:pt>
                <c:pt idx="129">
                  <c:v>11986</c:v>
                </c:pt>
                <c:pt idx="130">
                  <c:v>0</c:v>
                </c:pt>
                <c:pt idx="131">
                  <c:v>0</c:v>
                </c:pt>
                <c:pt idx="132">
                  <c:v>14528</c:v>
                </c:pt>
                <c:pt idx="133">
                  <c:v>0</c:v>
                </c:pt>
                <c:pt idx="134">
                  <c:v>13149</c:v>
                </c:pt>
                <c:pt idx="135">
                  <c:v>0</c:v>
                </c:pt>
                <c:pt idx="136">
                  <c:v>0</c:v>
                </c:pt>
                <c:pt idx="137">
                  <c:v>12147</c:v>
                </c:pt>
                <c:pt idx="138">
                  <c:v>0</c:v>
                </c:pt>
                <c:pt idx="139">
                  <c:v>0</c:v>
                </c:pt>
                <c:pt idx="140">
                  <c:v>11505</c:v>
                </c:pt>
                <c:pt idx="141">
                  <c:v>0</c:v>
                </c:pt>
                <c:pt idx="142">
                  <c:v>10046</c:v>
                </c:pt>
                <c:pt idx="143">
                  <c:v>0</c:v>
                </c:pt>
                <c:pt idx="144">
                  <c:v>0</c:v>
                </c:pt>
                <c:pt idx="145">
                  <c:v>9125</c:v>
                </c:pt>
                <c:pt idx="146">
                  <c:v>0</c:v>
                </c:pt>
                <c:pt idx="147">
                  <c:v>7937</c:v>
                </c:pt>
                <c:pt idx="148">
                  <c:v>0</c:v>
                </c:pt>
                <c:pt idx="149">
                  <c:v>0</c:v>
                </c:pt>
                <c:pt idx="150">
                  <c:v>5936</c:v>
                </c:pt>
                <c:pt idx="151">
                  <c:v>0</c:v>
                </c:pt>
                <c:pt idx="152">
                  <c:v>4475</c:v>
                </c:pt>
                <c:pt idx="153">
                  <c:v>0</c:v>
                </c:pt>
                <c:pt idx="154">
                  <c:v>0</c:v>
                </c:pt>
                <c:pt idx="155">
                  <c:v>4174</c:v>
                </c:pt>
                <c:pt idx="156">
                  <c:v>0</c:v>
                </c:pt>
                <c:pt idx="157">
                  <c:v>0</c:v>
                </c:pt>
                <c:pt idx="158">
                  <c:v>3268</c:v>
                </c:pt>
                <c:pt idx="159">
                  <c:v>0</c:v>
                </c:pt>
                <c:pt idx="160">
                  <c:v>2115</c:v>
                </c:pt>
                <c:pt idx="161">
                  <c:v>0</c:v>
                </c:pt>
                <c:pt idx="162">
                  <c:v>0</c:v>
                </c:pt>
                <c:pt idx="163">
                  <c:v>1195</c:v>
                </c:pt>
                <c:pt idx="164">
                  <c:v>0</c:v>
                </c:pt>
                <c:pt idx="165">
                  <c:v>622</c:v>
                </c:pt>
                <c:pt idx="166">
                  <c:v>0</c:v>
                </c:pt>
                <c:pt idx="167">
                  <c:v>0</c:v>
                </c:pt>
                <c:pt idx="168">
                  <c:v>492</c:v>
                </c:pt>
                <c:pt idx="169">
                  <c:v>0</c:v>
                </c:pt>
                <c:pt idx="170">
                  <c:v>0</c:v>
                </c:pt>
                <c:pt idx="171">
                  <c:v>240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6644</c:v>
                </c:pt>
                <c:pt idx="7">
                  <c:v>0</c:v>
                </c:pt>
                <c:pt idx="8">
                  <c:v>14390</c:v>
                </c:pt>
                <c:pt idx="9">
                  <c:v>0</c:v>
                </c:pt>
                <c:pt idx="10">
                  <c:v>0</c:v>
                </c:pt>
                <c:pt idx="11">
                  <c:v>27268</c:v>
                </c:pt>
                <c:pt idx="12">
                  <c:v>0</c:v>
                </c:pt>
                <c:pt idx="13">
                  <c:v>41669</c:v>
                </c:pt>
                <c:pt idx="14">
                  <c:v>0</c:v>
                </c:pt>
                <c:pt idx="15">
                  <c:v>0</c:v>
                </c:pt>
                <c:pt idx="16">
                  <c:v>43729</c:v>
                </c:pt>
                <c:pt idx="17">
                  <c:v>0</c:v>
                </c:pt>
                <c:pt idx="18">
                  <c:v>0</c:v>
                </c:pt>
                <c:pt idx="19">
                  <c:v>44218</c:v>
                </c:pt>
                <c:pt idx="20">
                  <c:v>0</c:v>
                </c:pt>
                <c:pt idx="21">
                  <c:v>39597</c:v>
                </c:pt>
                <c:pt idx="22">
                  <c:v>0</c:v>
                </c:pt>
                <c:pt idx="23">
                  <c:v>0</c:v>
                </c:pt>
                <c:pt idx="24">
                  <c:v>37027</c:v>
                </c:pt>
                <c:pt idx="25">
                  <c:v>0</c:v>
                </c:pt>
                <c:pt idx="26">
                  <c:v>39448</c:v>
                </c:pt>
                <c:pt idx="27">
                  <c:v>0</c:v>
                </c:pt>
                <c:pt idx="28">
                  <c:v>0</c:v>
                </c:pt>
                <c:pt idx="29">
                  <c:v>30264</c:v>
                </c:pt>
                <c:pt idx="30">
                  <c:v>0</c:v>
                </c:pt>
                <c:pt idx="31">
                  <c:v>32303</c:v>
                </c:pt>
                <c:pt idx="32">
                  <c:v>0</c:v>
                </c:pt>
                <c:pt idx="33">
                  <c:v>0</c:v>
                </c:pt>
                <c:pt idx="34">
                  <c:v>27848</c:v>
                </c:pt>
                <c:pt idx="35">
                  <c:v>0</c:v>
                </c:pt>
                <c:pt idx="36">
                  <c:v>0</c:v>
                </c:pt>
                <c:pt idx="37">
                  <c:v>31751</c:v>
                </c:pt>
                <c:pt idx="38">
                  <c:v>0</c:v>
                </c:pt>
                <c:pt idx="39">
                  <c:v>31001</c:v>
                </c:pt>
                <c:pt idx="40">
                  <c:v>0</c:v>
                </c:pt>
                <c:pt idx="41">
                  <c:v>0</c:v>
                </c:pt>
                <c:pt idx="42">
                  <c:v>31319</c:v>
                </c:pt>
                <c:pt idx="43">
                  <c:v>0</c:v>
                </c:pt>
                <c:pt idx="44">
                  <c:v>29840</c:v>
                </c:pt>
                <c:pt idx="45">
                  <c:v>0</c:v>
                </c:pt>
                <c:pt idx="46">
                  <c:v>0</c:v>
                </c:pt>
                <c:pt idx="47">
                  <c:v>27233</c:v>
                </c:pt>
                <c:pt idx="48">
                  <c:v>0</c:v>
                </c:pt>
                <c:pt idx="49">
                  <c:v>21721</c:v>
                </c:pt>
                <c:pt idx="50">
                  <c:v>0</c:v>
                </c:pt>
                <c:pt idx="51">
                  <c:v>0</c:v>
                </c:pt>
                <c:pt idx="52">
                  <c:v>21553</c:v>
                </c:pt>
                <c:pt idx="53">
                  <c:v>0</c:v>
                </c:pt>
                <c:pt idx="54">
                  <c:v>0</c:v>
                </c:pt>
                <c:pt idx="55">
                  <c:v>21623</c:v>
                </c:pt>
                <c:pt idx="56">
                  <c:v>0</c:v>
                </c:pt>
                <c:pt idx="57">
                  <c:v>18788</c:v>
                </c:pt>
                <c:pt idx="58">
                  <c:v>0</c:v>
                </c:pt>
                <c:pt idx="59">
                  <c:v>0</c:v>
                </c:pt>
                <c:pt idx="60">
                  <c:v>20446</c:v>
                </c:pt>
                <c:pt idx="61">
                  <c:v>0</c:v>
                </c:pt>
                <c:pt idx="62">
                  <c:v>25527</c:v>
                </c:pt>
                <c:pt idx="63">
                  <c:v>0</c:v>
                </c:pt>
                <c:pt idx="64">
                  <c:v>0</c:v>
                </c:pt>
                <c:pt idx="65">
                  <c:v>29444</c:v>
                </c:pt>
                <c:pt idx="66">
                  <c:v>0</c:v>
                </c:pt>
                <c:pt idx="67">
                  <c:v>27317</c:v>
                </c:pt>
                <c:pt idx="68">
                  <c:v>0</c:v>
                </c:pt>
                <c:pt idx="69">
                  <c:v>0</c:v>
                </c:pt>
                <c:pt idx="70">
                  <c:v>28179</c:v>
                </c:pt>
                <c:pt idx="71">
                  <c:v>0</c:v>
                </c:pt>
                <c:pt idx="72">
                  <c:v>0</c:v>
                </c:pt>
                <c:pt idx="73">
                  <c:v>31027</c:v>
                </c:pt>
                <c:pt idx="74">
                  <c:v>0</c:v>
                </c:pt>
                <c:pt idx="75">
                  <c:v>30540</c:v>
                </c:pt>
                <c:pt idx="76">
                  <c:v>0</c:v>
                </c:pt>
                <c:pt idx="77">
                  <c:v>0</c:v>
                </c:pt>
                <c:pt idx="78">
                  <c:v>31533</c:v>
                </c:pt>
                <c:pt idx="79">
                  <c:v>0</c:v>
                </c:pt>
                <c:pt idx="80">
                  <c:v>32513</c:v>
                </c:pt>
                <c:pt idx="81">
                  <c:v>0</c:v>
                </c:pt>
                <c:pt idx="82">
                  <c:v>0</c:v>
                </c:pt>
                <c:pt idx="83">
                  <c:v>31806</c:v>
                </c:pt>
                <c:pt idx="84">
                  <c:v>0</c:v>
                </c:pt>
                <c:pt idx="85">
                  <c:v>0</c:v>
                </c:pt>
                <c:pt idx="86">
                  <c:v>33163</c:v>
                </c:pt>
                <c:pt idx="87">
                  <c:v>0</c:v>
                </c:pt>
                <c:pt idx="88">
                  <c:v>32266</c:v>
                </c:pt>
                <c:pt idx="89">
                  <c:v>0</c:v>
                </c:pt>
                <c:pt idx="90">
                  <c:v>0</c:v>
                </c:pt>
                <c:pt idx="91">
                  <c:v>30090</c:v>
                </c:pt>
                <c:pt idx="92">
                  <c:v>0</c:v>
                </c:pt>
                <c:pt idx="93">
                  <c:v>29902</c:v>
                </c:pt>
                <c:pt idx="94">
                  <c:v>0</c:v>
                </c:pt>
                <c:pt idx="95">
                  <c:v>0</c:v>
                </c:pt>
                <c:pt idx="96">
                  <c:v>27582</c:v>
                </c:pt>
                <c:pt idx="97">
                  <c:v>0</c:v>
                </c:pt>
                <c:pt idx="98">
                  <c:v>29198</c:v>
                </c:pt>
                <c:pt idx="99">
                  <c:v>0</c:v>
                </c:pt>
                <c:pt idx="100">
                  <c:v>0</c:v>
                </c:pt>
                <c:pt idx="101">
                  <c:v>28526</c:v>
                </c:pt>
                <c:pt idx="102">
                  <c:v>0</c:v>
                </c:pt>
                <c:pt idx="103">
                  <c:v>0</c:v>
                </c:pt>
                <c:pt idx="104">
                  <c:v>24821</c:v>
                </c:pt>
                <c:pt idx="105">
                  <c:v>0</c:v>
                </c:pt>
                <c:pt idx="106">
                  <c:v>21114</c:v>
                </c:pt>
                <c:pt idx="107">
                  <c:v>0</c:v>
                </c:pt>
                <c:pt idx="108">
                  <c:v>0</c:v>
                </c:pt>
                <c:pt idx="109">
                  <c:v>17622</c:v>
                </c:pt>
                <c:pt idx="110">
                  <c:v>0</c:v>
                </c:pt>
                <c:pt idx="111">
                  <c:v>17635</c:v>
                </c:pt>
                <c:pt idx="112">
                  <c:v>0</c:v>
                </c:pt>
                <c:pt idx="113">
                  <c:v>0</c:v>
                </c:pt>
                <c:pt idx="114">
                  <c:v>17252</c:v>
                </c:pt>
                <c:pt idx="115">
                  <c:v>0</c:v>
                </c:pt>
                <c:pt idx="116">
                  <c:v>13845</c:v>
                </c:pt>
                <c:pt idx="117">
                  <c:v>0</c:v>
                </c:pt>
                <c:pt idx="118">
                  <c:v>0</c:v>
                </c:pt>
                <c:pt idx="119">
                  <c:v>13586</c:v>
                </c:pt>
                <c:pt idx="120">
                  <c:v>0</c:v>
                </c:pt>
                <c:pt idx="121">
                  <c:v>0</c:v>
                </c:pt>
                <c:pt idx="122">
                  <c:v>12794</c:v>
                </c:pt>
                <c:pt idx="123">
                  <c:v>0</c:v>
                </c:pt>
                <c:pt idx="124">
                  <c:v>11277</c:v>
                </c:pt>
                <c:pt idx="125">
                  <c:v>0</c:v>
                </c:pt>
                <c:pt idx="126">
                  <c:v>0</c:v>
                </c:pt>
                <c:pt idx="127">
                  <c:v>10288</c:v>
                </c:pt>
                <c:pt idx="128">
                  <c:v>0</c:v>
                </c:pt>
                <c:pt idx="129">
                  <c:v>7928</c:v>
                </c:pt>
                <c:pt idx="130">
                  <c:v>0</c:v>
                </c:pt>
                <c:pt idx="131">
                  <c:v>0</c:v>
                </c:pt>
                <c:pt idx="132">
                  <c:v>6877</c:v>
                </c:pt>
                <c:pt idx="133">
                  <c:v>0</c:v>
                </c:pt>
                <c:pt idx="134">
                  <c:v>6587</c:v>
                </c:pt>
                <c:pt idx="135">
                  <c:v>0</c:v>
                </c:pt>
                <c:pt idx="136">
                  <c:v>0</c:v>
                </c:pt>
                <c:pt idx="137">
                  <c:v>4872</c:v>
                </c:pt>
                <c:pt idx="138">
                  <c:v>0</c:v>
                </c:pt>
                <c:pt idx="139">
                  <c:v>0</c:v>
                </c:pt>
                <c:pt idx="140">
                  <c:v>4794</c:v>
                </c:pt>
                <c:pt idx="141">
                  <c:v>0</c:v>
                </c:pt>
                <c:pt idx="142">
                  <c:v>3580</c:v>
                </c:pt>
                <c:pt idx="143">
                  <c:v>0</c:v>
                </c:pt>
                <c:pt idx="144">
                  <c:v>0</c:v>
                </c:pt>
                <c:pt idx="145">
                  <c:v>4061</c:v>
                </c:pt>
                <c:pt idx="146">
                  <c:v>0</c:v>
                </c:pt>
                <c:pt idx="147">
                  <c:v>3470</c:v>
                </c:pt>
                <c:pt idx="148">
                  <c:v>0</c:v>
                </c:pt>
                <c:pt idx="149">
                  <c:v>0</c:v>
                </c:pt>
                <c:pt idx="150">
                  <c:v>2896</c:v>
                </c:pt>
                <c:pt idx="151">
                  <c:v>0</c:v>
                </c:pt>
                <c:pt idx="152">
                  <c:v>1826</c:v>
                </c:pt>
                <c:pt idx="153">
                  <c:v>0</c:v>
                </c:pt>
                <c:pt idx="154">
                  <c:v>0</c:v>
                </c:pt>
                <c:pt idx="155">
                  <c:v>1227</c:v>
                </c:pt>
                <c:pt idx="156">
                  <c:v>0</c:v>
                </c:pt>
                <c:pt idx="157">
                  <c:v>0</c:v>
                </c:pt>
                <c:pt idx="158">
                  <c:v>1171</c:v>
                </c:pt>
                <c:pt idx="159">
                  <c:v>0</c:v>
                </c:pt>
                <c:pt idx="160">
                  <c:v>707</c:v>
                </c:pt>
                <c:pt idx="161">
                  <c:v>0</c:v>
                </c:pt>
                <c:pt idx="162">
                  <c:v>0</c:v>
                </c:pt>
                <c:pt idx="163">
                  <c:v>273</c:v>
                </c:pt>
                <c:pt idx="164">
                  <c:v>0</c:v>
                </c:pt>
                <c:pt idx="165">
                  <c:v>169</c:v>
                </c:pt>
                <c:pt idx="166">
                  <c:v>0</c:v>
                </c:pt>
                <c:pt idx="167">
                  <c:v>0</c:v>
                </c:pt>
                <c:pt idx="168">
                  <c:v>226</c:v>
                </c:pt>
                <c:pt idx="169">
                  <c:v>0</c:v>
                </c:pt>
                <c:pt idx="170">
                  <c:v>0</c:v>
                </c:pt>
                <c:pt idx="171">
                  <c:v>94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0.20392162647281756</c:v>
                </c:pt>
                <c:pt idx="1">
                  <c:v>0.40603616989665225</c:v>
                </c:pt>
                <c:pt idx="2">
                  <c:v>0.3900422036305301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0.39256692002799609</c:v>
                </c:pt>
                <c:pt idx="1">
                  <c:v>0.36224468139294019</c:v>
                </c:pt>
                <c:pt idx="2">
                  <c:v>0.24518839857906363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7.2261524999999995</c:v>
                </c:pt>
                <c:pt idx="1">
                  <c:v>15.161520000000001</c:v>
                </c:pt>
                <c:pt idx="2">
                  <c:v>27.84075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0.376303</c:v>
                </c:pt>
                <c:pt idx="2">
                  <c:v>0.77855099999999999</c:v>
                </c:pt>
                <c:pt idx="3">
                  <c:v>1.18449</c:v>
                </c:pt>
                <c:pt idx="4">
                  <c:v>1.5905499999999999</c:v>
                </c:pt>
                <c:pt idx="5">
                  <c:v>1.9973099999999999</c:v>
                </c:pt>
                <c:pt idx="6">
                  <c:v>2.4063699999999999</c:v>
                </c:pt>
                <c:pt idx="7">
                  <c:v>2.8087399999999998</c:v>
                </c:pt>
                <c:pt idx="8">
                  <c:v>3.2156400000000001</c:v>
                </c:pt>
                <c:pt idx="9">
                  <c:v>3.6237900000000001</c:v>
                </c:pt>
                <c:pt idx="10">
                  <c:v>4.0314800000000002</c:v>
                </c:pt>
                <c:pt idx="11">
                  <c:v>4.43736</c:v>
                </c:pt>
                <c:pt idx="12">
                  <c:v>4.8420199999999998</c:v>
                </c:pt>
                <c:pt idx="13">
                  <c:v>5.2469900000000003</c:v>
                </c:pt>
                <c:pt idx="14">
                  <c:v>5.6550900000000004</c:v>
                </c:pt>
                <c:pt idx="15">
                  <c:v>6.06229</c:v>
                </c:pt>
                <c:pt idx="16">
                  <c:v>6.4673999999999996</c:v>
                </c:pt>
                <c:pt idx="17">
                  <c:v>6.8716299999999997</c:v>
                </c:pt>
                <c:pt idx="18">
                  <c:v>7.2775499999999997</c:v>
                </c:pt>
                <c:pt idx="19">
                  <c:v>7.68377</c:v>
                </c:pt>
                <c:pt idx="20">
                  <c:v>8.0926200000000001</c:v>
                </c:pt>
                <c:pt idx="21">
                  <c:v>8.4993999999999996</c:v>
                </c:pt>
                <c:pt idx="22">
                  <c:v>8.9051799999999997</c:v>
                </c:pt>
                <c:pt idx="23">
                  <c:v>9.3107699999999998</c:v>
                </c:pt>
                <c:pt idx="24">
                  <c:v>9.7141599999999997</c:v>
                </c:pt>
                <c:pt idx="25">
                  <c:v>10.1213</c:v>
                </c:pt>
                <c:pt idx="26">
                  <c:v>10.527699999999999</c:v>
                </c:pt>
                <c:pt idx="27">
                  <c:v>10.9381</c:v>
                </c:pt>
                <c:pt idx="28">
                  <c:v>11.3431</c:v>
                </c:pt>
                <c:pt idx="29">
                  <c:v>11.7478</c:v>
                </c:pt>
                <c:pt idx="30">
                  <c:v>12.1556</c:v>
                </c:pt>
                <c:pt idx="31">
                  <c:v>12.5596</c:v>
                </c:pt>
                <c:pt idx="32">
                  <c:v>12.9674</c:v>
                </c:pt>
                <c:pt idx="33">
                  <c:v>13.3749</c:v>
                </c:pt>
                <c:pt idx="34">
                  <c:v>13.7811</c:v>
                </c:pt>
                <c:pt idx="35">
                  <c:v>14.1845</c:v>
                </c:pt>
                <c:pt idx="36">
                  <c:v>14.592499999999999</c:v>
                </c:pt>
                <c:pt idx="37">
                  <c:v>14.9971</c:v>
                </c:pt>
                <c:pt idx="38">
                  <c:v>15.408300000000001</c:v>
                </c:pt>
                <c:pt idx="39">
                  <c:v>15.811500000000001</c:v>
                </c:pt>
                <c:pt idx="40">
                  <c:v>16.219100000000001</c:v>
                </c:pt>
                <c:pt idx="41">
                  <c:v>16.626100000000001</c:v>
                </c:pt>
                <c:pt idx="42">
                  <c:v>17.028600000000001</c:v>
                </c:pt>
                <c:pt idx="43">
                  <c:v>17.436800000000002</c:v>
                </c:pt>
                <c:pt idx="44">
                  <c:v>17.845500000000001</c:v>
                </c:pt>
                <c:pt idx="45">
                  <c:v>18.247299999999999</c:v>
                </c:pt>
                <c:pt idx="46">
                  <c:v>18.654499999999999</c:v>
                </c:pt>
                <c:pt idx="47">
                  <c:v>19.0642</c:v>
                </c:pt>
                <c:pt idx="48">
                  <c:v>19.465900000000001</c:v>
                </c:pt>
                <c:pt idx="49">
                  <c:v>19.8748</c:v>
                </c:pt>
                <c:pt idx="50">
                  <c:v>20.279199999999999</c:v>
                </c:pt>
                <c:pt idx="51">
                  <c:v>20.683499999999999</c:v>
                </c:pt>
                <c:pt idx="52">
                  <c:v>21.095700000000001</c:v>
                </c:pt>
                <c:pt idx="53">
                  <c:v>21.498999999999999</c:v>
                </c:pt>
                <c:pt idx="54">
                  <c:v>21.906700000000001</c:v>
                </c:pt>
                <c:pt idx="55">
                  <c:v>22.3093</c:v>
                </c:pt>
                <c:pt idx="56">
                  <c:v>22.716999999999999</c:v>
                </c:pt>
                <c:pt idx="57">
                  <c:v>23.121700000000001</c:v>
                </c:pt>
                <c:pt idx="58">
                  <c:v>23.5306</c:v>
                </c:pt>
                <c:pt idx="59">
                  <c:v>23.938199999999998</c:v>
                </c:pt>
                <c:pt idx="60">
                  <c:v>24.343599999999999</c:v>
                </c:pt>
                <c:pt idx="61">
                  <c:v>24.746500000000001</c:v>
                </c:pt>
                <c:pt idx="62">
                  <c:v>25.151800000000001</c:v>
                </c:pt>
                <c:pt idx="63">
                  <c:v>25.561800000000002</c:v>
                </c:pt>
                <c:pt idx="64">
                  <c:v>25.964300000000001</c:v>
                </c:pt>
                <c:pt idx="65">
                  <c:v>26.374500000000001</c:v>
                </c:pt>
                <c:pt idx="66">
                  <c:v>26.7788</c:v>
                </c:pt>
                <c:pt idx="67">
                  <c:v>27.1861</c:v>
                </c:pt>
                <c:pt idx="68">
                  <c:v>27.591100000000001</c:v>
                </c:pt>
                <c:pt idx="69">
                  <c:v>27.998699999999999</c:v>
                </c:pt>
                <c:pt idx="70">
                  <c:v>28.4084</c:v>
                </c:pt>
                <c:pt idx="71">
                  <c:v>28.809100000000001</c:v>
                </c:pt>
                <c:pt idx="72">
                  <c:v>29.217099999999999</c:v>
                </c:pt>
                <c:pt idx="73">
                  <c:v>29.622299999999999</c:v>
                </c:pt>
                <c:pt idx="74">
                  <c:v>30.028600000000001</c:v>
                </c:pt>
                <c:pt idx="75">
                  <c:v>30.622900000000001</c:v>
                </c:pt>
                <c:pt idx="76">
                  <c:v>30.9986</c:v>
                </c:pt>
                <c:pt idx="77">
                  <c:v>31.3765</c:v>
                </c:pt>
                <c:pt idx="78">
                  <c:v>31.749300000000002</c:v>
                </c:pt>
                <c:pt idx="79">
                  <c:v>32.123600000000003</c:v>
                </c:pt>
                <c:pt idx="80">
                  <c:v>32.529499999999999</c:v>
                </c:pt>
                <c:pt idx="81">
                  <c:v>32.935400000000001</c:v>
                </c:pt>
                <c:pt idx="82">
                  <c:v>33.342199999999998</c:v>
                </c:pt>
                <c:pt idx="83">
                  <c:v>33.749000000000002</c:v>
                </c:pt>
                <c:pt idx="84">
                  <c:v>34.154699999999998</c:v>
                </c:pt>
                <c:pt idx="85">
                  <c:v>34.559399999999997</c:v>
                </c:pt>
                <c:pt idx="86">
                  <c:v>34.966900000000003</c:v>
                </c:pt>
                <c:pt idx="87">
                  <c:v>35.377099999999999</c:v>
                </c:pt>
                <c:pt idx="88">
                  <c:v>35.7819</c:v>
                </c:pt>
                <c:pt idx="89">
                  <c:v>36.184199999999997</c:v>
                </c:pt>
                <c:pt idx="90">
                  <c:v>36.588200000000001</c:v>
                </c:pt>
                <c:pt idx="91">
                  <c:v>36.999699999999997</c:v>
                </c:pt>
                <c:pt idx="92">
                  <c:v>37.406700000000001</c:v>
                </c:pt>
                <c:pt idx="93">
                  <c:v>37.8125</c:v>
                </c:pt>
                <c:pt idx="94">
                  <c:v>38.217700000000001</c:v>
                </c:pt>
                <c:pt idx="95">
                  <c:v>38.622100000000003</c:v>
                </c:pt>
                <c:pt idx="96">
                  <c:v>39.0274</c:v>
                </c:pt>
                <c:pt idx="97">
                  <c:v>39.438499999999998</c:v>
                </c:pt>
                <c:pt idx="98">
                  <c:v>39.843200000000003</c:v>
                </c:pt>
                <c:pt idx="99">
                  <c:v>40.247999999999998</c:v>
                </c:pt>
                <c:pt idx="100">
                  <c:v>40.654899999999998</c:v>
                </c:pt>
                <c:pt idx="101">
                  <c:v>41.059600000000003</c:v>
                </c:pt>
                <c:pt idx="102">
                  <c:v>41.466299999999997</c:v>
                </c:pt>
                <c:pt idx="103">
                  <c:v>41.874499999999998</c:v>
                </c:pt>
                <c:pt idx="104">
                  <c:v>42.278199999999998</c:v>
                </c:pt>
                <c:pt idx="105">
                  <c:v>42.687199999999997</c:v>
                </c:pt>
                <c:pt idx="106">
                  <c:v>43.0901</c:v>
                </c:pt>
                <c:pt idx="107">
                  <c:v>43.497700000000002</c:v>
                </c:pt>
                <c:pt idx="108">
                  <c:v>43.906999999999996</c:v>
                </c:pt>
                <c:pt idx="109">
                  <c:v>44.310299999999998</c:v>
                </c:pt>
                <c:pt idx="110">
                  <c:v>44.716099999999997</c:v>
                </c:pt>
                <c:pt idx="111">
                  <c:v>45.122</c:v>
                </c:pt>
                <c:pt idx="112">
                  <c:v>45.528399999999998</c:v>
                </c:pt>
                <c:pt idx="113">
                  <c:v>45.939300000000003</c:v>
                </c:pt>
                <c:pt idx="114">
                  <c:v>46.342399999999998</c:v>
                </c:pt>
                <c:pt idx="115">
                  <c:v>46.747199999999999</c:v>
                </c:pt>
                <c:pt idx="116">
                  <c:v>47.155900000000003</c:v>
                </c:pt>
                <c:pt idx="117">
                  <c:v>47.560600000000001</c:v>
                </c:pt>
                <c:pt idx="118">
                  <c:v>47.964599999999997</c:v>
                </c:pt>
                <c:pt idx="119">
                  <c:v>48.372300000000003</c:v>
                </c:pt>
                <c:pt idx="120">
                  <c:v>48.781100000000002</c:v>
                </c:pt>
                <c:pt idx="121">
                  <c:v>49.1858</c:v>
                </c:pt>
                <c:pt idx="122">
                  <c:v>49.591999999999999</c:v>
                </c:pt>
                <c:pt idx="123">
                  <c:v>49.997900000000001</c:v>
                </c:pt>
                <c:pt idx="124">
                  <c:v>50.402000000000001</c:v>
                </c:pt>
                <c:pt idx="125">
                  <c:v>50.810499999999998</c:v>
                </c:pt>
                <c:pt idx="126">
                  <c:v>51.2181</c:v>
                </c:pt>
                <c:pt idx="127">
                  <c:v>51.621600000000001</c:v>
                </c:pt>
                <c:pt idx="128">
                  <c:v>52.0261</c:v>
                </c:pt>
                <c:pt idx="129">
                  <c:v>52.433900000000001</c:v>
                </c:pt>
                <c:pt idx="130">
                  <c:v>52.841999999999999</c:v>
                </c:pt>
                <c:pt idx="131">
                  <c:v>53.251600000000003</c:v>
                </c:pt>
                <c:pt idx="132">
                  <c:v>53.657899999999998</c:v>
                </c:pt>
                <c:pt idx="133">
                  <c:v>54.060699999999997</c:v>
                </c:pt>
                <c:pt idx="134">
                  <c:v>54.465600000000002</c:v>
                </c:pt>
                <c:pt idx="135">
                  <c:v>54.875599999999999</c:v>
                </c:pt>
                <c:pt idx="136">
                  <c:v>55.280500000000004</c:v>
                </c:pt>
                <c:pt idx="137">
                  <c:v>55.685099999999998</c:v>
                </c:pt>
                <c:pt idx="138">
                  <c:v>56.088799999999999</c:v>
                </c:pt>
                <c:pt idx="139">
                  <c:v>56.497700000000002</c:v>
                </c:pt>
                <c:pt idx="140">
                  <c:v>56.906500000000001</c:v>
                </c:pt>
                <c:pt idx="141">
                  <c:v>57.3127</c:v>
                </c:pt>
                <c:pt idx="142">
                  <c:v>57.716799999999999</c:v>
                </c:pt>
                <c:pt idx="143">
                  <c:v>58.121699999999997</c:v>
                </c:pt>
                <c:pt idx="144">
                  <c:v>58.528199999999998</c:v>
                </c:pt>
                <c:pt idx="145">
                  <c:v>58.936199999999999</c:v>
                </c:pt>
                <c:pt idx="146">
                  <c:v>59.343299999999999</c:v>
                </c:pt>
                <c:pt idx="147">
                  <c:v>59.747999999999998</c:v>
                </c:pt>
                <c:pt idx="148">
                  <c:v>60.155099999999997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1.42197</c:v>
                </c:pt>
                <c:pt idx="1">
                  <c:v>1.4737200000000001</c:v>
                </c:pt>
                <c:pt idx="2">
                  <c:v>1.5241199999999999</c:v>
                </c:pt>
                <c:pt idx="3">
                  <c:v>1.57497</c:v>
                </c:pt>
                <c:pt idx="4">
                  <c:v>1.6260399999999999</c:v>
                </c:pt>
                <c:pt idx="5">
                  <c:v>1.67618</c:v>
                </c:pt>
                <c:pt idx="6">
                  <c:v>1.7286099999999998</c:v>
                </c:pt>
                <c:pt idx="7">
                  <c:v>1.7809200000000001</c:v>
                </c:pt>
                <c:pt idx="8">
                  <c:v>1.83277</c:v>
                </c:pt>
                <c:pt idx="9">
                  <c:v>1.8819399999999999</c:v>
                </c:pt>
                <c:pt idx="10">
                  <c:v>1.9303400000000002</c:v>
                </c:pt>
                <c:pt idx="11">
                  <c:v>1.9793400000000001</c:v>
                </c:pt>
                <c:pt idx="12">
                  <c:v>2.0312199999999998</c:v>
                </c:pt>
                <c:pt idx="13">
                  <c:v>2.08304</c:v>
                </c:pt>
                <c:pt idx="14">
                  <c:v>2.1322700000000001</c:v>
                </c:pt>
                <c:pt idx="15">
                  <c:v>2.1800999999999999</c:v>
                </c:pt>
                <c:pt idx="16">
                  <c:v>2.2284699999999997</c:v>
                </c:pt>
                <c:pt idx="17">
                  <c:v>2.2761500000000003</c:v>
                </c:pt>
                <c:pt idx="18">
                  <c:v>2.32551</c:v>
                </c:pt>
                <c:pt idx="19">
                  <c:v>2.3758499999999998</c:v>
                </c:pt>
                <c:pt idx="20">
                  <c:v>2.4241299999999999</c:v>
                </c:pt>
                <c:pt idx="21">
                  <c:v>2.4685299999999999</c:v>
                </c:pt>
                <c:pt idx="22">
                  <c:v>2.5135100000000001</c:v>
                </c:pt>
                <c:pt idx="23">
                  <c:v>2.5588199999999999</c:v>
                </c:pt>
                <c:pt idx="24">
                  <c:v>2.6021899999999998</c:v>
                </c:pt>
                <c:pt idx="25">
                  <c:v>2.6419100000000002</c:v>
                </c:pt>
                <c:pt idx="26">
                  <c:v>2.6801599999999999</c:v>
                </c:pt>
                <c:pt idx="27">
                  <c:v>2.71611</c:v>
                </c:pt>
                <c:pt idx="28">
                  <c:v>2.7479999999999998</c:v>
                </c:pt>
                <c:pt idx="29">
                  <c:v>2.7772799999999997</c:v>
                </c:pt>
                <c:pt idx="30">
                  <c:v>2.80491</c:v>
                </c:pt>
                <c:pt idx="31">
                  <c:v>2.8298899999999998</c:v>
                </c:pt>
                <c:pt idx="32">
                  <c:v>2.8527900000000002</c:v>
                </c:pt>
                <c:pt idx="33">
                  <c:v>2.87466</c:v>
                </c:pt>
                <c:pt idx="34">
                  <c:v>2.89567</c:v>
                </c:pt>
                <c:pt idx="35">
                  <c:v>2.9149700000000003</c:v>
                </c:pt>
                <c:pt idx="36">
                  <c:v>2.9303400000000002</c:v>
                </c:pt>
                <c:pt idx="37">
                  <c:v>2.9419599999999999</c:v>
                </c:pt>
                <c:pt idx="38">
                  <c:v>2.9519299999999999</c:v>
                </c:pt>
                <c:pt idx="39">
                  <c:v>2.9613299999999998</c:v>
                </c:pt>
                <c:pt idx="40">
                  <c:v>2.9689900000000002</c:v>
                </c:pt>
                <c:pt idx="41">
                  <c:v>2.9738100000000003</c:v>
                </c:pt>
                <c:pt idx="42">
                  <c:v>2.9767199999999998</c:v>
                </c:pt>
                <c:pt idx="43">
                  <c:v>2.9791299999999996</c:v>
                </c:pt>
                <c:pt idx="44">
                  <c:v>2.9787499999999998</c:v>
                </c:pt>
                <c:pt idx="45">
                  <c:v>2.9757899999999999</c:v>
                </c:pt>
                <c:pt idx="46">
                  <c:v>2.97296</c:v>
                </c:pt>
                <c:pt idx="47">
                  <c:v>2.9683199999999998</c:v>
                </c:pt>
                <c:pt idx="48">
                  <c:v>2.9595700000000003</c:v>
                </c:pt>
                <c:pt idx="49">
                  <c:v>2.9494899999999999</c:v>
                </c:pt>
                <c:pt idx="50">
                  <c:v>2.9423899999999996</c:v>
                </c:pt>
                <c:pt idx="51">
                  <c:v>2.9328900000000004</c:v>
                </c:pt>
                <c:pt idx="52">
                  <c:v>2.9248000000000003</c:v>
                </c:pt>
                <c:pt idx="53">
                  <c:v>2.91811</c:v>
                </c:pt>
                <c:pt idx="54">
                  <c:v>2.91134</c:v>
                </c:pt>
                <c:pt idx="55">
                  <c:v>2.9027099999999999</c:v>
                </c:pt>
                <c:pt idx="56">
                  <c:v>2.8915299999999999</c:v>
                </c:pt>
                <c:pt idx="57">
                  <c:v>2.8799299999999999</c:v>
                </c:pt>
                <c:pt idx="58">
                  <c:v>2.8690199999999999</c:v>
                </c:pt>
                <c:pt idx="59">
                  <c:v>2.8601999999999999</c:v>
                </c:pt>
                <c:pt idx="60">
                  <c:v>2.85107</c:v>
                </c:pt>
                <c:pt idx="61">
                  <c:v>2.8399200000000002</c:v>
                </c:pt>
                <c:pt idx="62">
                  <c:v>2.8259299999999996</c:v>
                </c:pt>
                <c:pt idx="63">
                  <c:v>2.8102399999999998</c:v>
                </c:pt>
                <c:pt idx="64">
                  <c:v>2.79393</c:v>
                </c:pt>
                <c:pt idx="65">
                  <c:v>2.7768199999999998</c:v>
                </c:pt>
                <c:pt idx="66">
                  <c:v>2.7612999999999999</c:v>
                </c:pt>
                <c:pt idx="67">
                  <c:v>2.7478200000000004</c:v>
                </c:pt>
                <c:pt idx="68">
                  <c:v>2.7310600000000003</c:v>
                </c:pt>
                <c:pt idx="69">
                  <c:v>2.7143099999999998</c:v>
                </c:pt>
                <c:pt idx="70">
                  <c:v>2.7006599999999996</c:v>
                </c:pt>
                <c:pt idx="71">
                  <c:v>2.6875</c:v>
                </c:pt>
                <c:pt idx="72">
                  <c:v>2.6728700000000001</c:v>
                </c:pt>
                <c:pt idx="73">
                  <c:v>2.6592500000000001</c:v>
                </c:pt>
                <c:pt idx="74">
                  <c:v>2.6459100000000002</c:v>
                </c:pt>
                <c:pt idx="75">
                  <c:v>2.6277099999999995</c:v>
                </c:pt>
                <c:pt idx="76">
                  <c:v>2.60867</c:v>
                </c:pt>
                <c:pt idx="77">
                  <c:v>2.5970500000000003</c:v>
                </c:pt>
                <c:pt idx="78">
                  <c:v>2.5840899999999998</c:v>
                </c:pt>
                <c:pt idx="79">
                  <c:v>2.5716399999999999</c:v>
                </c:pt>
                <c:pt idx="80">
                  <c:v>2.5613000000000001</c:v>
                </c:pt>
                <c:pt idx="81">
                  <c:v>2.5496600000000003</c:v>
                </c:pt>
                <c:pt idx="82">
                  <c:v>2.5364399999999998</c:v>
                </c:pt>
                <c:pt idx="83">
                  <c:v>2.5209100000000002</c:v>
                </c:pt>
                <c:pt idx="84">
                  <c:v>2.50197</c:v>
                </c:pt>
                <c:pt idx="85">
                  <c:v>2.4846499999999998</c:v>
                </c:pt>
                <c:pt idx="86">
                  <c:v>2.47078</c:v>
                </c:pt>
                <c:pt idx="87">
                  <c:v>2.4617599999999999</c:v>
                </c:pt>
                <c:pt idx="88">
                  <c:v>2.4519899999999999</c:v>
                </c:pt>
                <c:pt idx="89">
                  <c:v>2.4415200000000001</c:v>
                </c:pt>
                <c:pt idx="90">
                  <c:v>2.42977</c:v>
                </c:pt>
                <c:pt idx="91">
                  <c:v>2.4172099999999999</c:v>
                </c:pt>
                <c:pt idx="92">
                  <c:v>2.40395</c:v>
                </c:pt>
                <c:pt idx="93">
                  <c:v>2.3913100000000003</c:v>
                </c:pt>
                <c:pt idx="94">
                  <c:v>2.3786700000000001</c:v>
                </c:pt>
                <c:pt idx="95">
                  <c:v>2.3655399999999998</c:v>
                </c:pt>
                <c:pt idx="96">
                  <c:v>2.3551799999999998</c:v>
                </c:pt>
                <c:pt idx="97">
                  <c:v>2.3442499999999997</c:v>
                </c:pt>
                <c:pt idx="98">
                  <c:v>2.3345199999999999</c:v>
                </c:pt>
                <c:pt idx="99">
                  <c:v>2.32517</c:v>
                </c:pt>
                <c:pt idx="100">
                  <c:v>2.3162400000000001</c:v>
                </c:pt>
                <c:pt idx="101">
                  <c:v>2.31033</c:v>
                </c:pt>
                <c:pt idx="102">
                  <c:v>2.2949000000000002</c:v>
                </c:pt>
                <c:pt idx="103">
                  <c:v>2.2827199999999999</c:v>
                </c:pt>
                <c:pt idx="104">
                  <c:v>2.27413</c:v>
                </c:pt>
                <c:pt idx="105">
                  <c:v>2.2678499999999997</c:v>
                </c:pt>
                <c:pt idx="106">
                  <c:v>2.2667899999999999</c:v>
                </c:pt>
                <c:pt idx="107">
                  <c:v>2.2692600000000001</c:v>
                </c:pt>
                <c:pt idx="108">
                  <c:v>2.2745600000000001</c:v>
                </c:pt>
                <c:pt idx="109">
                  <c:v>2.2867100000000002</c:v>
                </c:pt>
                <c:pt idx="110">
                  <c:v>2.3001399999999999</c:v>
                </c:pt>
                <c:pt idx="111">
                  <c:v>2.3141099999999999</c:v>
                </c:pt>
                <c:pt idx="112">
                  <c:v>2.3281399999999999</c:v>
                </c:pt>
                <c:pt idx="113">
                  <c:v>2.3426200000000001</c:v>
                </c:pt>
                <c:pt idx="114">
                  <c:v>2.3592200000000001</c:v>
                </c:pt>
                <c:pt idx="115">
                  <c:v>2.3778199999999998</c:v>
                </c:pt>
                <c:pt idx="116">
                  <c:v>2.39547</c:v>
                </c:pt>
                <c:pt idx="117">
                  <c:v>2.4132899999999999</c:v>
                </c:pt>
                <c:pt idx="118">
                  <c:v>2.4294799999999999</c:v>
                </c:pt>
                <c:pt idx="119">
                  <c:v>2.4443999999999999</c:v>
                </c:pt>
                <c:pt idx="120">
                  <c:v>2.45696</c:v>
                </c:pt>
                <c:pt idx="121">
                  <c:v>2.4648700000000003</c:v>
                </c:pt>
                <c:pt idx="122">
                  <c:v>2.4718900000000001</c:v>
                </c:pt>
                <c:pt idx="123">
                  <c:v>2.4776899999999999</c:v>
                </c:pt>
                <c:pt idx="124">
                  <c:v>2.48488</c:v>
                </c:pt>
                <c:pt idx="125">
                  <c:v>2.4970500000000002</c:v>
                </c:pt>
                <c:pt idx="126">
                  <c:v>2.5091299999999999</c:v>
                </c:pt>
                <c:pt idx="127">
                  <c:v>2.5194899999999998</c:v>
                </c:pt>
                <c:pt idx="128">
                  <c:v>2.5265</c:v>
                </c:pt>
                <c:pt idx="129">
                  <c:v>2.5320100000000001</c:v>
                </c:pt>
                <c:pt idx="130">
                  <c:v>2.5363500000000001</c:v>
                </c:pt>
                <c:pt idx="131">
                  <c:v>2.54026</c:v>
                </c:pt>
                <c:pt idx="132">
                  <c:v>2.5428199999999999</c:v>
                </c:pt>
                <c:pt idx="133">
                  <c:v>2.5403099999999998</c:v>
                </c:pt>
                <c:pt idx="134">
                  <c:v>2.5317400000000001</c:v>
                </c:pt>
                <c:pt idx="135">
                  <c:v>2.5223499999999999</c:v>
                </c:pt>
                <c:pt idx="136">
                  <c:v>2.5129600000000001</c:v>
                </c:pt>
                <c:pt idx="137">
                  <c:v>2.5024299999999999</c:v>
                </c:pt>
                <c:pt idx="138">
                  <c:v>2.4918299999999998</c:v>
                </c:pt>
                <c:pt idx="139">
                  <c:v>2.4779599999999999</c:v>
                </c:pt>
                <c:pt idx="140">
                  <c:v>2.46007</c:v>
                </c:pt>
                <c:pt idx="141">
                  <c:v>2.4400599999999999</c:v>
                </c:pt>
                <c:pt idx="142">
                  <c:v>2.4189500000000002</c:v>
                </c:pt>
                <c:pt idx="143">
                  <c:v>2.3994</c:v>
                </c:pt>
                <c:pt idx="144">
                  <c:v>2.3825400000000001</c:v>
                </c:pt>
                <c:pt idx="145">
                  <c:v>2.3645399999999999</c:v>
                </c:pt>
                <c:pt idx="146">
                  <c:v>2.35405</c:v>
                </c:pt>
                <c:pt idx="147">
                  <c:v>2.3431500000000001</c:v>
                </c:pt>
                <c:pt idx="148">
                  <c:v>2.3279800000000002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0.376303</c:v>
                </c:pt>
                <c:pt idx="2">
                  <c:v>0.77855099999999999</c:v>
                </c:pt>
                <c:pt idx="3">
                  <c:v>1.18449</c:v>
                </c:pt>
                <c:pt idx="4">
                  <c:v>1.5905499999999999</c:v>
                </c:pt>
                <c:pt idx="5">
                  <c:v>1.9973099999999999</c:v>
                </c:pt>
                <c:pt idx="6">
                  <c:v>2.4063699999999999</c:v>
                </c:pt>
                <c:pt idx="7">
                  <c:v>2.8087399999999998</c:v>
                </c:pt>
                <c:pt idx="8">
                  <c:v>3.2156400000000001</c:v>
                </c:pt>
                <c:pt idx="9">
                  <c:v>3.6237900000000001</c:v>
                </c:pt>
                <c:pt idx="10">
                  <c:v>4.0314800000000002</c:v>
                </c:pt>
                <c:pt idx="11">
                  <c:v>4.43736</c:v>
                </c:pt>
                <c:pt idx="12">
                  <c:v>4.8420199999999998</c:v>
                </c:pt>
                <c:pt idx="13">
                  <c:v>5.2469900000000003</c:v>
                </c:pt>
                <c:pt idx="14">
                  <c:v>5.6550900000000004</c:v>
                </c:pt>
                <c:pt idx="15">
                  <c:v>6.06229</c:v>
                </c:pt>
                <c:pt idx="16">
                  <c:v>6.4673999999999996</c:v>
                </c:pt>
                <c:pt idx="17">
                  <c:v>6.8716299999999997</c:v>
                </c:pt>
                <c:pt idx="18">
                  <c:v>7.2775499999999997</c:v>
                </c:pt>
                <c:pt idx="19">
                  <c:v>7.68377</c:v>
                </c:pt>
                <c:pt idx="20">
                  <c:v>8.0926200000000001</c:v>
                </c:pt>
                <c:pt idx="21">
                  <c:v>8.4993999999999996</c:v>
                </c:pt>
                <c:pt idx="22">
                  <c:v>8.9051799999999997</c:v>
                </c:pt>
                <c:pt idx="23">
                  <c:v>9.3107699999999998</c:v>
                </c:pt>
                <c:pt idx="24">
                  <c:v>9.7141599999999997</c:v>
                </c:pt>
                <c:pt idx="25">
                  <c:v>10.1213</c:v>
                </c:pt>
                <c:pt idx="26">
                  <c:v>10.527699999999999</c:v>
                </c:pt>
                <c:pt idx="27">
                  <c:v>10.9381</c:v>
                </c:pt>
                <c:pt idx="28">
                  <c:v>11.3431</c:v>
                </c:pt>
                <c:pt idx="29">
                  <c:v>11.7478</c:v>
                </c:pt>
                <c:pt idx="30">
                  <c:v>12.1556</c:v>
                </c:pt>
                <c:pt idx="31">
                  <c:v>12.5596</c:v>
                </c:pt>
                <c:pt idx="32">
                  <c:v>12.9674</c:v>
                </c:pt>
                <c:pt idx="33">
                  <c:v>13.3749</c:v>
                </c:pt>
                <c:pt idx="34">
                  <c:v>13.7811</c:v>
                </c:pt>
                <c:pt idx="35">
                  <c:v>14.1845</c:v>
                </c:pt>
                <c:pt idx="36">
                  <c:v>14.592499999999999</c:v>
                </c:pt>
                <c:pt idx="37">
                  <c:v>14.9971</c:v>
                </c:pt>
                <c:pt idx="38">
                  <c:v>15.408300000000001</c:v>
                </c:pt>
                <c:pt idx="39">
                  <c:v>15.811500000000001</c:v>
                </c:pt>
                <c:pt idx="40">
                  <c:v>16.219100000000001</c:v>
                </c:pt>
                <c:pt idx="41">
                  <c:v>16.626100000000001</c:v>
                </c:pt>
                <c:pt idx="42">
                  <c:v>17.028600000000001</c:v>
                </c:pt>
                <c:pt idx="43">
                  <c:v>17.436800000000002</c:v>
                </c:pt>
                <c:pt idx="44">
                  <c:v>17.845500000000001</c:v>
                </c:pt>
                <c:pt idx="45">
                  <c:v>18.247299999999999</c:v>
                </c:pt>
                <c:pt idx="46">
                  <c:v>18.654499999999999</c:v>
                </c:pt>
                <c:pt idx="47">
                  <c:v>19.0642</c:v>
                </c:pt>
                <c:pt idx="48">
                  <c:v>19.465900000000001</c:v>
                </c:pt>
                <c:pt idx="49">
                  <c:v>19.8748</c:v>
                </c:pt>
                <c:pt idx="50">
                  <c:v>20.279199999999999</c:v>
                </c:pt>
                <c:pt idx="51">
                  <c:v>20.683499999999999</c:v>
                </c:pt>
                <c:pt idx="52">
                  <c:v>21.095700000000001</c:v>
                </c:pt>
                <c:pt idx="53">
                  <c:v>21.498999999999999</c:v>
                </c:pt>
                <c:pt idx="54">
                  <c:v>21.906700000000001</c:v>
                </c:pt>
                <c:pt idx="55">
                  <c:v>22.3093</c:v>
                </c:pt>
                <c:pt idx="56">
                  <c:v>22.716999999999999</c:v>
                </c:pt>
                <c:pt idx="57">
                  <c:v>23.121700000000001</c:v>
                </c:pt>
                <c:pt idx="58">
                  <c:v>23.5306</c:v>
                </c:pt>
                <c:pt idx="59">
                  <c:v>23.938199999999998</c:v>
                </c:pt>
                <c:pt idx="60">
                  <c:v>24.343599999999999</c:v>
                </c:pt>
                <c:pt idx="61">
                  <c:v>24.746500000000001</c:v>
                </c:pt>
                <c:pt idx="62">
                  <c:v>25.151800000000001</c:v>
                </c:pt>
                <c:pt idx="63">
                  <c:v>25.561800000000002</c:v>
                </c:pt>
                <c:pt idx="64">
                  <c:v>25.964300000000001</c:v>
                </c:pt>
                <c:pt idx="65">
                  <c:v>26.374500000000001</c:v>
                </c:pt>
                <c:pt idx="66">
                  <c:v>26.7788</c:v>
                </c:pt>
                <c:pt idx="67">
                  <c:v>27.1861</c:v>
                </c:pt>
                <c:pt idx="68">
                  <c:v>27.591100000000001</c:v>
                </c:pt>
                <c:pt idx="69">
                  <c:v>27.998699999999999</c:v>
                </c:pt>
                <c:pt idx="70">
                  <c:v>28.4084</c:v>
                </c:pt>
                <c:pt idx="71">
                  <c:v>28.809100000000001</c:v>
                </c:pt>
                <c:pt idx="72">
                  <c:v>29.217099999999999</c:v>
                </c:pt>
                <c:pt idx="73">
                  <c:v>29.622299999999999</c:v>
                </c:pt>
                <c:pt idx="74">
                  <c:v>30.028600000000001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1.42197</c:v>
                </c:pt>
                <c:pt idx="1">
                  <c:v>1.4737200000000001</c:v>
                </c:pt>
                <c:pt idx="2">
                  <c:v>1.5241199999999999</c:v>
                </c:pt>
                <c:pt idx="3">
                  <c:v>1.57497</c:v>
                </c:pt>
                <c:pt idx="4">
                  <c:v>1.6260399999999999</c:v>
                </c:pt>
                <c:pt idx="5">
                  <c:v>1.67618</c:v>
                </c:pt>
                <c:pt idx="6">
                  <c:v>1.7286099999999998</c:v>
                </c:pt>
                <c:pt idx="7">
                  <c:v>1.7809200000000001</c:v>
                </c:pt>
                <c:pt idx="8">
                  <c:v>1.83277</c:v>
                </c:pt>
                <c:pt idx="9">
                  <c:v>1.8819399999999999</c:v>
                </c:pt>
                <c:pt idx="10">
                  <c:v>1.9303400000000002</c:v>
                </c:pt>
                <c:pt idx="11">
                  <c:v>1.9793400000000001</c:v>
                </c:pt>
                <c:pt idx="12">
                  <c:v>2.0312199999999998</c:v>
                </c:pt>
                <c:pt idx="13">
                  <c:v>2.08304</c:v>
                </c:pt>
                <c:pt idx="14">
                  <c:v>2.1322700000000001</c:v>
                </c:pt>
                <c:pt idx="15">
                  <c:v>2.1800999999999999</c:v>
                </c:pt>
                <c:pt idx="16">
                  <c:v>2.2284699999999997</c:v>
                </c:pt>
                <c:pt idx="17">
                  <c:v>2.2761500000000003</c:v>
                </c:pt>
                <c:pt idx="18">
                  <c:v>2.32551</c:v>
                </c:pt>
                <c:pt idx="19">
                  <c:v>2.3758499999999998</c:v>
                </c:pt>
                <c:pt idx="20">
                  <c:v>2.4241299999999999</c:v>
                </c:pt>
                <c:pt idx="21">
                  <c:v>2.4685299999999999</c:v>
                </c:pt>
                <c:pt idx="22">
                  <c:v>2.5135100000000001</c:v>
                </c:pt>
                <c:pt idx="23">
                  <c:v>2.5588199999999999</c:v>
                </c:pt>
                <c:pt idx="24">
                  <c:v>2.6021899999999998</c:v>
                </c:pt>
                <c:pt idx="25">
                  <c:v>2.6419100000000002</c:v>
                </c:pt>
                <c:pt idx="26">
                  <c:v>2.6801599999999999</c:v>
                </c:pt>
                <c:pt idx="27">
                  <c:v>2.71611</c:v>
                </c:pt>
                <c:pt idx="28">
                  <c:v>2.7479999999999998</c:v>
                </c:pt>
                <c:pt idx="29">
                  <c:v>2.7772799999999997</c:v>
                </c:pt>
                <c:pt idx="30">
                  <c:v>2.80491</c:v>
                </c:pt>
                <c:pt idx="31">
                  <c:v>2.8298899999999998</c:v>
                </c:pt>
                <c:pt idx="32">
                  <c:v>2.8527900000000002</c:v>
                </c:pt>
                <c:pt idx="33">
                  <c:v>2.87466</c:v>
                </c:pt>
                <c:pt idx="34">
                  <c:v>2.89567</c:v>
                </c:pt>
                <c:pt idx="35">
                  <c:v>2.9149700000000003</c:v>
                </c:pt>
                <c:pt idx="36">
                  <c:v>2.9303400000000002</c:v>
                </c:pt>
                <c:pt idx="37">
                  <c:v>2.9419599999999999</c:v>
                </c:pt>
                <c:pt idx="38">
                  <c:v>2.9519299999999999</c:v>
                </c:pt>
                <c:pt idx="39">
                  <c:v>2.9613299999999998</c:v>
                </c:pt>
                <c:pt idx="40">
                  <c:v>2.9689900000000002</c:v>
                </c:pt>
                <c:pt idx="41">
                  <c:v>2.9738100000000003</c:v>
                </c:pt>
                <c:pt idx="42">
                  <c:v>2.9767199999999998</c:v>
                </c:pt>
                <c:pt idx="43">
                  <c:v>2.9791299999999996</c:v>
                </c:pt>
                <c:pt idx="44">
                  <c:v>2.9787499999999998</c:v>
                </c:pt>
                <c:pt idx="45">
                  <c:v>2.9757899999999999</c:v>
                </c:pt>
                <c:pt idx="46">
                  <c:v>2.97296</c:v>
                </c:pt>
                <c:pt idx="47">
                  <c:v>2.9683199999999998</c:v>
                </c:pt>
                <c:pt idx="48">
                  <c:v>2.9595700000000003</c:v>
                </c:pt>
                <c:pt idx="49">
                  <c:v>2.9494899999999999</c:v>
                </c:pt>
                <c:pt idx="50">
                  <c:v>2.9423899999999996</c:v>
                </c:pt>
                <c:pt idx="51">
                  <c:v>2.9328900000000004</c:v>
                </c:pt>
                <c:pt idx="52">
                  <c:v>2.9248000000000003</c:v>
                </c:pt>
                <c:pt idx="53">
                  <c:v>2.91811</c:v>
                </c:pt>
                <c:pt idx="54">
                  <c:v>2.91134</c:v>
                </c:pt>
                <c:pt idx="55">
                  <c:v>2.9027099999999999</c:v>
                </c:pt>
                <c:pt idx="56">
                  <c:v>2.8915299999999999</c:v>
                </c:pt>
                <c:pt idx="57">
                  <c:v>2.8799299999999999</c:v>
                </c:pt>
                <c:pt idx="58">
                  <c:v>2.8690199999999999</c:v>
                </c:pt>
                <c:pt idx="59">
                  <c:v>2.8601999999999999</c:v>
                </c:pt>
                <c:pt idx="60">
                  <c:v>2.85107</c:v>
                </c:pt>
                <c:pt idx="61">
                  <c:v>2.8399200000000002</c:v>
                </c:pt>
                <c:pt idx="62">
                  <c:v>2.8259299999999996</c:v>
                </c:pt>
                <c:pt idx="63">
                  <c:v>2.8102399999999998</c:v>
                </c:pt>
                <c:pt idx="64">
                  <c:v>2.79393</c:v>
                </c:pt>
                <c:pt idx="65">
                  <c:v>2.7768199999999998</c:v>
                </c:pt>
                <c:pt idx="66">
                  <c:v>2.7612999999999999</c:v>
                </c:pt>
                <c:pt idx="67">
                  <c:v>2.7478200000000004</c:v>
                </c:pt>
                <c:pt idx="68">
                  <c:v>2.7310600000000003</c:v>
                </c:pt>
                <c:pt idx="69">
                  <c:v>2.7143099999999998</c:v>
                </c:pt>
                <c:pt idx="70">
                  <c:v>2.7006599999999996</c:v>
                </c:pt>
                <c:pt idx="71">
                  <c:v>2.6875</c:v>
                </c:pt>
                <c:pt idx="72">
                  <c:v>2.6728700000000001</c:v>
                </c:pt>
                <c:pt idx="73">
                  <c:v>2.6592500000000001</c:v>
                </c:pt>
                <c:pt idx="74">
                  <c:v>2.6459100000000002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30.028600000000001</c:v>
                </c:pt>
                <c:pt idx="1">
                  <c:v>30.622900000000001</c:v>
                </c:pt>
                <c:pt idx="2">
                  <c:v>30.9986</c:v>
                </c:pt>
                <c:pt idx="3">
                  <c:v>31.3765</c:v>
                </c:pt>
                <c:pt idx="4">
                  <c:v>31.749300000000002</c:v>
                </c:pt>
                <c:pt idx="5">
                  <c:v>32.123600000000003</c:v>
                </c:pt>
                <c:pt idx="6">
                  <c:v>32.529499999999999</c:v>
                </c:pt>
                <c:pt idx="7">
                  <c:v>32.935400000000001</c:v>
                </c:pt>
                <c:pt idx="8">
                  <c:v>33.342199999999998</c:v>
                </c:pt>
                <c:pt idx="9">
                  <c:v>33.749000000000002</c:v>
                </c:pt>
                <c:pt idx="10">
                  <c:v>34.154699999999998</c:v>
                </c:pt>
                <c:pt idx="11">
                  <c:v>34.559399999999997</c:v>
                </c:pt>
                <c:pt idx="12">
                  <c:v>34.966900000000003</c:v>
                </c:pt>
                <c:pt idx="13">
                  <c:v>35.377099999999999</c:v>
                </c:pt>
                <c:pt idx="14">
                  <c:v>35.7819</c:v>
                </c:pt>
                <c:pt idx="15">
                  <c:v>36.184199999999997</c:v>
                </c:pt>
                <c:pt idx="16">
                  <c:v>36.588200000000001</c:v>
                </c:pt>
                <c:pt idx="17">
                  <c:v>36.999699999999997</c:v>
                </c:pt>
                <c:pt idx="18">
                  <c:v>37.406700000000001</c:v>
                </c:pt>
                <c:pt idx="19">
                  <c:v>37.8125</c:v>
                </c:pt>
                <c:pt idx="20">
                  <c:v>38.217700000000001</c:v>
                </c:pt>
                <c:pt idx="21">
                  <c:v>38.622100000000003</c:v>
                </c:pt>
                <c:pt idx="22">
                  <c:v>39.0274</c:v>
                </c:pt>
                <c:pt idx="23">
                  <c:v>39.438499999999998</c:v>
                </c:pt>
                <c:pt idx="24">
                  <c:v>39.843200000000003</c:v>
                </c:pt>
                <c:pt idx="25">
                  <c:v>40.247999999999998</c:v>
                </c:pt>
                <c:pt idx="26">
                  <c:v>40.654899999999998</c:v>
                </c:pt>
                <c:pt idx="27">
                  <c:v>41.059600000000003</c:v>
                </c:pt>
                <c:pt idx="28">
                  <c:v>41.466299999999997</c:v>
                </c:pt>
                <c:pt idx="29">
                  <c:v>41.874499999999998</c:v>
                </c:pt>
                <c:pt idx="30">
                  <c:v>42.278199999999998</c:v>
                </c:pt>
                <c:pt idx="31">
                  <c:v>42.687199999999997</c:v>
                </c:pt>
                <c:pt idx="32">
                  <c:v>43.0901</c:v>
                </c:pt>
                <c:pt idx="33">
                  <c:v>43.497700000000002</c:v>
                </c:pt>
                <c:pt idx="34">
                  <c:v>43.906999999999996</c:v>
                </c:pt>
                <c:pt idx="35">
                  <c:v>44.310299999999998</c:v>
                </c:pt>
                <c:pt idx="36">
                  <c:v>44.716099999999997</c:v>
                </c:pt>
                <c:pt idx="37">
                  <c:v>45.122</c:v>
                </c:pt>
                <c:pt idx="38">
                  <c:v>45.528399999999998</c:v>
                </c:pt>
                <c:pt idx="39">
                  <c:v>45.939300000000003</c:v>
                </c:pt>
                <c:pt idx="40">
                  <c:v>46.342399999999998</c:v>
                </c:pt>
                <c:pt idx="41">
                  <c:v>46.747199999999999</c:v>
                </c:pt>
                <c:pt idx="42">
                  <c:v>47.155900000000003</c:v>
                </c:pt>
                <c:pt idx="43">
                  <c:v>47.560600000000001</c:v>
                </c:pt>
                <c:pt idx="44">
                  <c:v>47.964599999999997</c:v>
                </c:pt>
                <c:pt idx="45">
                  <c:v>48.372300000000003</c:v>
                </c:pt>
                <c:pt idx="46">
                  <c:v>48.781100000000002</c:v>
                </c:pt>
                <c:pt idx="47">
                  <c:v>49.1858</c:v>
                </c:pt>
                <c:pt idx="48">
                  <c:v>49.591999999999999</c:v>
                </c:pt>
                <c:pt idx="49">
                  <c:v>49.997900000000001</c:v>
                </c:pt>
                <c:pt idx="50">
                  <c:v>50.402000000000001</c:v>
                </c:pt>
                <c:pt idx="51">
                  <c:v>50.810499999999998</c:v>
                </c:pt>
                <c:pt idx="52">
                  <c:v>51.2181</c:v>
                </c:pt>
                <c:pt idx="53">
                  <c:v>51.621600000000001</c:v>
                </c:pt>
                <c:pt idx="54">
                  <c:v>52.0261</c:v>
                </c:pt>
                <c:pt idx="55">
                  <c:v>52.433900000000001</c:v>
                </c:pt>
                <c:pt idx="56">
                  <c:v>52.841999999999999</c:v>
                </c:pt>
                <c:pt idx="57">
                  <c:v>53.251600000000003</c:v>
                </c:pt>
                <c:pt idx="58">
                  <c:v>53.657899999999998</c:v>
                </c:pt>
                <c:pt idx="59">
                  <c:v>54.060699999999997</c:v>
                </c:pt>
                <c:pt idx="60">
                  <c:v>54.465600000000002</c:v>
                </c:pt>
                <c:pt idx="61">
                  <c:v>54.875599999999999</c:v>
                </c:pt>
                <c:pt idx="62">
                  <c:v>55.280500000000004</c:v>
                </c:pt>
                <c:pt idx="63">
                  <c:v>55.685099999999998</c:v>
                </c:pt>
                <c:pt idx="64">
                  <c:v>56.088799999999999</c:v>
                </c:pt>
                <c:pt idx="65">
                  <c:v>56.497700000000002</c:v>
                </c:pt>
                <c:pt idx="66">
                  <c:v>56.906500000000001</c:v>
                </c:pt>
                <c:pt idx="67">
                  <c:v>57.3127</c:v>
                </c:pt>
                <c:pt idx="68">
                  <c:v>57.716799999999999</c:v>
                </c:pt>
                <c:pt idx="69">
                  <c:v>58.121699999999997</c:v>
                </c:pt>
                <c:pt idx="70">
                  <c:v>58.528199999999998</c:v>
                </c:pt>
                <c:pt idx="71">
                  <c:v>58.936199999999999</c:v>
                </c:pt>
                <c:pt idx="72">
                  <c:v>59.343299999999999</c:v>
                </c:pt>
                <c:pt idx="73">
                  <c:v>59.747999999999998</c:v>
                </c:pt>
                <c:pt idx="74">
                  <c:v>60.155099999999997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2.6459100000000002</c:v>
                </c:pt>
                <c:pt idx="1">
                  <c:v>2.6277099999999995</c:v>
                </c:pt>
                <c:pt idx="2">
                  <c:v>2.60867</c:v>
                </c:pt>
                <c:pt idx="3">
                  <c:v>2.5970500000000003</c:v>
                </c:pt>
                <c:pt idx="4">
                  <c:v>2.5840899999999998</c:v>
                </c:pt>
                <c:pt idx="5">
                  <c:v>2.5716399999999999</c:v>
                </c:pt>
                <c:pt idx="6">
                  <c:v>2.5613000000000001</c:v>
                </c:pt>
                <c:pt idx="7">
                  <c:v>2.5496600000000003</c:v>
                </c:pt>
                <c:pt idx="8">
                  <c:v>2.5364399999999998</c:v>
                </c:pt>
                <c:pt idx="9">
                  <c:v>2.5209100000000002</c:v>
                </c:pt>
                <c:pt idx="10">
                  <c:v>2.50197</c:v>
                </c:pt>
                <c:pt idx="11">
                  <c:v>2.4846499999999998</c:v>
                </c:pt>
                <c:pt idx="12">
                  <c:v>2.47078</c:v>
                </c:pt>
                <c:pt idx="13">
                  <c:v>2.4617599999999999</c:v>
                </c:pt>
                <c:pt idx="14">
                  <c:v>2.4519899999999999</c:v>
                </c:pt>
                <c:pt idx="15">
                  <c:v>2.4415200000000001</c:v>
                </c:pt>
                <c:pt idx="16">
                  <c:v>2.42977</c:v>
                </c:pt>
                <c:pt idx="17">
                  <c:v>2.4172099999999999</c:v>
                </c:pt>
                <c:pt idx="18">
                  <c:v>2.40395</c:v>
                </c:pt>
                <c:pt idx="19">
                  <c:v>2.3913100000000003</c:v>
                </c:pt>
                <c:pt idx="20">
                  <c:v>2.3786700000000001</c:v>
                </c:pt>
                <c:pt idx="21">
                  <c:v>2.3655399999999998</c:v>
                </c:pt>
                <c:pt idx="22">
                  <c:v>2.3551799999999998</c:v>
                </c:pt>
                <c:pt idx="23">
                  <c:v>2.3442499999999997</c:v>
                </c:pt>
                <c:pt idx="24">
                  <c:v>2.3345199999999999</c:v>
                </c:pt>
                <c:pt idx="25">
                  <c:v>2.32517</c:v>
                </c:pt>
                <c:pt idx="26">
                  <c:v>2.3162400000000001</c:v>
                </c:pt>
                <c:pt idx="27">
                  <c:v>2.31033</c:v>
                </c:pt>
                <c:pt idx="28">
                  <c:v>2.2949000000000002</c:v>
                </c:pt>
                <c:pt idx="29">
                  <c:v>2.2827199999999999</c:v>
                </c:pt>
                <c:pt idx="30">
                  <c:v>2.27413</c:v>
                </c:pt>
                <c:pt idx="31">
                  <c:v>2.2678499999999997</c:v>
                </c:pt>
                <c:pt idx="32">
                  <c:v>2.2667899999999999</c:v>
                </c:pt>
                <c:pt idx="33">
                  <c:v>2.2692600000000001</c:v>
                </c:pt>
                <c:pt idx="34">
                  <c:v>2.2745600000000001</c:v>
                </c:pt>
                <c:pt idx="35">
                  <c:v>2.2867100000000002</c:v>
                </c:pt>
                <c:pt idx="36">
                  <c:v>2.3001399999999999</c:v>
                </c:pt>
                <c:pt idx="37">
                  <c:v>2.3141099999999999</c:v>
                </c:pt>
                <c:pt idx="38">
                  <c:v>2.3281399999999999</c:v>
                </c:pt>
                <c:pt idx="39">
                  <c:v>2.3426200000000001</c:v>
                </c:pt>
                <c:pt idx="40">
                  <c:v>2.3592200000000001</c:v>
                </c:pt>
                <c:pt idx="41">
                  <c:v>2.3778199999999998</c:v>
                </c:pt>
                <c:pt idx="42">
                  <c:v>2.39547</c:v>
                </c:pt>
                <c:pt idx="43">
                  <c:v>2.4132899999999999</c:v>
                </c:pt>
                <c:pt idx="44">
                  <c:v>2.4294799999999999</c:v>
                </c:pt>
                <c:pt idx="45">
                  <c:v>2.4443999999999999</c:v>
                </c:pt>
                <c:pt idx="46">
                  <c:v>2.45696</c:v>
                </c:pt>
                <c:pt idx="47">
                  <c:v>2.4648700000000003</c:v>
                </c:pt>
                <c:pt idx="48">
                  <c:v>2.4718900000000001</c:v>
                </c:pt>
                <c:pt idx="49">
                  <c:v>2.4776899999999999</c:v>
                </c:pt>
                <c:pt idx="50">
                  <c:v>2.48488</c:v>
                </c:pt>
                <c:pt idx="51">
                  <c:v>2.4970500000000002</c:v>
                </c:pt>
                <c:pt idx="52">
                  <c:v>2.5091299999999999</c:v>
                </c:pt>
                <c:pt idx="53">
                  <c:v>2.5194899999999998</c:v>
                </c:pt>
                <c:pt idx="54">
                  <c:v>2.5265</c:v>
                </c:pt>
                <c:pt idx="55">
                  <c:v>2.5320100000000001</c:v>
                </c:pt>
                <c:pt idx="56">
                  <c:v>2.5363500000000001</c:v>
                </c:pt>
                <c:pt idx="57">
                  <c:v>2.54026</c:v>
                </c:pt>
                <c:pt idx="58">
                  <c:v>2.5428199999999999</c:v>
                </c:pt>
                <c:pt idx="59">
                  <c:v>2.5403099999999998</c:v>
                </c:pt>
                <c:pt idx="60">
                  <c:v>2.5317400000000001</c:v>
                </c:pt>
                <c:pt idx="61">
                  <c:v>2.5223499999999999</c:v>
                </c:pt>
                <c:pt idx="62">
                  <c:v>2.5129600000000001</c:v>
                </c:pt>
                <c:pt idx="63">
                  <c:v>2.5024299999999999</c:v>
                </c:pt>
                <c:pt idx="64">
                  <c:v>2.4918299999999998</c:v>
                </c:pt>
                <c:pt idx="65">
                  <c:v>2.4779599999999999</c:v>
                </c:pt>
                <c:pt idx="66">
                  <c:v>2.46007</c:v>
                </c:pt>
                <c:pt idx="67">
                  <c:v>2.4400599999999999</c:v>
                </c:pt>
                <c:pt idx="68">
                  <c:v>2.4189500000000002</c:v>
                </c:pt>
                <c:pt idx="69">
                  <c:v>2.3994</c:v>
                </c:pt>
                <c:pt idx="70">
                  <c:v>2.3825400000000001</c:v>
                </c:pt>
                <c:pt idx="71">
                  <c:v>2.3645399999999999</c:v>
                </c:pt>
                <c:pt idx="72">
                  <c:v>2.35405</c:v>
                </c:pt>
                <c:pt idx="73">
                  <c:v>2.3431500000000001</c:v>
                </c:pt>
                <c:pt idx="74">
                  <c:v>2.3279800000000002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1.42197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15.038774999999999</c:v>
                </c:pt>
                <c:pt idx="1">
                  <c:v>45.116324999999996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2.5738074324324298</c:v>
                </c:pt>
                <c:pt idx="1">
                  <c:v>2.4352978378378372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0.376303</c:v>
                </c:pt>
                <c:pt idx="2">
                  <c:v>0.77855099999999999</c:v>
                </c:pt>
                <c:pt idx="3">
                  <c:v>1.18449</c:v>
                </c:pt>
                <c:pt idx="4">
                  <c:v>1.5905499999999999</c:v>
                </c:pt>
                <c:pt idx="5">
                  <c:v>1.9973099999999999</c:v>
                </c:pt>
                <c:pt idx="6">
                  <c:v>2.4063699999999999</c:v>
                </c:pt>
                <c:pt idx="7">
                  <c:v>2.8087399999999998</c:v>
                </c:pt>
                <c:pt idx="8">
                  <c:v>3.2156400000000001</c:v>
                </c:pt>
                <c:pt idx="9">
                  <c:v>3.6237900000000001</c:v>
                </c:pt>
                <c:pt idx="10">
                  <c:v>4.0314800000000002</c:v>
                </c:pt>
                <c:pt idx="11">
                  <c:v>4.43736</c:v>
                </c:pt>
                <c:pt idx="12">
                  <c:v>4.8420199999999998</c:v>
                </c:pt>
                <c:pt idx="13">
                  <c:v>5.2469900000000003</c:v>
                </c:pt>
                <c:pt idx="14">
                  <c:v>5.6550900000000004</c:v>
                </c:pt>
                <c:pt idx="15">
                  <c:v>6.06229</c:v>
                </c:pt>
                <c:pt idx="16">
                  <c:v>6.4673999999999996</c:v>
                </c:pt>
                <c:pt idx="17">
                  <c:v>6.8716299999999997</c:v>
                </c:pt>
                <c:pt idx="18">
                  <c:v>7.2775499999999997</c:v>
                </c:pt>
                <c:pt idx="19">
                  <c:v>7.68377</c:v>
                </c:pt>
                <c:pt idx="20">
                  <c:v>8.0926200000000001</c:v>
                </c:pt>
                <c:pt idx="21">
                  <c:v>8.4993999999999996</c:v>
                </c:pt>
                <c:pt idx="22">
                  <c:v>8.9051799999999997</c:v>
                </c:pt>
                <c:pt idx="23">
                  <c:v>9.3107699999999998</c:v>
                </c:pt>
                <c:pt idx="24">
                  <c:v>9.7141599999999997</c:v>
                </c:pt>
                <c:pt idx="25">
                  <c:v>10.1213</c:v>
                </c:pt>
                <c:pt idx="26">
                  <c:v>10.527699999999999</c:v>
                </c:pt>
                <c:pt idx="27">
                  <c:v>10.9381</c:v>
                </c:pt>
                <c:pt idx="28">
                  <c:v>11.3431</c:v>
                </c:pt>
                <c:pt idx="29">
                  <c:v>11.7478</c:v>
                </c:pt>
                <c:pt idx="30">
                  <c:v>12.1556</c:v>
                </c:pt>
                <c:pt idx="31">
                  <c:v>12.5596</c:v>
                </c:pt>
                <c:pt idx="32">
                  <c:v>12.9674</c:v>
                </c:pt>
                <c:pt idx="33">
                  <c:v>13.3749</c:v>
                </c:pt>
                <c:pt idx="34">
                  <c:v>13.7811</c:v>
                </c:pt>
                <c:pt idx="35">
                  <c:v>14.1845</c:v>
                </c:pt>
                <c:pt idx="36">
                  <c:v>14.592499999999999</c:v>
                </c:pt>
                <c:pt idx="37">
                  <c:v>14.9971</c:v>
                </c:pt>
                <c:pt idx="38">
                  <c:v>15.408300000000001</c:v>
                </c:pt>
                <c:pt idx="39">
                  <c:v>15.811500000000001</c:v>
                </c:pt>
                <c:pt idx="40">
                  <c:v>16.219100000000001</c:v>
                </c:pt>
                <c:pt idx="41">
                  <c:v>16.626100000000001</c:v>
                </c:pt>
                <c:pt idx="42">
                  <c:v>17.028600000000001</c:v>
                </c:pt>
                <c:pt idx="43">
                  <c:v>17.436800000000002</c:v>
                </c:pt>
                <c:pt idx="44">
                  <c:v>17.845500000000001</c:v>
                </c:pt>
                <c:pt idx="45">
                  <c:v>18.247299999999999</c:v>
                </c:pt>
                <c:pt idx="46">
                  <c:v>18.654499999999999</c:v>
                </c:pt>
                <c:pt idx="47">
                  <c:v>19.0642</c:v>
                </c:pt>
                <c:pt idx="48">
                  <c:v>19.465900000000001</c:v>
                </c:pt>
                <c:pt idx="49">
                  <c:v>19.8748</c:v>
                </c:pt>
                <c:pt idx="50">
                  <c:v>20.279199999999999</c:v>
                </c:pt>
                <c:pt idx="51">
                  <c:v>20.683499999999999</c:v>
                </c:pt>
                <c:pt idx="52">
                  <c:v>21.095700000000001</c:v>
                </c:pt>
                <c:pt idx="53">
                  <c:v>21.498999999999999</c:v>
                </c:pt>
                <c:pt idx="54">
                  <c:v>21.906700000000001</c:v>
                </c:pt>
                <c:pt idx="55">
                  <c:v>22.3093</c:v>
                </c:pt>
                <c:pt idx="56">
                  <c:v>22.716999999999999</c:v>
                </c:pt>
                <c:pt idx="57">
                  <c:v>23.121700000000001</c:v>
                </c:pt>
                <c:pt idx="58">
                  <c:v>23.5306</c:v>
                </c:pt>
                <c:pt idx="59">
                  <c:v>23.938199999999998</c:v>
                </c:pt>
                <c:pt idx="60">
                  <c:v>24.343599999999999</c:v>
                </c:pt>
                <c:pt idx="61">
                  <c:v>24.746500000000001</c:v>
                </c:pt>
                <c:pt idx="62">
                  <c:v>25.151800000000001</c:v>
                </c:pt>
                <c:pt idx="63">
                  <c:v>25.561800000000002</c:v>
                </c:pt>
                <c:pt idx="64">
                  <c:v>25.964300000000001</c:v>
                </c:pt>
                <c:pt idx="65">
                  <c:v>26.374500000000001</c:v>
                </c:pt>
                <c:pt idx="66">
                  <c:v>26.7788</c:v>
                </c:pt>
                <c:pt idx="67">
                  <c:v>27.1861</c:v>
                </c:pt>
                <c:pt idx="68">
                  <c:v>27.591100000000001</c:v>
                </c:pt>
                <c:pt idx="69">
                  <c:v>27.998699999999999</c:v>
                </c:pt>
                <c:pt idx="70">
                  <c:v>28.4084</c:v>
                </c:pt>
                <c:pt idx="71">
                  <c:v>28.809100000000001</c:v>
                </c:pt>
                <c:pt idx="72">
                  <c:v>29.217099999999999</c:v>
                </c:pt>
                <c:pt idx="73">
                  <c:v>29.622299999999999</c:v>
                </c:pt>
                <c:pt idx="74">
                  <c:v>30.028600000000001</c:v>
                </c:pt>
                <c:pt idx="75">
                  <c:v>30.622900000000001</c:v>
                </c:pt>
                <c:pt idx="76">
                  <c:v>30.9986</c:v>
                </c:pt>
                <c:pt idx="77">
                  <c:v>31.3765</c:v>
                </c:pt>
                <c:pt idx="78">
                  <c:v>31.749300000000002</c:v>
                </c:pt>
                <c:pt idx="79">
                  <c:v>32.123600000000003</c:v>
                </c:pt>
                <c:pt idx="80">
                  <c:v>32.529499999999999</c:v>
                </c:pt>
                <c:pt idx="81">
                  <c:v>32.935400000000001</c:v>
                </c:pt>
                <c:pt idx="82">
                  <c:v>33.342199999999998</c:v>
                </c:pt>
                <c:pt idx="83">
                  <c:v>33.749000000000002</c:v>
                </c:pt>
                <c:pt idx="84">
                  <c:v>34.154699999999998</c:v>
                </c:pt>
                <c:pt idx="85">
                  <c:v>34.559399999999997</c:v>
                </c:pt>
                <c:pt idx="86">
                  <c:v>34.966900000000003</c:v>
                </c:pt>
                <c:pt idx="87">
                  <c:v>35.377099999999999</c:v>
                </c:pt>
                <c:pt idx="88">
                  <c:v>35.7819</c:v>
                </c:pt>
                <c:pt idx="89">
                  <c:v>36.184199999999997</c:v>
                </c:pt>
                <c:pt idx="90">
                  <c:v>36.588200000000001</c:v>
                </c:pt>
                <c:pt idx="91">
                  <c:v>36.999699999999997</c:v>
                </c:pt>
                <c:pt idx="92">
                  <c:v>37.406700000000001</c:v>
                </c:pt>
                <c:pt idx="93">
                  <c:v>37.8125</c:v>
                </c:pt>
                <c:pt idx="94">
                  <c:v>38.217700000000001</c:v>
                </c:pt>
                <c:pt idx="95">
                  <c:v>38.622100000000003</c:v>
                </c:pt>
                <c:pt idx="96">
                  <c:v>39.0274</c:v>
                </c:pt>
                <c:pt idx="97">
                  <c:v>39.438499999999998</c:v>
                </c:pt>
                <c:pt idx="98">
                  <c:v>39.843200000000003</c:v>
                </c:pt>
                <c:pt idx="99">
                  <c:v>40.247999999999998</c:v>
                </c:pt>
                <c:pt idx="100">
                  <c:v>40.654899999999998</c:v>
                </c:pt>
                <c:pt idx="101">
                  <c:v>41.059600000000003</c:v>
                </c:pt>
                <c:pt idx="102">
                  <c:v>41.466299999999997</c:v>
                </c:pt>
                <c:pt idx="103">
                  <c:v>41.874499999999998</c:v>
                </c:pt>
                <c:pt idx="104">
                  <c:v>42.278199999999998</c:v>
                </c:pt>
                <c:pt idx="105">
                  <c:v>42.687199999999997</c:v>
                </c:pt>
                <c:pt idx="106">
                  <c:v>43.0901</c:v>
                </c:pt>
                <c:pt idx="107">
                  <c:v>43.497700000000002</c:v>
                </c:pt>
                <c:pt idx="108">
                  <c:v>43.906999999999996</c:v>
                </c:pt>
                <c:pt idx="109">
                  <c:v>44.310299999999998</c:v>
                </c:pt>
                <c:pt idx="110">
                  <c:v>44.716099999999997</c:v>
                </c:pt>
                <c:pt idx="111">
                  <c:v>45.122</c:v>
                </c:pt>
                <c:pt idx="112">
                  <c:v>45.528399999999998</c:v>
                </c:pt>
                <c:pt idx="113">
                  <c:v>45.939300000000003</c:v>
                </c:pt>
                <c:pt idx="114">
                  <c:v>46.342399999999998</c:v>
                </c:pt>
                <c:pt idx="115">
                  <c:v>46.747199999999999</c:v>
                </c:pt>
                <c:pt idx="116">
                  <c:v>47.155900000000003</c:v>
                </c:pt>
                <c:pt idx="117">
                  <c:v>47.560600000000001</c:v>
                </c:pt>
                <c:pt idx="118">
                  <c:v>47.964599999999997</c:v>
                </c:pt>
                <c:pt idx="119">
                  <c:v>48.372300000000003</c:v>
                </c:pt>
                <c:pt idx="120">
                  <c:v>48.781100000000002</c:v>
                </c:pt>
                <c:pt idx="121">
                  <c:v>49.1858</c:v>
                </c:pt>
                <c:pt idx="122">
                  <c:v>49.591999999999999</c:v>
                </c:pt>
                <c:pt idx="123">
                  <c:v>49.997900000000001</c:v>
                </c:pt>
                <c:pt idx="124">
                  <c:v>50.402000000000001</c:v>
                </c:pt>
                <c:pt idx="125">
                  <c:v>50.810499999999998</c:v>
                </c:pt>
                <c:pt idx="126">
                  <c:v>51.2181</c:v>
                </c:pt>
                <c:pt idx="127">
                  <c:v>51.621600000000001</c:v>
                </c:pt>
                <c:pt idx="128">
                  <c:v>52.0261</c:v>
                </c:pt>
                <c:pt idx="129">
                  <c:v>52.433900000000001</c:v>
                </c:pt>
                <c:pt idx="130">
                  <c:v>52.841999999999999</c:v>
                </c:pt>
                <c:pt idx="131">
                  <c:v>53.251600000000003</c:v>
                </c:pt>
                <c:pt idx="132">
                  <c:v>53.657899999999998</c:v>
                </c:pt>
                <c:pt idx="133">
                  <c:v>54.060699999999997</c:v>
                </c:pt>
                <c:pt idx="134">
                  <c:v>54.465600000000002</c:v>
                </c:pt>
                <c:pt idx="135">
                  <c:v>54.875599999999999</c:v>
                </c:pt>
                <c:pt idx="136">
                  <c:v>55.280500000000004</c:v>
                </c:pt>
                <c:pt idx="137">
                  <c:v>55.685099999999998</c:v>
                </c:pt>
                <c:pt idx="138">
                  <c:v>56.088799999999999</c:v>
                </c:pt>
                <c:pt idx="139">
                  <c:v>56.497700000000002</c:v>
                </c:pt>
                <c:pt idx="140">
                  <c:v>56.906500000000001</c:v>
                </c:pt>
                <c:pt idx="141">
                  <c:v>57.3127</c:v>
                </c:pt>
                <c:pt idx="142">
                  <c:v>57.716799999999999</c:v>
                </c:pt>
                <c:pt idx="143">
                  <c:v>58.121699999999997</c:v>
                </c:pt>
                <c:pt idx="144">
                  <c:v>58.528199999999998</c:v>
                </c:pt>
                <c:pt idx="145">
                  <c:v>58.936199999999999</c:v>
                </c:pt>
                <c:pt idx="146">
                  <c:v>59.343299999999999</c:v>
                </c:pt>
                <c:pt idx="147">
                  <c:v>59.747999999999998</c:v>
                </c:pt>
                <c:pt idx="148">
                  <c:v>60.155099999999997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56.649899999999995</c:v>
                </c:pt>
                <c:pt idx="1">
                  <c:v>55.310499999999998</c:v>
                </c:pt>
                <c:pt idx="2">
                  <c:v>54.048099999999998</c:v>
                </c:pt>
                <c:pt idx="3">
                  <c:v>52.777700000000003</c:v>
                </c:pt>
                <c:pt idx="4">
                  <c:v>51.485199999999999</c:v>
                </c:pt>
                <c:pt idx="5">
                  <c:v>50.236899999999999</c:v>
                </c:pt>
                <c:pt idx="6">
                  <c:v>48.9268</c:v>
                </c:pt>
                <c:pt idx="7">
                  <c:v>47.639399999999995</c:v>
                </c:pt>
                <c:pt idx="8">
                  <c:v>46.402300000000004</c:v>
                </c:pt>
                <c:pt idx="9">
                  <c:v>45.240900000000003</c:v>
                </c:pt>
                <c:pt idx="10">
                  <c:v>44.109700000000004</c:v>
                </c:pt>
                <c:pt idx="11">
                  <c:v>42.828300000000006</c:v>
                </c:pt>
                <c:pt idx="12">
                  <c:v>41.441000000000003</c:v>
                </c:pt>
                <c:pt idx="13">
                  <c:v>40.063700000000004</c:v>
                </c:pt>
                <c:pt idx="14">
                  <c:v>38.805900000000001</c:v>
                </c:pt>
                <c:pt idx="15">
                  <c:v>37.5548</c:v>
                </c:pt>
                <c:pt idx="16">
                  <c:v>36.348200000000006</c:v>
                </c:pt>
                <c:pt idx="17">
                  <c:v>35.194299999999998</c:v>
                </c:pt>
                <c:pt idx="18">
                  <c:v>33.989000000000004</c:v>
                </c:pt>
                <c:pt idx="19">
                  <c:v>32.764800000000001</c:v>
                </c:pt>
                <c:pt idx="20">
                  <c:v>31.685999999999996</c:v>
                </c:pt>
                <c:pt idx="21">
                  <c:v>30.719600000000003</c:v>
                </c:pt>
                <c:pt idx="22">
                  <c:v>29.700100000000003</c:v>
                </c:pt>
                <c:pt idx="23">
                  <c:v>28.631899999999998</c:v>
                </c:pt>
                <c:pt idx="24">
                  <c:v>27.645700000000001</c:v>
                </c:pt>
                <c:pt idx="25">
                  <c:v>26.805499999999999</c:v>
                </c:pt>
                <c:pt idx="26">
                  <c:v>26.0639</c:v>
                </c:pt>
                <c:pt idx="27">
                  <c:v>25.3977</c:v>
                </c:pt>
                <c:pt idx="28">
                  <c:v>24.8124</c:v>
                </c:pt>
                <c:pt idx="29">
                  <c:v>24.310100000000002</c:v>
                </c:pt>
                <c:pt idx="30">
                  <c:v>23.8447</c:v>
                </c:pt>
                <c:pt idx="31">
                  <c:v>23.404900000000001</c:v>
                </c:pt>
                <c:pt idx="32">
                  <c:v>23.0214</c:v>
                </c:pt>
                <c:pt idx="33">
                  <c:v>22.645100000000003</c:v>
                </c:pt>
                <c:pt idx="34">
                  <c:v>22.283200000000001</c:v>
                </c:pt>
                <c:pt idx="35">
                  <c:v>21.963699999999999</c:v>
                </c:pt>
                <c:pt idx="36">
                  <c:v>21.702500000000001</c:v>
                </c:pt>
                <c:pt idx="37">
                  <c:v>21.479599999999998</c:v>
                </c:pt>
                <c:pt idx="38">
                  <c:v>21.274899999999999</c:v>
                </c:pt>
                <c:pt idx="39">
                  <c:v>21.083299999999998</c:v>
                </c:pt>
                <c:pt idx="40">
                  <c:v>20.9206</c:v>
                </c:pt>
                <c:pt idx="41">
                  <c:v>20.7956</c:v>
                </c:pt>
                <c:pt idx="42">
                  <c:v>20.722799999999999</c:v>
                </c:pt>
                <c:pt idx="43">
                  <c:v>20.669699999999999</c:v>
                </c:pt>
                <c:pt idx="44">
                  <c:v>20.674899999999997</c:v>
                </c:pt>
                <c:pt idx="45">
                  <c:v>20.677799999999998</c:v>
                </c:pt>
                <c:pt idx="46">
                  <c:v>20.679400000000001</c:v>
                </c:pt>
                <c:pt idx="47">
                  <c:v>20.731300000000001</c:v>
                </c:pt>
                <c:pt idx="48">
                  <c:v>20.888999999999999</c:v>
                </c:pt>
                <c:pt idx="49">
                  <c:v>21.080399999999997</c:v>
                </c:pt>
                <c:pt idx="50">
                  <c:v>21.2181</c:v>
                </c:pt>
                <c:pt idx="51">
                  <c:v>21.316199999999998</c:v>
                </c:pt>
                <c:pt idx="52">
                  <c:v>21.3797</c:v>
                </c:pt>
                <c:pt idx="53">
                  <c:v>21.412300000000002</c:v>
                </c:pt>
                <c:pt idx="54">
                  <c:v>21.434800000000003</c:v>
                </c:pt>
                <c:pt idx="55">
                  <c:v>21.486599999999999</c:v>
                </c:pt>
                <c:pt idx="56">
                  <c:v>21.5428</c:v>
                </c:pt>
                <c:pt idx="57">
                  <c:v>21.555900000000001</c:v>
                </c:pt>
                <c:pt idx="58">
                  <c:v>21.509700000000002</c:v>
                </c:pt>
                <c:pt idx="59">
                  <c:v>21.433800000000002</c:v>
                </c:pt>
                <c:pt idx="60">
                  <c:v>21.346399999999999</c:v>
                </c:pt>
                <c:pt idx="61">
                  <c:v>21.3218</c:v>
                </c:pt>
                <c:pt idx="62">
                  <c:v>21.366800000000001</c:v>
                </c:pt>
                <c:pt idx="63">
                  <c:v>21.461400000000001</c:v>
                </c:pt>
                <c:pt idx="64">
                  <c:v>21.6023</c:v>
                </c:pt>
                <c:pt idx="65">
                  <c:v>21.8583</c:v>
                </c:pt>
                <c:pt idx="66">
                  <c:v>22.112399999999997</c:v>
                </c:pt>
                <c:pt idx="67">
                  <c:v>22.341000000000001</c:v>
                </c:pt>
                <c:pt idx="68">
                  <c:v>22.6905</c:v>
                </c:pt>
                <c:pt idx="69">
                  <c:v>23.090599999999998</c:v>
                </c:pt>
                <c:pt idx="70">
                  <c:v>23.460599999999999</c:v>
                </c:pt>
                <c:pt idx="71">
                  <c:v>23.825499999999998</c:v>
                </c:pt>
                <c:pt idx="72">
                  <c:v>24.245100000000001</c:v>
                </c:pt>
                <c:pt idx="73">
                  <c:v>24.6325</c:v>
                </c:pt>
                <c:pt idx="74">
                  <c:v>25.034499999999998</c:v>
                </c:pt>
                <c:pt idx="75">
                  <c:v>25.569199999999999</c:v>
                </c:pt>
                <c:pt idx="76">
                  <c:v>26.063399999999998</c:v>
                </c:pt>
                <c:pt idx="77">
                  <c:v>26.729599999999998</c:v>
                </c:pt>
                <c:pt idx="78">
                  <c:v>27.497100000000003</c:v>
                </c:pt>
                <c:pt idx="79">
                  <c:v>28.252800000000001</c:v>
                </c:pt>
                <c:pt idx="80">
                  <c:v>28.986099999999997</c:v>
                </c:pt>
                <c:pt idx="81">
                  <c:v>29.711900000000004</c:v>
                </c:pt>
                <c:pt idx="82">
                  <c:v>30.4678</c:v>
                </c:pt>
                <c:pt idx="83">
                  <c:v>31.285800000000002</c:v>
                </c:pt>
                <c:pt idx="84">
                  <c:v>32.144800000000004</c:v>
                </c:pt>
                <c:pt idx="85">
                  <c:v>32.9422</c:v>
                </c:pt>
                <c:pt idx="86">
                  <c:v>33.566899999999997</c:v>
                </c:pt>
                <c:pt idx="87">
                  <c:v>34.0623</c:v>
                </c:pt>
                <c:pt idx="88">
                  <c:v>34.5944</c:v>
                </c:pt>
                <c:pt idx="89">
                  <c:v>35.078099999999999</c:v>
                </c:pt>
                <c:pt idx="90">
                  <c:v>35.504000000000005</c:v>
                </c:pt>
                <c:pt idx="91">
                  <c:v>35.937200000000004</c:v>
                </c:pt>
                <c:pt idx="92">
                  <c:v>36.291000000000004</c:v>
                </c:pt>
                <c:pt idx="93">
                  <c:v>36.578400000000002</c:v>
                </c:pt>
                <c:pt idx="94">
                  <c:v>36.842000000000006</c:v>
                </c:pt>
                <c:pt idx="95">
                  <c:v>37.098399999999998</c:v>
                </c:pt>
                <c:pt idx="96">
                  <c:v>37.242199999999997</c:v>
                </c:pt>
                <c:pt idx="97">
                  <c:v>37.394800000000004</c:v>
                </c:pt>
                <c:pt idx="98">
                  <c:v>37.493099999999998</c:v>
                </c:pt>
                <c:pt idx="99">
                  <c:v>37.5411</c:v>
                </c:pt>
                <c:pt idx="100">
                  <c:v>37.554000000000002</c:v>
                </c:pt>
                <c:pt idx="101">
                  <c:v>37.531100000000002</c:v>
                </c:pt>
                <c:pt idx="102">
                  <c:v>37.5291</c:v>
                </c:pt>
                <c:pt idx="103">
                  <c:v>37.369900000000001</c:v>
                </c:pt>
                <c:pt idx="104">
                  <c:v>37.0717</c:v>
                </c:pt>
                <c:pt idx="105">
                  <c:v>36.643700000000003</c:v>
                </c:pt>
                <c:pt idx="106">
                  <c:v>36.015500000000003</c:v>
                </c:pt>
                <c:pt idx="107">
                  <c:v>35.322800000000001</c:v>
                </c:pt>
                <c:pt idx="108">
                  <c:v>34.588700000000003</c:v>
                </c:pt>
                <c:pt idx="109">
                  <c:v>33.780200000000001</c:v>
                </c:pt>
                <c:pt idx="110">
                  <c:v>32.947800000000001</c:v>
                </c:pt>
                <c:pt idx="111">
                  <c:v>32.159199999999998</c:v>
                </c:pt>
                <c:pt idx="112">
                  <c:v>31.370900000000002</c:v>
                </c:pt>
                <c:pt idx="113">
                  <c:v>30.564299999999999</c:v>
                </c:pt>
                <c:pt idx="114">
                  <c:v>29.700599999999998</c:v>
                </c:pt>
                <c:pt idx="115">
                  <c:v>28.842700000000001</c:v>
                </c:pt>
                <c:pt idx="116">
                  <c:v>28.040500000000002</c:v>
                </c:pt>
                <c:pt idx="117">
                  <c:v>27.318300000000001</c:v>
                </c:pt>
                <c:pt idx="118">
                  <c:v>26.696199999999997</c:v>
                </c:pt>
                <c:pt idx="119">
                  <c:v>26.171399999999998</c:v>
                </c:pt>
                <c:pt idx="120">
                  <c:v>25.8565</c:v>
                </c:pt>
                <c:pt idx="121">
                  <c:v>25.758599999999998</c:v>
                </c:pt>
                <c:pt idx="122">
                  <c:v>25.7209</c:v>
                </c:pt>
                <c:pt idx="123">
                  <c:v>25.6892</c:v>
                </c:pt>
                <c:pt idx="124">
                  <c:v>25.601700000000001</c:v>
                </c:pt>
                <c:pt idx="125">
                  <c:v>25.4453</c:v>
                </c:pt>
                <c:pt idx="126">
                  <c:v>25.257400000000001</c:v>
                </c:pt>
                <c:pt idx="127">
                  <c:v>25.110300000000002</c:v>
                </c:pt>
                <c:pt idx="128">
                  <c:v>25.008399999999998</c:v>
                </c:pt>
                <c:pt idx="129">
                  <c:v>24.909100000000002</c:v>
                </c:pt>
                <c:pt idx="130">
                  <c:v>24.846399999999999</c:v>
                </c:pt>
                <c:pt idx="131">
                  <c:v>24.854100000000003</c:v>
                </c:pt>
                <c:pt idx="132">
                  <c:v>24.921900000000001</c:v>
                </c:pt>
                <c:pt idx="133">
                  <c:v>25.125700000000002</c:v>
                </c:pt>
                <c:pt idx="134">
                  <c:v>25.361699999999999</c:v>
                </c:pt>
                <c:pt idx="135">
                  <c:v>25.606400000000001</c:v>
                </c:pt>
                <c:pt idx="136">
                  <c:v>25.8245</c:v>
                </c:pt>
                <c:pt idx="137">
                  <c:v>26.053900000000002</c:v>
                </c:pt>
                <c:pt idx="138">
                  <c:v>26.274999999999999</c:v>
                </c:pt>
                <c:pt idx="139">
                  <c:v>26.680700000000002</c:v>
                </c:pt>
                <c:pt idx="140">
                  <c:v>27.264500000000002</c:v>
                </c:pt>
                <c:pt idx="141">
                  <c:v>28.009099999999997</c:v>
                </c:pt>
                <c:pt idx="142">
                  <c:v>28.785699999999999</c:v>
                </c:pt>
                <c:pt idx="143">
                  <c:v>29.617900000000002</c:v>
                </c:pt>
                <c:pt idx="144">
                  <c:v>30.331399999999999</c:v>
                </c:pt>
                <c:pt idx="145">
                  <c:v>30.9419</c:v>
                </c:pt>
                <c:pt idx="146">
                  <c:v>31.1785</c:v>
                </c:pt>
                <c:pt idx="147">
                  <c:v>31.251299999999997</c:v>
                </c:pt>
                <c:pt idx="148">
                  <c:v>31.723499999999998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0.376303</c:v>
                </c:pt>
                <c:pt idx="2">
                  <c:v>0.77855099999999999</c:v>
                </c:pt>
                <c:pt idx="3">
                  <c:v>1.18449</c:v>
                </c:pt>
                <c:pt idx="4">
                  <c:v>1.5905499999999999</c:v>
                </c:pt>
                <c:pt idx="5">
                  <c:v>1.9973099999999999</c:v>
                </c:pt>
                <c:pt idx="6">
                  <c:v>2.4063699999999999</c:v>
                </c:pt>
                <c:pt idx="7">
                  <c:v>2.8087399999999998</c:v>
                </c:pt>
                <c:pt idx="8">
                  <c:v>3.2156400000000001</c:v>
                </c:pt>
                <c:pt idx="9">
                  <c:v>3.6237900000000001</c:v>
                </c:pt>
                <c:pt idx="10">
                  <c:v>4.0314800000000002</c:v>
                </c:pt>
                <c:pt idx="11">
                  <c:v>4.43736</c:v>
                </c:pt>
                <c:pt idx="12">
                  <c:v>4.8420199999999998</c:v>
                </c:pt>
                <c:pt idx="13">
                  <c:v>5.2469900000000003</c:v>
                </c:pt>
                <c:pt idx="14">
                  <c:v>5.6550900000000004</c:v>
                </c:pt>
                <c:pt idx="15">
                  <c:v>6.06229</c:v>
                </c:pt>
                <c:pt idx="16">
                  <c:v>6.4673999999999996</c:v>
                </c:pt>
                <c:pt idx="17">
                  <c:v>6.8716299999999997</c:v>
                </c:pt>
                <c:pt idx="18">
                  <c:v>7.2775499999999997</c:v>
                </c:pt>
                <c:pt idx="19">
                  <c:v>7.68377</c:v>
                </c:pt>
                <c:pt idx="20">
                  <c:v>8.0926200000000001</c:v>
                </c:pt>
                <c:pt idx="21">
                  <c:v>8.4993999999999996</c:v>
                </c:pt>
                <c:pt idx="22">
                  <c:v>8.9051799999999997</c:v>
                </c:pt>
                <c:pt idx="23">
                  <c:v>9.3107699999999998</c:v>
                </c:pt>
                <c:pt idx="24">
                  <c:v>9.7141599999999997</c:v>
                </c:pt>
                <c:pt idx="25">
                  <c:v>10.1213</c:v>
                </c:pt>
                <c:pt idx="26">
                  <c:v>10.527699999999999</c:v>
                </c:pt>
                <c:pt idx="27">
                  <c:v>10.9381</c:v>
                </c:pt>
                <c:pt idx="28">
                  <c:v>11.3431</c:v>
                </c:pt>
                <c:pt idx="29">
                  <c:v>11.7478</c:v>
                </c:pt>
                <c:pt idx="30">
                  <c:v>12.1556</c:v>
                </c:pt>
                <c:pt idx="31">
                  <c:v>12.5596</c:v>
                </c:pt>
                <c:pt idx="32">
                  <c:v>12.9674</c:v>
                </c:pt>
                <c:pt idx="33">
                  <c:v>13.3749</c:v>
                </c:pt>
                <c:pt idx="34">
                  <c:v>13.7811</c:v>
                </c:pt>
                <c:pt idx="35">
                  <c:v>14.1845</c:v>
                </c:pt>
                <c:pt idx="36">
                  <c:v>14.592499999999999</c:v>
                </c:pt>
                <c:pt idx="37">
                  <c:v>14.9971</c:v>
                </c:pt>
                <c:pt idx="38">
                  <c:v>15.408300000000001</c:v>
                </c:pt>
                <c:pt idx="39">
                  <c:v>15.811500000000001</c:v>
                </c:pt>
                <c:pt idx="40">
                  <c:v>16.219100000000001</c:v>
                </c:pt>
                <c:pt idx="41">
                  <c:v>16.626100000000001</c:v>
                </c:pt>
                <c:pt idx="42">
                  <c:v>17.028600000000001</c:v>
                </c:pt>
                <c:pt idx="43">
                  <c:v>17.436800000000002</c:v>
                </c:pt>
                <c:pt idx="44">
                  <c:v>17.845500000000001</c:v>
                </c:pt>
                <c:pt idx="45">
                  <c:v>18.247299999999999</c:v>
                </c:pt>
                <c:pt idx="46">
                  <c:v>18.654499999999999</c:v>
                </c:pt>
                <c:pt idx="47">
                  <c:v>19.0642</c:v>
                </c:pt>
                <c:pt idx="48">
                  <c:v>19.465900000000001</c:v>
                </c:pt>
                <c:pt idx="49">
                  <c:v>19.8748</c:v>
                </c:pt>
                <c:pt idx="50">
                  <c:v>20.279199999999999</c:v>
                </c:pt>
                <c:pt idx="51">
                  <c:v>20.683499999999999</c:v>
                </c:pt>
                <c:pt idx="52">
                  <c:v>21.095700000000001</c:v>
                </c:pt>
                <c:pt idx="53">
                  <c:v>21.498999999999999</c:v>
                </c:pt>
                <c:pt idx="54">
                  <c:v>21.906700000000001</c:v>
                </c:pt>
                <c:pt idx="55">
                  <c:v>22.3093</c:v>
                </c:pt>
                <c:pt idx="56">
                  <c:v>22.716999999999999</c:v>
                </c:pt>
                <c:pt idx="57">
                  <c:v>23.121700000000001</c:v>
                </c:pt>
                <c:pt idx="58">
                  <c:v>23.5306</c:v>
                </c:pt>
                <c:pt idx="59">
                  <c:v>23.938199999999998</c:v>
                </c:pt>
                <c:pt idx="60">
                  <c:v>24.343599999999999</c:v>
                </c:pt>
                <c:pt idx="61">
                  <c:v>24.746500000000001</c:v>
                </c:pt>
                <c:pt idx="62">
                  <c:v>25.151800000000001</c:v>
                </c:pt>
                <c:pt idx="63">
                  <c:v>25.561800000000002</c:v>
                </c:pt>
                <c:pt idx="64">
                  <c:v>25.964300000000001</c:v>
                </c:pt>
                <c:pt idx="65">
                  <c:v>26.374500000000001</c:v>
                </c:pt>
                <c:pt idx="66">
                  <c:v>26.7788</c:v>
                </c:pt>
                <c:pt idx="67">
                  <c:v>27.1861</c:v>
                </c:pt>
                <c:pt idx="68">
                  <c:v>27.591100000000001</c:v>
                </c:pt>
                <c:pt idx="69">
                  <c:v>27.998699999999999</c:v>
                </c:pt>
                <c:pt idx="70">
                  <c:v>28.4084</c:v>
                </c:pt>
                <c:pt idx="71">
                  <c:v>28.809100000000001</c:v>
                </c:pt>
                <c:pt idx="72">
                  <c:v>29.217099999999999</c:v>
                </c:pt>
                <c:pt idx="73">
                  <c:v>29.622299999999999</c:v>
                </c:pt>
                <c:pt idx="74">
                  <c:v>30.028600000000001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56.649899999999995</c:v>
                </c:pt>
                <c:pt idx="1">
                  <c:v>55.310499999999998</c:v>
                </c:pt>
                <c:pt idx="2">
                  <c:v>54.048099999999998</c:v>
                </c:pt>
                <c:pt idx="3">
                  <c:v>52.777700000000003</c:v>
                </c:pt>
                <c:pt idx="4">
                  <c:v>51.485199999999999</c:v>
                </c:pt>
                <c:pt idx="5">
                  <c:v>50.236899999999999</c:v>
                </c:pt>
                <c:pt idx="6">
                  <c:v>48.9268</c:v>
                </c:pt>
                <c:pt idx="7">
                  <c:v>47.639399999999995</c:v>
                </c:pt>
                <c:pt idx="8">
                  <c:v>46.402300000000004</c:v>
                </c:pt>
                <c:pt idx="9">
                  <c:v>45.240900000000003</c:v>
                </c:pt>
                <c:pt idx="10">
                  <c:v>44.109700000000004</c:v>
                </c:pt>
                <c:pt idx="11">
                  <c:v>42.828300000000006</c:v>
                </c:pt>
                <c:pt idx="12">
                  <c:v>41.441000000000003</c:v>
                </c:pt>
                <c:pt idx="13">
                  <c:v>40.063700000000004</c:v>
                </c:pt>
                <c:pt idx="14">
                  <c:v>38.805900000000001</c:v>
                </c:pt>
                <c:pt idx="15">
                  <c:v>37.5548</c:v>
                </c:pt>
                <c:pt idx="16">
                  <c:v>36.348200000000006</c:v>
                </c:pt>
                <c:pt idx="17">
                  <c:v>35.194299999999998</c:v>
                </c:pt>
                <c:pt idx="18">
                  <c:v>33.989000000000004</c:v>
                </c:pt>
                <c:pt idx="19">
                  <c:v>32.764800000000001</c:v>
                </c:pt>
                <c:pt idx="20">
                  <c:v>31.685999999999996</c:v>
                </c:pt>
                <c:pt idx="21">
                  <c:v>30.719600000000003</c:v>
                </c:pt>
                <c:pt idx="22">
                  <c:v>29.700100000000003</c:v>
                </c:pt>
                <c:pt idx="23">
                  <c:v>28.631899999999998</c:v>
                </c:pt>
                <c:pt idx="24">
                  <c:v>27.645700000000001</c:v>
                </c:pt>
                <c:pt idx="25">
                  <c:v>26.805499999999999</c:v>
                </c:pt>
                <c:pt idx="26">
                  <c:v>26.0639</c:v>
                </c:pt>
                <c:pt idx="27">
                  <c:v>25.3977</c:v>
                </c:pt>
                <c:pt idx="28">
                  <c:v>24.8124</c:v>
                </c:pt>
                <c:pt idx="29">
                  <c:v>24.310100000000002</c:v>
                </c:pt>
                <c:pt idx="30">
                  <c:v>23.8447</c:v>
                </c:pt>
                <c:pt idx="31">
                  <c:v>23.404900000000001</c:v>
                </c:pt>
                <c:pt idx="32">
                  <c:v>23.0214</c:v>
                </c:pt>
                <c:pt idx="33">
                  <c:v>22.645100000000003</c:v>
                </c:pt>
                <c:pt idx="34">
                  <c:v>22.283200000000001</c:v>
                </c:pt>
                <c:pt idx="35">
                  <c:v>21.963699999999999</c:v>
                </c:pt>
                <c:pt idx="36">
                  <c:v>21.702500000000001</c:v>
                </c:pt>
                <c:pt idx="37">
                  <c:v>21.479599999999998</c:v>
                </c:pt>
                <c:pt idx="38">
                  <c:v>21.274899999999999</c:v>
                </c:pt>
                <c:pt idx="39">
                  <c:v>21.083299999999998</c:v>
                </c:pt>
                <c:pt idx="40">
                  <c:v>20.9206</c:v>
                </c:pt>
                <c:pt idx="41">
                  <c:v>20.7956</c:v>
                </c:pt>
                <c:pt idx="42">
                  <c:v>20.722799999999999</c:v>
                </c:pt>
                <c:pt idx="43">
                  <c:v>20.669699999999999</c:v>
                </c:pt>
                <c:pt idx="44">
                  <c:v>20.674899999999997</c:v>
                </c:pt>
                <c:pt idx="45">
                  <c:v>20.677799999999998</c:v>
                </c:pt>
                <c:pt idx="46">
                  <c:v>20.679400000000001</c:v>
                </c:pt>
                <c:pt idx="47">
                  <c:v>20.731300000000001</c:v>
                </c:pt>
                <c:pt idx="48">
                  <c:v>20.888999999999999</c:v>
                </c:pt>
                <c:pt idx="49">
                  <c:v>21.080399999999997</c:v>
                </c:pt>
                <c:pt idx="50">
                  <c:v>21.2181</c:v>
                </c:pt>
                <c:pt idx="51">
                  <c:v>21.316199999999998</c:v>
                </c:pt>
                <c:pt idx="52">
                  <c:v>21.3797</c:v>
                </c:pt>
                <c:pt idx="53">
                  <c:v>21.412300000000002</c:v>
                </c:pt>
                <c:pt idx="54">
                  <c:v>21.434800000000003</c:v>
                </c:pt>
                <c:pt idx="55">
                  <c:v>21.486599999999999</c:v>
                </c:pt>
                <c:pt idx="56">
                  <c:v>21.5428</c:v>
                </c:pt>
                <c:pt idx="57">
                  <c:v>21.555900000000001</c:v>
                </c:pt>
                <c:pt idx="58">
                  <c:v>21.509700000000002</c:v>
                </c:pt>
                <c:pt idx="59">
                  <c:v>21.433800000000002</c:v>
                </c:pt>
                <c:pt idx="60">
                  <c:v>21.346399999999999</c:v>
                </c:pt>
                <c:pt idx="61">
                  <c:v>21.3218</c:v>
                </c:pt>
                <c:pt idx="62">
                  <c:v>21.366800000000001</c:v>
                </c:pt>
                <c:pt idx="63">
                  <c:v>21.461400000000001</c:v>
                </c:pt>
                <c:pt idx="64">
                  <c:v>21.6023</c:v>
                </c:pt>
                <c:pt idx="65">
                  <c:v>21.8583</c:v>
                </c:pt>
                <c:pt idx="66">
                  <c:v>22.112399999999997</c:v>
                </c:pt>
                <c:pt idx="67">
                  <c:v>22.341000000000001</c:v>
                </c:pt>
                <c:pt idx="68">
                  <c:v>22.6905</c:v>
                </c:pt>
                <c:pt idx="69">
                  <c:v>23.090599999999998</c:v>
                </c:pt>
                <c:pt idx="70">
                  <c:v>23.460599999999999</c:v>
                </c:pt>
                <c:pt idx="71">
                  <c:v>23.825499999999998</c:v>
                </c:pt>
                <c:pt idx="72">
                  <c:v>24.245100000000001</c:v>
                </c:pt>
                <c:pt idx="73">
                  <c:v>24.6325</c:v>
                </c:pt>
                <c:pt idx="74">
                  <c:v>25.034499999999998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30.028600000000001</c:v>
                </c:pt>
                <c:pt idx="1">
                  <c:v>30.622900000000001</c:v>
                </c:pt>
                <c:pt idx="2">
                  <c:v>30.9986</c:v>
                </c:pt>
                <c:pt idx="3">
                  <c:v>31.3765</c:v>
                </c:pt>
                <c:pt idx="4">
                  <c:v>31.749300000000002</c:v>
                </c:pt>
                <c:pt idx="5">
                  <c:v>32.123600000000003</c:v>
                </c:pt>
                <c:pt idx="6">
                  <c:v>32.529499999999999</c:v>
                </c:pt>
                <c:pt idx="7">
                  <c:v>32.935400000000001</c:v>
                </c:pt>
                <c:pt idx="8">
                  <c:v>33.342199999999998</c:v>
                </c:pt>
                <c:pt idx="9">
                  <c:v>33.749000000000002</c:v>
                </c:pt>
                <c:pt idx="10">
                  <c:v>34.154699999999998</c:v>
                </c:pt>
                <c:pt idx="11">
                  <c:v>34.559399999999997</c:v>
                </c:pt>
                <c:pt idx="12">
                  <c:v>34.966900000000003</c:v>
                </c:pt>
                <c:pt idx="13">
                  <c:v>35.377099999999999</c:v>
                </c:pt>
                <c:pt idx="14">
                  <c:v>35.7819</c:v>
                </c:pt>
                <c:pt idx="15">
                  <c:v>36.184199999999997</c:v>
                </c:pt>
                <c:pt idx="16">
                  <c:v>36.588200000000001</c:v>
                </c:pt>
                <c:pt idx="17">
                  <c:v>36.999699999999997</c:v>
                </c:pt>
                <c:pt idx="18">
                  <c:v>37.406700000000001</c:v>
                </c:pt>
                <c:pt idx="19">
                  <c:v>37.8125</c:v>
                </c:pt>
                <c:pt idx="20">
                  <c:v>38.217700000000001</c:v>
                </c:pt>
                <c:pt idx="21">
                  <c:v>38.622100000000003</c:v>
                </c:pt>
                <c:pt idx="22">
                  <c:v>39.0274</c:v>
                </c:pt>
                <c:pt idx="23">
                  <c:v>39.438499999999998</c:v>
                </c:pt>
                <c:pt idx="24">
                  <c:v>39.843200000000003</c:v>
                </c:pt>
                <c:pt idx="25">
                  <c:v>40.247999999999998</c:v>
                </c:pt>
                <c:pt idx="26">
                  <c:v>40.654899999999998</c:v>
                </c:pt>
                <c:pt idx="27">
                  <c:v>41.059600000000003</c:v>
                </c:pt>
                <c:pt idx="28">
                  <c:v>41.466299999999997</c:v>
                </c:pt>
                <c:pt idx="29">
                  <c:v>41.874499999999998</c:v>
                </c:pt>
                <c:pt idx="30">
                  <c:v>42.278199999999998</c:v>
                </c:pt>
                <c:pt idx="31">
                  <c:v>42.687199999999997</c:v>
                </c:pt>
                <c:pt idx="32">
                  <c:v>43.0901</c:v>
                </c:pt>
                <c:pt idx="33">
                  <c:v>43.497700000000002</c:v>
                </c:pt>
                <c:pt idx="34">
                  <c:v>43.906999999999996</c:v>
                </c:pt>
                <c:pt idx="35">
                  <c:v>44.310299999999998</c:v>
                </c:pt>
                <c:pt idx="36">
                  <c:v>44.716099999999997</c:v>
                </c:pt>
                <c:pt idx="37">
                  <c:v>45.122</c:v>
                </c:pt>
                <c:pt idx="38">
                  <c:v>45.528399999999998</c:v>
                </c:pt>
                <c:pt idx="39">
                  <c:v>45.939300000000003</c:v>
                </c:pt>
                <c:pt idx="40">
                  <c:v>46.342399999999998</c:v>
                </c:pt>
                <c:pt idx="41">
                  <c:v>46.747199999999999</c:v>
                </c:pt>
                <c:pt idx="42">
                  <c:v>47.155900000000003</c:v>
                </c:pt>
                <c:pt idx="43">
                  <c:v>47.560600000000001</c:v>
                </c:pt>
                <c:pt idx="44">
                  <c:v>47.964599999999997</c:v>
                </c:pt>
                <c:pt idx="45">
                  <c:v>48.372300000000003</c:v>
                </c:pt>
                <c:pt idx="46">
                  <c:v>48.781100000000002</c:v>
                </c:pt>
                <c:pt idx="47">
                  <c:v>49.1858</c:v>
                </c:pt>
                <c:pt idx="48">
                  <c:v>49.591999999999999</c:v>
                </c:pt>
                <c:pt idx="49">
                  <c:v>49.997900000000001</c:v>
                </c:pt>
                <c:pt idx="50">
                  <c:v>50.402000000000001</c:v>
                </c:pt>
                <c:pt idx="51">
                  <c:v>50.810499999999998</c:v>
                </c:pt>
                <c:pt idx="52">
                  <c:v>51.2181</c:v>
                </c:pt>
                <c:pt idx="53">
                  <c:v>51.621600000000001</c:v>
                </c:pt>
                <c:pt idx="54">
                  <c:v>52.0261</c:v>
                </c:pt>
                <c:pt idx="55">
                  <c:v>52.433900000000001</c:v>
                </c:pt>
                <c:pt idx="56">
                  <c:v>52.841999999999999</c:v>
                </c:pt>
                <c:pt idx="57">
                  <c:v>53.251600000000003</c:v>
                </c:pt>
                <c:pt idx="58">
                  <c:v>53.657899999999998</c:v>
                </c:pt>
                <c:pt idx="59">
                  <c:v>54.060699999999997</c:v>
                </c:pt>
                <c:pt idx="60">
                  <c:v>54.465600000000002</c:v>
                </c:pt>
                <c:pt idx="61">
                  <c:v>54.875599999999999</c:v>
                </c:pt>
                <c:pt idx="62">
                  <c:v>55.280500000000004</c:v>
                </c:pt>
                <c:pt idx="63">
                  <c:v>55.685099999999998</c:v>
                </c:pt>
                <c:pt idx="64">
                  <c:v>56.088799999999999</c:v>
                </c:pt>
                <c:pt idx="65">
                  <c:v>56.497700000000002</c:v>
                </c:pt>
                <c:pt idx="66">
                  <c:v>56.906500000000001</c:v>
                </c:pt>
                <c:pt idx="67">
                  <c:v>57.3127</c:v>
                </c:pt>
                <c:pt idx="68">
                  <c:v>57.716799999999999</c:v>
                </c:pt>
                <c:pt idx="69">
                  <c:v>58.121699999999997</c:v>
                </c:pt>
                <c:pt idx="70">
                  <c:v>58.528199999999998</c:v>
                </c:pt>
                <c:pt idx="71">
                  <c:v>58.936199999999999</c:v>
                </c:pt>
                <c:pt idx="72">
                  <c:v>59.343299999999999</c:v>
                </c:pt>
                <c:pt idx="73">
                  <c:v>59.747999999999998</c:v>
                </c:pt>
                <c:pt idx="74">
                  <c:v>60.155099999999997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25.034499999999998</c:v>
                </c:pt>
                <c:pt idx="1">
                  <c:v>25.569199999999999</c:v>
                </c:pt>
                <c:pt idx="2">
                  <c:v>26.063399999999998</c:v>
                </c:pt>
                <c:pt idx="3">
                  <c:v>26.729599999999998</c:v>
                </c:pt>
                <c:pt idx="4">
                  <c:v>27.497100000000003</c:v>
                </c:pt>
                <c:pt idx="5">
                  <c:v>28.252800000000001</c:v>
                </c:pt>
                <c:pt idx="6">
                  <c:v>28.986099999999997</c:v>
                </c:pt>
                <c:pt idx="7">
                  <c:v>29.711900000000004</c:v>
                </c:pt>
                <c:pt idx="8">
                  <c:v>30.4678</c:v>
                </c:pt>
                <c:pt idx="9">
                  <c:v>31.285800000000002</c:v>
                </c:pt>
                <c:pt idx="10">
                  <c:v>32.144800000000004</c:v>
                </c:pt>
                <c:pt idx="11">
                  <c:v>32.9422</c:v>
                </c:pt>
                <c:pt idx="12">
                  <c:v>33.566899999999997</c:v>
                </c:pt>
                <c:pt idx="13">
                  <c:v>34.0623</c:v>
                </c:pt>
                <c:pt idx="14">
                  <c:v>34.5944</c:v>
                </c:pt>
                <c:pt idx="15">
                  <c:v>35.078099999999999</c:v>
                </c:pt>
                <c:pt idx="16">
                  <c:v>35.504000000000005</c:v>
                </c:pt>
                <c:pt idx="17">
                  <c:v>35.937200000000004</c:v>
                </c:pt>
                <c:pt idx="18">
                  <c:v>36.291000000000004</c:v>
                </c:pt>
                <c:pt idx="19">
                  <c:v>36.578400000000002</c:v>
                </c:pt>
                <c:pt idx="20">
                  <c:v>36.842000000000006</c:v>
                </c:pt>
                <c:pt idx="21">
                  <c:v>37.098399999999998</c:v>
                </c:pt>
                <c:pt idx="22">
                  <c:v>37.242199999999997</c:v>
                </c:pt>
                <c:pt idx="23">
                  <c:v>37.394800000000004</c:v>
                </c:pt>
                <c:pt idx="24">
                  <c:v>37.493099999999998</c:v>
                </c:pt>
                <c:pt idx="25">
                  <c:v>37.5411</c:v>
                </c:pt>
                <c:pt idx="26">
                  <c:v>37.554000000000002</c:v>
                </c:pt>
                <c:pt idx="27">
                  <c:v>37.531100000000002</c:v>
                </c:pt>
                <c:pt idx="28">
                  <c:v>37.5291</c:v>
                </c:pt>
                <c:pt idx="29">
                  <c:v>37.369900000000001</c:v>
                </c:pt>
                <c:pt idx="30">
                  <c:v>37.0717</c:v>
                </c:pt>
                <c:pt idx="31">
                  <c:v>36.643700000000003</c:v>
                </c:pt>
                <c:pt idx="32">
                  <c:v>36.015500000000003</c:v>
                </c:pt>
                <c:pt idx="33">
                  <c:v>35.322800000000001</c:v>
                </c:pt>
                <c:pt idx="34">
                  <c:v>34.588700000000003</c:v>
                </c:pt>
                <c:pt idx="35">
                  <c:v>33.780200000000001</c:v>
                </c:pt>
                <c:pt idx="36">
                  <c:v>32.947800000000001</c:v>
                </c:pt>
                <c:pt idx="37">
                  <c:v>32.159199999999998</c:v>
                </c:pt>
                <c:pt idx="38">
                  <c:v>31.370900000000002</c:v>
                </c:pt>
                <c:pt idx="39">
                  <c:v>30.564299999999999</c:v>
                </c:pt>
                <c:pt idx="40">
                  <c:v>29.700599999999998</c:v>
                </c:pt>
                <c:pt idx="41">
                  <c:v>28.842700000000001</c:v>
                </c:pt>
                <c:pt idx="42">
                  <c:v>28.040500000000002</c:v>
                </c:pt>
                <c:pt idx="43">
                  <c:v>27.318300000000001</c:v>
                </c:pt>
                <c:pt idx="44">
                  <c:v>26.696199999999997</c:v>
                </c:pt>
                <c:pt idx="45">
                  <c:v>26.171399999999998</c:v>
                </c:pt>
                <c:pt idx="46">
                  <c:v>25.8565</c:v>
                </c:pt>
                <c:pt idx="47">
                  <c:v>25.758599999999998</c:v>
                </c:pt>
                <c:pt idx="48">
                  <c:v>25.7209</c:v>
                </c:pt>
                <c:pt idx="49">
                  <c:v>25.6892</c:v>
                </c:pt>
                <c:pt idx="50">
                  <c:v>25.601700000000001</c:v>
                </c:pt>
                <c:pt idx="51">
                  <c:v>25.4453</c:v>
                </c:pt>
                <c:pt idx="52">
                  <c:v>25.257400000000001</c:v>
                </c:pt>
                <c:pt idx="53">
                  <c:v>25.110300000000002</c:v>
                </c:pt>
                <c:pt idx="54">
                  <c:v>25.008399999999998</c:v>
                </c:pt>
                <c:pt idx="55">
                  <c:v>24.909100000000002</c:v>
                </c:pt>
                <c:pt idx="56">
                  <c:v>24.846399999999999</c:v>
                </c:pt>
                <c:pt idx="57">
                  <c:v>24.854100000000003</c:v>
                </c:pt>
                <c:pt idx="58">
                  <c:v>24.921900000000001</c:v>
                </c:pt>
                <c:pt idx="59">
                  <c:v>25.125700000000002</c:v>
                </c:pt>
                <c:pt idx="60">
                  <c:v>25.361699999999999</c:v>
                </c:pt>
                <c:pt idx="61">
                  <c:v>25.606400000000001</c:v>
                </c:pt>
                <c:pt idx="62">
                  <c:v>25.8245</c:v>
                </c:pt>
                <c:pt idx="63">
                  <c:v>26.053900000000002</c:v>
                </c:pt>
                <c:pt idx="64">
                  <c:v>26.274999999999999</c:v>
                </c:pt>
                <c:pt idx="65">
                  <c:v>26.680700000000002</c:v>
                </c:pt>
                <c:pt idx="66">
                  <c:v>27.264500000000002</c:v>
                </c:pt>
                <c:pt idx="67">
                  <c:v>28.009099999999997</c:v>
                </c:pt>
                <c:pt idx="68">
                  <c:v>28.785699999999999</c:v>
                </c:pt>
                <c:pt idx="69">
                  <c:v>29.617900000000002</c:v>
                </c:pt>
                <c:pt idx="70">
                  <c:v>30.331399999999999</c:v>
                </c:pt>
                <c:pt idx="71">
                  <c:v>30.9419</c:v>
                </c:pt>
                <c:pt idx="72">
                  <c:v>31.1785</c:v>
                </c:pt>
                <c:pt idx="73">
                  <c:v>31.251299999999997</c:v>
                </c:pt>
                <c:pt idx="74">
                  <c:v>31.723499999999998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15.038774999999999</c:v>
                </c:pt>
                <c:pt idx="1">
                  <c:v>45.116324999999996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28.753786486486486</c:v>
                </c:pt>
                <c:pt idx="1">
                  <c:v>30.465077027027014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1.42197</c:v>
                </c:pt>
                <c:pt idx="1">
                  <c:v>1.4737200000000001</c:v>
                </c:pt>
                <c:pt idx="2">
                  <c:v>1.5241199999999999</c:v>
                </c:pt>
                <c:pt idx="3">
                  <c:v>1.57497</c:v>
                </c:pt>
                <c:pt idx="4">
                  <c:v>1.6260399999999999</c:v>
                </c:pt>
                <c:pt idx="5">
                  <c:v>1.67618</c:v>
                </c:pt>
                <c:pt idx="6">
                  <c:v>1.7286099999999998</c:v>
                </c:pt>
                <c:pt idx="7">
                  <c:v>1.7809200000000001</c:v>
                </c:pt>
                <c:pt idx="8">
                  <c:v>1.83277</c:v>
                </c:pt>
                <c:pt idx="9">
                  <c:v>1.8819399999999999</c:v>
                </c:pt>
                <c:pt idx="10">
                  <c:v>1.9303400000000002</c:v>
                </c:pt>
                <c:pt idx="11">
                  <c:v>1.9793400000000001</c:v>
                </c:pt>
                <c:pt idx="12">
                  <c:v>2.0312199999999998</c:v>
                </c:pt>
                <c:pt idx="13">
                  <c:v>2.08304</c:v>
                </c:pt>
                <c:pt idx="14">
                  <c:v>2.1322700000000001</c:v>
                </c:pt>
                <c:pt idx="15">
                  <c:v>2.1800999999999999</c:v>
                </c:pt>
                <c:pt idx="16">
                  <c:v>2.2284699999999997</c:v>
                </c:pt>
                <c:pt idx="17">
                  <c:v>2.2761500000000003</c:v>
                </c:pt>
                <c:pt idx="18">
                  <c:v>2.32551</c:v>
                </c:pt>
                <c:pt idx="19">
                  <c:v>2.3758499999999998</c:v>
                </c:pt>
                <c:pt idx="20">
                  <c:v>2.4241299999999999</c:v>
                </c:pt>
                <c:pt idx="21">
                  <c:v>2.4685299999999999</c:v>
                </c:pt>
                <c:pt idx="22">
                  <c:v>2.5135100000000001</c:v>
                </c:pt>
                <c:pt idx="23">
                  <c:v>2.5588199999999999</c:v>
                </c:pt>
                <c:pt idx="24">
                  <c:v>2.6021899999999998</c:v>
                </c:pt>
                <c:pt idx="25">
                  <c:v>2.6419100000000002</c:v>
                </c:pt>
                <c:pt idx="26">
                  <c:v>2.6801599999999999</c:v>
                </c:pt>
                <c:pt idx="27">
                  <c:v>2.71611</c:v>
                </c:pt>
                <c:pt idx="28">
                  <c:v>2.7479999999999998</c:v>
                </c:pt>
                <c:pt idx="29">
                  <c:v>2.7772799999999997</c:v>
                </c:pt>
                <c:pt idx="30">
                  <c:v>2.80491</c:v>
                </c:pt>
                <c:pt idx="31">
                  <c:v>2.8298899999999998</c:v>
                </c:pt>
                <c:pt idx="32">
                  <c:v>2.8527900000000002</c:v>
                </c:pt>
                <c:pt idx="33">
                  <c:v>2.87466</c:v>
                </c:pt>
                <c:pt idx="34">
                  <c:v>2.89567</c:v>
                </c:pt>
                <c:pt idx="35">
                  <c:v>2.9149700000000003</c:v>
                </c:pt>
                <c:pt idx="36">
                  <c:v>2.9303400000000002</c:v>
                </c:pt>
                <c:pt idx="37">
                  <c:v>2.9419599999999999</c:v>
                </c:pt>
                <c:pt idx="38">
                  <c:v>2.9519299999999999</c:v>
                </c:pt>
                <c:pt idx="39">
                  <c:v>2.9613299999999998</c:v>
                </c:pt>
                <c:pt idx="40">
                  <c:v>2.9689900000000002</c:v>
                </c:pt>
                <c:pt idx="41">
                  <c:v>2.9738100000000003</c:v>
                </c:pt>
                <c:pt idx="42">
                  <c:v>2.9767199999999998</c:v>
                </c:pt>
                <c:pt idx="43">
                  <c:v>2.9791299999999996</c:v>
                </c:pt>
                <c:pt idx="44">
                  <c:v>2.9787499999999998</c:v>
                </c:pt>
                <c:pt idx="45">
                  <c:v>2.9757899999999999</c:v>
                </c:pt>
                <c:pt idx="46">
                  <c:v>2.97296</c:v>
                </c:pt>
                <c:pt idx="47">
                  <c:v>2.9683199999999998</c:v>
                </c:pt>
                <c:pt idx="48">
                  <c:v>2.9595700000000003</c:v>
                </c:pt>
                <c:pt idx="49">
                  <c:v>2.9494899999999999</c:v>
                </c:pt>
                <c:pt idx="50">
                  <c:v>2.9423899999999996</c:v>
                </c:pt>
                <c:pt idx="51">
                  <c:v>2.9328900000000004</c:v>
                </c:pt>
                <c:pt idx="52">
                  <c:v>2.9248000000000003</c:v>
                </c:pt>
                <c:pt idx="53">
                  <c:v>2.91811</c:v>
                </c:pt>
                <c:pt idx="54">
                  <c:v>2.91134</c:v>
                </c:pt>
                <c:pt idx="55">
                  <c:v>2.9027099999999999</c:v>
                </c:pt>
                <c:pt idx="56">
                  <c:v>2.8915299999999999</c:v>
                </c:pt>
                <c:pt idx="57">
                  <c:v>2.8799299999999999</c:v>
                </c:pt>
                <c:pt idx="58">
                  <c:v>2.8690199999999999</c:v>
                </c:pt>
                <c:pt idx="59">
                  <c:v>2.8601999999999999</c:v>
                </c:pt>
                <c:pt idx="60">
                  <c:v>2.85107</c:v>
                </c:pt>
                <c:pt idx="61">
                  <c:v>2.8399200000000002</c:v>
                </c:pt>
                <c:pt idx="62">
                  <c:v>2.8259299999999996</c:v>
                </c:pt>
                <c:pt idx="63">
                  <c:v>2.8102399999999998</c:v>
                </c:pt>
                <c:pt idx="64">
                  <c:v>2.79393</c:v>
                </c:pt>
                <c:pt idx="65">
                  <c:v>2.7768199999999998</c:v>
                </c:pt>
                <c:pt idx="66">
                  <c:v>2.7612999999999999</c:v>
                </c:pt>
                <c:pt idx="67">
                  <c:v>2.7478200000000004</c:v>
                </c:pt>
                <c:pt idx="68">
                  <c:v>2.7310600000000003</c:v>
                </c:pt>
                <c:pt idx="69">
                  <c:v>2.7143099999999998</c:v>
                </c:pt>
                <c:pt idx="70">
                  <c:v>2.7006599999999996</c:v>
                </c:pt>
                <c:pt idx="71">
                  <c:v>2.6875</c:v>
                </c:pt>
                <c:pt idx="72">
                  <c:v>2.6728700000000001</c:v>
                </c:pt>
                <c:pt idx="73">
                  <c:v>2.6592500000000001</c:v>
                </c:pt>
                <c:pt idx="74">
                  <c:v>2.6459100000000002</c:v>
                </c:pt>
                <c:pt idx="75">
                  <c:v>2.6277099999999995</c:v>
                </c:pt>
                <c:pt idx="76">
                  <c:v>2.60867</c:v>
                </c:pt>
                <c:pt idx="77">
                  <c:v>2.5970500000000003</c:v>
                </c:pt>
                <c:pt idx="78">
                  <c:v>2.5840899999999998</c:v>
                </c:pt>
                <c:pt idx="79">
                  <c:v>2.5716399999999999</c:v>
                </c:pt>
                <c:pt idx="80">
                  <c:v>2.5613000000000001</c:v>
                </c:pt>
                <c:pt idx="81">
                  <c:v>2.5496600000000003</c:v>
                </c:pt>
                <c:pt idx="82">
                  <c:v>2.5364399999999998</c:v>
                </c:pt>
                <c:pt idx="83">
                  <c:v>2.5209100000000002</c:v>
                </c:pt>
                <c:pt idx="84">
                  <c:v>2.50197</c:v>
                </c:pt>
                <c:pt idx="85">
                  <c:v>2.4846499999999998</c:v>
                </c:pt>
                <c:pt idx="86">
                  <c:v>2.47078</c:v>
                </c:pt>
                <c:pt idx="87">
                  <c:v>2.4617599999999999</c:v>
                </c:pt>
                <c:pt idx="88">
                  <c:v>2.4519899999999999</c:v>
                </c:pt>
                <c:pt idx="89">
                  <c:v>2.4415200000000001</c:v>
                </c:pt>
                <c:pt idx="90">
                  <c:v>2.42977</c:v>
                </c:pt>
                <c:pt idx="91">
                  <c:v>2.4172099999999999</c:v>
                </c:pt>
                <c:pt idx="92">
                  <c:v>2.40395</c:v>
                </c:pt>
                <c:pt idx="93">
                  <c:v>2.3913100000000003</c:v>
                </c:pt>
                <c:pt idx="94">
                  <c:v>2.3786700000000001</c:v>
                </c:pt>
                <c:pt idx="95">
                  <c:v>2.3655399999999998</c:v>
                </c:pt>
                <c:pt idx="96">
                  <c:v>2.3551799999999998</c:v>
                </c:pt>
                <c:pt idx="97">
                  <c:v>2.3442499999999997</c:v>
                </c:pt>
                <c:pt idx="98">
                  <c:v>2.3345199999999999</c:v>
                </c:pt>
                <c:pt idx="99">
                  <c:v>2.32517</c:v>
                </c:pt>
                <c:pt idx="100">
                  <c:v>2.3162400000000001</c:v>
                </c:pt>
                <c:pt idx="101">
                  <c:v>2.31033</c:v>
                </c:pt>
                <c:pt idx="102">
                  <c:v>2.2949000000000002</c:v>
                </c:pt>
                <c:pt idx="103">
                  <c:v>2.2827199999999999</c:v>
                </c:pt>
                <c:pt idx="104">
                  <c:v>2.27413</c:v>
                </c:pt>
                <c:pt idx="105">
                  <c:v>2.2678499999999997</c:v>
                </c:pt>
                <c:pt idx="106">
                  <c:v>2.2667899999999999</c:v>
                </c:pt>
                <c:pt idx="107">
                  <c:v>2.2692600000000001</c:v>
                </c:pt>
                <c:pt idx="108">
                  <c:v>2.2745600000000001</c:v>
                </c:pt>
                <c:pt idx="109">
                  <c:v>2.2867100000000002</c:v>
                </c:pt>
                <c:pt idx="110">
                  <c:v>2.3001399999999999</c:v>
                </c:pt>
                <c:pt idx="111">
                  <c:v>2.3141099999999999</c:v>
                </c:pt>
                <c:pt idx="112">
                  <c:v>2.3281399999999999</c:v>
                </c:pt>
                <c:pt idx="113">
                  <c:v>2.3426200000000001</c:v>
                </c:pt>
                <c:pt idx="114">
                  <c:v>2.3592200000000001</c:v>
                </c:pt>
                <c:pt idx="115">
                  <c:v>2.3778199999999998</c:v>
                </c:pt>
                <c:pt idx="116">
                  <c:v>2.39547</c:v>
                </c:pt>
                <c:pt idx="117">
                  <c:v>2.4132899999999999</c:v>
                </c:pt>
                <c:pt idx="118">
                  <c:v>2.4294799999999999</c:v>
                </c:pt>
                <c:pt idx="119">
                  <c:v>2.4443999999999999</c:v>
                </c:pt>
                <c:pt idx="120">
                  <c:v>2.45696</c:v>
                </c:pt>
                <c:pt idx="121">
                  <c:v>2.4648700000000003</c:v>
                </c:pt>
                <c:pt idx="122">
                  <c:v>2.4718900000000001</c:v>
                </c:pt>
                <c:pt idx="123">
                  <c:v>2.4776899999999999</c:v>
                </c:pt>
                <c:pt idx="124">
                  <c:v>2.48488</c:v>
                </c:pt>
                <c:pt idx="125">
                  <c:v>2.4970500000000002</c:v>
                </c:pt>
                <c:pt idx="126">
                  <c:v>2.5091299999999999</c:v>
                </c:pt>
                <c:pt idx="127">
                  <c:v>2.5194899999999998</c:v>
                </c:pt>
                <c:pt idx="128">
                  <c:v>2.5265</c:v>
                </c:pt>
                <c:pt idx="129">
                  <c:v>2.5320100000000001</c:v>
                </c:pt>
                <c:pt idx="130">
                  <c:v>2.5363500000000001</c:v>
                </c:pt>
                <c:pt idx="131">
                  <c:v>2.54026</c:v>
                </c:pt>
                <c:pt idx="132">
                  <c:v>2.5428199999999999</c:v>
                </c:pt>
                <c:pt idx="133">
                  <c:v>2.5403099999999998</c:v>
                </c:pt>
                <c:pt idx="134">
                  <c:v>2.5317400000000001</c:v>
                </c:pt>
                <c:pt idx="135">
                  <c:v>2.5223499999999999</c:v>
                </c:pt>
                <c:pt idx="136">
                  <c:v>2.5129600000000001</c:v>
                </c:pt>
                <c:pt idx="137">
                  <c:v>2.5024299999999999</c:v>
                </c:pt>
                <c:pt idx="138">
                  <c:v>2.4918299999999998</c:v>
                </c:pt>
                <c:pt idx="139">
                  <c:v>2.4779599999999999</c:v>
                </c:pt>
                <c:pt idx="140">
                  <c:v>2.46007</c:v>
                </c:pt>
                <c:pt idx="141">
                  <c:v>2.4400599999999999</c:v>
                </c:pt>
                <c:pt idx="142">
                  <c:v>2.4189500000000002</c:v>
                </c:pt>
                <c:pt idx="143">
                  <c:v>2.3994</c:v>
                </c:pt>
                <c:pt idx="144">
                  <c:v>2.3825400000000001</c:v>
                </c:pt>
                <c:pt idx="145">
                  <c:v>2.3645399999999999</c:v>
                </c:pt>
                <c:pt idx="146">
                  <c:v>2.35405</c:v>
                </c:pt>
                <c:pt idx="147">
                  <c:v>2.3431500000000001</c:v>
                </c:pt>
                <c:pt idx="148">
                  <c:v>2.3279800000000002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56.649899999999995</c:v>
                </c:pt>
                <c:pt idx="1">
                  <c:v>55.310499999999998</c:v>
                </c:pt>
                <c:pt idx="2">
                  <c:v>54.048099999999998</c:v>
                </c:pt>
                <c:pt idx="3">
                  <c:v>52.777700000000003</c:v>
                </c:pt>
                <c:pt idx="4">
                  <c:v>51.485199999999999</c:v>
                </c:pt>
                <c:pt idx="5">
                  <c:v>50.236899999999999</c:v>
                </c:pt>
                <c:pt idx="6">
                  <c:v>48.9268</c:v>
                </c:pt>
                <c:pt idx="7">
                  <c:v>47.639399999999995</c:v>
                </c:pt>
                <c:pt idx="8">
                  <c:v>46.402300000000004</c:v>
                </c:pt>
                <c:pt idx="9">
                  <c:v>45.240900000000003</c:v>
                </c:pt>
                <c:pt idx="10">
                  <c:v>44.109700000000004</c:v>
                </c:pt>
                <c:pt idx="11">
                  <c:v>42.828300000000006</c:v>
                </c:pt>
                <c:pt idx="12">
                  <c:v>41.441000000000003</c:v>
                </c:pt>
                <c:pt idx="13">
                  <c:v>40.063700000000004</c:v>
                </c:pt>
                <c:pt idx="14">
                  <c:v>38.805900000000001</c:v>
                </c:pt>
                <c:pt idx="15">
                  <c:v>37.5548</c:v>
                </c:pt>
                <c:pt idx="16">
                  <c:v>36.348200000000006</c:v>
                </c:pt>
                <c:pt idx="17">
                  <c:v>35.194299999999998</c:v>
                </c:pt>
                <c:pt idx="18">
                  <c:v>33.989000000000004</c:v>
                </c:pt>
                <c:pt idx="19">
                  <c:v>32.764800000000001</c:v>
                </c:pt>
                <c:pt idx="20">
                  <c:v>31.685999999999996</c:v>
                </c:pt>
                <c:pt idx="21">
                  <c:v>30.719600000000003</c:v>
                </c:pt>
                <c:pt idx="22">
                  <c:v>29.700100000000003</c:v>
                </c:pt>
                <c:pt idx="23">
                  <c:v>28.631899999999998</c:v>
                </c:pt>
                <c:pt idx="24">
                  <c:v>27.645700000000001</c:v>
                </c:pt>
                <c:pt idx="25">
                  <c:v>26.805499999999999</c:v>
                </c:pt>
                <c:pt idx="26">
                  <c:v>26.0639</c:v>
                </c:pt>
                <c:pt idx="27">
                  <c:v>25.3977</c:v>
                </c:pt>
                <c:pt idx="28">
                  <c:v>24.8124</c:v>
                </c:pt>
                <c:pt idx="29">
                  <c:v>24.310100000000002</c:v>
                </c:pt>
                <c:pt idx="30">
                  <c:v>23.8447</c:v>
                </c:pt>
                <c:pt idx="31">
                  <c:v>23.404900000000001</c:v>
                </c:pt>
                <c:pt idx="32">
                  <c:v>23.0214</c:v>
                </c:pt>
                <c:pt idx="33">
                  <c:v>22.645100000000003</c:v>
                </c:pt>
                <c:pt idx="34">
                  <c:v>22.283200000000001</c:v>
                </c:pt>
                <c:pt idx="35">
                  <c:v>21.963699999999999</c:v>
                </c:pt>
                <c:pt idx="36">
                  <c:v>21.702500000000001</c:v>
                </c:pt>
                <c:pt idx="37">
                  <c:v>21.479599999999998</c:v>
                </c:pt>
                <c:pt idx="38">
                  <c:v>21.274899999999999</c:v>
                </c:pt>
                <c:pt idx="39">
                  <c:v>21.083299999999998</c:v>
                </c:pt>
                <c:pt idx="40">
                  <c:v>20.9206</c:v>
                </c:pt>
                <c:pt idx="41">
                  <c:v>20.7956</c:v>
                </c:pt>
                <c:pt idx="42">
                  <c:v>20.722799999999999</c:v>
                </c:pt>
                <c:pt idx="43">
                  <c:v>20.669699999999999</c:v>
                </c:pt>
                <c:pt idx="44">
                  <c:v>20.674899999999997</c:v>
                </c:pt>
                <c:pt idx="45">
                  <c:v>20.677799999999998</c:v>
                </c:pt>
                <c:pt idx="46">
                  <c:v>20.679400000000001</c:v>
                </c:pt>
                <c:pt idx="47">
                  <c:v>20.731300000000001</c:v>
                </c:pt>
                <c:pt idx="48">
                  <c:v>20.888999999999999</c:v>
                </c:pt>
                <c:pt idx="49">
                  <c:v>21.080399999999997</c:v>
                </c:pt>
                <c:pt idx="50">
                  <c:v>21.2181</c:v>
                </c:pt>
                <c:pt idx="51">
                  <c:v>21.316199999999998</c:v>
                </c:pt>
                <c:pt idx="52">
                  <c:v>21.3797</c:v>
                </c:pt>
                <c:pt idx="53">
                  <c:v>21.412300000000002</c:v>
                </c:pt>
                <c:pt idx="54">
                  <c:v>21.434800000000003</c:v>
                </c:pt>
                <c:pt idx="55">
                  <c:v>21.486599999999999</c:v>
                </c:pt>
                <c:pt idx="56">
                  <c:v>21.5428</c:v>
                </c:pt>
                <c:pt idx="57">
                  <c:v>21.555900000000001</c:v>
                </c:pt>
                <c:pt idx="58">
                  <c:v>21.509700000000002</c:v>
                </c:pt>
                <c:pt idx="59">
                  <c:v>21.433800000000002</c:v>
                </c:pt>
                <c:pt idx="60">
                  <c:v>21.346399999999999</c:v>
                </c:pt>
                <c:pt idx="61">
                  <c:v>21.3218</c:v>
                </c:pt>
                <c:pt idx="62">
                  <c:v>21.366800000000001</c:v>
                </c:pt>
                <c:pt idx="63">
                  <c:v>21.461400000000001</c:v>
                </c:pt>
                <c:pt idx="64">
                  <c:v>21.6023</c:v>
                </c:pt>
                <c:pt idx="65">
                  <c:v>21.8583</c:v>
                </c:pt>
                <c:pt idx="66">
                  <c:v>22.112399999999997</c:v>
                </c:pt>
                <c:pt idx="67">
                  <c:v>22.341000000000001</c:v>
                </c:pt>
                <c:pt idx="68">
                  <c:v>22.6905</c:v>
                </c:pt>
                <c:pt idx="69">
                  <c:v>23.090599999999998</c:v>
                </c:pt>
                <c:pt idx="70">
                  <c:v>23.460599999999999</c:v>
                </c:pt>
                <c:pt idx="71">
                  <c:v>23.825499999999998</c:v>
                </c:pt>
                <c:pt idx="72">
                  <c:v>24.245100000000001</c:v>
                </c:pt>
                <c:pt idx="73">
                  <c:v>24.6325</c:v>
                </c:pt>
                <c:pt idx="74">
                  <c:v>25.034499999999998</c:v>
                </c:pt>
                <c:pt idx="75">
                  <c:v>25.569199999999999</c:v>
                </c:pt>
                <c:pt idx="76">
                  <c:v>26.063399999999998</c:v>
                </c:pt>
                <c:pt idx="77">
                  <c:v>26.729599999999998</c:v>
                </c:pt>
                <c:pt idx="78">
                  <c:v>27.497100000000003</c:v>
                </c:pt>
                <c:pt idx="79">
                  <c:v>28.252800000000001</c:v>
                </c:pt>
                <c:pt idx="80">
                  <c:v>28.986099999999997</c:v>
                </c:pt>
                <c:pt idx="81">
                  <c:v>29.711900000000004</c:v>
                </c:pt>
                <c:pt idx="82">
                  <c:v>30.4678</c:v>
                </c:pt>
                <c:pt idx="83">
                  <c:v>31.285800000000002</c:v>
                </c:pt>
                <c:pt idx="84">
                  <c:v>32.144800000000004</c:v>
                </c:pt>
                <c:pt idx="85">
                  <c:v>32.9422</c:v>
                </c:pt>
                <c:pt idx="86">
                  <c:v>33.566899999999997</c:v>
                </c:pt>
                <c:pt idx="87">
                  <c:v>34.0623</c:v>
                </c:pt>
                <c:pt idx="88">
                  <c:v>34.5944</c:v>
                </c:pt>
                <c:pt idx="89">
                  <c:v>35.078099999999999</c:v>
                </c:pt>
                <c:pt idx="90">
                  <c:v>35.504000000000005</c:v>
                </c:pt>
                <c:pt idx="91">
                  <c:v>35.937200000000004</c:v>
                </c:pt>
                <c:pt idx="92">
                  <c:v>36.291000000000004</c:v>
                </c:pt>
                <c:pt idx="93">
                  <c:v>36.578400000000002</c:v>
                </c:pt>
                <c:pt idx="94">
                  <c:v>36.842000000000006</c:v>
                </c:pt>
                <c:pt idx="95">
                  <c:v>37.098399999999998</c:v>
                </c:pt>
                <c:pt idx="96">
                  <c:v>37.242199999999997</c:v>
                </c:pt>
                <c:pt idx="97">
                  <c:v>37.394800000000004</c:v>
                </c:pt>
                <c:pt idx="98">
                  <c:v>37.493099999999998</c:v>
                </c:pt>
                <c:pt idx="99">
                  <c:v>37.5411</c:v>
                </c:pt>
                <c:pt idx="100">
                  <c:v>37.554000000000002</c:v>
                </c:pt>
                <c:pt idx="101">
                  <c:v>37.531100000000002</c:v>
                </c:pt>
                <c:pt idx="102">
                  <c:v>37.5291</c:v>
                </c:pt>
                <c:pt idx="103">
                  <c:v>37.369900000000001</c:v>
                </c:pt>
                <c:pt idx="104">
                  <c:v>37.0717</c:v>
                </c:pt>
                <c:pt idx="105">
                  <c:v>36.643700000000003</c:v>
                </c:pt>
                <c:pt idx="106">
                  <c:v>36.015500000000003</c:v>
                </c:pt>
                <c:pt idx="107">
                  <c:v>35.322800000000001</c:v>
                </c:pt>
                <c:pt idx="108">
                  <c:v>34.588700000000003</c:v>
                </c:pt>
                <c:pt idx="109">
                  <c:v>33.780200000000001</c:v>
                </c:pt>
                <c:pt idx="110">
                  <c:v>32.947800000000001</c:v>
                </c:pt>
                <c:pt idx="111">
                  <c:v>32.159199999999998</c:v>
                </c:pt>
                <c:pt idx="112">
                  <c:v>31.370900000000002</c:v>
                </c:pt>
                <c:pt idx="113">
                  <c:v>30.564299999999999</c:v>
                </c:pt>
                <c:pt idx="114">
                  <c:v>29.700599999999998</c:v>
                </c:pt>
                <c:pt idx="115">
                  <c:v>28.842700000000001</c:v>
                </c:pt>
                <c:pt idx="116">
                  <c:v>28.040500000000002</c:v>
                </c:pt>
                <c:pt idx="117">
                  <c:v>27.318300000000001</c:v>
                </c:pt>
                <c:pt idx="118">
                  <c:v>26.696199999999997</c:v>
                </c:pt>
                <c:pt idx="119">
                  <c:v>26.171399999999998</c:v>
                </c:pt>
                <c:pt idx="120">
                  <c:v>25.8565</c:v>
                </c:pt>
                <c:pt idx="121">
                  <c:v>25.758599999999998</c:v>
                </c:pt>
                <c:pt idx="122">
                  <c:v>25.7209</c:v>
                </c:pt>
                <c:pt idx="123">
                  <c:v>25.6892</c:v>
                </c:pt>
                <c:pt idx="124">
                  <c:v>25.601700000000001</c:v>
                </c:pt>
                <c:pt idx="125">
                  <c:v>25.4453</c:v>
                </c:pt>
                <c:pt idx="126">
                  <c:v>25.257400000000001</c:v>
                </c:pt>
                <c:pt idx="127">
                  <c:v>25.110300000000002</c:v>
                </c:pt>
                <c:pt idx="128">
                  <c:v>25.008399999999998</c:v>
                </c:pt>
                <c:pt idx="129">
                  <c:v>24.909100000000002</c:v>
                </c:pt>
                <c:pt idx="130">
                  <c:v>24.846399999999999</c:v>
                </c:pt>
                <c:pt idx="131">
                  <c:v>24.854100000000003</c:v>
                </c:pt>
                <c:pt idx="132">
                  <c:v>24.921900000000001</c:v>
                </c:pt>
                <c:pt idx="133">
                  <c:v>25.125700000000002</c:v>
                </c:pt>
                <c:pt idx="134">
                  <c:v>25.361699999999999</c:v>
                </c:pt>
                <c:pt idx="135">
                  <c:v>25.606400000000001</c:v>
                </c:pt>
                <c:pt idx="136">
                  <c:v>25.8245</c:v>
                </c:pt>
                <c:pt idx="137">
                  <c:v>26.053900000000002</c:v>
                </c:pt>
                <c:pt idx="138">
                  <c:v>26.274999999999999</c:v>
                </c:pt>
                <c:pt idx="139">
                  <c:v>26.680700000000002</c:v>
                </c:pt>
                <c:pt idx="140">
                  <c:v>27.264500000000002</c:v>
                </c:pt>
                <c:pt idx="141">
                  <c:v>28.009099999999997</c:v>
                </c:pt>
                <c:pt idx="142">
                  <c:v>28.785699999999999</c:v>
                </c:pt>
                <c:pt idx="143">
                  <c:v>29.617900000000002</c:v>
                </c:pt>
                <c:pt idx="144">
                  <c:v>30.331399999999999</c:v>
                </c:pt>
                <c:pt idx="145">
                  <c:v>30.9419</c:v>
                </c:pt>
                <c:pt idx="146">
                  <c:v>31.1785</c:v>
                </c:pt>
                <c:pt idx="147">
                  <c:v>31.251299999999997</c:v>
                </c:pt>
                <c:pt idx="148">
                  <c:v>31.723499999999998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1.42197</c:v>
                </c:pt>
                <c:pt idx="1">
                  <c:v>1.4737200000000001</c:v>
                </c:pt>
                <c:pt idx="2">
                  <c:v>1.5241199999999999</c:v>
                </c:pt>
                <c:pt idx="3">
                  <c:v>1.57497</c:v>
                </c:pt>
                <c:pt idx="4">
                  <c:v>1.6260399999999999</c:v>
                </c:pt>
                <c:pt idx="5">
                  <c:v>1.67618</c:v>
                </c:pt>
                <c:pt idx="6">
                  <c:v>1.7286099999999998</c:v>
                </c:pt>
                <c:pt idx="7">
                  <c:v>1.7809200000000001</c:v>
                </c:pt>
                <c:pt idx="8">
                  <c:v>1.83277</c:v>
                </c:pt>
                <c:pt idx="9">
                  <c:v>1.8819399999999999</c:v>
                </c:pt>
                <c:pt idx="10">
                  <c:v>1.9303400000000002</c:v>
                </c:pt>
                <c:pt idx="11">
                  <c:v>1.9793400000000001</c:v>
                </c:pt>
                <c:pt idx="12">
                  <c:v>2.0312199999999998</c:v>
                </c:pt>
                <c:pt idx="13">
                  <c:v>2.08304</c:v>
                </c:pt>
                <c:pt idx="14">
                  <c:v>2.1322700000000001</c:v>
                </c:pt>
                <c:pt idx="15">
                  <c:v>2.1800999999999999</c:v>
                </c:pt>
                <c:pt idx="16">
                  <c:v>2.2284699999999997</c:v>
                </c:pt>
                <c:pt idx="17">
                  <c:v>2.2761500000000003</c:v>
                </c:pt>
                <c:pt idx="18">
                  <c:v>2.32551</c:v>
                </c:pt>
                <c:pt idx="19">
                  <c:v>2.3758499999999998</c:v>
                </c:pt>
                <c:pt idx="20">
                  <c:v>2.4241299999999999</c:v>
                </c:pt>
                <c:pt idx="21">
                  <c:v>2.4685299999999999</c:v>
                </c:pt>
                <c:pt idx="22">
                  <c:v>2.5135100000000001</c:v>
                </c:pt>
                <c:pt idx="23">
                  <c:v>2.5588199999999999</c:v>
                </c:pt>
                <c:pt idx="24">
                  <c:v>2.6021899999999998</c:v>
                </c:pt>
                <c:pt idx="25">
                  <c:v>2.6419100000000002</c:v>
                </c:pt>
                <c:pt idx="26">
                  <c:v>2.6801599999999999</c:v>
                </c:pt>
                <c:pt idx="27">
                  <c:v>2.71611</c:v>
                </c:pt>
                <c:pt idx="28">
                  <c:v>2.7479999999999998</c:v>
                </c:pt>
                <c:pt idx="29">
                  <c:v>2.7772799999999997</c:v>
                </c:pt>
                <c:pt idx="30">
                  <c:v>2.80491</c:v>
                </c:pt>
                <c:pt idx="31">
                  <c:v>2.8298899999999998</c:v>
                </c:pt>
                <c:pt idx="32">
                  <c:v>2.8527900000000002</c:v>
                </c:pt>
                <c:pt idx="33">
                  <c:v>2.87466</c:v>
                </c:pt>
                <c:pt idx="34">
                  <c:v>2.89567</c:v>
                </c:pt>
                <c:pt idx="35">
                  <c:v>2.9149700000000003</c:v>
                </c:pt>
                <c:pt idx="36">
                  <c:v>2.9303400000000002</c:v>
                </c:pt>
                <c:pt idx="37">
                  <c:v>2.9419599999999999</c:v>
                </c:pt>
                <c:pt idx="38">
                  <c:v>2.9519299999999999</c:v>
                </c:pt>
                <c:pt idx="39">
                  <c:v>2.9613299999999998</c:v>
                </c:pt>
                <c:pt idx="40">
                  <c:v>2.9689900000000002</c:v>
                </c:pt>
                <c:pt idx="41">
                  <c:v>2.9738100000000003</c:v>
                </c:pt>
                <c:pt idx="42">
                  <c:v>2.9767199999999998</c:v>
                </c:pt>
                <c:pt idx="43">
                  <c:v>2.9791299999999996</c:v>
                </c:pt>
                <c:pt idx="44">
                  <c:v>2.9787499999999998</c:v>
                </c:pt>
                <c:pt idx="45">
                  <c:v>2.9757899999999999</c:v>
                </c:pt>
                <c:pt idx="46">
                  <c:v>2.97296</c:v>
                </c:pt>
                <c:pt idx="47">
                  <c:v>2.9683199999999998</c:v>
                </c:pt>
                <c:pt idx="48">
                  <c:v>2.9595700000000003</c:v>
                </c:pt>
                <c:pt idx="49">
                  <c:v>2.9494899999999999</c:v>
                </c:pt>
                <c:pt idx="50">
                  <c:v>2.9423899999999996</c:v>
                </c:pt>
                <c:pt idx="51">
                  <c:v>2.9328900000000004</c:v>
                </c:pt>
                <c:pt idx="52">
                  <c:v>2.9248000000000003</c:v>
                </c:pt>
                <c:pt idx="53">
                  <c:v>2.91811</c:v>
                </c:pt>
                <c:pt idx="54">
                  <c:v>2.91134</c:v>
                </c:pt>
                <c:pt idx="55">
                  <c:v>2.9027099999999999</c:v>
                </c:pt>
                <c:pt idx="56">
                  <c:v>2.8915299999999999</c:v>
                </c:pt>
                <c:pt idx="57">
                  <c:v>2.8799299999999999</c:v>
                </c:pt>
                <c:pt idx="58">
                  <c:v>2.8690199999999999</c:v>
                </c:pt>
                <c:pt idx="59">
                  <c:v>2.8601999999999999</c:v>
                </c:pt>
                <c:pt idx="60">
                  <c:v>2.85107</c:v>
                </c:pt>
                <c:pt idx="61">
                  <c:v>2.8399200000000002</c:v>
                </c:pt>
                <c:pt idx="62">
                  <c:v>2.8259299999999996</c:v>
                </c:pt>
                <c:pt idx="63">
                  <c:v>2.8102399999999998</c:v>
                </c:pt>
                <c:pt idx="64">
                  <c:v>2.79393</c:v>
                </c:pt>
                <c:pt idx="65">
                  <c:v>2.7768199999999998</c:v>
                </c:pt>
                <c:pt idx="66">
                  <c:v>2.7612999999999999</c:v>
                </c:pt>
                <c:pt idx="67">
                  <c:v>2.7478200000000004</c:v>
                </c:pt>
                <c:pt idx="68">
                  <c:v>2.7310600000000003</c:v>
                </c:pt>
                <c:pt idx="69">
                  <c:v>2.7143099999999998</c:v>
                </c:pt>
                <c:pt idx="70">
                  <c:v>2.7006599999999996</c:v>
                </c:pt>
                <c:pt idx="71">
                  <c:v>2.6875</c:v>
                </c:pt>
                <c:pt idx="72">
                  <c:v>2.6728700000000001</c:v>
                </c:pt>
                <c:pt idx="73">
                  <c:v>2.6592500000000001</c:v>
                </c:pt>
                <c:pt idx="74">
                  <c:v>2.6459100000000002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56.649899999999995</c:v>
                </c:pt>
                <c:pt idx="1">
                  <c:v>55.310499999999998</c:v>
                </c:pt>
                <c:pt idx="2">
                  <c:v>54.048099999999998</c:v>
                </c:pt>
                <c:pt idx="3">
                  <c:v>52.777700000000003</c:v>
                </c:pt>
                <c:pt idx="4">
                  <c:v>51.485199999999999</c:v>
                </c:pt>
                <c:pt idx="5">
                  <c:v>50.236899999999999</c:v>
                </c:pt>
                <c:pt idx="6">
                  <c:v>48.9268</c:v>
                </c:pt>
                <c:pt idx="7">
                  <c:v>47.639399999999995</c:v>
                </c:pt>
                <c:pt idx="8">
                  <c:v>46.402300000000004</c:v>
                </c:pt>
                <c:pt idx="9">
                  <c:v>45.240900000000003</c:v>
                </c:pt>
                <c:pt idx="10">
                  <c:v>44.109700000000004</c:v>
                </c:pt>
                <c:pt idx="11">
                  <c:v>42.828300000000006</c:v>
                </c:pt>
                <c:pt idx="12">
                  <c:v>41.441000000000003</c:v>
                </c:pt>
                <c:pt idx="13">
                  <c:v>40.063700000000004</c:v>
                </c:pt>
                <c:pt idx="14">
                  <c:v>38.805900000000001</c:v>
                </c:pt>
                <c:pt idx="15">
                  <c:v>37.5548</c:v>
                </c:pt>
                <c:pt idx="16">
                  <c:v>36.348200000000006</c:v>
                </c:pt>
                <c:pt idx="17">
                  <c:v>35.194299999999998</c:v>
                </c:pt>
                <c:pt idx="18">
                  <c:v>33.989000000000004</c:v>
                </c:pt>
                <c:pt idx="19">
                  <c:v>32.764800000000001</c:v>
                </c:pt>
                <c:pt idx="20">
                  <c:v>31.685999999999996</c:v>
                </c:pt>
                <c:pt idx="21">
                  <c:v>30.719600000000003</c:v>
                </c:pt>
                <c:pt idx="22">
                  <c:v>29.700100000000003</c:v>
                </c:pt>
                <c:pt idx="23">
                  <c:v>28.631899999999998</c:v>
                </c:pt>
                <c:pt idx="24">
                  <c:v>27.645700000000001</c:v>
                </c:pt>
                <c:pt idx="25">
                  <c:v>26.805499999999999</c:v>
                </c:pt>
                <c:pt idx="26">
                  <c:v>26.0639</c:v>
                </c:pt>
                <c:pt idx="27">
                  <c:v>25.3977</c:v>
                </c:pt>
                <c:pt idx="28">
                  <c:v>24.8124</c:v>
                </c:pt>
                <c:pt idx="29">
                  <c:v>24.310100000000002</c:v>
                </c:pt>
                <c:pt idx="30">
                  <c:v>23.8447</c:v>
                </c:pt>
                <c:pt idx="31">
                  <c:v>23.404900000000001</c:v>
                </c:pt>
                <c:pt idx="32">
                  <c:v>23.0214</c:v>
                </c:pt>
                <c:pt idx="33">
                  <c:v>22.645100000000003</c:v>
                </c:pt>
                <c:pt idx="34">
                  <c:v>22.283200000000001</c:v>
                </c:pt>
                <c:pt idx="35">
                  <c:v>21.963699999999999</c:v>
                </c:pt>
                <c:pt idx="36">
                  <c:v>21.702500000000001</c:v>
                </c:pt>
                <c:pt idx="37">
                  <c:v>21.479599999999998</c:v>
                </c:pt>
                <c:pt idx="38">
                  <c:v>21.274899999999999</c:v>
                </c:pt>
                <c:pt idx="39">
                  <c:v>21.083299999999998</c:v>
                </c:pt>
                <c:pt idx="40">
                  <c:v>20.9206</c:v>
                </c:pt>
                <c:pt idx="41">
                  <c:v>20.7956</c:v>
                </c:pt>
                <c:pt idx="42">
                  <c:v>20.722799999999999</c:v>
                </c:pt>
                <c:pt idx="43">
                  <c:v>20.669699999999999</c:v>
                </c:pt>
                <c:pt idx="44">
                  <c:v>20.674899999999997</c:v>
                </c:pt>
                <c:pt idx="45">
                  <c:v>20.677799999999998</c:v>
                </c:pt>
                <c:pt idx="46">
                  <c:v>20.679400000000001</c:v>
                </c:pt>
                <c:pt idx="47">
                  <c:v>20.731300000000001</c:v>
                </c:pt>
                <c:pt idx="48">
                  <c:v>20.888999999999999</c:v>
                </c:pt>
                <c:pt idx="49">
                  <c:v>21.080399999999997</c:v>
                </c:pt>
                <c:pt idx="50">
                  <c:v>21.2181</c:v>
                </c:pt>
                <c:pt idx="51">
                  <c:v>21.316199999999998</c:v>
                </c:pt>
                <c:pt idx="52">
                  <c:v>21.3797</c:v>
                </c:pt>
                <c:pt idx="53">
                  <c:v>21.412300000000002</c:v>
                </c:pt>
                <c:pt idx="54">
                  <c:v>21.434800000000003</c:v>
                </c:pt>
                <c:pt idx="55">
                  <c:v>21.486599999999999</c:v>
                </c:pt>
                <c:pt idx="56">
                  <c:v>21.5428</c:v>
                </c:pt>
                <c:pt idx="57">
                  <c:v>21.555900000000001</c:v>
                </c:pt>
                <c:pt idx="58">
                  <c:v>21.509700000000002</c:v>
                </c:pt>
                <c:pt idx="59">
                  <c:v>21.433800000000002</c:v>
                </c:pt>
                <c:pt idx="60">
                  <c:v>21.346399999999999</c:v>
                </c:pt>
                <c:pt idx="61">
                  <c:v>21.3218</c:v>
                </c:pt>
                <c:pt idx="62">
                  <c:v>21.366800000000001</c:v>
                </c:pt>
                <c:pt idx="63">
                  <c:v>21.461400000000001</c:v>
                </c:pt>
                <c:pt idx="64">
                  <c:v>21.6023</c:v>
                </c:pt>
                <c:pt idx="65">
                  <c:v>21.8583</c:v>
                </c:pt>
                <c:pt idx="66">
                  <c:v>22.112399999999997</c:v>
                </c:pt>
                <c:pt idx="67">
                  <c:v>22.341000000000001</c:v>
                </c:pt>
                <c:pt idx="68">
                  <c:v>22.6905</c:v>
                </c:pt>
                <c:pt idx="69">
                  <c:v>23.090599999999998</c:v>
                </c:pt>
                <c:pt idx="70">
                  <c:v>23.460599999999999</c:v>
                </c:pt>
                <c:pt idx="71">
                  <c:v>23.825499999999998</c:v>
                </c:pt>
                <c:pt idx="72">
                  <c:v>24.245100000000001</c:v>
                </c:pt>
                <c:pt idx="73">
                  <c:v>24.6325</c:v>
                </c:pt>
                <c:pt idx="74">
                  <c:v>25.034499999999998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2.6459100000000002</c:v>
                </c:pt>
                <c:pt idx="1">
                  <c:v>2.6277099999999995</c:v>
                </c:pt>
                <c:pt idx="2">
                  <c:v>2.60867</c:v>
                </c:pt>
                <c:pt idx="3">
                  <c:v>2.5970500000000003</c:v>
                </c:pt>
                <c:pt idx="4">
                  <c:v>2.5840899999999998</c:v>
                </c:pt>
                <c:pt idx="5">
                  <c:v>2.5716399999999999</c:v>
                </c:pt>
                <c:pt idx="6">
                  <c:v>2.5613000000000001</c:v>
                </c:pt>
                <c:pt idx="7">
                  <c:v>2.5496600000000003</c:v>
                </c:pt>
                <c:pt idx="8">
                  <c:v>2.5364399999999998</c:v>
                </c:pt>
                <c:pt idx="9">
                  <c:v>2.5209100000000002</c:v>
                </c:pt>
                <c:pt idx="10">
                  <c:v>2.50197</c:v>
                </c:pt>
                <c:pt idx="11">
                  <c:v>2.4846499999999998</c:v>
                </c:pt>
                <c:pt idx="12">
                  <c:v>2.47078</c:v>
                </c:pt>
                <c:pt idx="13">
                  <c:v>2.4617599999999999</c:v>
                </c:pt>
                <c:pt idx="14">
                  <c:v>2.4519899999999999</c:v>
                </c:pt>
                <c:pt idx="15">
                  <c:v>2.4415200000000001</c:v>
                </c:pt>
                <c:pt idx="16">
                  <c:v>2.42977</c:v>
                </c:pt>
                <c:pt idx="17">
                  <c:v>2.4172099999999999</c:v>
                </c:pt>
                <c:pt idx="18">
                  <c:v>2.40395</c:v>
                </c:pt>
                <c:pt idx="19">
                  <c:v>2.3913100000000003</c:v>
                </c:pt>
                <c:pt idx="20">
                  <c:v>2.3786700000000001</c:v>
                </c:pt>
                <c:pt idx="21">
                  <c:v>2.3655399999999998</c:v>
                </c:pt>
                <c:pt idx="22">
                  <c:v>2.3551799999999998</c:v>
                </c:pt>
                <c:pt idx="23">
                  <c:v>2.3442499999999997</c:v>
                </c:pt>
                <c:pt idx="24">
                  <c:v>2.3345199999999999</c:v>
                </c:pt>
                <c:pt idx="25">
                  <c:v>2.32517</c:v>
                </c:pt>
                <c:pt idx="26">
                  <c:v>2.3162400000000001</c:v>
                </c:pt>
                <c:pt idx="27">
                  <c:v>2.31033</c:v>
                </c:pt>
                <c:pt idx="28">
                  <c:v>2.2949000000000002</c:v>
                </c:pt>
                <c:pt idx="29">
                  <c:v>2.2827199999999999</c:v>
                </c:pt>
                <c:pt idx="30">
                  <c:v>2.27413</c:v>
                </c:pt>
                <c:pt idx="31">
                  <c:v>2.2678499999999997</c:v>
                </c:pt>
                <c:pt idx="32">
                  <c:v>2.2667899999999999</c:v>
                </c:pt>
                <c:pt idx="33">
                  <c:v>2.2692600000000001</c:v>
                </c:pt>
                <c:pt idx="34">
                  <c:v>2.2745600000000001</c:v>
                </c:pt>
                <c:pt idx="35">
                  <c:v>2.2867100000000002</c:v>
                </c:pt>
                <c:pt idx="36">
                  <c:v>2.3001399999999999</c:v>
                </c:pt>
                <c:pt idx="37">
                  <c:v>2.3141099999999999</c:v>
                </c:pt>
                <c:pt idx="38">
                  <c:v>2.3281399999999999</c:v>
                </c:pt>
                <c:pt idx="39">
                  <c:v>2.3426200000000001</c:v>
                </c:pt>
                <c:pt idx="40">
                  <c:v>2.3592200000000001</c:v>
                </c:pt>
                <c:pt idx="41">
                  <c:v>2.3778199999999998</c:v>
                </c:pt>
                <c:pt idx="42">
                  <c:v>2.39547</c:v>
                </c:pt>
                <c:pt idx="43">
                  <c:v>2.4132899999999999</c:v>
                </c:pt>
                <c:pt idx="44">
                  <c:v>2.4294799999999999</c:v>
                </c:pt>
                <c:pt idx="45">
                  <c:v>2.4443999999999999</c:v>
                </c:pt>
                <c:pt idx="46">
                  <c:v>2.45696</c:v>
                </c:pt>
                <c:pt idx="47">
                  <c:v>2.4648700000000003</c:v>
                </c:pt>
                <c:pt idx="48">
                  <c:v>2.4718900000000001</c:v>
                </c:pt>
                <c:pt idx="49">
                  <c:v>2.4776899999999999</c:v>
                </c:pt>
                <c:pt idx="50">
                  <c:v>2.48488</c:v>
                </c:pt>
                <c:pt idx="51">
                  <c:v>2.4970500000000002</c:v>
                </c:pt>
                <c:pt idx="52">
                  <c:v>2.5091299999999999</c:v>
                </c:pt>
                <c:pt idx="53">
                  <c:v>2.5194899999999998</c:v>
                </c:pt>
                <c:pt idx="54">
                  <c:v>2.5265</c:v>
                </c:pt>
                <c:pt idx="55">
                  <c:v>2.5320100000000001</c:v>
                </c:pt>
                <c:pt idx="56">
                  <c:v>2.5363500000000001</c:v>
                </c:pt>
                <c:pt idx="57">
                  <c:v>2.54026</c:v>
                </c:pt>
                <c:pt idx="58">
                  <c:v>2.5428199999999999</c:v>
                </c:pt>
                <c:pt idx="59">
                  <c:v>2.5403099999999998</c:v>
                </c:pt>
                <c:pt idx="60">
                  <c:v>2.5317400000000001</c:v>
                </c:pt>
                <c:pt idx="61">
                  <c:v>2.5223499999999999</c:v>
                </c:pt>
                <c:pt idx="62">
                  <c:v>2.5129600000000001</c:v>
                </c:pt>
                <c:pt idx="63">
                  <c:v>2.5024299999999999</c:v>
                </c:pt>
                <c:pt idx="64">
                  <c:v>2.4918299999999998</c:v>
                </c:pt>
                <c:pt idx="65">
                  <c:v>2.4779599999999999</c:v>
                </c:pt>
                <c:pt idx="66">
                  <c:v>2.46007</c:v>
                </c:pt>
                <c:pt idx="67">
                  <c:v>2.4400599999999999</c:v>
                </c:pt>
                <c:pt idx="68">
                  <c:v>2.4189500000000002</c:v>
                </c:pt>
                <c:pt idx="69">
                  <c:v>2.3994</c:v>
                </c:pt>
                <c:pt idx="70">
                  <c:v>2.3825400000000001</c:v>
                </c:pt>
                <c:pt idx="71">
                  <c:v>2.3645399999999999</c:v>
                </c:pt>
                <c:pt idx="72">
                  <c:v>2.35405</c:v>
                </c:pt>
                <c:pt idx="73">
                  <c:v>2.3431500000000001</c:v>
                </c:pt>
                <c:pt idx="74">
                  <c:v>2.3279800000000002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25.034499999999998</c:v>
                </c:pt>
                <c:pt idx="1">
                  <c:v>25.569199999999999</c:v>
                </c:pt>
                <c:pt idx="2">
                  <c:v>26.063399999999998</c:v>
                </c:pt>
                <c:pt idx="3">
                  <c:v>26.729599999999998</c:v>
                </c:pt>
                <c:pt idx="4">
                  <c:v>27.497100000000003</c:v>
                </c:pt>
                <c:pt idx="5">
                  <c:v>28.252800000000001</c:v>
                </c:pt>
                <c:pt idx="6">
                  <c:v>28.986099999999997</c:v>
                </c:pt>
                <c:pt idx="7">
                  <c:v>29.711900000000004</c:v>
                </c:pt>
                <c:pt idx="8">
                  <c:v>30.4678</c:v>
                </c:pt>
                <c:pt idx="9">
                  <c:v>31.285800000000002</c:v>
                </c:pt>
                <c:pt idx="10">
                  <c:v>32.144800000000004</c:v>
                </c:pt>
                <c:pt idx="11">
                  <c:v>32.9422</c:v>
                </c:pt>
                <c:pt idx="12">
                  <c:v>33.566899999999997</c:v>
                </c:pt>
                <c:pt idx="13">
                  <c:v>34.0623</c:v>
                </c:pt>
                <c:pt idx="14">
                  <c:v>34.5944</c:v>
                </c:pt>
                <c:pt idx="15">
                  <c:v>35.078099999999999</c:v>
                </c:pt>
                <c:pt idx="16">
                  <c:v>35.504000000000005</c:v>
                </c:pt>
                <c:pt idx="17">
                  <c:v>35.937200000000004</c:v>
                </c:pt>
                <c:pt idx="18">
                  <c:v>36.291000000000004</c:v>
                </c:pt>
                <c:pt idx="19">
                  <c:v>36.578400000000002</c:v>
                </c:pt>
                <c:pt idx="20">
                  <c:v>36.842000000000006</c:v>
                </c:pt>
                <c:pt idx="21">
                  <c:v>37.098399999999998</c:v>
                </c:pt>
                <c:pt idx="22">
                  <c:v>37.242199999999997</c:v>
                </c:pt>
                <c:pt idx="23">
                  <c:v>37.394800000000004</c:v>
                </c:pt>
                <c:pt idx="24">
                  <c:v>37.493099999999998</c:v>
                </c:pt>
                <c:pt idx="25">
                  <c:v>37.5411</c:v>
                </c:pt>
                <c:pt idx="26">
                  <c:v>37.554000000000002</c:v>
                </c:pt>
                <c:pt idx="27">
                  <c:v>37.531100000000002</c:v>
                </c:pt>
                <c:pt idx="28">
                  <c:v>37.5291</c:v>
                </c:pt>
                <c:pt idx="29">
                  <c:v>37.369900000000001</c:v>
                </c:pt>
                <c:pt idx="30">
                  <c:v>37.0717</c:v>
                </c:pt>
                <c:pt idx="31">
                  <c:v>36.643700000000003</c:v>
                </c:pt>
                <c:pt idx="32">
                  <c:v>36.015500000000003</c:v>
                </c:pt>
                <c:pt idx="33">
                  <c:v>35.322800000000001</c:v>
                </c:pt>
                <c:pt idx="34">
                  <c:v>34.588700000000003</c:v>
                </c:pt>
                <c:pt idx="35">
                  <c:v>33.780200000000001</c:v>
                </c:pt>
                <c:pt idx="36">
                  <c:v>32.947800000000001</c:v>
                </c:pt>
                <c:pt idx="37">
                  <c:v>32.159199999999998</c:v>
                </c:pt>
                <c:pt idx="38">
                  <c:v>31.370900000000002</c:v>
                </c:pt>
                <c:pt idx="39">
                  <c:v>30.564299999999999</c:v>
                </c:pt>
                <c:pt idx="40">
                  <c:v>29.700599999999998</c:v>
                </c:pt>
                <c:pt idx="41">
                  <c:v>28.842700000000001</c:v>
                </c:pt>
                <c:pt idx="42">
                  <c:v>28.040500000000002</c:v>
                </c:pt>
                <c:pt idx="43">
                  <c:v>27.318300000000001</c:v>
                </c:pt>
                <c:pt idx="44">
                  <c:v>26.696199999999997</c:v>
                </c:pt>
                <c:pt idx="45">
                  <c:v>26.171399999999998</c:v>
                </c:pt>
                <c:pt idx="46">
                  <c:v>25.8565</c:v>
                </c:pt>
                <c:pt idx="47">
                  <c:v>25.758599999999998</c:v>
                </c:pt>
                <c:pt idx="48">
                  <c:v>25.7209</c:v>
                </c:pt>
                <c:pt idx="49">
                  <c:v>25.6892</c:v>
                </c:pt>
                <c:pt idx="50">
                  <c:v>25.601700000000001</c:v>
                </c:pt>
                <c:pt idx="51">
                  <c:v>25.4453</c:v>
                </c:pt>
                <c:pt idx="52">
                  <c:v>25.257400000000001</c:v>
                </c:pt>
                <c:pt idx="53">
                  <c:v>25.110300000000002</c:v>
                </c:pt>
                <c:pt idx="54">
                  <c:v>25.008399999999998</c:v>
                </c:pt>
                <c:pt idx="55">
                  <c:v>24.909100000000002</c:v>
                </c:pt>
                <c:pt idx="56">
                  <c:v>24.846399999999999</c:v>
                </c:pt>
                <c:pt idx="57">
                  <c:v>24.854100000000003</c:v>
                </c:pt>
                <c:pt idx="58">
                  <c:v>24.921900000000001</c:v>
                </c:pt>
                <c:pt idx="59">
                  <c:v>25.125700000000002</c:v>
                </c:pt>
                <c:pt idx="60">
                  <c:v>25.361699999999999</c:v>
                </c:pt>
                <c:pt idx="61">
                  <c:v>25.606400000000001</c:v>
                </c:pt>
                <c:pt idx="62">
                  <c:v>25.8245</c:v>
                </c:pt>
                <c:pt idx="63">
                  <c:v>26.053900000000002</c:v>
                </c:pt>
                <c:pt idx="64">
                  <c:v>26.274999999999999</c:v>
                </c:pt>
                <c:pt idx="65">
                  <c:v>26.680700000000002</c:v>
                </c:pt>
                <c:pt idx="66">
                  <c:v>27.264500000000002</c:v>
                </c:pt>
                <c:pt idx="67">
                  <c:v>28.009099999999997</c:v>
                </c:pt>
                <c:pt idx="68">
                  <c:v>28.785699999999999</c:v>
                </c:pt>
                <c:pt idx="69">
                  <c:v>29.617900000000002</c:v>
                </c:pt>
                <c:pt idx="70">
                  <c:v>30.331399999999999</c:v>
                </c:pt>
                <c:pt idx="71">
                  <c:v>30.9419</c:v>
                </c:pt>
                <c:pt idx="72">
                  <c:v>31.1785</c:v>
                </c:pt>
                <c:pt idx="73">
                  <c:v>31.251299999999997</c:v>
                </c:pt>
                <c:pt idx="74">
                  <c:v>31.723499999999998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1.42197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56.649899999999995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2.5738074324324298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28.753786486486486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2.4352978378378372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30.465077027027014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2.4352978378378372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30.465077027027014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8" t="s">
        <v>519</v>
      </c>
      <c r="D5" s="191"/>
      <c r="E5" s="191"/>
      <c r="F5" s="192"/>
      <c r="G5" s="48" t="str">
        <f>lang!B27</f>
        <v>编号</v>
      </c>
      <c r="H5" s="190">
        <v>15</v>
      </c>
      <c r="I5" s="191"/>
      <c r="J5" s="191"/>
      <c r="K5" s="193"/>
    </row>
    <row r="6" spans="2:21" ht="17.25" customHeight="1">
      <c r="B6" s="46" t="str">
        <f>lang!B25</f>
        <v>性别</v>
      </c>
      <c r="C6" s="197" t="s">
        <v>518</v>
      </c>
      <c r="D6" s="145"/>
      <c r="E6" s="145"/>
      <c r="F6" s="146"/>
      <c r="G6" s="49" t="str">
        <f>lang!B28</f>
        <v xml:space="preserve"> 日期</v>
      </c>
      <c r="H6" s="129">
        <f>FH_info!A2</f>
        <v>43612.71980324074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5</v>
      </c>
      <c r="D7" s="148"/>
      <c r="E7" s="148"/>
      <c r="F7" s="149"/>
      <c r="G7" s="50" t="str">
        <f>lang!B29</f>
        <v>误差率（%）</v>
      </c>
      <c r="H7" s="132">
        <f>M!B17*1</f>
        <v>18.953199999999999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35.535800000000002</v>
      </c>
      <c r="O8" s="59">
        <f>M!C5*1</f>
        <v>10.5959</v>
      </c>
      <c r="P8" s="59">
        <f>M!D5*1</f>
        <v>29.817499999999999</v>
      </c>
      <c r="Q8" s="59">
        <f>M!E5*1</f>
        <v>20</v>
      </c>
      <c r="R8" s="59">
        <f>M!F5*1</f>
        <v>8.0651399999999995</v>
      </c>
      <c r="S8" s="59">
        <f>M!G5*1</f>
        <v>50</v>
      </c>
      <c r="T8" s="59">
        <f>M!H5*1</f>
        <v>59.749400000000001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47.575600000000001</v>
      </c>
      <c r="O9" s="59">
        <f>M!C6*1</f>
        <v>2.78173</v>
      </c>
      <c r="P9" s="59">
        <f>M!D6*1</f>
        <v>5.8469699999999998</v>
      </c>
      <c r="Q9" s="59">
        <f>M!E6*1</f>
        <v>20</v>
      </c>
      <c r="R9" s="59">
        <f>M!F6*1</f>
        <v>38.024799999999999</v>
      </c>
      <c r="S9" s="59">
        <f>M!G6*1</f>
        <v>40</v>
      </c>
      <c r="T9" s="59">
        <f>M!H6*1</f>
        <v>55.6937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8.0651399999999995</v>
      </c>
      <c r="D10" s="99">
        <f>N8</f>
        <v>35.535800000000002</v>
      </c>
      <c r="E10" s="100">
        <f>T8</f>
        <v>59.749400000000001</v>
      </c>
      <c r="F10" s="91">
        <f>P8</f>
        <v>29.817499999999999</v>
      </c>
      <c r="G10" s="81" t="str">
        <f>CONCATENATE(M9,"
(20 ~ 40)")</f>
        <v>压力
(20 ~ 40)</v>
      </c>
      <c r="H10" s="98">
        <f>R9</f>
        <v>38.024799999999999</v>
      </c>
      <c r="I10" s="108">
        <f>N9</f>
        <v>47.575600000000001</v>
      </c>
      <c r="J10" s="98">
        <f>T9</f>
        <v>55.6937</v>
      </c>
      <c r="K10" s="92">
        <f>P9</f>
        <v>5.8469699999999998</v>
      </c>
      <c r="L10" s="6"/>
      <c r="M10" s="27" t="str">
        <f>lang!B16</f>
        <v>焦虑</v>
      </c>
      <c r="N10" s="59">
        <f>M!B7*1</f>
        <v>28.743099999999998</v>
      </c>
      <c r="O10" s="59">
        <f>M!C7*1</f>
        <v>10.5174</v>
      </c>
      <c r="P10" s="59">
        <f>M!D7*1</f>
        <v>36.591099999999997</v>
      </c>
      <c r="Q10" s="59">
        <f>M!E7*1</f>
        <v>15</v>
      </c>
      <c r="R10" s="59">
        <f>M!F7*1</f>
        <v>12.6434</v>
      </c>
      <c r="S10" s="59">
        <f>M!G7*1</f>
        <v>40</v>
      </c>
      <c r="T10" s="59">
        <f>M!H7*1</f>
        <v>52.801299999999998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12.6434</v>
      </c>
      <c r="D11" s="102">
        <f>N10</f>
        <v>28.743099999999998</v>
      </c>
      <c r="E11" s="103">
        <f>T10</f>
        <v>52.801299999999998</v>
      </c>
      <c r="F11" s="94">
        <f>P10</f>
        <v>36.591099999999997</v>
      </c>
      <c r="G11" s="52" t="str">
        <f>CONCATENATE(M11,"
(20 ~ 50)")</f>
        <v>可疑
(20 ~ 50)</v>
      </c>
      <c r="H11" s="101">
        <f>R11</f>
        <v>24.5793</v>
      </c>
      <c r="I11" s="104">
        <f>N11</f>
        <v>38.744199999999999</v>
      </c>
      <c r="J11" s="101">
        <f>T11</f>
        <v>52.664999999999999</v>
      </c>
      <c r="K11" s="95">
        <f>P11</f>
        <v>15.430199999999999</v>
      </c>
      <c r="L11" s="4"/>
      <c r="M11" s="27" t="str">
        <f>lang!B17</f>
        <v>可疑</v>
      </c>
      <c r="N11" s="59">
        <f>M!B8*1</f>
        <v>38.744199999999999</v>
      </c>
      <c r="O11" s="59">
        <f>M!C8*1</f>
        <v>5.9783299999999997</v>
      </c>
      <c r="P11" s="59">
        <f>M!D8*1</f>
        <v>15.430199999999999</v>
      </c>
      <c r="Q11" s="59">
        <f>M!E8*1</f>
        <v>20</v>
      </c>
      <c r="R11" s="59">
        <f>M!F8*1</f>
        <v>24.5793</v>
      </c>
      <c r="S11" s="59">
        <f>M!G8*1</f>
        <v>50</v>
      </c>
      <c r="T11" s="59">
        <f>M!H8*1</f>
        <v>52.664999999999999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39.762900000000002</v>
      </c>
      <c r="D12" s="104">
        <f>N12</f>
        <v>50.223500000000001</v>
      </c>
      <c r="E12" s="101">
        <f>T12</f>
        <v>72.487700000000004</v>
      </c>
      <c r="F12" s="93">
        <f>P12</f>
        <v>11.9217</v>
      </c>
      <c r="G12" s="52" t="str">
        <f>CONCATENATE(M13,"
(40 ~ 100)")</f>
        <v>自信
(40 ~ 100)</v>
      </c>
      <c r="H12" s="101">
        <f>R13</f>
        <v>44.9499</v>
      </c>
      <c r="I12" s="104">
        <f>N13</f>
        <v>56.512999999999998</v>
      </c>
      <c r="J12" s="101">
        <f>T13</f>
        <v>62.807000000000002</v>
      </c>
      <c r="K12" s="95">
        <f>P13</f>
        <v>7.5470899999999999</v>
      </c>
      <c r="L12" s="4"/>
      <c r="M12" s="27" t="str">
        <f>lang!B18</f>
        <v>平衡</v>
      </c>
      <c r="N12" s="59">
        <f>M!B9*1</f>
        <v>50.223500000000001</v>
      </c>
      <c r="O12" s="59">
        <f>M!C9*1</f>
        <v>5.9874799999999997</v>
      </c>
      <c r="P12" s="59">
        <f>M!D9*1</f>
        <v>11.9217</v>
      </c>
      <c r="Q12" s="59">
        <f>M!E9*1</f>
        <v>50</v>
      </c>
      <c r="R12" s="59">
        <f>M!F9*1</f>
        <v>39.762900000000002</v>
      </c>
      <c r="S12" s="59">
        <f>M!G9*1</f>
        <v>100</v>
      </c>
      <c r="T12" s="59">
        <f>M!H9*1</f>
        <v>72.487700000000004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3.9617800000000001</v>
      </c>
      <c r="D13" s="102">
        <f>N14</f>
        <v>10.9435</v>
      </c>
      <c r="E13" s="103">
        <f>T14</f>
        <v>14.5449</v>
      </c>
      <c r="F13" s="94">
        <f>P14</f>
        <v>22.9756</v>
      </c>
      <c r="G13" s="52" t="str">
        <f>CONCATENATE(M15,"
(50 ~ 100)")</f>
        <v>自我调节
(50 ~ 100)</v>
      </c>
      <c r="H13" s="101">
        <f>R15</f>
        <v>46.4191</v>
      </c>
      <c r="I13" s="104">
        <f>N15</f>
        <v>52.807400000000001</v>
      </c>
      <c r="J13" s="101">
        <f>T15</f>
        <v>67.506600000000006</v>
      </c>
      <c r="K13" s="95">
        <f>P15</f>
        <v>6.7917399999999999</v>
      </c>
      <c r="L13" s="4"/>
      <c r="M13" s="27" t="str">
        <f>lang!B19</f>
        <v>自信</v>
      </c>
      <c r="N13" s="59">
        <f>M!B10*1</f>
        <v>56.512999999999998</v>
      </c>
      <c r="O13" s="59">
        <f>M!C10*1</f>
        <v>4.2650899999999998</v>
      </c>
      <c r="P13" s="59">
        <f>M!D10*1</f>
        <v>7.5470899999999999</v>
      </c>
      <c r="Q13" s="59">
        <f>M!E10*1</f>
        <v>40</v>
      </c>
      <c r="R13" s="59">
        <f>M!F10*1</f>
        <v>44.9499</v>
      </c>
      <c r="S13" s="59">
        <f>M!G10*1</f>
        <v>100</v>
      </c>
      <c r="T13" s="59">
        <f>M!H10*1</f>
        <v>62.807000000000002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13.3028</v>
      </c>
      <c r="D14" s="106">
        <f>N16</f>
        <v>17.523900000000001</v>
      </c>
      <c r="E14" s="107">
        <f>T16</f>
        <v>31.1798</v>
      </c>
      <c r="F14" s="96">
        <f>P16</f>
        <v>20.2393</v>
      </c>
      <c r="G14" s="112" t="str">
        <f>CONCATENATE(M17,"
(10 ~ 50)")</f>
        <v>神经质
(10 ~ 50)</v>
      </c>
      <c r="H14" s="105">
        <f>R17</f>
        <v>2.1885400000000002</v>
      </c>
      <c r="I14" s="106">
        <f>N17</f>
        <v>35.467100000000002</v>
      </c>
      <c r="J14" s="107">
        <f>T17</f>
        <v>41.174500000000002</v>
      </c>
      <c r="K14" s="97">
        <f>P17</f>
        <v>32.370399999999997</v>
      </c>
      <c r="M14" s="27" t="str">
        <f>lang!B20</f>
        <v>活力</v>
      </c>
      <c r="N14" s="59">
        <f>M!B11*1</f>
        <v>10.9435</v>
      </c>
      <c r="O14" s="59">
        <f>M!C11*1</f>
        <v>2.5143300000000002</v>
      </c>
      <c r="P14" s="59">
        <f>M!D11*1</f>
        <v>22.9756</v>
      </c>
      <c r="Q14" s="59">
        <f>M!E11*1</f>
        <v>10</v>
      </c>
      <c r="R14" s="59">
        <f>M!F11*1</f>
        <v>3.9617800000000001</v>
      </c>
      <c r="S14" s="59">
        <f>M!G11*1</f>
        <v>50</v>
      </c>
      <c r="T14" s="59">
        <f>M!H11*1</f>
        <v>14.5449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52.807400000000001</v>
      </c>
      <c r="O15" s="59">
        <f>M!C12*1</f>
        <v>3.5865399999999998</v>
      </c>
      <c r="P15" s="59">
        <f>M!D12*1</f>
        <v>6.7917399999999999</v>
      </c>
      <c r="Q15" s="59">
        <f>M!E12*1</f>
        <v>50</v>
      </c>
      <c r="R15" s="59">
        <f>M!F12*1</f>
        <v>46.4191</v>
      </c>
      <c r="S15" s="59">
        <f>M!G12*1</f>
        <v>100</v>
      </c>
      <c r="T15" s="59">
        <f>M!H12*1</f>
        <v>67.506600000000006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17.523900000000001</v>
      </c>
      <c r="O16" s="59">
        <f>M!C13*1</f>
        <v>3.54671</v>
      </c>
      <c r="P16" s="59">
        <f>M!D13*1</f>
        <v>20.2393</v>
      </c>
      <c r="Q16" s="59">
        <f>M!E13*1</f>
        <v>10</v>
      </c>
      <c r="R16" s="59">
        <f>M!F13*1</f>
        <v>13.3028</v>
      </c>
      <c r="S16" s="59">
        <f>M!G13*1</f>
        <v>25</v>
      </c>
      <c r="T16" s="59">
        <f>M!H13*1</f>
        <v>31.1798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35.467100000000002</v>
      </c>
      <c r="O17" s="59">
        <f>M!C14*1</f>
        <v>11.4808</v>
      </c>
      <c r="P17" s="59">
        <f>M!D14*1</f>
        <v>32.370399999999997</v>
      </c>
      <c r="Q17" s="59">
        <f>M!E14*1</f>
        <v>10</v>
      </c>
      <c r="R17" s="59">
        <f>M!F14*1</f>
        <v>2.1885400000000002</v>
      </c>
      <c r="S17" s="59">
        <f>M!G14*1</f>
        <v>50</v>
      </c>
      <c r="T17" s="59">
        <f>M!H14*1</f>
        <v>41.174500000000002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42.621850000000002</v>
      </c>
      <c r="O18" s="22">
        <f>N18/(N18+N19+N20)</f>
        <v>0.39920424869008014</v>
      </c>
      <c r="P18" s="65">
        <f>SUM(P12:P15)/4</f>
        <v>12.309032499999999</v>
      </c>
      <c r="Q18" s="22">
        <f>P18/(P18+P19+P20)</f>
        <v>0.20333635773822969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37.649675000000002</v>
      </c>
      <c r="O19" s="22">
        <f>N19/(N18+N19+N20)</f>
        <v>0.35263392419148148</v>
      </c>
      <c r="P19" s="18">
        <f>SUM(P8:P11)/4</f>
        <v>21.921442500000001</v>
      </c>
      <c r="Q19" s="22">
        <f>P19/(P18+P19+P20)</f>
        <v>0.36212645261258614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26.4955</v>
      </c>
      <c r="O20" s="22">
        <f>N20/(N18+N19+N20)</f>
        <v>0.24816182711843851</v>
      </c>
      <c r="P20" s="18">
        <f>(P16+P17)/2</f>
        <v>26.304849999999998</v>
      </c>
      <c r="Q20" s="22">
        <f>P20/(P18+P19+P20)</f>
        <v>0.43453718964918414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3.0963864864864576E-2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1.2125970941730819</v>
      </c>
      <c r="D25" s="44" t="str">
        <f>lang!B11</f>
        <v>频率方差</v>
      </c>
      <c r="E25" s="182">
        <f ca="1">FH!L3</f>
        <v>0.7209119551404769</v>
      </c>
      <c r="F25" s="183"/>
      <c r="G25" s="174" t="str">
        <f>lang!B12</f>
        <v>生理变化率</v>
      </c>
      <c r="H25" s="175"/>
      <c r="I25" s="62" t="str">
        <f ca="1">CONCATENATE(info!M7,"-",info!M8)</f>
        <v>20.7-56.6</v>
      </c>
      <c r="J25" s="42" t="str">
        <f>lang!B13</f>
        <v>千卡l/分钟</v>
      </c>
      <c r="K25" s="41" t="str">
        <f ca="1">CONCATENATE(info!M5,"-",info!M6)</f>
        <v>1.4-3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82%]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33.032800000000002</v>
      </c>
      <c r="F28" s="121"/>
      <c r="G28" s="135" t="str">
        <f>lang!B33</f>
        <v>稳定性</v>
      </c>
      <c r="H28" s="136"/>
      <c r="I28" s="137"/>
      <c r="J28" s="138">
        <f>M!B19*100</f>
        <v>77.370399999999989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43612.71980324074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-1.2760000000000034</v>
      </c>
      <c r="O7" s="59">
        <f t="shared" ref="O7:T7" si="2">AG7-X7</f>
        <v>-8.32029</v>
      </c>
      <c r="P7" s="59">
        <f t="shared" si="2"/>
        <v>-22.546599999999998</v>
      </c>
      <c r="Q7" s="59">
        <f t="shared" si="2"/>
        <v>0</v>
      </c>
      <c r="R7" s="59">
        <f t="shared" si="2"/>
        <v>18.415459999999999</v>
      </c>
      <c r="S7" s="59">
        <f t="shared" si="2"/>
        <v>0</v>
      </c>
      <c r="T7" s="59">
        <f t="shared" si="2"/>
        <v>-8.9870000000000019</v>
      </c>
      <c r="U7" s="14"/>
      <c r="V7" s="27" t="str">
        <f>M7</f>
        <v>攻击性</v>
      </c>
      <c r="W7" s="59">
        <f>'M1'!B5*1</f>
        <v>36.0045</v>
      </c>
      <c r="X7" s="59">
        <f>'M1'!C5*1</f>
        <v>13.833</v>
      </c>
      <c r="Y7" s="59">
        <f>'M1'!D5*1</f>
        <v>38.420299999999997</v>
      </c>
      <c r="Z7" s="59">
        <f>'M1'!E5*1</f>
        <v>20</v>
      </c>
      <c r="AA7" s="59">
        <f>'M1'!F5*1</f>
        <v>8.0651399999999995</v>
      </c>
      <c r="AB7" s="59">
        <f>'M1'!G5*1</f>
        <v>50</v>
      </c>
      <c r="AC7" s="59">
        <f>'M1'!H5*1</f>
        <v>59.749400000000001</v>
      </c>
      <c r="AE7" s="27" t="str">
        <f>V7</f>
        <v>攻击性</v>
      </c>
      <c r="AF7" s="59">
        <f>'M2'!B5*1</f>
        <v>34.728499999999997</v>
      </c>
      <c r="AG7" s="59">
        <f>'M2'!C5*1</f>
        <v>5.5127100000000002</v>
      </c>
      <c r="AH7" s="59">
        <f>'M2'!D5*1</f>
        <v>15.873699999999999</v>
      </c>
      <c r="AI7" s="59">
        <f>'M2'!E5*1</f>
        <v>20</v>
      </c>
      <c r="AJ7" s="59">
        <f>'M2'!F5*1</f>
        <v>26.480599999999999</v>
      </c>
      <c r="AK7" s="59">
        <f>'M2'!G5*1</f>
        <v>50</v>
      </c>
      <c r="AL7" s="59">
        <f>'M2'!H5*1</f>
        <v>50.7624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0.65850000000000364</v>
      </c>
      <c r="O8" s="59">
        <f t="shared" ref="O8:O16" si="5">AG8-X8</f>
        <v>-7.0869999999999767E-2</v>
      </c>
      <c r="P8" s="59">
        <f t="shared" ref="P8:P16" si="6">AH8-Y8</f>
        <v>-0.22513000000000005</v>
      </c>
      <c r="Q8" s="59">
        <f t="shared" ref="Q8:Q16" si="7">AI8-Z8</f>
        <v>0</v>
      </c>
      <c r="R8" s="59">
        <f t="shared" ref="R8:R16" si="8">AJ8-AA8</f>
        <v>6.4579999999999984</v>
      </c>
      <c r="S8" s="59">
        <f t="shared" ref="S8:S16" si="9">AK8-AB8</f>
        <v>0</v>
      </c>
      <c r="T8" s="59">
        <f t="shared" ref="T8:T16" si="10">AL8-AC8</f>
        <v>4.5178000000000011</v>
      </c>
      <c r="U8" s="15"/>
      <c r="V8" s="27" t="str">
        <f t="shared" ref="V8:V16" si="11">M8</f>
        <v>压力</v>
      </c>
      <c r="W8" s="59">
        <f>'M1'!B6*1</f>
        <v>47.263199999999998</v>
      </c>
      <c r="X8" s="59">
        <f>'M1'!C6*1</f>
        <v>2.6559599999999999</v>
      </c>
      <c r="Y8" s="59">
        <f>'M1'!D6*1</f>
        <v>5.6195199999999996</v>
      </c>
      <c r="Z8" s="59">
        <f>'M1'!E6*1</f>
        <v>20</v>
      </c>
      <c r="AA8" s="59">
        <f>'M1'!F6*1</f>
        <v>38.024799999999999</v>
      </c>
      <c r="AB8" s="59">
        <f>'M1'!G6*1</f>
        <v>40</v>
      </c>
      <c r="AC8" s="59">
        <f>'M1'!H6*1</f>
        <v>51.175899999999999</v>
      </c>
      <c r="AE8" s="27" t="str">
        <f t="shared" ref="AE8:AE16" si="12">V8</f>
        <v>压力</v>
      </c>
      <c r="AF8" s="59">
        <f>'M2'!B6*1</f>
        <v>47.921700000000001</v>
      </c>
      <c r="AG8" s="59">
        <f>'M2'!C6*1</f>
        <v>2.5850900000000001</v>
      </c>
      <c r="AH8" s="59">
        <f>'M2'!D6*1</f>
        <v>5.3943899999999996</v>
      </c>
      <c r="AI8" s="59">
        <f>'M2'!E6*1</f>
        <v>20</v>
      </c>
      <c r="AJ8" s="59">
        <f>'M2'!F6*1</f>
        <v>44.482799999999997</v>
      </c>
      <c r="AK8" s="59">
        <f>'M2'!G6*1</f>
        <v>40</v>
      </c>
      <c r="AL8" s="59">
        <f>'M2'!H6*1</f>
        <v>55.6937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18.415459999999999</v>
      </c>
      <c r="D9" s="78">
        <f>N7</f>
        <v>-1.2760000000000034</v>
      </c>
      <c r="E9" s="79">
        <f>T7</f>
        <v>-8.9870000000000019</v>
      </c>
      <c r="F9" s="79">
        <f>P7</f>
        <v>-22.546599999999998</v>
      </c>
      <c r="G9" s="80" t="str">
        <f>CONCATENATE(M8,"
(20 ~ 40)")</f>
        <v>压力
(20 ~ 40)</v>
      </c>
      <c r="H9" s="77">
        <f>R8</f>
        <v>6.4579999999999984</v>
      </c>
      <c r="I9" s="81">
        <f>N8</f>
        <v>0.65850000000000364</v>
      </c>
      <c r="J9" s="77">
        <f>T8</f>
        <v>4.5178000000000011</v>
      </c>
      <c r="K9" s="82">
        <f>P8</f>
        <v>-0.22513000000000005</v>
      </c>
      <c r="L9" s="6"/>
      <c r="M9" s="27" t="str">
        <f>lang!B16</f>
        <v>焦虑</v>
      </c>
      <c r="N9" s="59">
        <f t="shared" si="4"/>
        <v>2.1388999999999996</v>
      </c>
      <c r="O9" s="59">
        <f t="shared" si="5"/>
        <v>-1.0376000000000012</v>
      </c>
      <c r="P9" s="59">
        <f t="shared" si="6"/>
        <v>-6.0405999999999977</v>
      </c>
      <c r="Q9" s="59">
        <f t="shared" si="7"/>
        <v>0</v>
      </c>
      <c r="R9" s="59">
        <f t="shared" si="8"/>
        <v>5.3416999999999994</v>
      </c>
      <c r="S9" s="59">
        <f t="shared" si="9"/>
        <v>0</v>
      </c>
      <c r="T9" s="59">
        <f t="shared" si="10"/>
        <v>-1.8789999999999978</v>
      </c>
      <c r="U9" s="14"/>
      <c r="V9" s="27" t="str">
        <f t="shared" si="11"/>
        <v>焦虑</v>
      </c>
      <c r="W9" s="59">
        <f>'M1'!B7*1</f>
        <v>28.5411</v>
      </c>
      <c r="X9" s="59">
        <f>'M1'!C7*1</f>
        <v>10.883900000000001</v>
      </c>
      <c r="Y9" s="59">
        <f>'M1'!D7*1</f>
        <v>38.1342</v>
      </c>
      <c r="Z9" s="59">
        <f>'M1'!E7*1</f>
        <v>15</v>
      </c>
      <c r="AA9" s="59">
        <f>'M1'!F7*1</f>
        <v>12.6434</v>
      </c>
      <c r="AB9" s="59">
        <f>'M1'!G7*1</f>
        <v>40</v>
      </c>
      <c r="AC9" s="59">
        <f>'M1'!H7*1</f>
        <v>52.801299999999998</v>
      </c>
      <c r="AE9" s="27" t="str">
        <f t="shared" si="12"/>
        <v>焦虑</v>
      </c>
      <c r="AF9" s="59">
        <f>'M2'!B7*1</f>
        <v>30.68</v>
      </c>
      <c r="AG9" s="59">
        <f>'M2'!C7*1</f>
        <v>9.8462999999999994</v>
      </c>
      <c r="AH9" s="59">
        <f>'M2'!D7*1</f>
        <v>32.093600000000002</v>
      </c>
      <c r="AI9" s="59">
        <f>'M2'!E7*1</f>
        <v>15</v>
      </c>
      <c r="AJ9" s="59">
        <f>'M2'!F7*1</f>
        <v>17.985099999999999</v>
      </c>
      <c r="AK9" s="59">
        <f>'M2'!G7*1</f>
        <v>40</v>
      </c>
      <c r="AL9" s="59">
        <f>'M2'!H7*1</f>
        <v>50.9223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5.3416999999999994</v>
      </c>
      <c r="D10" s="51">
        <f>N9</f>
        <v>2.1388999999999996</v>
      </c>
      <c r="E10" s="53">
        <f>T9</f>
        <v>-1.8789999999999978</v>
      </c>
      <c r="F10" s="53">
        <f>P9</f>
        <v>-6.0405999999999977</v>
      </c>
      <c r="G10" s="73" t="str">
        <f>CONCATENATE(M10,"
(20 ~ 50)")</f>
        <v>可疑
(20 ~ 50)</v>
      </c>
      <c r="H10" s="24">
        <f>R10</f>
        <v>10.122800000000002</v>
      </c>
      <c r="I10" s="52">
        <f>N10</f>
        <v>3.1328999999999994</v>
      </c>
      <c r="J10" s="24">
        <f>T10</f>
        <v>-7.2924000000000007</v>
      </c>
      <c r="K10" s="25">
        <f>P10</f>
        <v>-13.216610000000001</v>
      </c>
      <c r="L10" s="4"/>
      <c r="M10" s="27" t="str">
        <f>lang!B17</f>
        <v>可疑</v>
      </c>
      <c r="N10" s="59">
        <f t="shared" si="4"/>
        <v>3.1328999999999994</v>
      </c>
      <c r="O10" s="59">
        <f t="shared" si="5"/>
        <v>-4.6817600000000006</v>
      </c>
      <c r="P10" s="59">
        <f t="shared" si="6"/>
        <v>-13.216610000000001</v>
      </c>
      <c r="Q10" s="59">
        <f t="shared" si="7"/>
        <v>0</v>
      </c>
      <c r="R10" s="59">
        <f t="shared" si="8"/>
        <v>10.122800000000002</v>
      </c>
      <c r="S10" s="59">
        <f t="shared" si="9"/>
        <v>0</v>
      </c>
      <c r="T10" s="59">
        <f t="shared" si="10"/>
        <v>-7.2924000000000007</v>
      </c>
      <c r="U10" s="14"/>
      <c r="V10" s="27" t="str">
        <f t="shared" si="11"/>
        <v>可疑</v>
      </c>
      <c r="W10" s="59">
        <f>'M1'!B8*1</f>
        <v>37.149799999999999</v>
      </c>
      <c r="X10" s="59">
        <f>'M1'!C8*1</f>
        <v>7.6161099999999999</v>
      </c>
      <c r="Y10" s="59">
        <f>'M1'!D8*1</f>
        <v>20.501000000000001</v>
      </c>
      <c r="Z10" s="59">
        <f>'M1'!E8*1</f>
        <v>20</v>
      </c>
      <c r="AA10" s="59">
        <f>'M1'!F8*1</f>
        <v>24.5793</v>
      </c>
      <c r="AB10" s="59">
        <f>'M1'!G8*1</f>
        <v>50</v>
      </c>
      <c r="AC10" s="59">
        <f>'M1'!H8*1</f>
        <v>52.664999999999999</v>
      </c>
      <c r="AE10" s="27" t="str">
        <f t="shared" si="12"/>
        <v>可疑</v>
      </c>
      <c r="AF10" s="59">
        <f>'M2'!B8*1</f>
        <v>40.282699999999998</v>
      </c>
      <c r="AG10" s="59">
        <f>'M2'!C8*1</f>
        <v>2.9343499999999998</v>
      </c>
      <c r="AH10" s="59">
        <f>'M2'!D8*1</f>
        <v>7.2843900000000001</v>
      </c>
      <c r="AI10" s="59">
        <f>'M2'!E8*1</f>
        <v>20</v>
      </c>
      <c r="AJ10" s="59">
        <f>'M2'!F8*1</f>
        <v>34.702100000000002</v>
      </c>
      <c r="AK10" s="59">
        <f>'M2'!G8*1</f>
        <v>50</v>
      </c>
      <c r="AL10" s="59">
        <f>'M2'!H8*1</f>
        <v>45.372599999999998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-3.2087999999999965</v>
      </c>
      <c r="D11" s="52">
        <f>N11</f>
        <v>-7.9780000000000015</v>
      </c>
      <c r="E11" s="24">
        <f>T11</f>
        <v>-17.802400000000006</v>
      </c>
      <c r="F11" s="24">
        <f>P11</f>
        <v>-3.3267799999999994</v>
      </c>
      <c r="G11" s="73" t="str">
        <f>CONCATENATE(M12,"
(40 ~ 100)")</f>
        <v>自信
(40 ~ 100)</v>
      </c>
      <c r="H11" s="24">
        <f>R12</f>
        <v>2.4605000000000032</v>
      </c>
      <c r="I11" s="52">
        <f>N12</f>
        <v>-0.68500000000000227</v>
      </c>
      <c r="J11" s="24">
        <f>T12</f>
        <v>0.28150000000000119</v>
      </c>
      <c r="K11" s="25">
        <f>P12</f>
        <v>-1.0265399999999998</v>
      </c>
      <c r="L11" s="4"/>
      <c r="M11" s="27" t="str">
        <f>lang!B18</f>
        <v>平衡</v>
      </c>
      <c r="N11" s="59">
        <f t="shared" si="4"/>
        <v>-7.9780000000000015</v>
      </c>
      <c r="O11" s="59">
        <f t="shared" si="5"/>
        <v>-2.3757099999999998</v>
      </c>
      <c r="P11" s="59">
        <f t="shared" si="6"/>
        <v>-3.3267799999999994</v>
      </c>
      <c r="Q11" s="59">
        <f t="shared" si="7"/>
        <v>0</v>
      </c>
      <c r="R11" s="59">
        <f t="shared" si="8"/>
        <v>-3.2087999999999965</v>
      </c>
      <c r="S11" s="59">
        <f t="shared" si="9"/>
        <v>0</v>
      </c>
      <c r="T11" s="59">
        <f t="shared" si="10"/>
        <v>-17.802400000000006</v>
      </c>
      <c r="U11" s="14"/>
      <c r="V11" s="27" t="str">
        <f t="shared" si="11"/>
        <v>平衡</v>
      </c>
      <c r="W11" s="59">
        <f>'M1'!B9*1</f>
        <v>55.915199999999999</v>
      </c>
      <c r="X11" s="59">
        <f>'M1'!C9*1</f>
        <v>5.4733799999999997</v>
      </c>
      <c r="Y11" s="59">
        <f>'M1'!D9*1</f>
        <v>9.7887299999999993</v>
      </c>
      <c r="Z11" s="59">
        <f>'M1'!E9*1</f>
        <v>50</v>
      </c>
      <c r="AA11" s="59">
        <f>'M1'!F9*1</f>
        <v>42.971699999999998</v>
      </c>
      <c r="AB11" s="59">
        <f>'M1'!G9*1</f>
        <v>100</v>
      </c>
      <c r="AC11" s="59">
        <f>'M1'!H9*1</f>
        <v>72.487700000000004</v>
      </c>
      <c r="AE11" s="27" t="str">
        <f t="shared" si="12"/>
        <v>平衡</v>
      </c>
      <c r="AF11" s="59">
        <f>'M2'!B9*1</f>
        <v>47.937199999999997</v>
      </c>
      <c r="AG11" s="59">
        <f>'M2'!C9*1</f>
        <v>3.0976699999999999</v>
      </c>
      <c r="AH11" s="59">
        <f>'M2'!D9*1</f>
        <v>6.4619499999999999</v>
      </c>
      <c r="AI11" s="59">
        <f>'M2'!E9*1</f>
        <v>50</v>
      </c>
      <c r="AJ11" s="59">
        <f>'M2'!F9*1</f>
        <v>39.762900000000002</v>
      </c>
      <c r="AK11" s="59">
        <f>'M2'!G9*1</f>
        <v>100</v>
      </c>
      <c r="AL11" s="59">
        <f>'M2'!H9*1</f>
        <v>54.685299999999998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4.0162399999999998</v>
      </c>
      <c r="D12" s="51">
        <f>N13</f>
        <v>-1.5942000000000007</v>
      </c>
      <c r="E12" s="53">
        <f>T13</f>
        <v>-1.6229999999999993</v>
      </c>
      <c r="F12" s="53">
        <f>P13</f>
        <v>-16.381100000000004</v>
      </c>
      <c r="G12" s="73" t="str">
        <f>CONCATENATE(M14,"
(50 ~ 100)")</f>
        <v>自我调节
(50 ~ 100)</v>
      </c>
      <c r="H12" s="24">
        <f>R14</f>
        <v>-2.7256</v>
      </c>
      <c r="I12" s="52">
        <f>N14</f>
        <v>-3.3111999999999995</v>
      </c>
      <c r="J12" s="24">
        <f>T14</f>
        <v>-9.9491000000000085</v>
      </c>
      <c r="K12" s="25">
        <f>P14</f>
        <v>-1.9269600000000002</v>
      </c>
      <c r="L12" s="4"/>
      <c r="M12" s="27" t="str">
        <f>lang!B19</f>
        <v>自信</v>
      </c>
      <c r="N12" s="59">
        <f t="shared" si="4"/>
        <v>-0.68500000000000227</v>
      </c>
      <c r="O12" s="59">
        <f t="shared" si="5"/>
        <v>-0.63192999999999966</v>
      </c>
      <c r="P12" s="59">
        <f t="shared" si="6"/>
        <v>-1.0265399999999998</v>
      </c>
      <c r="Q12" s="59">
        <f t="shared" si="7"/>
        <v>0</v>
      </c>
      <c r="R12" s="59">
        <f t="shared" si="8"/>
        <v>2.4605000000000032</v>
      </c>
      <c r="S12" s="59">
        <f t="shared" si="9"/>
        <v>0</v>
      </c>
      <c r="T12" s="59">
        <f t="shared" si="10"/>
        <v>0.28150000000000119</v>
      </c>
      <c r="U12" s="15"/>
      <c r="V12" s="27" t="str">
        <f t="shared" si="11"/>
        <v>自信</v>
      </c>
      <c r="W12" s="59">
        <f>'M1'!B10*1</f>
        <v>56.896900000000002</v>
      </c>
      <c r="X12" s="59">
        <f>'M1'!C10*1</f>
        <v>4.5604199999999997</v>
      </c>
      <c r="Y12" s="59">
        <f>'M1'!D10*1</f>
        <v>8.01525</v>
      </c>
      <c r="Z12" s="59">
        <f>'M1'!E10*1</f>
        <v>40</v>
      </c>
      <c r="AA12" s="59">
        <f>'M1'!F10*1</f>
        <v>44.9499</v>
      </c>
      <c r="AB12" s="59">
        <f>'M1'!G10*1</f>
        <v>100</v>
      </c>
      <c r="AC12" s="59">
        <f>'M1'!H10*1</f>
        <v>62.525500000000001</v>
      </c>
      <c r="AE12" s="27" t="str">
        <f t="shared" si="12"/>
        <v>自信</v>
      </c>
      <c r="AF12" s="59">
        <f>'M2'!B10*1</f>
        <v>56.2119</v>
      </c>
      <c r="AG12" s="59">
        <f>'M2'!C10*1</f>
        <v>3.92849</v>
      </c>
      <c r="AH12" s="59">
        <f>'M2'!D10*1</f>
        <v>6.9887100000000002</v>
      </c>
      <c r="AI12" s="59">
        <f>'M2'!E10*1</f>
        <v>40</v>
      </c>
      <c r="AJ12" s="59">
        <f>'M2'!F10*1</f>
        <v>47.410400000000003</v>
      </c>
      <c r="AK12" s="59">
        <f>'M2'!G10*1</f>
        <v>100</v>
      </c>
      <c r="AL12" s="59">
        <f>'M2'!H10*1</f>
        <v>62.807000000000002</v>
      </c>
    </row>
    <row r="13" spans="2:38" ht="25.5" customHeight="1" thickBot="1">
      <c r="B13" s="72" t="str">
        <f>CONCATENATE(M15,"
(10 ~ 25)")</f>
        <v>抑郁
(10 ~ 25)</v>
      </c>
      <c r="C13" s="54">
        <f>R15</f>
        <v>-0.13480000000000025</v>
      </c>
      <c r="D13" s="55">
        <f>N15</f>
        <v>-0.58279999999999887</v>
      </c>
      <c r="E13" s="56">
        <f>T15</f>
        <v>3.4733000000000018</v>
      </c>
      <c r="F13" s="56">
        <f>P15</f>
        <v>0.3127999999999993</v>
      </c>
      <c r="G13" s="74" t="str">
        <f>CONCATENATE(M16,"
(10 ~ 50)")</f>
        <v>神经质
(10 ~ 50)</v>
      </c>
      <c r="H13" s="54">
        <f>R16</f>
        <v>1.2419999999999654E-2</v>
      </c>
      <c r="I13" s="55">
        <f>N16</f>
        <v>-0.61679999999999779</v>
      </c>
      <c r="J13" s="56">
        <f>T16</f>
        <v>2.794000000000004</v>
      </c>
      <c r="K13" s="57">
        <f>P16</f>
        <v>6.0534000000000034</v>
      </c>
      <c r="M13" s="27" t="str">
        <f>lang!B20</f>
        <v>活力</v>
      </c>
      <c r="N13" s="59">
        <f t="shared" si="4"/>
        <v>-1.5942000000000007</v>
      </c>
      <c r="O13" s="59">
        <f t="shared" si="5"/>
        <v>-2.2018800000000001</v>
      </c>
      <c r="P13" s="59">
        <f t="shared" si="6"/>
        <v>-16.381100000000004</v>
      </c>
      <c r="Q13" s="59">
        <f t="shared" si="7"/>
        <v>0</v>
      </c>
      <c r="R13" s="59">
        <f t="shared" si="8"/>
        <v>4.0162399999999998</v>
      </c>
      <c r="S13" s="59">
        <f t="shared" si="9"/>
        <v>0</v>
      </c>
      <c r="T13" s="59">
        <f t="shared" si="10"/>
        <v>-1.6229999999999993</v>
      </c>
      <c r="U13" s="14"/>
      <c r="V13" s="27" t="str">
        <f t="shared" si="11"/>
        <v>活力</v>
      </c>
      <c r="W13" s="59">
        <f>'M1'!B11*1</f>
        <v>12.3933</v>
      </c>
      <c r="X13" s="59">
        <f>'M1'!C11*1</f>
        <v>3.3652099999999998</v>
      </c>
      <c r="Y13" s="59">
        <f>'M1'!D11*1</f>
        <v>27.153500000000001</v>
      </c>
      <c r="Z13" s="59">
        <f>'M1'!E11*1</f>
        <v>10</v>
      </c>
      <c r="AA13" s="59">
        <f>'M1'!F11*1</f>
        <v>3.9617800000000001</v>
      </c>
      <c r="AB13" s="59">
        <f>'M1'!G11*1</f>
        <v>50</v>
      </c>
      <c r="AC13" s="59">
        <f>'M1'!H11*1</f>
        <v>14.5449</v>
      </c>
      <c r="AE13" s="27" t="str">
        <f t="shared" si="12"/>
        <v>活力</v>
      </c>
      <c r="AF13" s="59">
        <f>'M2'!B11*1</f>
        <v>10.799099999999999</v>
      </c>
      <c r="AG13" s="59">
        <f>'M2'!C11*1</f>
        <v>1.16333</v>
      </c>
      <c r="AH13" s="59">
        <f>'M2'!D11*1</f>
        <v>10.772399999999999</v>
      </c>
      <c r="AI13" s="59">
        <f>'M2'!E11*1</f>
        <v>10</v>
      </c>
      <c r="AJ13" s="59">
        <f>'M2'!F11*1</f>
        <v>7.9780199999999999</v>
      </c>
      <c r="AK13" s="59">
        <f>'M2'!G11*1</f>
        <v>50</v>
      </c>
      <c r="AL13" s="59">
        <f>'M2'!H11*1</f>
        <v>12.921900000000001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-3.3111999999999995</v>
      </c>
      <c r="O14" s="59">
        <f t="shared" si="5"/>
        <v>-1.2116500000000001</v>
      </c>
      <c r="P14" s="59">
        <f t="shared" si="6"/>
        <v>-1.9269600000000002</v>
      </c>
      <c r="Q14" s="59">
        <f t="shared" si="7"/>
        <v>0</v>
      </c>
      <c r="R14" s="59">
        <f t="shared" si="8"/>
        <v>-2.7256</v>
      </c>
      <c r="S14" s="59">
        <f t="shared" si="9"/>
        <v>0</v>
      </c>
      <c r="T14" s="59">
        <f t="shared" si="10"/>
        <v>-9.9491000000000085</v>
      </c>
      <c r="U14" s="14"/>
      <c r="V14" s="27" t="str">
        <f t="shared" si="11"/>
        <v>自我调节</v>
      </c>
      <c r="W14" s="59">
        <f>'M1'!B12*1</f>
        <v>54.834299999999999</v>
      </c>
      <c r="X14" s="59">
        <f>'M1'!C12*1</f>
        <v>3.6237300000000001</v>
      </c>
      <c r="Y14" s="59">
        <f>'M1'!D12*1</f>
        <v>6.6085099999999999</v>
      </c>
      <c r="Z14" s="59">
        <f>'M1'!E12*1</f>
        <v>50</v>
      </c>
      <c r="AA14" s="59">
        <f>'M1'!F12*1</f>
        <v>49.1447</v>
      </c>
      <c r="AB14" s="59">
        <f>'M1'!G12*1</f>
        <v>100</v>
      </c>
      <c r="AC14" s="59">
        <f>'M1'!H12*1</f>
        <v>67.506600000000006</v>
      </c>
      <c r="AE14" s="27" t="str">
        <f t="shared" si="12"/>
        <v>自我调节</v>
      </c>
      <c r="AF14" s="59">
        <f>'M2'!B12*1</f>
        <v>51.523099999999999</v>
      </c>
      <c r="AG14" s="59">
        <f>'M2'!C12*1</f>
        <v>2.41208</v>
      </c>
      <c r="AH14" s="59">
        <f>'M2'!D12*1</f>
        <v>4.6815499999999997</v>
      </c>
      <c r="AI14" s="59">
        <f>'M2'!E12*1</f>
        <v>50</v>
      </c>
      <c r="AJ14" s="59">
        <f>'M2'!F12*1</f>
        <v>46.4191</v>
      </c>
      <c r="AK14" s="59">
        <f>'M2'!G12*1</f>
        <v>100</v>
      </c>
      <c r="AL14" s="59">
        <f>'M2'!H12*1</f>
        <v>57.557499999999997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-0.58279999999999887</v>
      </c>
      <c r="O15" s="59">
        <f t="shared" si="5"/>
        <v>-6.1679999999999957E-2</v>
      </c>
      <c r="P15" s="59">
        <f t="shared" si="6"/>
        <v>0.3127999999999993</v>
      </c>
      <c r="Q15" s="59">
        <f t="shared" si="7"/>
        <v>0</v>
      </c>
      <c r="R15" s="59">
        <f t="shared" si="8"/>
        <v>-0.13480000000000025</v>
      </c>
      <c r="S15" s="59">
        <f t="shared" si="9"/>
        <v>0</v>
      </c>
      <c r="T15" s="59">
        <f t="shared" si="10"/>
        <v>3.4733000000000018</v>
      </c>
      <c r="U15" s="14"/>
      <c r="V15" s="27" t="str">
        <f t="shared" si="11"/>
        <v>抑郁</v>
      </c>
      <c r="W15" s="59">
        <f>'M1'!B13*1</f>
        <v>17.823499999999999</v>
      </c>
      <c r="X15" s="59">
        <f>'M1'!C13*1</f>
        <v>3.5363199999999999</v>
      </c>
      <c r="Y15" s="59">
        <f>'M1'!D13*1</f>
        <v>19.840800000000002</v>
      </c>
      <c r="Z15" s="59">
        <f>'M1'!E13*1</f>
        <v>10</v>
      </c>
      <c r="AA15" s="59">
        <f>'M1'!F13*1</f>
        <v>13.4376</v>
      </c>
      <c r="AB15" s="59">
        <f>'M1'!G13*1</f>
        <v>25</v>
      </c>
      <c r="AC15" s="59">
        <f>'M1'!H13*1</f>
        <v>27.706499999999998</v>
      </c>
      <c r="AE15" s="27" t="str">
        <f t="shared" si="12"/>
        <v>抑郁</v>
      </c>
      <c r="AF15" s="59">
        <f>'M2'!B13*1</f>
        <v>17.2407</v>
      </c>
      <c r="AG15" s="59">
        <f>'M2'!C13*1</f>
        <v>3.47464</v>
      </c>
      <c r="AH15" s="59">
        <f>'M2'!D13*1</f>
        <v>20.153600000000001</v>
      </c>
      <c r="AI15" s="59">
        <f>'M2'!E13*1</f>
        <v>10</v>
      </c>
      <c r="AJ15" s="59">
        <f>'M2'!F13*1</f>
        <v>13.3028</v>
      </c>
      <c r="AK15" s="59">
        <f>'M2'!G13*1</f>
        <v>25</v>
      </c>
      <c r="AL15" s="59">
        <f>'M2'!H13*1</f>
        <v>31.1798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-0.61679999999999779</v>
      </c>
      <c r="O16" s="59">
        <f t="shared" si="5"/>
        <v>1.9215999999999998</v>
      </c>
      <c r="P16" s="59">
        <f t="shared" si="6"/>
        <v>6.0534000000000034</v>
      </c>
      <c r="Q16" s="59">
        <f t="shared" si="7"/>
        <v>0</v>
      </c>
      <c r="R16" s="59">
        <f t="shared" si="8"/>
        <v>1.2419999999999654E-2</v>
      </c>
      <c r="S16" s="59">
        <f t="shared" si="9"/>
        <v>0</v>
      </c>
      <c r="T16" s="59">
        <f t="shared" si="10"/>
        <v>2.794000000000004</v>
      </c>
      <c r="U16" s="15"/>
      <c r="V16" s="27" t="str">
        <f t="shared" si="11"/>
        <v>神经质</v>
      </c>
      <c r="W16" s="59">
        <f>'M1'!B14*1</f>
        <v>35.363199999999999</v>
      </c>
      <c r="X16" s="59">
        <f>'M1'!C14*1</f>
        <v>10.4231</v>
      </c>
      <c r="Y16" s="59">
        <f>'M1'!D14*1</f>
        <v>29.474499999999999</v>
      </c>
      <c r="Z16" s="59">
        <f>'M1'!E14*1</f>
        <v>10</v>
      </c>
      <c r="AA16" s="59">
        <f>'M1'!F14*1</f>
        <v>2.1885400000000002</v>
      </c>
      <c r="AB16" s="59">
        <f>'M1'!G14*1</f>
        <v>50</v>
      </c>
      <c r="AC16" s="59">
        <f>'M1'!H14*1</f>
        <v>38.380499999999998</v>
      </c>
      <c r="AE16" s="27" t="str">
        <f t="shared" si="12"/>
        <v>神经质</v>
      </c>
      <c r="AF16" s="59">
        <f>'M2'!B14*1</f>
        <v>34.746400000000001</v>
      </c>
      <c r="AG16" s="59">
        <f>'M2'!C14*1</f>
        <v>12.3447</v>
      </c>
      <c r="AH16" s="59">
        <f>'M2'!D14*1</f>
        <v>35.527900000000002</v>
      </c>
      <c r="AI16" s="59">
        <f>'M2'!E14*1</f>
        <v>10</v>
      </c>
      <c r="AJ16" s="59">
        <f>'M2'!F14*1</f>
        <v>2.2009599999999998</v>
      </c>
      <c r="AK16" s="59">
        <f>'M2'!G14*1</f>
        <v>50</v>
      </c>
      <c r="AL16" s="59">
        <f>'M2'!H14*1</f>
        <v>41.174500000000002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-3.392100000000001</v>
      </c>
      <c r="O17" s="22">
        <f>N17/(N17+N18+N19)</f>
        <v>1.1993317599639368</v>
      </c>
      <c r="P17" s="65">
        <f>SUM(P11:P14)/4</f>
        <v>-5.6653450000000012</v>
      </c>
      <c r="Q17" s="22">
        <f>P17/(P17+P18+P19)</f>
        <v>0.43614871419025258</v>
      </c>
      <c r="R17" s="14"/>
      <c r="S17" s="14"/>
      <c r="T17" s="14"/>
      <c r="U17" s="14"/>
      <c r="V17" s="21" t="str">
        <f>M17</f>
        <v>Positive</v>
      </c>
      <c r="W17" s="65">
        <f>SUM(W11:W14)/4</f>
        <v>45.009924999999996</v>
      </c>
      <c r="X17" s="22">
        <f>W17/(W17+W18+W19)</f>
        <v>0.41353101269558862</v>
      </c>
      <c r="Y17" s="65">
        <f>SUM(Y11:Y14)/4</f>
        <v>12.891497500000002</v>
      </c>
      <c r="Z17" s="22">
        <f>Y17/(Y17+Y18+Y19)</f>
        <v>0.20392162647281756</v>
      </c>
      <c r="AA17" s="14"/>
      <c r="AB17" s="14"/>
      <c r="AC17" s="14"/>
      <c r="AE17" s="21" t="str">
        <f>V17</f>
        <v>Positive</v>
      </c>
      <c r="AF17" s="65">
        <f>SUM(AF11:AF14)/4</f>
        <v>41.617824999999996</v>
      </c>
      <c r="AG17" s="22">
        <f>AF17/(AF17+AF18+AF19)</f>
        <v>0.39256692002799609</v>
      </c>
      <c r="AH17" s="65">
        <f>SUM(AH11:AH14)/4</f>
        <v>7.2261524999999995</v>
      </c>
      <c r="AI17" s="22">
        <f>AH17/(AH17+AH18+AH19)</f>
        <v>0.14386580625740336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1.1635749999999998</v>
      </c>
      <c r="O18" s="22">
        <f>N18/(N17+N18+N19)</f>
        <v>-0.41140074072109817</v>
      </c>
      <c r="P18" s="18">
        <f>SUM(P7:P10)/4</f>
        <v>-10.507235</v>
      </c>
      <c r="Q18" s="22">
        <f>P18/(P17+P18+P19)</f>
        <v>0.80890343570335388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37.239649999999997</v>
      </c>
      <c r="X18" s="22">
        <f>W18/(W17+W18+W19)</f>
        <v>0.34214120945389881</v>
      </c>
      <c r="Y18" s="18">
        <f>SUM(Y7:Y10)/4</f>
        <v>25.668755000000001</v>
      </c>
      <c r="Z18" s="22">
        <f>Y18/(Y17+Y18+Y19)</f>
        <v>0.40603616989665225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38.403224999999999</v>
      </c>
      <c r="AG18" s="22">
        <f>AF18/(AF17+AF18+AF19)</f>
        <v>0.36224468139294019</v>
      </c>
      <c r="AH18" s="18">
        <f>SUM(AH7:AH10)/4</f>
        <v>15.161520000000001</v>
      </c>
      <c r="AI18" s="22">
        <f>AH18/(AH17+AH18+AH19)</f>
        <v>0.30185140693996515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-0.59979999999999833</v>
      </c>
      <c r="O19" s="22">
        <f>N19/(N17+N18+N19)</f>
        <v>0.21206898075716138</v>
      </c>
      <c r="P19" s="18">
        <f>(P15+P16)/2</f>
        <v>3.1831000000000014</v>
      </c>
      <c r="Q19" s="22">
        <f>P19/(P17+P18+P19)</f>
        <v>-0.24505214989360635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26.593350000000001</v>
      </c>
      <c r="X19" s="22">
        <f>W19/(W17+W18+W19)</f>
        <v>0.24432777785051257</v>
      </c>
      <c r="Y19" s="18">
        <f>(Y15+Y16)/2</f>
        <v>24.65765</v>
      </c>
      <c r="Z19" s="22">
        <f>Y19/(Y17+Y18+Y19)</f>
        <v>0.3900422036305301</v>
      </c>
      <c r="AA19" s="14"/>
      <c r="AB19" s="14"/>
      <c r="AC19" s="14"/>
      <c r="AE19" s="21" t="str">
        <f t="shared" si="14"/>
        <v>Physiological</v>
      </c>
      <c r="AF19" s="18">
        <f>(AF15+AF16)/2</f>
        <v>25.993549999999999</v>
      </c>
      <c r="AG19" s="22">
        <f>AF19/(AF17+AF18+AF19)</f>
        <v>0.24518839857906363</v>
      </c>
      <c r="AH19" s="18">
        <f>(AH15+AH16)/2</f>
        <v>27.84075</v>
      </c>
      <c r="AI19" s="22">
        <f>AH19/(AH17+AH18+AH19)</f>
        <v>0.55428278680263154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1.2/1.23</v>
      </c>
      <c r="D24" s="44" t="str">
        <f>lang!B11</f>
        <v>频率方差</v>
      </c>
      <c r="E24" s="182" t="str">
        <f ca="1">CONCATENATE(ROUND('FH1'!L3,2),"/",ROUND('FH2'!L3,2))</f>
        <v>0.74/0.7</v>
      </c>
      <c r="F24" s="183"/>
      <c r="G24" s="174" t="str">
        <f>lang!B12</f>
        <v>生理变化率</v>
      </c>
      <c r="H24" s="175"/>
      <c r="I24" s="62" t="str">
        <f ca="1">CONCATENATE(info!M7,"-",info!M8)</f>
        <v>20.7-56.6</v>
      </c>
      <c r="J24" s="42" t="str">
        <f>lang!B13</f>
        <v>千卡l/分钟</v>
      </c>
      <c r="K24" s="41" t="str">
        <f ca="1">CONCATENATE(info!M5,"-",info!M6)</f>
        <v>1.4-3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82%]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-5.0694999999999988</v>
      </c>
      <c r="F27" s="121"/>
      <c r="G27" s="135" t="str">
        <f>lang!B33</f>
        <v>稳定性</v>
      </c>
      <c r="H27" s="136"/>
      <c r="I27" s="137"/>
      <c r="J27" s="138">
        <f>dM!B19*100</f>
        <v>7.7936999999999923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-0.99383220804756656</v>
      </c>
      <c r="C2">
        <f t="array" aca="1" ref="C2" ca="1">CORREL(FT_E02,FT_PH02)</f>
        <v>-0.73967757665992395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1.42197</v>
      </c>
      <c r="G2" s="61">
        <f>IF(FT!B2&lt;&gt;"",FT!B2*100,"")</f>
        <v>56.649899999999995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1.4737200000000001</v>
      </c>
      <c r="G3" s="61">
        <f>IF(FT!B3&lt;&gt;"",FT!B3*100,"")</f>
        <v>55.310499999999998</v>
      </c>
      <c r="H3" s="61">
        <f t="shared" ref="H3:H66" si="1">(IF(F3&lt;&gt;"",1,""))</f>
        <v>1</v>
      </c>
      <c r="I3" t="str">
        <f>IF(FT!B3&lt;&gt;"",FT!E3,"")</f>
        <v>1 [0.376303]</v>
      </c>
      <c r="J3">
        <f>IF(FT!B3&lt;&gt;"",FT!C3,"")</f>
        <v>0.376303</v>
      </c>
      <c r="K3" t="s">
        <v>52</v>
      </c>
      <c r="L3">
        <f>SUM(H2:H2005)</f>
        <v>149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0.28753786486486488</v>
      </c>
      <c r="V3">
        <f ca="1">AVERAGE(OFFSET(FT!B2,info!$L$3/2,0,info!$L$3/2,1))</f>
        <v>0.30465077027027015</v>
      </c>
      <c r="W3">
        <f ca="1">AVERAGE(OFFSET(FT!A2,0,0,info!$L$3/2,1))</f>
        <v>0.257380743243243</v>
      </c>
      <c r="X3">
        <f ca="1">AVERAGE(OFFSET(FT!A2,info!$L$3/2,0,info!$L$3/2,1))</f>
        <v>0.2435297837837837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1.5241199999999999</v>
      </c>
      <c r="G4" s="61">
        <f>IF(FT!B4&lt;&gt;"",FT!B4*100,"")</f>
        <v>54.048099999999998</v>
      </c>
      <c r="H4" s="61">
        <f t="shared" si="1"/>
        <v>1</v>
      </c>
      <c r="I4" t="str">
        <f>IF(FT!B4&lt;&gt;"",FT!E4,"")</f>
        <v>1 [0.778551]</v>
      </c>
      <c r="J4">
        <f>IF(FT!B4&lt;&gt;"",FT!C4,"")</f>
        <v>0.77855099999999999</v>
      </c>
      <c r="O4">
        <f>O3+1</f>
        <v>1</v>
      </c>
      <c r="P4">
        <v>0</v>
      </c>
      <c r="Q4">
        <f>IF(R4=1998,0,R4)</f>
        <v>74</v>
      </c>
      <c r="R4">
        <f t="array" ref="R4">MAX(IF(ft_nq=O4,row_n))</f>
        <v>74</v>
      </c>
      <c r="S4">
        <f>Q4-P4+1</f>
        <v>75</v>
      </c>
      <c r="U4">
        <f>MAX(FT!C2:C4000)/4</f>
        <v>15.038774999999999</v>
      </c>
      <c r="V4">
        <f>U4*3</f>
        <v>45.116324999999996</v>
      </c>
      <c r="W4">
        <f>U4</f>
        <v>15.038774999999999</v>
      </c>
      <c r="X4">
        <f>V4</f>
        <v>45.116324999999996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1.57497</v>
      </c>
      <c r="G5" s="61">
        <f>IF(FT!B5&lt;&gt;"",FT!B5*100,"")</f>
        <v>52.777700000000003</v>
      </c>
      <c r="H5" s="61">
        <f t="shared" si="1"/>
        <v>1</v>
      </c>
      <c r="I5" t="str">
        <f>IF(FT!B5&lt;&gt;"",FT!E5,"")</f>
        <v>1 [1.184493]</v>
      </c>
      <c r="J5">
        <f>IF(FT!B5&lt;&gt;"",FT!C5,"")</f>
        <v>1.18449</v>
      </c>
      <c r="K5" t="s">
        <v>53</v>
      </c>
      <c r="L5" s="63">
        <f ca="1">MIN(FT_E)</f>
        <v>1.42197</v>
      </c>
      <c r="M5" s="63">
        <f ca="1">ROUND(L5,1)</f>
        <v>1.4</v>
      </c>
      <c r="O5">
        <f t="shared" ref="O5:O27" si="4">O4+1</f>
        <v>2</v>
      </c>
      <c r="P5">
        <f>IF(OR(R5=1998,R5=0),0,Q4)</f>
        <v>74</v>
      </c>
      <c r="Q5">
        <f>IF(R5=1998,0,R5)</f>
        <v>148</v>
      </c>
      <c r="R5">
        <f t="array" ref="R5">MAX(IF(ft_nq=O5,row_n))</f>
        <v>148</v>
      </c>
      <c r="S5">
        <f t="shared" ref="S5:S27" si="5">Q5-P5+1</f>
        <v>75</v>
      </c>
      <c r="U5">
        <f ca="1">U3*100</f>
        <v>28.753786486486486</v>
      </c>
      <c r="V5">
        <f ca="1">V3*100</f>
        <v>30.465077027027014</v>
      </c>
      <c r="W5">
        <f ca="1">W3*10</f>
        <v>2.5738074324324298</v>
      </c>
      <c r="X5">
        <f ca="1">X3*10</f>
        <v>2.4352978378378372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1.6260399999999999</v>
      </c>
      <c r="G6" s="61">
        <f>IF(FT!B6&lt;&gt;"",FT!B6*100,"")</f>
        <v>51.485199999999999</v>
      </c>
      <c r="H6" s="61">
        <f t="shared" si="1"/>
        <v>1</v>
      </c>
      <c r="I6" t="str">
        <f>IF(FT!B6&lt;&gt;"",FT!E6,"")</f>
        <v>1 [1.590551]</v>
      </c>
      <c r="J6">
        <f>IF(FT!B6&lt;&gt;"",FT!C6,"")</f>
        <v>1.5905499999999999</v>
      </c>
      <c r="K6" t="s">
        <v>54</v>
      </c>
      <c r="L6" s="63">
        <f ca="1">MAX(FT_E)</f>
        <v>2.9791299999999996</v>
      </c>
      <c r="M6" s="63">
        <f ca="1">ROUND(L6,1)</f>
        <v>3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1.67618</v>
      </c>
      <c r="G7" s="61">
        <f>IF(FT!B7&lt;&gt;"",FT!B7*100,"")</f>
        <v>50.236899999999999</v>
      </c>
      <c r="H7" s="61">
        <f t="shared" si="1"/>
        <v>1</v>
      </c>
      <c r="I7" t="str">
        <f>IF(FT!B7&lt;&gt;"",FT!E7,"")</f>
        <v>1 [1.997314]</v>
      </c>
      <c r="J7">
        <f>IF(FT!B7&lt;&gt;"",FT!C7,"")</f>
        <v>1.9973099999999999</v>
      </c>
      <c r="K7" t="s">
        <v>55</v>
      </c>
      <c r="L7" s="63">
        <f ca="1">MIN(FT_PH)</f>
        <v>20.669699999999999</v>
      </c>
      <c r="M7" s="63">
        <f ca="1">ROUND(L7,1)</f>
        <v>20.7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23669</v>
      </c>
      <c r="D8" s="61">
        <f>FH!B8*1</f>
        <v>23669</v>
      </c>
      <c r="E8">
        <f t="shared" si="3"/>
        <v>6</v>
      </c>
      <c r="F8" s="61">
        <f>IF(FT!A8&lt;&gt;"",FT!A8*10,"")</f>
        <v>1.7286099999999998</v>
      </c>
      <c r="G8" s="61">
        <f>IF(FT!B8&lt;&gt;"",FT!B8*100,"")</f>
        <v>48.9268</v>
      </c>
      <c r="H8" s="61">
        <f t="shared" si="1"/>
        <v>1</v>
      </c>
      <c r="I8" t="str">
        <f>IF(FT!B8&lt;&gt;"",FT!E8,"")</f>
        <v>1 [2.406370]</v>
      </c>
      <c r="J8">
        <f>IF(FT!B8&lt;&gt;"",FT!C8,"")</f>
        <v>2.4063699999999999</v>
      </c>
      <c r="K8" t="s">
        <v>56</v>
      </c>
      <c r="L8" s="63">
        <f ca="1">MAX(FT_PH)</f>
        <v>56.649899999999995</v>
      </c>
      <c r="M8" s="63">
        <f ca="1">ROUND(L8,1)</f>
        <v>56.6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1.7809200000000001</v>
      </c>
      <c r="G9" s="61">
        <f>IF(FT!B9&lt;&gt;"",FT!B9*100,"")</f>
        <v>47.639399999999995</v>
      </c>
      <c r="H9" s="61">
        <f t="shared" si="1"/>
        <v>1</v>
      </c>
      <c r="I9" t="str">
        <f>IF(FT!B9&lt;&gt;"",FT!E9,"")</f>
        <v>1 [2.808738]</v>
      </c>
      <c r="J9">
        <f>IF(FT!B9&lt;&gt;"",FT!C9,"")</f>
        <v>2.8087399999999998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51667</v>
      </c>
      <c r="D10" s="61">
        <f>FH!B10*1</f>
        <v>51667</v>
      </c>
      <c r="E10">
        <f t="shared" si="3"/>
        <v>8</v>
      </c>
      <c r="F10" s="61">
        <f>IF(FT!A10&lt;&gt;"",FT!A10*10,"")</f>
        <v>1.83277</v>
      </c>
      <c r="G10" s="61">
        <f>IF(FT!B10&lt;&gt;"",FT!B10*100,"")</f>
        <v>46.402300000000004</v>
      </c>
      <c r="H10" s="61">
        <f t="shared" si="1"/>
        <v>1</v>
      </c>
      <c r="I10" t="str">
        <f>IF(FT!B10&lt;&gt;"",FT!E10,"")</f>
        <v>1 [3.215638]</v>
      </c>
      <c r="J10">
        <f>IF(FT!B10&lt;&gt;"",FT!C10,"")</f>
        <v>3.2156400000000001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1.8819399999999999</v>
      </c>
      <c r="G11" s="61">
        <f>IF(FT!B11&lt;&gt;"",FT!B11*100,"")</f>
        <v>45.240900000000003</v>
      </c>
      <c r="H11" s="61">
        <f t="shared" si="1"/>
        <v>1</v>
      </c>
      <c r="I11" t="str">
        <f>IF(FT!B11&lt;&gt;"",FT!E11,"")</f>
        <v>1 [3.623793]</v>
      </c>
      <c r="J11">
        <f>IF(FT!B11&lt;&gt;"",FT!C11,"")</f>
        <v>3.6237900000000001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1.9303400000000002</v>
      </c>
      <c r="G12" s="61">
        <f>IF(FT!B12&lt;&gt;"",FT!B12*100,"")</f>
        <v>44.109700000000004</v>
      </c>
      <c r="H12" s="61">
        <f t="shared" si="1"/>
        <v>1</v>
      </c>
      <c r="I12" t="str">
        <f>IF(FT!B12&lt;&gt;"",FT!E12,"")</f>
        <v>1 [4.031478]</v>
      </c>
      <c r="J12">
        <f>IF(FT!B12&lt;&gt;"",FT!C12,"")</f>
        <v>4.0314800000000002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58290</v>
      </c>
      <c r="D13" s="61">
        <f>FH!B13*1</f>
        <v>58290</v>
      </c>
      <c r="E13">
        <f t="shared" si="3"/>
        <v>11</v>
      </c>
      <c r="F13" s="61">
        <f>IF(FT!A13&lt;&gt;"",FT!A13*10,"")</f>
        <v>1.9793400000000001</v>
      </c>
      <c r="G13" s="61">
        <f>IF(FT!B13&lt;&gt;"",FT!B13*100,"")</f>
        <v>42.828300000000006</v>
      </c>
      <c r="H13" s="61">
        <f t="shared" si="1"/>
        <v>1</v>
      </c>
      <c r="I13" t="str">
        <f>IF(FT!B13&lt;&gt;"",FT!E13,"")</f>
        <v>1 [4.437359]</v>
      </c>
      <c r="J13">
        <f>IF(FT!B13&lt;&gt;"",FT!C13,"")</f>
        <v>4.43736</v>
      </c>
      <c r="L13" s="67">
        <f t="array" ref="L13">MAX(IF(ft_nq=2,row_n))</f>
        <v>148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2.0312199999999998</v>
      </c>
      <c r="G14" s="61">
        <f>IF(FT!B14&lt;&gt;"",FT!B14*100,"")</f>
        <v>41.441000000000003</v>
      </c>
      <c r="H14" s="61">
        <f t="shared" si="1"/>
        <v>1</v>
      </c>
      <c r="I14" t="str">
        <f>IF(FT!B14&lt;&gt;"",FT!E14,"")</f>
        <v>1 [4.842022]</v>
      </c>
      <c r="J14">
        <f>IF(FT!B14&lt;&gt;"",FT!C14,"")</f>
        <v>4.8420199999999998</v>
      </c>
      <c r="L14">
        <f>L13+1</f>
        <v>149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78126</v>
      </c>
      <c r="D15" s="61">
        <f>FH!B15*1</f>
        <v>78126</v>
      </c>
      <c r="E15">
        <f t="shared" si="3"/>
        <v>13</v>
      </c>
      <c r="F15" s="61">
        <f>IF(FT!A15&lt;&gt;"",FT!A15*10,"")</f>
        <v>2.08304</v>
      </c>
      <c r="G15" s="61">
        <f>IF(FT!B15&lt;&gt;"",FT!B15*100,"")</f>
        <v>40.063700000000004</v>
      </c>
      <c r="H15" s="61">
        <f t="shared" si="1"/>
        <v>1</v>
      </c>
      <c r="I15" t="str">
        <f>IF(FT!B15&lt;&gt;"",FT!E15,"")</f>
        <v>1 [5.246986]</v>
      </c>
      <c r="J15">
        <f>IF(FT!B15&lt;&gt;"",FT!C15,"")</f>
        <v>5.2469900000000003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2.1322700000000001</v>
      </c>
      <c r="G16" s="61">
        <f>IF(FT!B16&lt;&gt;"",FT!B16*100,"")</f>
        <v>38.805900000000001</v>
      </c>
      <c r="H16" s="61">
        <f t="shared" si="1"/>
        <v>1</v>
      </c>
      <c r="I16" t="str">
        <f>IF(FT!B16&lt;&gt;"",FT!E16,"")</f>
        <v>1 [5.655093]</v>
      </c>
      <c r="J16">
        <f>IF(FT!B16&lt;&gt;"",FT!C16,"")</f>
        <v>5.6550900000000004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2.1800999999999999</v>
      </c>
      <c r="G17" s="61">
        <f>IF(FT!B17&lt;&gt;"",FT!B17*100,"")</f>
        <v>37.5548</v>
      </c>
      <c r="H17" s="61">
        <f t="shared" si="1"/>
        <v>1</v>
      </c>
      <c r="I17" t="str">
        <f>IF(FT!B17&lt;&gt;"",FT!E17,"")</f>
        <v>1 [6.062286]</v>
      </c>
      <c r="J17">
        <f>IF(FT!B17&lt;&gt;"",FT!C17,"")</f>
        <v>6.06229</v>
      </c>
      <c r="L17">
        <f>L3+1</f>
        <v>150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76928</v>
      </c>
      <c r="D18" s="61">
        <f>FH!B18*1</f>
        <v>76928</v>
      </c>
      <c r="E18">
        <f t="shared" si="3"/>
        <v>16</v>
      </c>
      <c r="F18" s="61">
        <f>IF(FT!A18&lt;&gt;"",FT!A18*10,"")</f>
        <v>2.2284699999999997</v>
      </c>
      <c r="G18" s="61">
        <f>IF(FT!B18&lt;&gt;"",FT!B18*100,"")</f>
        <v>36.348200000000006</v>
      </c>
      <c r="H18" s="61">
        <f t="shared" si="1"/>
        <v>1</v>
      </c>
      <c r="I18" t="str">
        <f>IF(FT!B18&lt;&gt;"",FT!E18,"")</f>
        <v>1 [6.467401]</v>
      </c>
      <c r="J18">
        <f>IF(FT!B18&lt;&gt;"",FT!C18,"")</f>
        <v>6.4673999999999996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2.2761500000000003</v>
      </c>
      <c r="G19" s="61">
        <f>IF(FT!B19&lt;&gt;"",FT!B19*100,"")</f>
        <v>35.194299999999998</v>
      </c>
      <c r="H19" s="61">
        <f t="shared" si="1"/>
        <v>1</v>
      </c>
      <c r="I19" t="str">
        <f>IF(FT!B19&lt;&gt;"",FT!E19,"")</f>
        <v>1 [6.871632]</v>
      </c>
      <c r="J19">
        <f>IF(FT!B19&lt;&gt;"",FT!C19,"")</f>
        <v>6.8716299999999997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2.32551</v>
      </c>
      <c r="G20" s="61">
        <f>IF(FT!B20&lt;&gt;"",FT!B20*100,"")</f>
        <v>33.989000000000004</v>
      </c>
      <c r="H20" s="61">
        <f t="shared" si="1"/>
        <v>1</v>
      </c>
      <c r="I20" t="str">
        <f>IF(FT!B20&lt;&gt;"",FT!E20,"")</f>
        <v>1 [7.277551]</v>
      </c>
      <c r="J20">
        <f>IF(FT!B20&lt;&gt;"",FT!C20,"")</f>
        <v>7.2775499999999997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80765</v>
      </c>
      <c r="D21" s="61">
        <f>FH!B21*1</f>
        <v>80765</v>
      </c>
      <c r="E21">
        <f t="shared" si="3"/>
        <v>19</v>
      </c>
      <c r="F21" s="61">
        <f>IF(FT!A21&lt;&gt;"",FT!A21*10,"")</f>
        <v>2.3758499999999998</v>
      </c>
      <c r="G21" s="61">
        <f>IF(FT!B21&lt;&gt;"",FT!B21*100,"")</f>
        <v>32.764800000000001</v>
      </c>
      <c r="H21" s="61">
        <f t="shared" si="1"/>
        <v>1</v>
      </c>
      <c r="I21" t="str">
        <f>IF(FT!B21&lt;&gt;"",FT!E21,"")</f>
        <v>1 [7.683769]</v>
      </c>
      <c r="J21">
        <f>IF(FT!B21&lt;&gt;"",FT!C21,"")</f>
        <v>7.68377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2.4241299999999999</v>
      </c>
      <c r="G22" s="61">
        <f>IF(FT!B22&lt;&gt;"",FT!B22*100,"")</f>
        <v>31.685999999999996</v>
      </c>
      <c r="H22" s="61">
        <f t="shared" si="1"/>
        <v>1</v>
      </c>
      <c r="I22" t="str">
        <f>IF(FT!B22&lt;&gt;"",FT!E22,"")</f>
        <v>1 [8.092617]</v>
      </c>
      <c r="J22">
        <f>IF(FT!B22&lt;&gt;"",FT!C22,"")</f>
        <v>8.0926200000000001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85188</v>
      </c>
      <c r="D23" s="61">
        <f>FH!B23*1</f>
        <v>85188</v>
      </c>
      <c r="E23">
        <f t="shared" si="3"/>
        <v>21</v>
      </c>
      <c r="F23" s="61">
        <f>IF(FT!A23&lt;&gt;"",FT!A23*10,"")</f>
        <v>2.4685299999999999</v>
      </c>
      <c r="G23" s="61">
        <f>IF(FT!B23&lt;&gt;"",FT!B23*100,"")</f>
        <v>30.719600000000003</v>
      </c>
      <c r="H23" s="61">
        <f t="shared" si="1"/>
        <v>1</v>
      </c>
      <c r="I23" t="str">
        <f>IF(FT!B23&lt;&gt;"",FT!E23,"")</f>
        <v>1 [8.499403]</v>
      </c>
      <c r="J23">
        <f>IF(FT!B23&lt;&gt;"",FT!C23,"")</f>
        <v>8.4993999999999996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2.5135100000000001</v>
      </c>
      <c r="G24" s="61">
        <f>IF(FT!B24&lt;&gt;"",FT!B24*100,"")</f>
        <v>29.700100000000003</v>
      </c>
      <c r="H24" s="61">
        <f t="shared" si="1"/>
        <v>1</v>
      </c>
      <c r="I24" t="str">
        <f>IF(FT!B24&lt;&gt;"",FT!E24,"")</f>
        <v>1 [8.905176]</v>
      </c>
      <c r="J24">
        <f>IF(FT!B24&lt;&gt;"",FT!C24,"")</f>
        <v>8.9051799999999997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2.5588199999999999</v>
      </c>
      <c r="G25" s="61">
        <f>IF(FT!B25&lt;&gt;"",FT!B25*100,"")</f>
        <v>28.631899999999998</v>
      </c>
      <c r="H25" s="61">
        <f t="shared" si="1"/>
        <v>1</v>
      </c>
      <c r="I25" t="str">
        <f>IF(FT!B25&lt;&gt;"",FT!E25,"")</f>
        <v>1 [9.310775]</v>
      </c>
      <c r="J25">
        <f>IF(FT!B25&lt;&gt;"",FT!C25,"")</f>
        <v>9.3107699999999998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82222</v>
      </c>
      <c r="D26" s="61">
        <f>FH!B26*1</f>
        <v>82222</v>
      </c>
      <c r="E26">
        <f t="shared" si="3"/>
        <v>24</v>
      </c>
      <c r="F26" s="61">
        <f>IF(FT!A26&lt;&gt;"",FT!A26*10,"")</f>
        <v>2.6021899999999998</v>
      </c>
      <c r="G26" s="61">
        <f>IF(FT!B26&lt;&gt;"",FT!B26*100,"")</f>
        <v>27.645700000000001</v>
      </c>
      <c r="H26" s="61">
        <f t="shared" si="1"/>
        <v>1</v>
      </c>
      <c r="I26" t="str">
        <f>IF(FT!B26&lt;&gt;"",FT!E26,"")</f>
        <v>1 [9.714157]</v>
      </c>
      <c r="J26">
        <f>IF(FT!B26&lt;&gt;"",FT!C26,"")</f>
        <v>9.7141599999999997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2.6419100000000002</v>
      </c>
      <c r="G27" s="61">
        <f>IF(FT!B27&lt;&gt;"",FT!B27*100,"")</f>
        <v>26.805499999999999</v>
      </c>
      <c r="H27" s="61">
        <f t="shared" si="1"/>
        <v>1</v>
      </c>
      <c r="I27" t="str">
        <f>IF(FT!B27&lt;&gt;"",FT!E27,"")</f>
        <v>1 [10.121312]</v>
      </c>
      <c r="J27">
        <f>IF(FT!B27&lt;&gt;"",FT!C27,"")</f>
        <v>10.1213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86320</v>
      </c>
      <c r="D28" s="61">
        <f>FH!B28*1</f>
        <v>86320</v>
      </c>
      <c r="E28">
        <f t="shared" si="3"/>
        <v>26</v>
      </c>
      <c r="F28" s="61">
        <f>IF(FT!A28&lt;&gt;"",FT!A28*10,"")</f>
        <v>2.6801599999999999</v>
      </c>
      <c r="G28" s="61">
        <f>IF(FT!B28&lt;&gt;"",FT!B28*100,"")</f>
        <v>26.0639</v>
      </c>
      <c r="H28" s="61">
        <f t="shared" si="1"/>
        <v>1</v>
      </c>
      <c r="I28" t="str">
        <f>IF(FT!B28&lt;&gt;"",FT!E28,"")</f>
        <v>1 [10.527702]</v>
      </c>
      <c r="J28">
        <f>IF(FT!B28&lt;&gt;"",FT!C28,"")</f>
        <v>10.527699999999999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2.71611</v>
      </c>
      <c r="G29" s="61">
        <f>IF(FT!B29&lt;&gt;"",FT!B29*100,"")</f>
        <v>25.3977</v>
      </c>
      <c r="H29" s="61">
        <f t="shared" si="1"/>
        <v>1</v>
      </c>
      <c r="I29" t="str">
        <f>IF(FT!B29&lt;&gt;"",FT!E29,"")</f>
        <v>1 [10.938059]</v>
      </c>
      <c r="J29">
        <f>IF(FT!B29&lt;&gt;"",FT!C29,"")</f>
        <v>10.9381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2.7479999999999998</v>
      </c>
      <c r="G30" s="61">
        <f>IF(FT!B30&lt;&gt;"",FT!B30*100,"")</f>
        <v>24.8124</v>
      </c>
      <c r="H30" s="61">
        <f t="shared" si="1"/>
        <v>1</v>
      </c>
      <c r="I30" t="str">
        <f>IF(FT!B30&lt;&gt;"",FT!E30,"")</f>
        <v>1 [11.343099]</v>
      </c>
      <c r="J30">
        <f>IF(FT!B30&lt;&gt;"",FT!C30,"")</f>
        <v>11.3431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70186</v>
      </c>
      <c r="D31" s="61">
        <f>FH!B31*1</f>
        <v>70186</v>
      </c>
      <c r="E31">
        <f t="shared" si="3"/>
        <v>29</v>
      </c>
      <c r="F31" s="61">
        <f>IF(FT!A31&lt;&gt;"",FT!A31*10,"")</f>
        <v>2.7772799999999997</v>
      </c>
      <c r="G31" s="61">
        <f>IF(FT!B31&lt;&gt;"",FT!B31*100,"")</f>
        <v>24.310100000000002</v>
      </c>
      <c r="H31" s="61">
        <f t="shared" si="1"/>
        <v>1</v>
      </c>
      <c r="I31" t="str">
        <f>IF(FT!B31&lt;&gt;"",FT!E31,"")</f>
        <v>1 [11.747788]</v>
      </c>
      <c r="J31">
        <f>IF(FT!B31&lt;&gt;"",FT!C31,"")</f>
        <v>11.7478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2.80491</v>
      </c>
      <c r="G32" s="61">
        <f>IF(FT!B32&lt;&gt;"",FT!B32*100,"")</f>
        <v>23.8447</v>
      </c>
      <c r="H32" s="61">
        <f t="shared" si="1"/>
        <v>1</v>
      </c>
      <c r="I32" t="str">
        <f>IF(FT!B32&lt;&gt;"",FT!E32,"")</f>
        <v>1 [12.155613]</v>
      </c>
      <c r="J32">
        <f>IF(FT!B32&lt;&gt;"",FT!C32,"")</f>
        <v>12.1556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73629</v>
      </c>
      <c r="D33" s="61">
        <f>FH!B33*1</f>
        <v>73629</v>
      </c>
      <c r="E33">
        <f t="shared" si="3"/>
        <v>31</v>
      </c>
      <c r="F33" s="61">
        <f>IF(FT!A33&lt;&gt;"",FT!A33*10,"")</f>
        <v>2.8298899999999998</v>
      </c>
      <c r="G33" s="61">
        <f>IF(FT!B33&lt;&gt;"",FT!B33*100,"")</f>
        <v>23.404900000000001</v>
      </c>
      <c r="H33" s="61">
        <f t="shared" si="1"/>
        <v>1</v>
      </c>
      <c r="I33" t="str">
        <f>IF(FT!B33&lt;&gt;"",FT!E33,"")</f>
        <v>1 [12.559558]</v>
      </c>
      <c r="J33">
        <f>IF(FT!B33&lt;&gt;"",FT!C33,"")</f>
        <v>12.5596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2.8527900000000002</v>
      </c>
      <c r="G34" s="61">
        <f>IF(FT!B34&lt;&gt;"",FT!B34*100,"")</f>
        <v>23.0214</v>
      </c>
      <c r="H34" s="61">
        <f t="shared" si="1"/>
        <v>1</v>
      </c>
      <c r="I34" t="str">
        <f>IF(FT!B34&lt;&gt;"",FT!E34,"")</f>
        <v>1 [12.967398]</v>
      </c>
      <c r="J34">
        <f>IF(FT!B34&lt;&gt;"",FT!C34,"")</f>
        <v>12.9674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2.87466</v>
      </c>
      <c r="G35" s="61">
        <f>IF(FT!B35&lt;&gt;"",FT!B35*100,"")</f>
        <v>22.645100000000003</v>
      </c>
      <c r="H35" s="61">
        <f t="shared" si="1"/>
        <v>1</v>
      </c>
      <c r="I35" t="str">
        <f>IF(FT!B35&lt;&gt;"",FT!E35,"")</f>
        <v>1 [13.374862]</v>
      </c>
      <c r="J35">
        <f>IF(FT!B35&lt;&gt;"",FT!C35,"")</f>
        <v>13.3749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68225</v>
      </c>
      <c r="D36" s="61">
        <f>FH!B36*1</f>
        <v>68225</v>
      </c>
      <c r="E36">
        <f t="shared" si="3"/>
        <v>34</v>
      </c>
      <c r="F36" s="61">
        <f>IF(FT!A36&lt;&gt;"",FT!A36*10,"")</f>
        <v>2.89567</v>
      </c>
      <c r="G36" s="61">
        <f>IF(FT!B36&lt;&gt;"",FT!B36*100,"")</f>
        <v>22.283200000000001</v>
      </c>
      <c r="H36" s="61">
        <f t="shared" si="1"/>
        <v>1</v>
      </c>
      <c r="I36" t="str">
        <f>IF(FT!B36&lt;&gt;"",FT!E36,"")</f>
        <v>1 [13.781106]</v>
      </c>
      <c r="J36">
        <f>IF(FT!B36&lt;&gt;"",FT!C36,"")</f>
        <v>13.7811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2.9149700000000003</v>
      </c>
      <c r="G37" s="61">
        <f>IF(FT!B37&lt;&gt;"",FT!B37*100,"")</f>
        <v>21.963699999999999</v>
      </c>
      <c r="H37" s="61">
        <f t="shared" si="1"/>
        <v>1</v>
      </c>
      <c r="I37" t="str">
        <f>IF(FT!B37&lt;&gt;"",FT!E37,"")</f>
        <v>1 [14.184516]</v>
      </c>
      <c r="J37">
        <f>IF(FT!B37&lt;&gt;"",FT!C37,"")</f>
        <v>14.1845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2.9303400000000002</v>
      </c>
      <c r="G38" s="61">
        <f>IF(FT!B38&lt;&gt;"",FT!B38*100,"")</f>
        <v>21.702500000000001</v>
      </c>
      <c r="H38" s="61">
        <f t="shared" si="1"/>
        <v>1</v>
      </c>
      <c r="I38" t="str">
        <f>IF(FT!B38&lt;&gt;"",FT!E38,"")</f>
        <v>1 [14.592499]</v>
      </c>
      <c r="J38">
        <f>IF(FT!B38&lt;&gt;"",FT!C38,"")</f>
        <v>14.592499999999999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73890</v>
      </c>
      <c r="D39" s="61">
        <f>FH!B39*1</f>
        <v>73890</v>
      </c>
      <c r="E39">
        <f t="shared" si="3"/>
        <v>37</v>
      </c>
      <c r="F39" s="61">
        <f>IF(FT!A39&lt;&gt;"",FT!A39*10,"")</f>
        <v>2.9419599999999999</v>
      </c>
      <c r="G39" s="61">
        <f>IF(FT!B39&lt;&gt;"",FT!B39*100,"")</f>
        <v>21.479599999999998</v>
      </c>
      <c r="H39" s="61">
        <f t="shared" si="1"/>
        <v>1</v>
      </c>
      <c r="I39" t="str">
        <f>IF(FT!B39&lt;&gt;"",FT!E39,"")</f>
        <v>1 [14.997050]</v>
      </c>
      <c r="J39">
        <f>IF(FT!B39&lt;&gt;"",FT!C39,"")</f>
        <v>14.9971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2.9519299999999999</v>
      </c>
      <c r="G40" s="61">
        <f>IF(FT!B40&lt;&gt;"",FT!B40*100,"")</f>
        <v>21.274899999999999</v>
      </c>
      <c r="H40" s="61">
        <f t="shared" si="1"/>
        <v>1</v>
      </c>
      <c r="I40" t="str">
        <f>IF(FT!B40&lt;&gt;"",FT!E40,"")</f>
        <v>1 [15.408262]</v>
      </c>
      <c r="J40">
        <f>IF(FT!B40&lt;&gt;"",FT!C40,"")</f>
        <v>15.408300000000001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67234</v>
      </c>
      <c r="D41" s="61">
        <f>FH!B41*1</f>
        <v>67234</v>
      </c>
      <c r="E41">
        <f t="shared" si="3"/>
        <v>39</v>
      </c>
      <c r="F41" s="61">
        <f>IF(FT!A41&lt;&gt;"",FT!A41*10,"")</f>
        <v>2.9613299999999998</v>
      </c>
      <c r="G41" s="61">
        <f>IF(FT!B41&lt;&gt;"",FT!B41*100,"")</f>
        <v>21.083299999999998</v>
      </c>
      <c r="H41" s="61">
        <f t="shared" si="1"/>
        <v>1</v>
      </c>
      <c r="I41" t="str">
        <f>IF(FT!B41&lt;&gt;"",FT!E41,"")</f>
        <v>1 [15.811509]</v>
      </c>
      <c r="J41">
        <f>IF(FT!B41&lt;&gt;"",FT!C41,"")</f>
        <v>15.811500000000001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2.9689900000000002</v>
      </c>
      <c r="G42" s="61">
        <f>IF(FT!B42&lt;&gt;"",FT!B42*100,"")</f>
        <v>20.9206</v>
      </c>
      <c r="H42" s="61">
        <f t="shared" si="1"/>
        <v>1</v>
      </c>
      <c r="I42" t="str">
        <f>IF(FT!B42&lt;&gt;"",FT!E42,"")</f>
        <v>1 [16.219062]</v>
      </c>
      <c r="J42">
        <f>IF(FT!B42&lt;&gt;"",FT!C42,"")</f>
        <v>16.219100000000001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2.9738100000000003</v>
      </c>
      <c r="G43" s="61">
        <f>IF(FT!B43&lt;&gt;"",FT!B43*100,"")</f>
        <v>20.7956</v>
      </c>
      <c r="H43" s="61">
        <f t="shared" si="1"/>
        <v>1</v>
      </c>
      <c r="I43" t="str">
        <f>IF(FT!B43&lt;&gt;"",FT!E43,"")</f>
        <v>1 [16.626111]</v>
      </c>
      <c r="J43">
        <f>IF(FT!B43&lt;&gt;"",FT!C43,"")</f>
        <v>16.626100000000001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67359</v>
      </c>
      <c r="D44" s="61">
        <f>FH!B44*1</f>
        <v>67359</v>
      </c>
      <c r="E44">
        <f t="shared" si="3"/>
        <v>42</v>
      </c>
      <c r="F44" s="61">
        <f>IF(FT!A44&lt;&gt;"",FT!A44*10,"")</f>
        <v>2.9767199999999998</v>
      </c>
      <c r="G44" s="61">
        <f>IF(FT!B44&lt;&gt;"",FT!B44*100,"")</f>
        <v>20.722799999999999</v>
      </c>
      <c r="H44" s="61">
        <f t="shared" si="1"/>
        <v>1</v>
      </c>
      <c r="I44" t="str">
        <f>IF(FT!B44&lt;&gt;"",FT!E44,"")</f>
        <v>1 [17.028609]</v>
      </c>
      <c r="J44">
        <f>IF(FT!B44&lt;&gt;"",FT!C44,"")</f>
        <v>17.028600000000001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2.9791299999999996</v>
      </c>
      <c r="G45" s="61">
        <f>IF(FT!B45&lt;&gt;"",FT!B45*100,"")</f>
        <v>20.669699999999999</v>
      </c>
      <c r="H45" s="61">
        <f t="shared" si="1"/>
        <v>1</v>
      </c>
      <c r="I45" t="str">
        <f>IF(FT!B45&lt;&gt;"",FT!E45,"")</f>
        <v>1 [17.436758]</v>
      </c>
      <c r="J45">
        <f>IF(FT!B45&lt;&gt;"",FT!C45,"")</f>
        <v>17.436800000000002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75563</v>
      </c>
      <c r="D46" s="61">
        <f>FH!B46*1</f>
        <v>75563</v>
      </c>
      <c r="E46">
        <f t="shared" si="3"/>
        <v>44</v>
      </c>
      <c r="F46" s="61">
        <f>IF(FT!A46&lt;&gt;"",FT!A46*10,"")</f>
        <v>2.9787499999999998</v>
      </c>
      <c r="G46" s="61">
        <f>IF(FT!B46&lt;&gt;"",FT!B46*100,"")</f>
        <v>20.674899999999997</v>
      </c>
      <c r="H46" s="61">
        <f t="shared" si="1"/>
        <v>1</v>
      </c>
      <c r="I46" t="str">
        <f>IF(FT!B46&lt;&gt;"",FT!E46,"")</f>
        <v>1 [17.845524]</v>
      </c>
      <c r="J46">
        <f>IF(FT!B46&lt;&gt;"",FT!C46,"")</f>
        <v>17.845500000000001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2.9757899999999999</v>
      </c>
      <c r="G47" s="61">
        <f>IF(FT!B47&lt;&gt;"",FT!B47*100,"")</f>
        <v>20.677799999999998</v>
      </c>
      <c r="H47" s="61">
        <f t="shared" si="1"/>
        <v>1</v>
      </c>
      <c r="I47" t="str">
        <f>IF(FT!B47&lt;&gt;"",FT!E47,"")</f>
        <v>1 [18.247266]</v>
      </c>
      <c r="J47">
        <f>IF(FT!B47&lt;&gt;"",FT!C47,"")</f>
        <v>18.247299999999999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2.97296</v>
      </c>
      <c r="G48" s="61">
        <f>IF(FT!B48&lt;&gt;"",FT!B48*100,"")</f>
        <v>20.679400000000001</v>
      </c>
      <c r="H48" s="61">
        <f t="shared" si="1"/>
        <v>1</v>
      </c>
      <c r="I48" t="str">
        <f>IF(FT!B48&lt;&gt;"",FT!E48,"")</f>
        <v>1 [18.654538]</v>
      </c>
      <c r="J48">
        <f>IF(FT!B48&lt;&gt;"",FT!C48,"")</f>
        <v>18.654499999999999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65438</v>
      </c>
      <c r="D49" s="61">
        <f>FH!B49*1</f>
        <v>65438</v>
      </c>
      <c r="E49">
        <f t="shared" si="3"/>
        <v>47</v>
      </c>
      <c r="F49" s="61">
        <f>IF(FT!A49&lt;&gt;"",FT!A49*10,"")</f>
        <v>2.9683199999999998</v>
      </c>
      <c r="G49" s="61">
        <f>IF(FT!B49&lt;&gt;"",FT!B49*100,"")</f>
        <v>20.731300000000001</v>
      </c>
      <c r="H49" s="61">
        <f t="shared" si="1"/>
        <v>1</v>
      </c>
      <c r="I49" t="str">
        <f>IF(FT!B49&lt;&gt;"",FT!E49,"")</f>
        <v>1 [19.064164]</v>
      </c>
      <c r="J49">
        <f>IF(FT!B49&lt;&gt;"",FT!C49,"")</f>
        <v>19.0642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2.9595700000000003</v>
      </c>
      <c r="G50" s="61">
        <f>IF(FT!B50&lt;&gt;"",FT!B50*100,"")</f>
        <v>20.888999999999999</v>
      </c>
      <c r="H50" s="61">
        <f t="shared" si="1"/>
        <v>1</v>
      </c>
      <c r="I50" t="str">
        <f>IF(FT!B50&lt;&gt;"",FT!E50,"")</f>
        <v>1 [19.465925]</v>
      </c>
      <c r="J50">
        <f>IF(FT!B50&lt;&gt;"",FT!C50,"")</f>
        <v>19.465900000000001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58457</v>
      </c>
      <c r="D51" s="61">
        <f>FH!B51*1</f>
        <v>58457</v>
      </c>
      <c r="E51">
        <f t="shared" si="3"/>
        <v>49</v>
      </c>
      <c r="F51" s="61">
        <f>IF(FT!A51&lt;&gt;"",FT!A51*10,"")</f>
        <v>2.9494899999999999</v>
      </c>
      <c r="G51" s="61">
        <f>IF(FT!B51&lt;&gt;"",FT!B51*100,"")</f>
        <v>21.080399999999997</v>
      </c>
      <c r="H51" s="61">
        <f t="shared" si="1"/>
        <v>1</v>
      </c>
      <c r="I51" t="str">
        <f>IF(FT!B51&lt;&gt;"",FT!E51,"")</f>
        <v>1 [19.874849]</v>
      </c>
      <c r="J51">
        <f>IF(FT!B51&lt;&gt;"",FT!C51,"")</f>
        <v>19.8748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2.9423899999999996</v>
      </c>
      <c r="G52" s="61">
        <f>IF(FT!B52&lt;&gt;"",FT!B52*100,"")</f>
        <v>21.2181</v>
      </c>
      <c r="H52" s="61">
        <f t="shared" si="1"/>
        <v>1</v>
      </c>
      <c r="I52" t="str">
        <f>IF(FT!B52&lt;&gt;"",FT!E52,"")</f>
        <v>1 [20.279153]</v>
      </c>
      <c r="J52">
        <f>IF(FT!B52&lt;&gt;"",FT!C52,"")</f>
        <v>20.279199999999999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2.9328900000000004</v>
      </c>
      <c r="G53" s="61">
        <f>IF(FT!B53&lt;&gt;"",FT!B53*100,"")</f>
        <v>21.316199999999998</v>
      </c>
      <c r="H53" s="61">
        <f t="shared" si="1"/>
        <v>1</v>
      </c>
      <c r="I53" t="str">
        <f>IF(FT!B53&lt;&gt;"",FT!E53,"")</f>
        <v>1 [20.683537]</v>
      </c>
      <c r="J53">
        <f>IF(FT!B53&lt;&gt;"",FT!C53,"")</f>
        <v>20.683499999999999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56452</v>
      </c>
      <c r="D54" s="61">
        <f>FH!B54*1</f>
        <v>56452</v>
      </c>
      <c r="E54">
        <f t="shared" si="3"/>
        <v>52</v>
      </c>
      <c r="F54" s="61">
        <f>IF(FT!A54&lt;&gt;"",FT!A54*10,"")</f>
        <v>2.9248000000000003</v>
      </c>
      <c r="G54" s="61">
        <f>IF(FT!B54&lt;&gt;"",FT!B54*100,"")</f>
        <v>21.3797</v>
      </c>
      <c r="H54" s="61">
        <f t="shared" si="1"/>
        <v>1</v>
      </c>
      <c r="I54" t="str">
        <f>IF(FT!B54&lt;&gt;"",FT!E54,"")</f>
        <v>1 [21.095730]</v>
      </c>
      <c r="J54">
        <f>IF(FT!B54&lt;&gt;"",FT!C54,"")</f>
        <v>21.095700000000001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2.91811</v>
      </c>
      <c r="G55" s="61">
        <f>IF(FT!B55&lt;&gt;"",FT!B55*100,"")</f>
        <v>21.412300000000002</v>
      </c>
      <c r="H55" s="61">
        <f t="shared" si="1"/>
        <v>1</v>
      </c>
      <c r="I55" t="str">
        <f>IF(FT!B55&lt;&gt;"",FT!E55,"")</f>
        <v>1 [21.498974]</v>
      </c>
      <c r="J55">
        <f>IF(FT!B55&lt;&gt;"",FT!C55,"")</f>
        <v>21.498999999999999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2.91134</v>
      </c>
      <c r="G56" s="61">
        <f>IF(FT!B56&lt;&gt;"",FT!B56*100,"")</f>
        <v>21.434800000000003</v>
      </c>
      <c r="H56" s="61">
        <f t="shared" si="1"/>
        <v>1</v>
      </c>
      <c r="I56" t="str">
        <f>IF(FT!B56&lt;&gt;"",FT!E56,"")</f>
        <v>1 [21.906699]</v>
      </c>
      <c r="J56">
        <f>IF(FT!B56&lt;&gt;"",FT!C56,"")</f>
        <v>21.906700000000001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56126</v>
      </c>
      <c r="D57" s="61">
        <f>FH!B57*1</f>
        <v>56126</v>
      </c>
      <c r="E57">
        <f t="shared" si="3"/>
        <v>55</v>
      </c>
      <c r="F57" s="61">
        <f>IF(FT!A57&lt;&gt;"",FT!A57*10,"")</f>
        <v>2.9027099999999999</v>
      </c>
      <c r="G57" s="61">
        <f>IF(FT!B57&lt;&gt;"",FT!B57*100,"")</f>
        <v>21.486599999999999</v>
      </c>
      <c r="H57" s="61">
        <f t="shared" si="1"/>
        <v>1</v>
      </c>
      <c r="I57" t="str">
        <f>IF(FT!B57&lt;&gt;"",FT!E57,"")</f>
        <v>1 [22.309270]</v>
      </c>
      <c r="J57">
        <f>IF(FT!B57&lt;&gt;"",FT!C57,"")</f>
        <v>22.3093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2.8915299999999999</v>
      </c>
      <c r="G58" s="61">
        <f>IF(FT!B58&lt;&gt;"",FT!B58*100,"")</f>
        <v>21.5428</v>
      </c>
      <c r="H58" s="61">
        <f t="shared" si="1"/>
        <v>1</v>
      </c>
      <c r="I58" t="str">
        <f>IF(FT!B58&lt;&gt;"",FT!E58,"")</f>
        <v>1 [22.716989]</v>
      </c>
      <c r="J58">
        <f>IF(FT!B58&lt;&gt;"",FT!C58,"")</f>
        <v>22.716999999999999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50000</v>
      </c>
      <c r="D59" s="61">
        <f>FH!B59*1</f>
        <v>50000</v>
      </c>
      <c r="E59">
        <f t="shared" si="3"/>
        <v>57</v>
      </c>
      <c r="F59" s="61">
        <f>IF(FT!A59&lt;&gt;"",FT!A59*10,"")</f>
        <v>2.8799299999999999</v>
      </c>
      <c r="G59" s="61">
        <f>IF(FT!B59&lt;&gt;"",FT!B59*100,"")</f>
        <v>21.555900000000001</v>
      </c>
      <c r="H59" s="61">
        <f t="shared" si="1"/>
        <v>1</v>
      </c>
      <c r="I59" t="str">
        <f>IF(FT!B59&lt;&gt;"",FT!E59,"")</f>
        <v>1 [23.121722]</v>
      </c>
      <c r="J59">
        <f>IF(FT!B59&lt;&gt;"",FT!C59,"")</f>
        <v>23.121700000000001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2.8690199999999999</v>
      </c>
      <c r="G60" s="61">
        <f>IF(FT!B60&lt;&gt;"",FT!B60*100,"")</f>
        <v>21.509700000000002</v>
      </c>
      <c r="H60" s="61">
        <f t="shared" si="1"/>
        <v>1</v>
      </c>
      <c r="I60" t="str">
        <f>IF(FT!B60&lt;&gt;"",FT!E60,"")</f>
        <v>1 [23.530626]</v>
      </c>
      <c r="J60">
        <f>IF(FT!B60&lt;&gt;"",FT!C60,"")</f>
        <v>23.5306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2.8601999999999999</v>
      </c>
      <c r="G61" s="61">
        <f>IF(FT!B61&lt;&gt;"",FT!B61*100,"")</f>
        <v>21.433800000000002</v>
      </c>
      <c r="H61" s="61">
        <f t="shared" si="1"/>
        <v>1</v>
      </c>
      <c r="I61" t="str">
        <f>IF(FT!B61&lt;&gt;"",FT!E61,"")</f>
        <v>1 [23.938199]</v>
      </c>
      <c r="J61">
        <f>IF(FT!B61&lt;&gt;"",FT!C61,"")</f>
        <v>23.938199999999998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48554</v>
      </c>
      <c r="D62" s="61">
        <f>FH!B62*1</f>
        <v>48554</v>
      </c>
      <c r="E62">
        <f t="shared" si="3"/>
        <v>60</v>
      </c>
      <c r="F62" s="61">
        <f>IF(FT!A62&lt;&gt;"",FT!A62*10,"")</f>
        <v>2.85107</v>
      </c>
      <c r="G62" s="61">
        <f>IF(FT!B62&lt;&gt;"",FT!B62*100,"")</f>
        <v>21.346399999999999</v>
      </c>
      <c r="H62" s="61">
        <f t="shared" si="1"/>
        <v>1</v>
      </c>
      <c r="I62" t="str">
        <f>IF(FT!B62&lt;&gt;"",FT!E62,"")</f>
        <v>1 [24.343633]</v>
      </c>
      <c r="J62">
        <f>IF(FT!B62&lt;&gt;"",FT!C62,"")</f>
        <v>24.343599999999999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2.8399200000000002</v>
      </c>
      <c r="G63" s="61">
        <f>IF(FT!B63&lt;&gt;"",FT!B63*100,"")</f>
        <v>21.3218</v>
      </c>
      <c r="H63" s="61">
        <f t="shared" si="1"/>
        <v>1</v>
      </c>
      <c r="I63" t="str">
        <f>IF(FT!B63&lt;&gt;"",FT!E63,"")</f>
        <v>1 [24.746520]</v>
      </c>
      <c r="J63">
        <f>IF(FT!B63&lt;&gt;"",FT!C63,"")</f>
        <v>24.746500000000001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53403</v>
      </c>
      <c r="D64" s="61">
        <f>FH!B64*1</f>
        <v>53403</v>
      </c>
      <c r="E64">
        <f t="shared" si="3"/>
        <v>62</v>
      </c>
      <c r="F64" s="61">
        <f>IF(FT!A64&lt;&gt;"",FT!A64*10,"")</f>
        <v>2.8259299999999996</v>
      </c>
      <c r="G64" s="61">
        <f>IF(FT!B64&lt;&gt;"",FT!B64*100,"")</f>
        <v>21.366800000000001</v>
      </c>
      <c r="H64" s="61">
        <f t="shared" si="1"/>
        <v>1</v>
      </c>
      <c r="I64" t="str">
        <f>IF(FT!B64&lt;&gt;"",FT!E64,"")</f>
        <v>1 [25.151830]</v>
      </c>
      <c r="J64">
        <f>IF(FT!B64&lt;&gt;"",FT!C64,"")</f>
        <v>25.151800000000001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2.8102399999999998</v>
      </c>
      <c r="G65" s="61">
        <f>IF(FT!B65&lt;&gt;"",FT!B65*100,"")</f>
        <v>21.461400000000001</v>
      </c>
      <c r="H65" s="61">
        <f t="shared" si="1"/>
        <v>1</v>
      </c>
      <c r="I65" t="str">
        <f>IF(FT!B65&lt;&gt;"",FT!E65,"")</f>
        <v>1 [25.561751]</v>
      </c>
      <c r="J65">
        <f>IF(FT!B65&lt;&gt;"",FT!C65,"")</f>
        <v>25.561800000000002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2.79393</v>
      </c>
      <c r="G66" s="61">
        <f>IF(FT!B66&lt;&gt;"",FT!B66*100,"")</f>
        <v>21.6023</v>
      </c>
      <c r="H66" s="61">
        <f t="shared" si="1"/>
        <v>1</v>
      </c>
      <c r="I66" t="str">
        <f>IF(FT!B66&lt;&gt;"",FT!E66,"")</f>
        <v>1 [25.964285]</v>
      </c>
      <c r="J66">
        <f>IF(FT!B66&lt;&gt;"",FT!C66,"")</f>
        <v>25.964300000000001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55105</v>
      </c>
      <c r="D67" s="61">
        <f>FH!B67*1</f>
        <v>55105</v>
      </c>
      <c r="E67">
        <f t="shared" si="3"/>
        <v>65</v>
      </c>
      <c r="F67" s="61">
        <f>IF(FT!A67&lt;&gt;"",FT!A67*10,"")</f>
        <v>2.7768199999999998</v>
      </c>
      <c r="G67" s="61">
        <f>IF(FT!B67&lt;&gt;"",FT!B67*100,"")</f>
        <v>21.8583</v>
      </c>
      <c r="H67" s="61">
        <f t="shared" ref="H67:H130" si="9">(IF(F67&lt;&gt;"",1,""))</f>
        <v>1</v>
      </c>
      <c r="I67" t="str">
        <f>IF(FT!B67&lt;&gt;"",FT!E67,"")</f>
        <v>1 [26.374538]</v>
      </c>
      <c r="J67">
        <f>IF(FT!B67&lt;&gt;"",FT!C67,"")</f>
        <v>26.374500000000001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2.7612999999999999</v>
      </c>
      <c r="G68" s="61">
        <f>IF(FT!B68&lt;&gt;"",FT!B68*100,"")</f>
        <v>22.112399999999997</v>
      </c>
      <c r="H68" s="61">
        <f t="shared" si="9"/>
        <v>1</v>
      </c>
      <c r="I68" t="str">
        <f>IF(FT!B68&lt;&gt;"",FT!E68,"")</f>
        <v>1 [26.778764]</v>
      </c>
      <c r="J68">
        <f>IF(FT!B68&lt;&gt;"",FT!C68,"")</f>
        <v>26.7788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58730</v>
      </c>
      <c r="D69" s="61">
        <f>FH!B69*1</f>
        <v>58730</v>
      </c>
      <c r="E69">
        <f t="shared" si="11"/>
        <v>67</v>
      </c>
      <c r="F69" s="61">
        <f>IF(FT!A69&lt;&gt;"",FT!A69*10,"")</f>
        <v>2.7478200000000004</v>
      </c>
      <c r="G69" s="61">
        <f>IF(FT!B69&lt;&gt;"",FT!B69*100,"")</f>
        <v>22.341000000000001</v>
      </c>
      <c r="H69" s="61">
        <f t="shared" si="9"/>
        <v>1</v>
      </c>
      <c r="I69" t="str">
        <f>IF(FT!B69&lt;&gt;"",FT!E69,"")</f>
        <v>1 [27.186079]</v>
      </c>
      <c r="J69">
        <f>IF(FT!B69&lt;&gt;"",FT!C69,"")</f>
        <v>27.1861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2.7310600000000003</v>
      </c>
      <c r="G70" s="61">
        <f>IF(FT!B70&lt;&gt;"",FT!B70*100,"")</f>
        <v>22.6905</v>
      </c>
      <c r="H70" s="61">
        <f t="shared" si="9"/>
        <v>1</v>
      </c>
      <c r="I70" t="str">
        <f>IF(FT!B70&lt;&gt;"",FT!E70,"")</f>
        <v>1 [27.591051]</v>
      </c>
      <c r="J70">
        <f>IF(FT!B70&lt;&gt;"",FT!C70,"")</f>
        <v>27.591100000000001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2.7143099999999998</v>
      </c>
      <c r="G71" s="61">
        <f>IF(FT!B71&lt;&gt;"",FT!B71*100,"")</f>
        <v>23.090599999999998</v>
      </c>
      <c r="H71" s="61">
        <f t="shared" si="9"/>
        <v>1</v>
      </c>
      <c r="I71" t="str">
        <f>IF(FT!B71&lt;&gt;"",FT!E71,"")</f>
        <v>1 [27.998666]</v>
      </c>
      <c r="J71">
        <f>IF(FT!B71&lt;&gt;"",FT!C71,"")</f>
        <v>27.998699999999999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59653</v>
      </c>
      <c r="D72" s="61">
        <f>FH!B72*1</f>
        <v>59653</v>
      </c>
      <c r="E72">
        <f t="shared" si="11"/>
        <v>70</v>
      </c>
      <c r="F72" s="61">
        <f>IF(FT!A72&lt;&gt;"",FT!A72*10,"")</f>
        <v>2.7006599999999996</v>
      </c>
      <c r="G72" s="61">
        <f>IF(FT!B72&lt;&gt;"",FT!B72*100,"")</f>
        <v>23.460599999999999</v>
      </c>
      <c r="H72" s="61">
        <f t="shared" si="9"/>
        <v>1</v>
      </c>
      <c r="I72" t="str">
        <f>IF(FT!B72&lt;&gt;"",FT!E72,"")</f>
        <v>1 [28.408380]</v>
      </c>
      <c r="J72">
        <f>IF(FT!B72&lt;&gt;"",FT!C72,"")</f>
        <v>28.4084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2.6875</v>
      </c>
      <c r="G73" s="61">
        <f>IF(FT!B73&lt;&gt;"",FT!B73*100,"")</f>
        <v>23.825499999999998</v>
      </c>
      <c r="H73" s="61">
        <f t="shared" si="9"/>
        <v>1</v>
      </c>
      <c r="I73" t="str">
        <f>IF(FT!B73&lt;&gt;"",FT!E73,"")</f>
        <v>1 [28.809150]</v>
      </c>
      <c r="J73">
        <f>IF(FT!B73&lt;&gt;"",FT!C73,"")</f>
        <v>28.809100000000001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2.6728700000000001</v>
      </c>
      <c r="G74" s="61">
        <f>IF(FT!B74&lt;&gt;"",FT!B74*100,"")</f>
        <v>24.245100000000001</v>
      </c>
      <c r="H74" s="61">
        <f t="shared" si="9"/>
        <v>1</v>
      </c>
      <c r="I74" t="str">
        <f>IF(FT!B74&lt;&gt;"",FT!E74,"")</f>
        <v>1 [29.217105]</v>
      </c>
      <c r="J74">
        <f>IF(FT!B74&lt;&gt;"",FT!C74,"")</f>
        <v>29.217099999999999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56112</v>
      </c>
      <c r="D75" s="61">
        <f>FH!B75*1</f>
        <v>56112</v>
      </c>
      <c r="E75">
        <f t="shared" si="11"/>
        <v>73</v>
      </c>
      <c r="F75" s="61">
        <f>IF(FT!A75&lt;&gt;"",FT!A75*10,"")</f>
        <v>2.6592500000000001</v>
      </c>
      <c r="G75" s="61">
        <f>IF(FT!B75&lt;&gt;"",FT!B75*100,"")</f>
        <v>24.6325</v>
      </c>
      <c r="H75" s="61">
        <f t="shared" si="9"/>
        <v>1</v>
      </c>
      <c r="I75" t="str">
        <f>IF(FT!B75&lt;&gt;"",FT!E75,"")</f>
        <v>1 [29.622335]</v>
      </c>
      <c r="J75">
        <f>IF(FT!B75&lt;&gt;"",FT!C75,"")</f>
        <v>29.622299999999999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2.6459100000000002</v>
      </c>
      <c r="G76" s="61">
        <f>IF(FT!B76&lt;&gt;"",FT!B76*100,"")</f>
        <v>25.034499999999998</v>
      </c>
      <c r="H76" s="61">
        <f t="shared" si="9"/>
        <v>1</v>
      </c>
      <c r="I76" t="str">
        <f>IF(FT!B76&lt;&gt;"",FT!E76,"")</f>
        <v>1 [30.028633]</v>
      </c>
      <c r="J76">
        <f>IF(FT!B76&lt;&gt;"",FT!C76,"")</f>
        <v>30.028600000000001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62588</v>
      </c>
      <c r="D77" s="61">
        <f>FH!B77*1</f>
        <v>62588</v>
      </c>
      <c r="E77">
        <f t="shared" si="11"/>
        <v>75</v>
      </c>
      <c r="F77" s="61">
        <f>IF(FT!A77&lt;&gt;"",FT!A77*10,"")</f>
        <v>2.6277099999999995</v>
      </c>
      <c r="G77" s="61">
        <f>IF(FT!B77&lt;&gt;"",FT!B77*100,"")</f>
        <v>25.569199999999999</v>
      </c>
      <c r="H77" s="61">
        <f t="shared" si="9"/>
        <v>1</v>
      </c>
      <c r="I77" t="str">
        <f>IF(FT!B77&lt;&gt;"",FT!E77,"")</f>
        <v>2 [30.622899]</v>
      </c>
      <c r="J77">
        <f>IF(FT!B77&lt;&gt;"",FT!C77,"")</f>
        <v>30.622900000000001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2.60867</v>
      </c>
      <c r="G78" s="61">
        <f>IF(FT!B78&lt;&gt;"",FT!B78*100,"")</f>
        <v>26.063399999999998</v>
      </c>
      <c r="H78" s="61">
        <f t="shared" si="9"/>
        <v>1</v>
      </c>
      <c r="I78" t="str">
        <f>IF(FT!B78&lt;&gt;"",FT!E78,"")</f>
        <v>2 [30.998641]</v>
      </c>
      <c r="J78">
        <f>IF(FT!B78&lt;&gt;"",FT!C78,"")</f>
        <v>30.9986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2.5970500000000003</v>
      </c>
      <c r="G79" s="61">
        <f>IF(FT!B79&lt;&gt;"",FT!B79*100,"")</f>
        <v>26.729599999999998</v>
      </c>
      <c r="H79" s="61">
        <f t="shared" si="9"/>
        <v>1</v>
      </c>
      <c r="I79" t="str">
        <f>IF(FT!B79&lt;&gt;"",FT!E79,"")</f>
        <v>2 [31.376469]</v>
      </c>
      <c r="J79">
        <f>IF(FT!B79&lt;&gt;"",FT!C79,"")</f>
        <v>31.3765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59968</v>
      </c>
      <c r="D80" s="61">
        <f>FH!B80*1</f>
        <v>59968</v>
      </c>
      <c r="E80">
        <f t="shared" si="11"/>
        <v>78</v>
      </c>
      <c r="F80" s="61">
        <f>IF(FT!A80&lt;&gt;"",FT!A80*10,"")</f>
        <v>2.5840899999999998</v>
      </c>
      <c r="G80" s="61">
        <f>IF(FT!B80&lt;&gt;"",FT!B80*100,"")</f>
        <v>27.497100000000003</v>
      </c>
      <c r="H80" s="61">
        <f t="shared" si="9"/>
        <v>1</v>
      </c>
      <c r="I80" t="str">
        <f>IF(FT!B80&lt;&gt;"",FT!E80,"")</f>
        <v>2 [31.749254]</v>
      </c>
      <c r="J80">
        <f>IF(FT!B80&lt;&gt;"",FT!C80,"")</f>
        <v>31.749300000000002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2.5716399999999999</v>
      </c>
      <c r="G81" s="61">
        <f>IF(FT!B81&lt;&gt;"",FT!B81*100,"")</f>
        <v>28.252800000000001</v>
      </c>
      <c r="H81" s="61">
        <f t="shared" si="9"/>
        <v>1</v>
      </c>
      <c r="I81" t="str">
        <f>IF(FT!B81&lt;&gt;"",FT!E81,"")</f>
        <v>2 [32.123574]</v>
      </c>
      <c r="J81">
        <f>IF(FT!B81&lt;&gt;"",FT!C81,"")</f>
        <v>32.123600000000003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59143</v>
      </c>
      <c r="D82" s="61">
        <f>FH!B82*1</f>
        <v>59143</v>
      </c>
      <c r="E82">
        <f t="shared" si="11"/>
        <v>80</v>
      </c>
      <c r="F82" s="61">
        <f>IF(FT!A82&lt;&gt;"",FT!A82*10,"")</f>
        <v>2.5613000000000001</v>
      </c>
      <c r="G82" s="61">
        <f>IF(FT!B82&lt;&gt;"",FT!B82*100,"")</f>
        <v>28.986099999999997</v>
      </c>
      <c r="H82" s="61">
        <f t="shared" si="9"/>
        <v>1</v>
      </c>
      <c r="I82" t="str">
        <f>IF(FT!B82&lt;&gt;"",FT!E82,"")</f>
        <v>2 [32.529451]</v>
      </c>
      <c r="J82">
        <f>IF(FT!B82&lt;&gt;"",FT!C82,"")</f>
        <v>32.529499999999999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2.5496600000000003</v>
      </c>
      <c r="G83" s="61">
        <f>IF(FT!B83&lt;&gt;"",FT!B83*100,"")</f>
        <v>29.711900000000004</v>
      </c>
      <c r="H83" s="61">
        <f t="shared" si="9"/>
        <v>1</v>
      </c>
      <c r="I83" t="str">
        <f>IF(FT!B83&lt;&gt;"",FT!E83,"")</f>
        <v>2 [32.935403]</v>
      </c>
      <c r="J83">
        <f>IF(FT!B83&lt;&gt;"",FT!C83,"")</f>
        <v>32.935400000000001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2.5364399999999998</v>
      </c>
      <c r="G84" s="61">
        <f>IF(FT!B84&lt;&gt;"",FT!B84*100,"")</f>
        <v>30.4678</v>
      </c>
      <c r="H84" s="61">
        <f t="shared" si="9"/>
        <v>1</v>
      </c>
      <c r="I84" t="str">
        <f>IF(FT!B84&lt;&gt;"",FT!E84,"")</f>
        <v>2 [33.342204]</v>
      </c>
      <c r="J84">
        <f>IF(FT!B84&lt;&gt;"",FT!C84,"")</f>
        <v>33.342199999999998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57318</v>
      </c>
      <c r="D85" s="61">
        <f>FH!B85*1</f>
        <v>57318</v>
      </c>
      <c r="E85">
        <f t="shared" si="11"/>
        <v>83</v>
      </c>
      <c r="F85" s="61">
        <f>IF(FT!A85&lt;&gt;"",FT!A85*10,"")</f>
        <v>2.5209100000000002</v>
      </c>
      <c r="G85" s="61">
        <f>IF(FT!B85&lt;&gt;"",FT!B85*100,"")</f>
        <v>31.285800000000002</v>
      </c>
      <c r="H85" s="61">
        <f t="shared" si="9"/>
        <v>1</v>
      </c>
      <c r="I85" t="str">
        <f>IF(FT!B85&lt;&gt;"",FT!E85,"")</f>
        <v>2 [33.748987]</v>
      </c>
      <c r="J85">
        <f>IF(FT!B85&lt;&gt;"",FT!C85,"")</f>
        <v>33.749000000000002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2.50197</v>
      </c>
      <c r="G86" s="61">
        <f>IF(FT!B86&lt;&gt;"",FT!B86*100,"")</f>
        <v>32.144800000000004</v>
      </c>
      <c r="H86" s="61">
        <f t="shared" si="9"/>
        <v>1</v>
      </c>
      <c r="I86" t="str">
        <f>IF(FT!B86&lt;&gt;"",FT!E86,"")</f>
        <v>2 [34.154727]</v>
      </c>
      <c r="J86">
        <f>IF(FT!B86&lt;&gt;"",FT!C86,"")</f>
        <v>34.154699999999998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2.4846499999999998</v>
      </c>
      <c r="G87" s="61">
        <f>IF(FT!B87&lt;&gt;"",FT!B87*100,"")</f>
        <v>32.9422</v>
      </c>
      <c r="H87" s="61">
        <f t="shared" si="9"/>
        <v>1</v>
      </c>
      <c r="I87" t="str">
        <f>IF(FT!B87&lt;&gt;"",FT!E87,"")</f>
        <v>2 [34.559381]</v>
      </c>
      <c r="J87">
        <f>IF(FT!B87&lt;&gt;"",FT!C87,"")</f>
        <v>34.559399999999997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57487</v>
      </c>
      <c r="D88" s="61">
        <f>FH!B88*1</f>
        <v>57487</v>
      </c>
      <c r="E88">
        <f t="shared" si="11"/>
        <v>86</v>
      </c>
      <c r="F88" s="61">
        <f>IF(FT!A88&lt;&gt;"",FT!A88*10,"")</f>
        <v>2.47078</v>
      </c>
      <c r="G88" s="61">
        <f>IF(FT!B88&lt;&gt;"",FT!B88*100,"")</f>
        <v>33.566899999999997</v>
      </c>
      <c r="H88" s="61">
        <f t="shared" si="9"/>
        <v>1</v>
      </c>
      <c r="I88" t="str">
        <f>IF(FT!B88&lt;&gt;"",FT!E88,"")</f>
        <v>2 [34.966936]</v>
      </c>
      <c r="J88">
        <f>IF(FT!B88&lt;&gt;"",FT!C88,"")</f>
        <v>34.966900000000003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2.4617599999999999</v>
      </c>
      <c r="G89" s="61">
        <f>IF(FT!B89&lt;&gt;"",FT!B89*100,"")</f>
        <v>34.0623</v>
      </c>
      <c r="H89" s="61">
        <f t="shared" si="9"/>
        <v>1</v>
      </c>
      <c r="I89" t="str">
        <f>IF(FT!B89&lt;&gt;"",FT!E89,"")</f>
        <v>2 [35.377140]</v>
      </c>
      <c r="J89">
        <f>IF(FT!B89&lt;&gt;"",FT!C89,"")</f>
        <v>35.377099999999999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54620</v>
      </c>
      <c r="D90" s="61">
        <f>FH!B90*1</f>
        <v>54620</v>
      </c>
      <c r="E90">
        <f t="shared" si="11"/>
        <v>88</v>
      </c>
      <c r="F90" s="61">
        <f>IF(FT!A90&lt;&gt;"",FT!A90*10,"")</f>
        <v>2.4519899999999999</v>
      </c>
      <c r="G90" s="61">
        <f>IF(FT!B90&lt;&gt;"",FT!B90*100,"")</f>
        <v>34.5944</v>
      </c>
      <c r="H90" s="61">
        <f t="shared" si="9"/>
        <v>1</v>
      </c>
      <c r="I90" t="str">
        <f>IF(FT!B90&lt;&gt;"",FT!E90,"")</f>
        <v>2 [35.781948]</v>
      </c>
      <c r="J90">
        <f>IF(FT!B90&lt;&gt;"",FT!C90,"")</f>
        <v>35.7819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2.4415200000000001</v>
      </c>
      <c r="G91" s="61">
        <f>IF(FT!B91&lt;&gt;"",FT!B91*100,"")</f>
        <v>35.078099999999999</v>
      </c>
      <c r="H91" s="61">
        <f t="shared" si="9"/>
        <v>1</v>
      </c>
      <c r="I91" t="str">
        <f>IF(FT!B91&lt;&gt;"",FT!E91,"")</f>
        <v>2 [36.184195]</v>
      </c>
      <c r="J91">
        <f>IF(FT!B91&lt;&gt;"",FT!C91,"")</f>
        <v>36.184199999999997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2.42977</v>
      </c>
      <c r="G92" s="61">
        <f>IF(FT!B92&lt;&gt;"",FT!B92*100,"")</f>
        <v>35.504000000000005</v>
      </c>
      <c r="H92" s="61">
        <f t="shared" si="9"/>
        <v>1</v>
      </c>
      <c r="I92" t="str">
        <f>IF(FT!B92&lt;&gt;"",FT!E92,"")</f>
        <v>2 [36.588194]</v>
      </c>
      <c r="J92">
        <f>IF(FT!B92&lt;&gt;"",FT!C92,"")</f>
        <v>36.588200000000001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51370</v>
      </c>
      <c r="D93" s="61">
        <f>FH!B93*1</f>
        <v>51370</v>
      </c>
      <c r="E93">
        <f t="shared" si="11"/>
        <v>91</v>
      </c>
      <c r="F93" s="61">
        <f>IF(FT!A93&lt;&gt;"",FT!A93*10,"")</f>
        <v>2.4172099999999999</v>
      </c>
      <c r="G93" s="61">
        <f>IF(FT!B93&lt;&gt;"",FT!B93*100,"")</f>
        <v>35.937200000000004</v>
      </c>
      <c r="H93" s="61">
        <f t="shared" si="9"/>
        <v>1</v>
      </c>
      <c r="I93" t="str">
        <f>IF(FT!B93&lt;&gt;"",FT!E93,"")</f>
        <v>2 [36.999706]</v>
      </c>
      <c r="J93">
        <f>IF(FT!B93&lt;&gt;"",FT!C93,"")</f>
        <v>36.999699999999997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2.40395</v>
      </c>
      <c r="G94" s="61">
        <f>IF(FT!B94&lt;&gt;"",FT!B94*100,"")</f>
        <v>36.291000000000004</v>
      </c>
      <c r="H94" s="61">
        <f t="shared" si="9"/>
        <v>1</v>
      </c>
      <c r="I94" t="str">
        <f>IF(FT!B94&lt;&gt;"",FT!E94,"")</f>
        <v>2 [37.406709]</v>
      </c>
      <c r="J94">
        <f>IF(FT!B94&lt;&gt;"",FT!C94,"")</f>
        <v>37.406700000000001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51358</v>
      </c>
      <c r="D95" s="61">
        <f>FH!B95*1</f>
        <v>51358</v>
      </c>
      <c r="E95">
        <f t="shared" si="11"/>
        <v>93</v>
      </c>
      <c r="F95" s="61">
        <f>IF(FT!A95&lt;&gt;"",FT!A95*10,"")</f>
        <v>2.3913100000000003</v>
      </c>
      <c r="G95" s="61">
        <f>IF(FT!B95&lt;&gt;"",FT!B95*100,"")</f>
        <v>36.578400000000002</v>
      </c>
      <c r="H95" s="61">
        <f t="shared" si="9"/>
        <v>1</v>
      </c>
      <c r="I95" t="str">
        <f>IF(FT!B95&lt;&gt;"",FT!E95,"")</f>
        <v>2 [37.812548]</v>
      </c>
      <c r="J95">
        <f>IF(FT!B95&lt;&gt;"",FT!C95,"")</f>
        <v>37.8125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2.3786700000000001</v>
      </c>
      <c r="G96" s="61">
        <f>IF(FT!B96&lt;&gt;"",FT!B96*100,"")</f>
        <v>36.842000000000006</v>
      </c>
      <c r="H96" s="61">
        <f t="shared" si="9"/>
        <v>1</v>
      </c>
      <c r="I96" t="str">
        <f>IF(FT!B96&lt;&gt;"",FT!E96,"")</f>
        <v>2 [38.217705]</v>
      </c>
      <c r="J96">
        <f>IF(FT!B96&lt;&gt;"",FT!C96,"")</f>
        <v>38.217700000000001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2.3655399999999998</v>
      </c>
      <c r="G97" s="61">
        <f>IF(FT!B97&lt;&gt;"",FT!B97*100,"")</f>
        <v>37.098399999999998</v>
      </c>
      <c r="H97" s="61">
        <f t="shared" si="9"/>
        <v>1</v>
      </c>
      <c r="I97" t="str">
        <f>IF(FT!B97&lt;&gt;"",FT!E97,"")</f>
        <v>2 [38.622132]</v>
      </c>
      <c r="J97">
        <f>IF(FT!B97&lt;&gt;"",FT!C97,"")</f>
        <v>38.622100000000003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48704</v>
      </c>
      <c r="D98" s="61">
        <f>FH!B98*1</f>
        <v>48704</v>
      </c>
      <c r="E98">
        <f t="shared" si="11"/>
        <v>96</v>
      </c>
      <c r="F98" s="61">
        <f>IF(FT!A98&lt;&gt;"",FT!A98*10,"")</f>
        <v>2.3551799999999998</v>
      </c>
      <c r="G98" s="61">
        <f>IF(FT!B98&lt;&gt;"",FT!B98*100,"")</f>
        <v>37.242199999999997</v>
      </c>
      <c r="H98" s="61">
        <f t="shared" si="9"/>
        <v>1</v>
      </c>
      <c r="I98" t="str">
        <f>IF(FT!B98&lt;&gt;"",FT!E98,"")</f>
        <v>2 [39.027401]</v>
      </c>
      <c r="J98">
        <f>IF(FT!B98&lt;&gt;"",FT!C98,"")</f>
        <v>39.0274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2.3442499999999997</v>
      </c>
      <c r="G99" s="61">
        <f>IF(FT!B99&lt;&gt;"",FT!B99*100,"")</f>
        <v>37.394800000000004</v>
      </c>
      <c r="H99" s="61">
        <f t="shared" si="9"/>
        <v>1</v>
      </c>
      <c r="I99" t="str">
        <f>IF(FT!B99&lt;&gt;"",FT!E99,"")</f>
        <v>2 [39.438463]</v>
      </c>
      <c r="J99">
        <f>IF(FT!B99&lt;&gt;"",FT!C99,"")</f>
        <v>39.438499999999998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49590</v>
      </c>
      <c r="D100" s="61">
        <f>FH!B100*1</f>
        <v>49590</v>
      </c>
      <c r="E100">
        <f t="shared" si="11"/>
        <v>98</v>
      </c>
      <c r="F100" s="61">
        <f>IF(FT!A100&lt;&gt;"",FT!A100*10,"")</f>
        <v>2.3345199999999999</v>
      </c>
      <c r="G100" s="61">
        <f>IF(FT!B100&lt;&gt;"",FT!B100*100,"")</f>
        <v>37.493099999999998</v>
      </c>
      <c r="H100" s="61">
        <f t="shared" si="9"/>
        <v>1</v>
      </c>
      <c r="I100" t="str">
        <f>IF(FT!B100&lt;&gt;"",FT!E100,"")</f>
        <v>2 [39.843161]</v>
      </c>
      <c r="J100">
        <f>IF(FT!B100&lt;&gt;"",FT!C100,"")</f>
        <v>39.843200000000003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2.32517</v>
      </c>
      <c r="G101" s="61">
        <f>IF(FT!B101&lt;&gt;"",FT!B101*100,"")</f>
        <v>37.5411</v>
      </c>
      <c r="H101" s="61">
        <f t="shared" si="9"/>
        <v>1</v>
      </c>
      <c r="I101" t="str">
        <f>IF(FT!B101&lt;&gt;"",FT!E101,"")</f>
        <v>2 [40.247988]</v>
      </c>
      <c r="J101">
        <f>IF(FT!B101&lt;&gt;"",FT!C101,"")</f>
        <v>40.247999999999998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2.3162400000000001</v>
      </c>
      <c r="G102" s="61">
        <f>IF(FT!B102&lt;&gt;"",FT!B102*100,"")</f>
        <v>37.554000000000002</v>
      </c>
      <c r="H102" s="61">
        <f t="shared" si="9"/>
        <v>1</v>
      </c>
      <c r="I102" t="str">
        <f>IF(FT!B102&lt;&gt;"",FT!E102,"")</f>
        <v>2 [40.654881]</v>
      </c>
      <c r="J102">
        <f>IF(FT!B102&lt;&gt;"",FT!C102,"")</f>
        <v>40.654899999999998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46478</v>
      </c>
      <c r="D103" s="61">
        <f>FH!B103*1</f>
        <v>46478</v>
      </c>
      <c r="E103">
        <f t="shared" si="11"/>
        <v>101</v>
      </c>
      <c r="F103" s="61">
        <f>IF(FT!A103&lt;&gt;"",FT!A103*10,"")</f>
        <v>2.31033</v>
      </c>
      <c r="G103" s="61">
        <f>IF(FT!B103&lt;&gt;"",FT!B103*100,"")</f>
        <v>37.531100000000002</v>
      </c>
      <c r="H103" s="61">
        <f t="shared" si="9"/>
        <v>1</v>
      </c>
      <c r="I103" t="str">
        <f>IF(FT!B103&lt;&gt;"",FT!E103,"")</f>
        <v>2 [41.059637]</v>
      </c>
      <c r="J103">
        <f>IF(FT!B103&lt;&gt;"",FT!C103,"")</f>
        <v>41.059600000000003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2.2949000000000002</v>
      </c>
      <c r="G104" s="61">
        <f>IF(FT!B104&lt;&gt;"",FT!B104*100,"")</f>
        <v>37.5291</v>
      </c>
      <c r="H104" s="61">
        <f t="shared" si="9"/>
        <v>1</v>
      </c>
      <c r="I104" t="str">
        <f>IF(FT!B104&lt;&gt;"",FT!E104,"")</f>
        <v>2 [41.466316]</v>
      </c>
      <c r="J104">
        <f>IF(FT!B104&lt;&gt;"",FT!C104,"")</f>
        <v>41.466299999999997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2.2827199999999999</v>
      </c>
      <c r="G105" s="61">
        <f>IF(FT!B105&lt;&gt;"",FT!B105*100,"")</f>
        <v>37.369900000000001</v>
      </c>
      <c r="H105" s="61">
        <f t="shared" si="9"/>
        <v>1</v>
      </c>
      <c r="I105" t="str">
        <f>IF(FT!B105&lt;&gt;"",FT!E105,"")</f>
        <v>2 [41.874548]</v>
      </c>
      <c r="J105">
        <f>IF(FT!B105&lt;&gt;"",FT!C105,"")</f>
        <v>41.874499999999998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44424</v>
      </c>
      <c r="D106" s="61">
        <f>FH!B106*1</f>
        <v>44424</v>
      </c>
      <c r="E106">
        <f t="shared" si="11"/>
        <v>104</v>
      </c>
      <c r="F106" s="61">
        <f>IF(FT!A106&lt;&gt;"",FT!A106*10,"")</f>
        <v>2.27413</v>
      </c>
      <c r="G106" s="61">
        <f>IF(FT!B106&lt;&gt;"",FT!B106*100,"")</f>
        <v>37.0717</v>
      </c>
      <c r="H106" s="61">
        <f t="shared" si="9"/>
        <v>1</v>
      </c>
      <c r="I106" t="str">
        <f>IF(FT!B106&lt;&gt;"",FT!E106,"")</f>
        <v>2 [42.278191]</v>
      </c>
      <c r="J106">
        <f>IF(FT!B106&lt;&gt;"",FT!C106,"")</f>
        <v>42.278199999999998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2.2678499999999997</v>
      </c>
      <c r="G107" s="61">
        <f>IF(FT!B107&lt;&gt;"",FT!B107*100,"")</f>
        <v>36.643700000000003</v>
      </c>
      <c r="H107" s="61">
        <f t="shared" si="9"/>
        <v>1</v>
      </c>
      <c r="I107" t="str">
        <f>IF(FT!B107&lt;&gt;"",FT!E107,"")</f>
        <v>2 [42.687172]</v>
      </c>
      <c r="J107">
        <f>IF(FT!B107&lt;&gt;"",FT!C107,"")</f>
        <v>42.687199999999997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38742</v>
      </c>
      <c r="D108" s="61">
        <f>FH!B108*1</f>
        <v>38742</v>
      </c>
      <c r="E108">
        <f t="shared" si="11"/>
        <v>106</v>
      </c>
      <c r="F108" s="61">
        <f>IF(FT!A108&lt;&gt;"",FT!A108*10,"")</f>
        <v>2.2667899999999999</v>
      </c>
      <c r="G108" s="61">
        <f>IF(FT!B108&lt;&gt;"",FT!B108*100,"")</f>
        <v>36.015500000000003</v>
      </c>
      <c r="H108" s="61">
        <f t="shared" si="9"/>
        <v>1</v>
      </c>
      <c r="I108" t="str">
        <f>IF(FT!B108&lt;&gt;"",FT!E108,"")</f>
        <v>2 [43.090137]</v>
      </c>
      <c r="J108">
        <f>IF(FT!B108&lt;&gt;"",FT!C108,"")</f>
        <v>43.0901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2.2692600000000001</v>
      </c>
      <c r="G109" s="61">
        <f>IF(FT!B109&lt;&gt;"",FT!B109*100,"")</f>
        <v>35.322800000000001</v>
      </c>
      <c r="H109" s="61">
        <f t="shared" si="9"/>
        <v>1</v>
      </c>
      <c r="I109" t="str">
        <f>IF(FT!B109&lt;&gt;"",FT!E109,"")</f>
        <v>2 [43.497750]</v>
      </c>
      <c r="J109">
        <f>IF(FT!B109&lt;&gt;"",FT!C109,"")</f>
        <v>43.497700000000002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2.2745600000000001</v>
      </c>
      <c r="G110" s="61">
        <f>IF(FT!B110&lt;&gt;"",FT!B110*100,"")</f>
        <v>34.588700000000003</v>
      </c>
      <c r="H110" s="61">
        <f t="shared" si="9"/>
        <v>1</v>
      </c>
      <c r="I110" t="str">
        <f>IF(FT!B110&lt;&gt;"",FT!E110,"")</f>
        <v>2 [43.907011]</v>
      </c>
      <c r="J110">
        <f>IF(FT!B110&lt;&gt;"",FT!C110,"")</f>
        <v>43.906999999999996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34556</v>
      </c>
      <c r="D111" s="61">
        <f>FH!B111*1</f>
        <v>34556</v>
      </c>
      <c r="E111">
        <f t="shared" si="11"/>
        <v>109</v>
      </c>
      <c r="F111" s="61">
        <f>IF(FT!A111&lt;&gt;"",FT!A111*10,"")</f>
        <v>2.2867100000000002</v>
      </c>
      <c r="G111" s="61">
        <f>IF(FT!B111&lt;&gt;"",FT!B111*100,"")</f>
        <v>33.780200000000001</v>
      </c>
      <c r="H111" s="61">
        <f t="shared" si="9"/>
        <v>1</v>
      </c>
      <c r="I111" t="str">
        <f>IF(FT!B111&lt;&gt;"",FT!E111,"")</f>
        <v>2 [44.310299]</v>
      </c>
      <c r="J111">
        <f>IF(FT!B111&lt;&gt;"",FT!C111,"")</f>
        <v>44.310299999999998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2.3001399999999999</v>
      </c>
      <c r="G112" s="61">
        <f>IF(FT!B112&lt;&gt;"",FT!B112*100,"")</f>
        <v>32.947800000000001</v>
      </c>
      <c r="H112" s="61">
        <f t="shared" si="9"/>
        <v>1</v>
      </c>
      <c r="I112" t="str">
        <f>IF(FT!B112&lt;&gt;"",FT!E112,"")</f>
        <v>2 [44.716091]</v>
      </c>
      <c r="J112">
        <f>IF(FT!B112&lt;&gt;"",FT!C112,"")</f>
        <v>44.716099999999997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32323</v>
      </c>
      <c r="D113" s="61">
        <f>FH!B113*1</f>
        <v>32323</v>
      </c>
      <c r="E113">
        <f t="shared" si="11"/>
        <v>111</v>
      </c>
      <c r="F113" s="61">
        <f>IF(FT!A113&lt;&gt;"",FT!A113*10,"")</f>
        <v>2.3141099999999999</v>
      </c>
      <c r="G113" s="61">
        <f>IF(FT!B113&lt;&gt;"",FT!B113*100,"")</f>
        <v>32.159199999999998</v>
      </c>
      <c r="H113" s="61">
        <f t="shared" si="9"/>
        <v>1</v>
      </c>
      <c r="I113" t="str">
        <f>IF(FT!B113&lt;&gt;"",FT!E113,"")</f>
        <v>2 [45.122004]</v>
      </c>
      <c r="J113">
        <f>IF(FT!B113&lt;&gt;"",FT!C113,"")</f>
        <v>45.122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2.3281399999999999</v>
      </c>
      <c r="G114" s="61">
        <f>IF(FT!B114&lt;&gt;"",FT!B114*100,"")</f>
        <v>31.370900000000002</v>
      </c>
      <c r="H114" s="61">
        <f t="shared" si="9"/>
        <v>1</v>
      </c>
      <c r="I114" t="str">
        <f>IF(FT!B114&lt;&gt;"",FT!E114,"")</f>
        <v>2 [45.528441]</v>
      </c>
      <c r="J114">
        <f>IF(FT!B114&lt;&gt;"",FT!C114,"")</f>
        <v>45.528399999999998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2.3426200000000001</v>
      </c>
      <c r="G115" s="61">
        <f>IF(FT!B115&lt;&gt;"",FT!B115*100,"")</f>
        <v>30.564299999999999</v>
      </c>
      <c r="H115" s="61">
        <f t="shared" si="9"/>
        <v>1</v>
      </c>
      <c r="I115" t="str">
        <f>IF(FT!B115&lt;&gt;"",FT!E115,"")</f>
        <v>2 [45.939277]</v>
      </c>
      <c r="J115">
        <f>IF(FT!B115&lt;&gt;"",FT!C115,"")</f>
        <v>45.939300000000003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31756</v>
      </c>
      <c r="D116" s="61">
        <f>FH!B116*1</f>
        <v>31756</v>
      </c>
      <c r="E116">
        <f t="shared" si="11"/>
        <v>114</v>
      </c>
      <c r="F116" s="61">
        <f>IF(FT!A116&lt;&gt;"",FT!A116*10,"")</f>
        <v>2.3592200000000001</v>
      </c>
      <c r="G116" s="61">
        <f>IF(FT!B116&lt;&gt;"",FT!B116*100,"")</f>
        <v>29.700599999999998</v>
      </c>
      <c r="H116" s="61">
        <f t="shared" si="9"/>
        <v>1</v>
      </c>
      <c r="I116" t="str">
        <f>IF(FT!B116&lt;&gt;"",FT!E116,"")</f>
        <v>2 [46.342417]</v>
      </c>
      <c r="J116">
        <f>IF(FT!B116&lt;&gt;"",FT!C116,"")</f>
        <v>46.342399999999998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2.3778199999999998</v>
      </c>
      <c r="G117" s="61">
        <f>IF(FT!B117&lt;&gt;"",FT!B117*100,"")</f>
        <v>28.842700000000001</v>
      </c>
      <c r="H117" s="61">
        <f t="shared" si="9"/>
        <v>1</v>
      </c>
      <c r="I117" t="str">
        <f>IF(FT!B117&lt;&gt;"",FT!E117,"")</f>
        <v>2 [46.747218]</v>
      </c>
      <c r="J117">
        <f>IF(FT!B117&lt;&gt;"",FT!C117,"")</f>
        <v>46.747199999999999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27786</v>
      </c>
      <c r="D118" s="61">
        <f>FH!B118*1</f>
        <v>27786</v>
      </c>
      <c r="E118">
        <f t="shared" si="11"/>
        <v>116</v>
      </c>
      <c r="F118" s="61">
        <f>IF(FT!A118&lt;&gt;"",FT!A118*10,"")</f>
        <v>2.39547</v>
      </c>
      <c r="G118" s="61">
        <f>IF(FT!B118&lt;&gt;"",FT!B118*100,"")</f>
        <v>28.040500000000002</v>
      </c>
      <c r="H118" s="61">
        <f t="shared" si="9"/>
        <v>1</v>
      </c>
      <c r="I118" t="str">
        <f>IF(FT!B118&lt;&gt;"",FT!E118,"")</f>
        <v>2 [47.155948]</v>
      </c>
      <c r="J118">
        <f>IF(FT!B118&lt;&gt;"",FT!C118,"")</f>
        <v>47.155900000000003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2.4132899999999999</v>
      </c>
      <c r="G119" s="61">
        <f>IF(FT!B119&lt;&gt;"",FT!B119*100,"")</f>
        <v>27.318300000000001</v>
      </c>
      <c r="H119" s="61">
        <f t="shared" si="9"/>
        <v>1</v>
      </c>
      <c r="I119" t="str">
        <f>IF(FT!B119&lt;&gt;"",FT!E119,"")</f>
        <v>2 [47.560550]</v>
      </c>
      <c r="J119">
        <f>IF(FT!B119&lt;&gt;"",FT!C119,"")</f>
        <v>47.560600000000001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2.4294799999999999</v>
      </c>
      <c r="G120" s="61">
        <f>IF(FT!B120&lt;&gt;"",FT!B120*100,"")</f>
        <v>26.696199999999997</v>
      </c>
      <c r="H120" s="61">
        <f t="shared" si="9"/>
        <v>1</v>
      </c>
      <c r="I120" t="str">
        <f>IF(FT!B120&lt;&gt;"",FT!E120,"")</f>
        <v>2 [47.964587]</v>
      </c>
      <c r="J120">
        <f>IF(FT!B120&lt;&gt;"",FT!C120,"")</f>
        <v>47.964599999999997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27285</v>
      </c>
      <c r="D121" s="61">
        <f>FH!B121*1</f>
        <v>27285</v>
      </c>
      <c r="E121">
        <f t="shared" si="11"/>
        <v>119</v>
      </c>
      <c r="F121" s="61">
        <f>IF(FT!A121&lt;&gt;"",FT!A121*10,"")</f>
        <v>2.4443999999999999</v>
      </c>
      <c r="G121" s="61">
        <f>IF(FT!B121&lt;&gt;"",FT!B121*100,"")</f>
        <v>26.171399999999998</v>
      </c>
      <c r="H121" s="61">
        <f t="shared" si="9"/>
        <v>1</v>
      </c>
      <c r="I121" t="str">
        <f>IF(FT!B121&lt;&gt;"",FT!E121,"")</f>
        <v>2 [48.372252]</v>
      </c>
      <c r="J121">
        <f>IF(FT!B121&lt;&gt;"",FT!C121,"")</f>
        <v>48.372300000000003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2.45696</v>
      </c>
      <c r="G122" s="61">
        <f>IF(FT!B122&lt;&gt;"",FT!B122*100,"")</f>
        <v>25.8565</v>
      </c>
      <c r="H122" s="61">
        <f t="shared" si="9"/>
        <v>1</v>
      </c>
      <c r="I122" t="str">
        <f>IF(FT!B122&lt;&gt;"",FT!E122,"")</f>
        <v>2 [48.781089]</v>
      </c>
      <c r="J122">
        <f>IF(FT!B122&lt;&gt;"",FT!C122,"")</f>
        <v>48.781100000000002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2.4648700000000003</v>
      </c>
      <c r="G123" s="61">
        <f>IF(FT!B123&lt;&gt;"",FT!B123*100,"")</f>
        <v>25.758599999999998</v>
      </c>
      <c r="H123" s="61">
        <f t="shared" si="9"/>
        <v>1</v>
      </c>
      <c r="I123" t="str">
        <f>IF(FT!B123&lt;&gt;"",FT!E123,"")</f>
        <v>2 [49.185769]</v>
      </c>
      <c r="J123">
        <f>IF(FT!B123&lt;&gt;"",FT!C123,"")</f>
        <v>49.1858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25530</v>
      </c>
      <c r="D124" s="61">
        <f>FH!B124*1</f>
        <v>25530</v>
      </c>
      <c r="E124">
        <f t="shared" si="11"/>
        <v>122</v>
      </c>
      <c r="F124" s="61">
        <f>IF(FT!A124&lt;&gt;"",FT!A124*10,"")</f>
        <v>2.4718900000000001</v>
      </c>
      <c r="G124" s="61">
        <f>IF(FT!B124&lt;&gt;"",FT!B124*100,"")</f>
        <v>25.7209</v>
      </c>
      <c r="H124" s="61">
        <f t="shared" si="9"/>
        <v>1</v>
      </c>
      <c r="I124" t="str">
        <f>IF(FT!B124&lt;&gt;"",FT!E124,"")</f>
        <v>2 [49.592010]</v>
      </c>
      <c r="J124">
        <f>IF(FT!B124&lt;&gt;"",FT!C124,"")</f>
        <v>49.591999999999999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2.4776899999999999</v>
      </c>
      <c r="G125" s="61">
        <f>IF(FT!B125&lt;&gt;"",FT!B125*100,"")</f>
        <v>25.6892</v>
      </c>
      <c r="H125" s="61">
        <f t="shared" si="9"/>
        <v>1</v>
      </c>
      <c r="I125" t="str">
        <f>IF(FT!B125&lt;&gt;"",FT!E125,"")</f>
        <v>2 [49.997943]</v>
      </c>
      <c r="J125">
        <f>IF(FT!B125&lt;&gt;"",FT!C125,"")</f>
        <v>49.997900000000001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24946</v>
      </c>
      <c r="D126" s="61">
        <f>FH!B126*1</f>
        <v>24946</v>
      </c>
      <c r="E126">
        <f t="shared" si="11"/>
        <v>124</v>
      </c>
      <c r="F126" s="61">
        <f>IF(FT!A126&lt;&gt;"",FT!A126*10,"")</f>
        <v>2.48488</v>
      </c>
      <c r="G126" s="61">
        <f>IF(FT!B126&lt;&gt;"",FT!B126*100,"")</f>
        <v>25.601700000000001</v>
      </c>
      <c r="H126" s="61">
        <f t="shared" si="9"/>
        <v>1</v>
      </c>
      <c r="I126" t="str">
        <f>IF(FT!B126&lt;&gt;"",FT!E126,"")</f>
        <v>2 [50.401961]</v>
      </c>
      <c r="J126">
        <f>IF(FT!B126&lt;&gt;"",FT!C126,"")</f>
        <v>50.402000000000001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2.4970500000000002</v>
      </c>
      <c r="G127" s="61">
        <f>IF(FT!B127&lt;&gt;"",FT!B127*100,"")</f>
        <v>25.4453</v>
      </c>
      <c r="H127" s="61">
        <f t="shared" si="9"/>
        <v>1</v>
      </c>
      <c r="I127" t="str">
        <f>IF(FT!B127&lt;&gt;"",FT!E127,"")</f>
        <v>2 [50.810542]</v>
      </c>
      <c r="J127">
        <f>IF(FT!B127&lt;&gt;"",FT!C127,"")</f>
        <v>50.810499999999998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2.5091299999999999</v>
      </c>
      <c r="G128" s="61">
        <f>IF(FT!B128&lt;&gt;"",FT!B128*100,"")</f>
        <v>25.257400000000001</v>
      </c>
      <c r="H128" s="61">
        <f t="shared" si="9"/>
        <v>1</v>
      </c>
      <c r="I128" t="str">
        <f>IF(FT!B128&lt;&gt;"",FT!E128,"")</f>
        <v>2 [51.218093]</v>
      </c>
      <c r="J128">
        <f>IF(FT!B128&lt;&gt;"",FT!C128,"")</f>
        <v>51.2181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23387</v>
      </c>
      <c r="D129" s="61">
        <f>FH!B129*1</f>
        <v>23387</v>
      </c>
      <c r="E129">
        <f t="shared" si="11"/>
        <v>127</v>
      </c>
      <c r="F129" s="61">
        <f>IF(FT!A129&lt;&gt;"",FT!A129*10,"")</f>
        <v>2.5194899999999998</v>
      </c>
      <c r="G129" s="61">
        <f>IF(FT!B129&lt;&gt;"",FT!B129*100,"")</f>
        <v>25.110300000000002</v>
      </c>
      <c r="H129" s="61">
        <f t="shared" si="9"/>
        <v>1</v>
      </c>
      <c r="I129" t="str">
        <f>IF(FT!B129&lt;&gt;"",FT!E129,"")</f>
        <v>2 [51.621567]</v>
      </c>
      <c r="J129">
        <f>IF(FT!B129&lt;&gt;"",FT!C129,"")</f>
        <v>51.621600000000001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2.5265</v>
      </c>
      <c r="G130" s="61">
        <f>IF(FT!B130&lt;&gt;"",FT!B130*100,"")</f>
        <v>25.008399999999998</v>
      </c>
      <c r="H130" s="61">
        <f t="shared" si="9"/>
        <v>1</v>
      </c>
      <c r="I130" t="str">
        <f>IF(FT!B130&lt;&gt;"",FT!E130,"")</f>
        <v>2 [52.026131]</v>
      </c>
      <c r="J130">
        <f>IF(FT!B130&lt;&gt;"",FT!C130,"")</f>
        <v>52.0261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19897</v>
      </c>
      <c r="D131" s="61">
        <f>FH!B131*1</f>
        <v>19897</v>
      </c>
      <c r="E131">
        <f t="shared" si="11"/>
        <v>129</v>
      </c>
      <c r="F131" s="61">
        <f>IF(FT!A131&lt;&gt;"",FT!A131*10,"")</f>
        <v>2.5320100000000001</v>
      </c>
      <c r="G131" s="61">
        <f>IF(FT!B131&lt;&gt;"",FT!B131*100,"")</f>
        <v>24.909100000000002</v>
      </c>
      <c r="H131" s="61">
        <f t="shared" ref="H131:H194" si="13">(IF(F131&lt;&gt;"",1,""))</f>
        <v>1</v>
      </c>
      <c r="I131" t="str">
        <f>IF(FT!B131&lt;&gt;"",FT!E131,"")</f>
        <v>2 [52.433932]</v>
      </c>
      <c r="J131">
        <f>IF(FT!B131&lt;&gt;"",FT!C131,"")</f>
        <v>52.433900000000001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2.5363500000000001</v>
      </c>
      <c r="G132" s="61">
        <f>IF(FT!B132&lt;&gt;"",FT!B132*100,"")</f>
        <v>24.846399999999999</v>
      </c>
      <c r="H132" s="61">
        <f t="shared" si="13"/>
        <v>1</v>
      </c>
      <c r="I132" t="str">
        <f>IF(FT!B132&lt;&gt;"",FT!E132,"")</f>
        <v>2 [52.842037]</v>
      </c>
      <c r="J132">
        <f>IF(FT!B132&lt;&gt;"",FT!C132,"")</f>
        <v>52.841999999999999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2.54026</v>
      </c>
      <c r="G133" s="61">
        <f>IF(FT!B133&lt;&gt;"",FT!B133*100,"")</f>
        <v>24.854100000000003</v>
      </c>
      <c r="H133" s="61">
        <f t="shared" si="13"/>
        <v>1</v>
      </c>
      <c r="I133" t="str">
        <f>IF(FT!B133&lt;&gt;"",FT!E133,"")</f>
        <v>2 [53.251629]</v>
      </c>
      <c r="J133">
        <f>IF(FT!B133&lt;&gt;"",FT!C133,"")</f>
        <v>53.251600000000003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21217</v>
      </c>
      <c r="D134" s="61">
        <f>FH!B134*1</f>
        <v>21217</v>
      </c>
      <c r="E134">
        <f t="shared" si="15"/>
        <v>132</v>
      </c>
      <c r="F134" s="61">
        <f>IF(FT!A134&lt;&gt;"",FT!A134*10,"")</f>
        <v>2.5428199999999999</v>
      </c>
      <c r="G134" s="61">
        <f>IF(FT!B134&lt;&gt;"",FT!B134*100,"")</f>
        <v>24.921900000000001</v>
      </c>
      <c r="H134" s="61">
        <f t="shared" si="13"/>
        <v>1</v>
      </c>
      <c r="I134" t="str">
        <f>IF(FT!B134&lt;&gt;"",FT!E134,"")</f>
        <v>2 [53.657891]</v>
      </c>
      <c r="J134">
        <f>IF(FT!B134&lt;&gt;"",FT!C134,"")</f>
        <v>53.657899999999998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2.5403099999999998</v>
      </c>
      <c r="G135" s="61">
        <f>IF(FT!B135&lt;&gt;"",FT!B135*100,"")</f>
        <v>25.125700000000002</v>
      </c>
      <c r="H135" s="61">
        <f t="shared" si="13"/>
        <v>1</v>
      </c>
      <c r="I135" t="str">
        <f>IF(FT!B135&lt;&gt;"",FT!E135,"")</f>
        <v>2 [54.060670]</v>
      </c>
      <c r="J135">
        <f>IF(FT!B135&lt;&gt;"",FT!C135,"")</f>
        <v>54.060699999999997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19642</v>
      </c>
      <c r="D136" s="61">
        <f>FH!B136*1</f>
        <v>19642</v>
      </c>
      <c r="E136">
        <f t="shared" si="15"/>
        <v>134</v>
      </c>
      <c r="F136" s="61">
        <f>IF(FT!A136&lt;&gt;"",FT!A136*10,"")</f>
        <v>2.5317400000000001</v>
      </c>
      <c r="G136" s="61">
        <f>IF(FT!B136&lt;&gt;"",FT!B136*100,"")</f>
        <v>25.361699999999999</v>
      </c>
      <c r="H136" s="61">
        <f t="shared" si="13"/>
        <v>1</v>
      </c>
      <c r="I136" t="str">
        <f>IF(FT!B136&lt;&gt;"",FT!E136,"")</f>
        <v>2 [54.465562]</v>
      </c>
      <c r="J136">
        <f>IF(FT!B136&lt;&gt;"",FT!C136,"")</f>
        <v>54.465600000000002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2.5223499999999999</v>
      </c>
      <c r="G137" s="61">
        <f>IF(FT!B137&lt;&gt;"",FT!B137*100,"")</f>
        <v>25.606400000000001</v>
      </c>
      <c r="H137" s="61">
        <f t="shared" si="13"/>
        <v>1</v>
      </c>
      <c r="I137" t="str">
        <f>IF(FT!B137&lt;&gt;"",FT!E137,"")</f>
        <v>2 [54.875626]</v>
      </c>
      <c r="J137">
        <f>IF(FT!B137&lt;&gt;"",FT!C137,"")</f>
        <v>54.875599999999999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2.5129600000000001</v>
      </c>
      <c r="G138" s="61">
        <f>IF(FT!B138&lt;&gt;"",FT!B138*100,"")</f>
        <v>25.8245</v>
      </c>
      <c r="H138" s="61">
        <f t="shared" si="13"/>
        <v>1</v>
      </c>
      <c r="I138" t="str">
        <f>IF(FT!B138&lt;&gt;"",FT!E138,"")</f>
        <v>2 [55.280461]</v>
      </c>
      <c r="J138">
        <f>IF(FT!B138&lt;&gt;"",FT!C138,"")</f>
        <v>55.280500000000004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16900</v>
      </c>
      <c r="D139" s="61">
        <f>FH!B139*1</f>
        <v>16900</v>
      </c>
      <c r="E139">
        <f t="shared" si="15"/>
        <v>137</v>
      </c>
      <c r="F139" s="61">
        <f>IF(FT!A139&lt;&gt;"",FT!A139*10,"")</f>
        <v>2.5024299999999999</v>
      </c>
      <c r="G139" s="61">
        <f>IF(FT!B139&lt;&gt;"",FT!B139*100,"")</f>
        <v>26.053900000000002</v>
      </c>
      <c r="H139" s="61">
        <f t="shared" si="13"/>
        <v>1</v>
      </c>
      <c r="I139" t="str">
        <f>IF(FT!B139&lt;&gt;"",FT!E139,"")</f>
        <v>2 [55.685076]</v>
      </c>
      <c r="J139">
        <f>IF(FT!B139&lt;&gt;"",FT!C139,"")</f>
        <v>55.685099999999998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2.4918299999999998</v>
      </c>
      <c r="G140" s="61">
        <f>IF(FT!B140&lt;&gt;"",FT!B140*100,"")</f>
        <v>26.274999999999999</v>
      </c>
      <c r="H140" s="61">
        <f t="shared" si="13"/>
        <v>1</v>
      </c>
      <c r="I140" t="str">
        <f>IF(FT!B140&lt;&gt;"",FT!E140,"")</f>
        <v>2 [56.088814]</v>
      </c>
      <c r="J140">
        <f>IF(FT!B140&lt;&gt;"",FT!C140,"")</f>
        <v>56.088799999999999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2.4779599999999999</v>
      </c>
      <c r="G141" s="61">
        <f>IF(FT!B141&lt;&gt;"",FT!B141*100,"")</f>
        <v>26.680700000000002</v>
      </c>
      <c r="H141" s="61">
        <f t="shared" si="13"/>
        <v>1</v>
      </c>
      <c r="I141" t="str">
        <f>IF(FT!B141&lt;&gt;"",FT!E141,"")</f>
        <v>2 [56.497711]</v>
      </c>
      <c r="J141">
        <f>IF(FT!B141&lt;&gt;"",FT!C141,"")</f>
        <v>56.497700000000002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16253</v>
      </c>
      <c r="D142" s="61">
        <f>FH!B142*1</f>
        <v>16253</v>
      </c>
      <c r="E142">
        <f t="shared" si="15"/>
        <v>140</v>
      </c>
      <c r="F142" s="61">
        <f>IF(FT!A142&lt;&gt;"",FT!A142*10,"")</f>
        <v>2.46007</v>
      </c>
      <c r="G142" s="61">
        <f>IF(FT!B142&lt;&gt;"",FT!B142*100,"")</f>
        <v>27.264500000000002</v>
      </c>
      <c r="H142" s="61">
        <f t="shared" si="13"/>
        <v>1</v>
      </c>
      <c r="I142" t="str">
        <f>IF(FT!B142&lt;&gt;"",FT!E142,"")</f>
        <v>2 [56.906534]</v>
      </c>
      <c r="J142">
        <f>IF(FT!B142&lt;&gt;"",FT!C142,"")</f>
        <v>56.906500000000001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2.4400599999999999</v>
      </c>
      <c r="G143" s="61">
        <f>IF(FT!B143&lt;&gt;"",FT!B143*100,"")</f>
        <v>28.009099999999997</v>
      </c>
      <c r="H143" s="61">
        <f t="shared" si="13"/>
        <v>1</v>
      </c>
      <c r="I143" t="str">
        <f>IF(FT!B143&lt;&gt;"",FT!E143,"")</f>
        <v>2 [57.312732]</v>
      </c>
      <c r="J143">
        <f>IF(FT!B143&lt;&gt;"",FT!C143,"")</f>
        <v>57.3127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13567</v>
      </c>
      <c r="D144" s="61">
        <f>FH!B144*1</f>
        <v>13567</v>
      </c>
      <c r="E144">
        <f t="shared" si="15"/>
        <v>142</v>
      </c>
      <c r="F144" s="61">
        <f>IF(FT!A144&lt;&gt;"",FT!A144*10,"")</f>
        <v>2.4189500000000002</v>
      </c>
      <c r="G144" s="61">
        <f>IF(FT!B144&lt;&gt;"",FT!B144*100,"")</f>
        <v>28.785699999999999</v>
      </c>
      <c r="H144" s="61">
        <f t="shared" si="13"/>
        <v>1</v>
      </c>
      <c r="I144" t="str">
        <f>IF(FT!B144&lt;&gt;"",FT!E144,"")</f>
        <v>2 [57.716774]</v>
      </c>
      <c r="J144">
        <f>IF(FT!B144&lt;&gt;"",FT!C144,"")</f>
        <v>57.716799999999999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2.3994</v>
      </c>
      <c r="G145" s="61">
        <f>IF(FT!B145&lt;&gt;"",FT!B145*100,"")</f>
        <v>29.617900000000002</v>
      </c>
      <c r="H145" s="61">
        <f t="shared" si="13"/>
        <v>1</v>
      </c>
      <c r="I145" t="str">
        <f>IF(FT!B145&lt;&gt;"",FT!E145,"")</f>
        <v>2 [58.121714]</v>
      </c>
      <c r="J145">
        <f>IF(FT!B145&lt;&gt;"",FT!C145,"")</f>
        <v>58.121699999999997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2.3825400000000001</v>
      </c>
      <c r="G146" s="61">
        <f>IF(FT!B146&lt;&gt;"",FT!B146*100,"")</f>
        <v>30.331399999999999</v>
      </c>
      <c r="H146" s="61">
        <f t="shared" si="13"/>
        <v>1</v>
      </c>
      <c r="I146" t="str">
        <f>IF(FT!B146&lt;&gt;"",FT!E146,"")</f>
        <v>2 [58.528239]</v>
      </c>
      <c r="J146">
        <f>IF(FT!B146&lt;&gt;"",FT!C146,"")</f>
        <v>58.528199999999998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13064</v>
      </c>
      <c r="D147" s="61">
        <f>FH!B147*1</f>
        <v>13064</v>
      </c>
      <c r="E147">
        <f t="shared" si="15"/>
        <v>145</v>
      </c>
      <c r="F147" s="61">
        <f>IF(FT!A147&lt;&gt;"",FT!A147*10,"")</f>
        <v>2.3645399999999999</v>
      </c>
      <c r="G147" s="61">
        <f>IF(FT!B147&lt;&gt;"",FT!B147*100,"")</f>
        <v>30.9419</v>
      </c>
      <c r="H147" s="61">
        <f t="shared" si="13"/>
        <v>1</v>
      </c>
      <c r="I147" t="str">
        <f>IF(FT!B147&lt;&gt;"",FT!E147,"")</f>
        <v>2 [58.936213]</v>
      </c>
      <c r="J147">
        <f>IF(FT!B147&lt;&gt;"",FT!C147,"")</f>
        <v>58.936199999999999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2.35405</v>
      </c>
      <c r="G148" s="61">
        <f>IF(FT!B148&lt;&gt;"",FT!B148*100,"")</f>
        <v>31.1785</v>
      </c>
      <c r="H148" s="61">
        <f t="shared" si="13"/>
        <v>1</v>
      </c>
      <c r="I148" t="str">
        <f>IF(FT!B148&lt;&gt;"",FT!E148,"")</f>
        <v>2 [59.343312]</v>
      </c>
      <c r="J148">
        <f>IF(FT!B148&lt;&gt;"",FT!C148,"")</f>
        <v>59.343299999999999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11336</v>
      </c>
      <c r="D149" s="61">
        <f>FH!B149*1</f>
        <v>11336</v>
      </c>
      <c r="E149">
        <f t="shared" si="15"/>
        <v>147</v>
      </c>
      <c r="F149" s="61">
        <f>IF(FT!A149&lt;&gt;"",FT!A149*10,"")</f>
        <v>2.3431500000000001</v>
      </c>
      <c r="G149" s="61">
        <f>IF(FT!B149&lt;&gt;"",FT!B149*100,"")</f>
        <v>31.251299999999997</v>
      </c>
      <c r="H149" s="61">
        <f t="shared" si="13"/>
        <v>1</v>
      </c>
      <c r="I149" t="str">
        <f>IF(FT!B149&lt;&gt;"",FT!E149,"")</f>
        <v>2 [59.747993]</v>
      </c>
      <c r="J149">
        <f>IF(FT!B149&lt;&gt;"",FT!C149,"")</f>
        <v>59.747999999999998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>
        <f>IF(FT!A150&lt;&gt;"",FT!A150*10,"")</f>
        <v>2.3279800000000002</v>
      </c>
      <c r="G150" s="61">
        <f>IF(FT!B150&lt;&gt;"",FT!B150*100,"")</f>
        <v>31.723499999999998</v>
      </c>
      <c r="H150" s="61">
        <f t="shared" si="13"/>
        <v>1</v>
      </c>
      <c r="I150" t="str">
        <f>IF(FT!B150&lt;&gt;"",FT!E150,"")</f>
        <v>2 [60.155150]</v>
      </c>
      <c r="J150">
        <f>IF(FT!B150&lt;&gt;"",FT!C150,"")</f>
        <v>60.155099999999997</v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8733</v>
      </c>
      <c r="D152" s="61">
        <f>FH!B152*1</f>
        <v>8733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6205</v>
      </c>
      <c r="D154" s="61">
        <f>FH!B154*1</f>
        <v>6205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5304</v>
      </c>
      <c r="D157" s="61">
        <f>FH!B157*1</f>
        <v>5304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4379</v>
      </c>
      <c r="D160" s="61">
        <f>FH!B160*1</f>
        <v>4379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2822</v>
      </c>
      <c r="D162" s="61">
        <f>FH!B162*1</f>
        <v>2822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1453</v>
      </c>
      <c r="D165" s="61">
        <f>FH!B165*1</f>
        <v>1453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762</v>
      </c>
      <c r="D167" s="61">
        <f>FH!B167*1</f>
        <v>762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703</v>
      </c>
      <c r="D170" s="61">
        <f>FH!B170*1</f>
        <v>703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334</v>
      </c>
      <c r="D173" s="61">
        <f>FH!B173*1</f>
        <v>334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0</v>
      </c>
      <c r="D175" s="61">
        <f>FH!B175*1</f>
        <v>0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0</v>
      </c>
      <c r="D178" s="61">
        <f>FH!B178*1</f>
        <v>0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0</v>
      </c>
      <c r="D180" s="61">
        <f>FH!B180*1</f>
        <v>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35.535800000000002</v>
      </c>
      <c r="C5" s="66">
        <v>10.5959</v>
      </c>
      <c r="D5" s="66">
        <v>29.817499999999999</v>
      </c>
      <c r="E5" s="66">
        <v>20</v>
      </c>
      <c r="F5" s="66">
        <v>8.0651399999999995</v>
      </c>
      <c r="G5" s="66">
        <v>50</v>
      </c>
      <c r="H5" s="66">
        <v>59.749400000000001</v>
      </c>
    </row>
    <row r="6" spans="1:8">
      <c r="A6" s="58" t="s">
        <v>303</v>
      </c>
      <c r="B6" s="66">
        <v>47.575600000000001</v>
      </c>
      <c r="C6" s="66">
        <v>2.78173</v>
      </c>
      <c r="D6" s="66">
        <v>5.8469699999999998</v>
      </c>
      <c r="E6" s="66">
        <v>20</v>
      </c>
      <c r="F6" s="66">
        <v>38.024799999999999</v>
      </c>
      <c r="G6" s="66">
        <v>40</v>
      </c>
      <c r="H6" s="66">
        <v>55.6937</v>
      </c>
    </row>
    <row r="7" spans="1:8">
      <c r="A7" s="58" t="s">
        <v>304</v>
      </c>
      <c r="B7" s="66">
        <v>28.743099999999998</v>
      </c>
      <c r="C7" s="66">
        <v>10.5174</v>
      </c>
      <c r="D7" s="66">
        <v>36.591099999999997</v>
      </c>
      <c r="E7" s="66">
        <v>15</v>
      </c>
      <c r="F7" s="66">
        <v>12.6434</v>
      </c>
      <c r="G7" s="66">
        <v>40</v>
      </c>
      <c r="H7" s="66">
        <v>52.801299999999998</v>
      </c>
    </row>
    <row r="8" spans="1:8">
      <c r="A8" s="58" t="s">
        <v>305</v>
      </c>
      <c r="B8" s="66">
        <v>38.744199999999999</v>
      </c>
      <c r="C8" s="66">
        <v>5.9783299999999997</v>
      </c>
      <c r="D8" s="66">
        <v>15.430199999999999</v>
      </c>
      <c r="E8" s="66">
        <v>20</v>
      </c>
      <c r="F8" s="66">
        <v>24.5793</v>
      </c>
      <c r="G8" s="66">
        <v>50</v>
      </c>
      <c r="H8" s="66">
        <v>52.664999999999999</v>
      </c>
    </row>
    <row r="9" spans="1:8">
      <c r="A9" s="58" t="s">
        <v>306</v>
      </c>
      <c r="B9" s="66">
        <v>50.223500000000001</v>
      </c>
      <c r="C9" s="66">
        <v>5.9874799999999997</v>
      </c>
      <c r="D9" s="66">
        <v>11.9217</v>
      </c>
      <c r="E9" s="66">
        <v>50</v>
      </c>
      <c r="F9" s="66">
        <v>39.762900000000002</v>
      </c>
      <c r="G9" s="66">
        <v>100</v>
      </c>
      <c r="H9" s="66">
        <v>72.487700000000004</v>
      </c>
    </row>
    <row r="10" spans="1:8">
      <c r="A10" s="58" t="s">
        <v>307</v>
      </c>
      <c r="B10" s="66">
        <v>56.512999999999998</v>
      </c>
      <c r="C10" s="66">
        <v>4.2650899999999998</v>
      </c>
      <c r="D10" s="66">
        <v>7.5470899999999999</v>
      </c>
      <c r="E10" s="66">
        <v>40</v>
      </c>
      <c r="F10" s="66">
        <v>44.9499</v>
      </c>
      <c r="G10" s="66">
        <v>100</v>
      </c>
      <c r="H10" s="66">
        <v>62.807000000000002</v>
      </c>
    </row>
    <row r="11" spans="1:8">
      <c r="A11" s="58" t="s">
        <v>308</v>
      </c>
      <c r="B11" s="66">
        <v>10.9435</v>
      </c>
      <c r="C11" s="66">
        <v>2.5143300000000002</v>
      </c>
      <c r="D11" s="66">
        <v>22.9756</v>
      </c>
      <c r="E11" s="66">
        <v>10</v>
      </c>
      <c r="F11" s="66">
        <v>3.9617800000000001</v>
      </c>
      <c r="G11" s="66">
        <v>50</v>
      </c>
      <c r="H11" s="66">
        <v>14.5449</v>
      </c>
    </row>
    <row r="12" spans="1:8">
      <c r="A12" s="58" t="s">
        <v>309</v>
      </c>
      <c r="B12" s="66">
        <v>52.807400000000001</v>
      </c>
      <c r="C12" s="66">
        <v>3.5865399999999998</v>
      </c>
      <c r="D12" s="66">
        <v>6.7917399999999999</v>
      </c>
      <c r="E12" s="66">
        <v>50</v>
      </c>
      <c r="F12" s="66">
        <v>46.4191</v>
      </c>
      <c r="G12" s="66">
        <v>100</v>
      </c>
      <c r="H12" s="66">
        <v>67.506600000000006</v>
      </c>
    </row>
    <row r="13" spans="1:8">
      <c r="A13" s="58" t="s">
        <v>310</v>
      </c>
      <c r="B13" s="66">
        <v>17.523900000000001</v>
      </c>
      <c r="C13" s="66">
        <v>3.54671</v>
      </c>
      <c r="D13" s="66">
        <v>20.2393</v>
      </c>
      <c r="E13" s="66">
        <v>10</v>
      </c>
      <c r="F13" s="66">
        <v>13.3028</v>
      </c>
      <c r="G13" s="66">
        <v>25</v>
      </c>
      <c r="H13" s="66">
        <v>31.1798</v>
      </c>
    </row>
    <row r="14" spans="1:8">
      <c r="A14" s="58" t="s">
        <v>311</v>
      </c>
      <c r="B14" s="66">
        <v>35.467100000000002</v>
      </c>
      <c r="C14" s="66">
        <v>11.4808</v>
      </c>
      <c r="D14" s="66">
        <v>32.370399999999997</v>
      </c>
      <c r="E14" s="66">
        <v>10</v>
      </c>
      <c r="F14" s="66">
        <v>2.1885400000000002</v>
      </c>
      <c r="G14" s="66">
        <v>50</v>
      </c>
      <c r="H14" s="66">
        <v>41.174500000000002</v>
      </c>
    </row>
    <row r="15" spans="1:8">
      <c r="A15" s="58" t="s">
        <v>312</v>
      </c>
      <c r="B15" s="66">
        <v>4.6848399999999998E-2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9.03254E-2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18.953199999999999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0.33032800000000001</v>
      </c>
      <c r="C18" s="66">
        <v>2.46959E-2</v>
      </c>
      <c r="D18" s="66">
        <v>7.4761800000000003E-2</v>
      </c>
      <c r="E18" s="66">
        <v>0</v>
      </c>
      <c r="F18" s="66">
        <v>0.30563200000000001</v>
      </c>
      <c r="G18" s="66">
        <v>0</v>
      </c>
      <c r="H18" s="66">
        <v>0.35502400000000001</v>
      </c>
    </row>
    <row r="19" spans="1:8">
      <c r="A19" s="58" t="s">
        <v>316</v>
      </c>
      <c r="B19" s="66">
        <v>0.77370399999999995</v>
      </c>
      <c r="C19" s="66">
        <v>9.8845000000000002E-2</v>
      </c>
      <c r="D19" s="66">
        <v>0.12775600000000001</v>
      </c>
      <c r="E19" s="66">
        <v>0</v>
      </c>
      <c r="F19" s="66">
        <v>0.67485899999999999</v>
      </c>
      <c r="G19" s="66">
        <v>0</v>
      </c>
      <c r="H19" s="66">
        <v>0.87254900000000002</v>
      </c>
    </row>
    <row r="20" spans="1:8">
      <c r="A20" s="58" t="s">
        <v>317</v>
      </c>
      <c r="B20" s="196">
        <v>7.4874600000000003E-5</v>
      </c>
      <c r="C20" s="66">
        <v>4.9631700000000001E-2</v>
      </c>
      <c r="D20" s="66">
        <v>662.86400000000003</v>
      </c>
      <c r="E20" s="66">
        <v>0</v>
      </c>
      <c r="F20" s="66">
        <v>0</v>
      </c>
      <c r="G20" s="66">
        <v>0</v>
      </c>
      <c r="H20" s="66">
        <v>1.3197700000000001</v>
      </c>
    </row>
    <row r="21" spans="1:8">
      <c r="A21" s="58" t="s">
        <v>318</v>
      </c>
      <c r="B21" s="66">
        <v>2.0441399999999998E-2</v>
      </c>
      <c r="C21" s="66">
        <v>0.16647600000000001</v>
      </c>
      <c r="D21" s="66">
        <v>8.14405</v>
      </c>
      <c r="E21" s="66">
        <v>0</v>
      </c>
      <c r="F21" s="66">
        <v>1.52867E-4</v>
      </c>
      <c r="G21" s="66">
        <v>0</v>
      </c>
      <c r="H21" s="66">
        <v>1.32369</v>
      </c>
    </row>
    <row r="22" spans="1:8">
      <c r="A22" s="58" t="s">
        <v>319</v>
      </c>
      <c r="B22" s="66">
        <v>36.516199999999998</v>
      </c>
      <c r="C22" s="66">
        <v>18.742999999999999</v>
      </c>
      <c r="D22" s="66">
        <v>0.51327900000000004</v>
      </c>
      <c r="E22" s="66">
        <v>0</v>
      </c>
      <c r="F22" s="66">
        <v>13.881399999999999</v>
      </c>
      <c r="G22" s="66">
        <v>0</v>
      </c>
      <c r="H22" s="66">
        <v>114.66500000000001</v>
      </c>
    </row>
    <row r="23" spans="1:8">
      <c r="A23" s="58" t="s">
        <v>320</v>
      </c>
      <c r="B23" s="66">
        <v>12.281700000000001</v>
      </c>
      <c r="C23" s="66">
        <v>1.6749700000000001</v>
      </c>
      <c r="D23" s="66">
        <v>0.136379</v>
      </c>
      <c r="E23" s="66">
        <v>0</v>
      </c>
      <c r="F23" s="66">
        <v>7.7846200000000003</v>
      </c>
      <c r="G23" s="66">
        <v>0</v>
      </c>
      <c r="H23" s="66">
        <v>15.7098</v>
      </c>
    </row>
    <row r="24" spans="1:8">
      <c r="A24" s="58" t="s">
        <v>321</v>
      </c>
      <c r="B24" s="66">
        <v>4.4016900000000002E-4</v>
      </c>
      <c r="C24" s="66">
        <v>2.3946200000000001E-2</v>
      </c>
      <c r="D24" s="66">
        <v>54.402200000000001</v>
      </c>
      <c r="E24" s="66">
        <v>0</v>
      </c>
      <c r="F24" s="196">
        <v>2.9374800000000001E-6</v>
      </c>
      <c r="G24" s="66">
        <v>0</v>
      </c>
      <c r="H24" s="66">
        <v>0.20122399999999999</v>
      </c>
    </row>
    <row r="25" spans="1:8">
      <c r="A25" s="58" t="s">
        <v>322</v>
      </c>
      <c r="B25" s="66">
        <v>5.44672E-2</v>
      </c>
      <c r="C25" s="66">
        <v>8.4664100000000006E-2</v>
      </c>
      <c r="D25" s="66">
        <v>1.5544100000000001</v>
      </c>
      <c r="E25" s="66">
        <v>0</v>
      </c>
      <c r="F25" s="66">
        <v>6.4488599999999998E-3</v>
      </c>
      <c r="G25" s="66">
        <v>0</v>
      </c>
      <c r="H25" s="66">
        <v>0.44164700000000001</v>
      </c>
    </row>
    <row r="26" spans="1:8">
      <c r="A26" s="58" t="s">
        <v>323</v>
      </c>
      <c r="B26" s="196">
        <v>2.9543099999999998E-5</v>
      </c>
      <c r="C26" s="66">
        <v>5.9308299999999998E-3</v>
      </c>
      <c r="D26" s="66">
        <v>200.75200000000001</v>
      </c>
      <c r="E26" s="66">
        <v>0</v>
      </c>
      <c r="F26" s="66">
        <v>0</v>
      </c>
      <c r="G26" s="66">
        <v>0</v>
      </c>
      <c r="H26" s="66">
        <v>0.16627800000000001</v>
      </c>
    </row>
    <row r="27" spans="1:8">
      <c r="A27" s="58" t="s">
        <v>324</v>
      </c>
      <c r="B27" s="66">
        <v>0</v>
      </c>
      <c r="C27" s="66">
        <v>7.7223300000000003E-3</v>
      </c>
      <c r="D27" s="66">
        <v>0</v>
      </c>
      <c r="E27" s="66">
        <v>0</v>
      </c>
      <c r="F27" s="66">
        <v>-0.166242</v>
      </c>
      <c r="G27" s="66">
        <v>0</v>
      </c>
      <c r="H27" s="66">
        <v>0.16627500000000001</v>
      </c>
    </row>
    <row r="28" spans="1:8">
      <c r="A28" s="58" t="s">
        <v>325</v>
      </c>
      <c r="B28" s="66">
        <v>3.8053399999999999E-3</v>
      </c>
      <c r="C28" s="66">
        <v>1.7705599999999998E-2</v>
      </c>
      <c r="D28" s="66">
        <v>4.6528299999999998</v>
      </c>
      <c r="E28" s="66">
        <v>0</v>
      </c>
      <c r="F28" s="196">
        <v>7.4869800000000006E-5</v>
      </c>
      <c r="G28" s="66">
        <v>0</v>
      </c>
      <c r="H28" s="66">
        <v>0.16673199999999999</v>
      </c>
    </row>
    <row r="29" spans="1:8">
      <c r="A29" s="58" t="s">
        <v>326</v>
      </c>
      <c r="B29" s="66">
        <v>66.567599999999999</v>
      </c>
      <c r="C29" s="66">
        <v>13.0115</v>
      </c>
      <c r="D29" s="66">
        <v>0.195462</v>
      </c>
      <c r="E29" s="66">
        <v>0</v>
      </c>
      <c r="F29" s="66">
        <v>36.389200000000002</v>
      </c>
      <c r="G29" s="66">
        <v>0</v>
      </c>
      <c r="H29" s="66">
        <v>116.77800000000001</v>
      </c>
    </row>
    <row r="30" spans="1:8">
      <c r="A30" s="58" t="s">
        <v>327</v>
      </c>
      <c r="B30" s="66">
        <v>12.9458</v>
      </c>
      <c r="C30" s="66">
        <v>2.0071099999999999</v>
      </c>
      <c r="D30" s="66">
        <v>0.15503900000000001</v>
      </c>
      <c r="E30" s="66">
        <v>0</v>
      </c>
      <c r="F30" s="66">
        <v>8.3057599999999994</v>
      </c>
      <c r="G30" s="66">
        <v>0</v>
      </c>
      <c r="H30" s="66">
        <v>17.1188</v>
      </c>
    </row>
    <row r="31" spans="1:8">
      <c r="A31" s="58" t="s">
        <v>328</v>
      </c>
      <c r="B31" s="66">
        <v>151.999</v>
      </c>
      <c r="C31" s="66">
        <v>43.2194</v>
      </c>
      <c r="D31" s="66">
        <v>0.28433999999999998</v>
      </c>
      <c r="E31" s="66">
        <v>0</v>
      </c>
      <c r="F31" s="66">
        <v>48.314300000000003</v>
      </c>
      <c r="G31" s="66">
        <v>0</v>
      </c>
      <c r="H31" s="66">
        <v>206.041</v>
      </c>
    </row>
    <row r="32" spans="1:8">
      <c r="A32" s="58" t="s">
        <v>329</v>
      </c>
      <c r="B32" s="66">
        <v>0.28743099999999999</v>
      </c>
      <c r="C32" s="66">
        <v>0.105174</v>
      </c>
      <c r="D32" s="66">
        <v>0.36591099999999999</v>
      </c>
      <c r="E32" s="66">
        <v>0.15</v>
      </c>
      <c r="F32" s="66">
        <v>0.12643399999999999</v>
      </c>
      <c r="G32" s="66">
        <v>0.4</v>
      </c>
      <c r="H32" s="66">
        <v>0.52801299999999995</v>
      </c>
    </row>
    <row r="33" spans="1:8">
      <c r="A33" s="58" t="s">
        <v>330</v>
      </c>
      <c r="B33" s="66">
        <v>0.370977</v>
      </c>
      <c r="C33" s="66">
        <v>2.3623100000000001E-2</v>
      </c>
      <c r="D33" s="66">
        <v>6.3678100000000001E-2</v>
      </c>
      <c r="E33" s="66">
        <v>0</v>
      </c>
      <c r="F33" s="66">
        <v>0.312496</v>
      </c>
      <c r="G33" s="66">
        <v>0</v>
      </c>
      <c r="H33" s="66">
        <v>0.44589899999999999</v>
      </c>
    </row>
    <row r="34" spans="1:8">
      <c r="A34" s="58" t="s">
        <v>331</v>
      </c>
      <c r="B34" s="66">
        <v>0.17523900000000001</v>
      </c>
      <c r="C34" s="66">
        <v>3.5467100000000001E-2</v>
      </c>
      <c r="D34" s="66">
        <v>0.20239299999999999</v>
      </c>
      <c r="E34" s="66">
        <v>0.1</v>
      </c>
      <c r="F34" s="66">
        <v>0.13302800000000001</v>
      </c>
      <c r="G34" s="66">
        <v>0.25</v>
      </c>
      <c r="H34" s="66">
        <v>0.31179800000000002</v>
      </c>
    </row>
    <row r="35" spans="1:8">
      <c r="A35" s="58" t="s">
        <v>332</v>
      </c>
      <c r="B35" s="66">
        <v>7.6852299999999998E-2</v>
      </c>
      <c r="C35" s="66">
        <v>1.9639400000000001E-2</v>
      </c>
      <c r="D35" s="66">
        <v>0.255548</v>
      </c>
      <c r="E35" s="66">
        <v>0</v>
      </c>
      <c r="F35" s="66">
        <v>2.60769E-2</v>
      </c>
      <c r="G35" s="66">
        <v>0</v>
      </c>
      <c r="H35" s="66">
        <v>0.12959899999999999</v>
      </c>
    </row>
    <row r="36" spans="1:8">
      <c r="A36" s="58" t="s">
        <v>333</v>
      </c>
      <c r="B36" s="66">
        <v>0.16040599999999999</v>
      </c>
      <c r="C36" s="66">
        <v>8.9705099999999996E-2</v>
      </c>
      <c r="D36" s="66">
        <v>0.55923999999999996</v>
      </c>
      <c r="E36" s="66">
        <v>0</v>
      </c>
      <c r="F36" s="66">
        <v>4.1463E-2</v>
      </c>
      <c r="G36" s="66">
        <v>0</v>
      </c>
      <c r="H36" s="66">
        <v>0.472609</v>
      </c>
    </row>
    <row r="37" spans="1:8">
      <c r="A37" s="58" t="s">
        <v>334</v>
      </c>
      <c r="B37" s="66">
        <v>0.35467100000000001</v>
      </c>
      <c r="C37" s="66">
        <v>0.11480799999999999</v>
      </c>
      <c r="D37" s="66">
        <v>0.32370399999999999</v>
      </c>
      <c r="E37" s="66">
        <v>0.1</v>
      </c>
      <c r="F37" s="66">
        <v>2.1885399999999999E-2</v>
      </c>
      <c r="G37" s="66">
        <v>0.5</v>
      </c>
      <c r="H37" s="66">
        <v>0.41174500000000003</v>
      </c>
    </row>
    <row r="38" spans="1:8">
      <c r="A38" s="58" t="s">
        <v>335</v>
      </c>
      <c r="B38" s="66">
        <v>-11.303800000000001</v>
      </c>
      <c r="C38" s="66">
        <v>64.414000000000001</v>
      </c>
      <c r="D38" s="66">
        <v>-5.6984599999999999</v>
      </c>
      <c r="E38" s="66">
        <v>0</v>
      </c>
      <c r="F38" s="66">
        <v>-100.523</v>
      </c>
      <c r="G38" s="66">
        <v>0</v>
      </c>
      <c r="H38" s="66">
        <v>343.00200000000001</v>
      </c>
    </row>
    <row r="39" spans="1:8">
      <c r="A39" s="58" t="s">
        <v>336</v>
      </c>
      <c r="B39" s="66">
        <v>-1.4443600000000001</v>
      </c>
      <c r="C39" s="66">
        <v>19.4298</v>
      </c>
      <c r="D39" s="66">
        <v>-13.452199999999999</v>
      </c>
      <c r="E39" s="66">
        <v>0</v>
      </c>
      <c r="F39" s="66">
        <v>-19.160900000000002</v>
      </c>
      <c r="G39" s="66">
        <v>0</v>
      </c>
      <c r="H39" s="66">
        <v>87.377700000000004</v>
      </c>
    </row>
    <row r="40" spans="1:8">
      <c r="A40" s="58" t="s">
        <v>337</v>
      </c>
      <c r="B40" s="66">
        <v>-2.18967</v>
      </c>
      <c r="C40" s="66">
        <v>1.46688</v>
      </c>
      <c r="D40" s="66">
        <v>-0.66990700000000003</v>
      </c>
      <c r="E40" s="66">
        <v>0</v>
      </c>
      <c r="F40" s="66">
        <v>-4.3005199999999997</v>
      </c>
      <c r="G40" s="66">
        <v>0</v>
      </c>
      <c r="H40" s="66">
        <v>1.9533799999999999</v>
      </c>
    </row>
    <row r="41" spans="1:8">
      <c r="A41" s="58" t="s">
        <v>338</v>
      </c>
      <c r="B41" s="66">
        <v>-0.12987000000000001</v>
      </c>
      <c r="C41" s="66">
        <v>0.49075800000000003</v>
      </c>
      <c r="D41" s="66">
        <v>-3.7788300000000001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-0.125364</v>
      </c>
      <c r="C42" s="66">
        <v>0.27337099999999998</v>
      </c>
      <c r="D42" s="66">
        <v>-2.1806199999999998</v>
      </c>
      <c r="E42" s="66">
        <v>0</v>
      </c>
      <c r="F42" s="66">
        <v>-0.52061999999999997</v>
      </c>
      <c r="G42" s="66">
        <v>0</v>
      </c>
      <c r="H42" s="66">
        <v>0.59645400000000004</v>
      </c>
    </row>
    <row r="43" spans="1:8">
      <c r="A43" s="58" t="s">
        <v>340</v>
      </c>
      <c r="B43" s="66">
        <v>-7.6619199999999998E-2</v>
      </c>
      <c r="C43" s="66">
        <v>0.10076300000000001</v>
      </c>
      <c r="D43" s="66">
        <v>-1.31511</v>
      </c>
      <c r="E43" s="66">
        <v>0</v>
      </c>
      <c r="F43" s="66">
        <v>-0.260548</v>
      </c>
      <c r="G43" s="66">
        <v>0</v>
      </c>
      <c r="H43" s="66">
        <v>7.9699699999999998E-2</v>
      </c>
    </row>
    <row r="44" spans="1:8">
      <c r="A44" s="58" t="s">
        <v>341</v>
      </c>
      <c r="B44" s="66">
        <v>-18.255700000000001</v>
      </c>
      <c r="C44" s="66">
        <v>14.8141</v>
      </c>
      <c r="D44" s="66">
        <v>-0.811477</v>
      </c>
      <c r="E44" s="66">
        <v>0</v>
      </c>
      <c r="F44" s="66">
        <v>-51.676000000000002</v>
      </c>
      <c r="G44" s="66">
        <v>0</v>
      </c>
      <c r="H44" s="66">
        <v>29.030100000000001</v>
      </c>
    </row>
    <row r="45" spans="1:8">
      <c r="A45" s="58" t="s">
        <v>342</v>
      </c>
      <c r="B45" s="66">
        <v>56.2149</v>
      </c>
      <c r="C45" s="66">
        <v>9.8786900000000006</v>
      </c>
      <c r="D45" s="66">
        <v>0.175731</v>
      </c>
      <c r="E45" s="66">
        <v>0</v>
      </c>
      <c r="F45" s="66">
        <v>37.296399999999998</v>
      </c>
      <c r="G45" s="66">
        <v>0</v>
      </c>
      <c r="H45" s="66">
        <v>89.069199999999995</v>
      </c>
    </row>
    <row r="46" spans="1:8">
      <c r="A46" s="58" t="s">
        <v>343</v>
      </c>
      <c r="B46" s="66">
        <v>34.761899999999997</v>
      </c>
      <c r="C46" s="66">
        <v>7.9756799999999997</v>
      </c>
      <c r="D46" s="66">
        <v>0.229437</v>
      </c>
      <c r="E46" s="66">
        <v>0</v>
      </c>
      <c r="F46" s="66">
        <v>8.3976199999999999</v>
      </c>
      <c r="G46" s="66">
        <v>0</v>
      </c>
      <c r="H46" s="66">
        <v>42.058799999999998</v>
      </c>
    </row>
    <row r="47" spans="1:8">
      <c r="A47" s="58" t="s">
        <v>344</v>
      </c>
      <c r="B47" s="66">
        <v>0.53145699999999996</v>
      </c>
      <c r="C47" s="66">
        <v>0.18212900000000001</v>
      </c>
      <c r="D47" s="66">
        <v>0.342698</v>
      </c>
      <c r="E47" s="66">
        <v>0</v>
      </c>
      <c r="F47" s="66">
        <v>0.18997</v>
      </c>
      <c r="G47" s="66">
        <v>0</v>
      </c>
      <c r="H47" s="66">
        <v>1.36124</v>
      </c>
    </row>
    <row r="48" spans="1:8">
      <c r="A48" s="58" t="s">
        <v>345</v>
      </c>
      <c r="B48" s="66">
        <v>0.49953599999999998</v>
      </c>
      <c r="C48" s="66">
        <v>6.7328700000000005E-2</v>
      </c>
      <c r="D48" s="66">
        <v>0.13478200000000001</v>
      </c>
      <c r="E48" s="66">
        <v>0</v>
      </c>
      <c r="F48" s="66">
        <v>0.38219500000000001</v>
      </c>
      <c r="G48" s="66">
        <v>0</v>
      </c>
      <c r="H48" s="66">
        <v>0.66806900000000002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-1.2760000000000034</v>
      </c>
      <c r="C5" s="66">
        <f>'M2'!C5-'M1'!C5</f>
        <v>-8.32029</v>
      </c>
      <c r="D5" s="66">
        <f>'M2'!D5-'M1'!D5</f>
        <v>-22.546599999999998</v>
      </c>
      <c r="E5" s="66">
        <f>'M2'!E5-'M1'!E5</f>
        <v>0</v>
      </c>
      <c r="F5" s="66">
        <f>'M2'!F5-'M1'!F5</f>
        <v>18.415459999999999</v>
      </c>
      <c r="G5" s="66">
        <f>'M2'!G5-'M1'!G5</f>
        <v>0</v>
      </c>
      <c r="H5" s="66">
        <f>'M2'!H5-'M1'!H5</f>
        <v>-8.9870000000000019</v>
      </c>
    </row>
    <row r="6" spans="1:8">
      <c r="A6" s="66" t="s">
        <v>244</v>
      </c>
      <c r="B6" s="66">
        <f>'M2'!B6-'M1'!B6</f>
        <v>0.65850000000000364</v>
      </c>
      <c r="C6" s="66">
        <f>'M2'!C6-'M1'!C6</f>
        <v>-7.0869999999999767E-2</v>
      </c>
      <c r="D6" s="66">
        <f>'M2'!D6-'M1'!D6</f>
        <v>-0.22513000000000005</v>
      </c>
      <c r="E6" s="66">
        <f>'M2'!E6-'M1'!E6</f>
        <v>0</v>
      </c>
      <c r="F6" s="66">
        <f>'M2'!F6-'M1'!F6</f>
        <v>6.4579999999999984</v>
      </c>
      <c r="G6" s="66">
        <f>'M2'!G6-'M1'!G6</f>
        <v>0</v>
      </c>
      <c r="H6" s="66">
        <f>'M2'!H6-'M1'!H6</f>
        <v>4.5178000000000011</v>
      </c>
    </row>
    <row r="7" spans="1:8">
      <c r="A7" s="66" t="s">
        <v>245</v>
      </c>
      <c r="B7" s="66">
        <f>'M2'!B7-'M1'!B7</f>
        <v>2.1388999999999996</v>
      </c>
      <c r="C7" s="66">
        <f>'M2'!C7-'M1'!C7</f>
        <v>-1.0376000000000012</v>
      </c>
      <c r="D7" s="66">
        <f>'M2'!D7-'M1'!D7</f>
        <v>-6.0405999999999977</v>
      </c>
      <c r="E7" s="66">
        <f>'M2'!E7-'M1'!E7</f>
        <v>0</v>
      </c>
      <c r="F7" s="66">
        <f>'M2'!F7-'M1'!F7</f>
        <v>5.3416999999999994</v>
      </c>
      <c r="G7" s="66">
        <f>'M2'!G7-'M1'!G7</f>
        <v>0</v>
      </c>
      <c r="H7" s="66">
        <f>'M2'!H7-'M1'!H7</f>
        <v>-1.8789999999999978</v>
      </c>
    </row>
    <row r="8" spans="1:8">
      <c r="A8" s="66" t="s">
        <v>246</v>
      </c>
      <c r="B8" s="66">
        <f>'M2'!B8-'M1'!B8</f>
        <v>3.1328999999999994</v>
      </c>
      <c r="C8" s="66">
        <f>'M2'!C8-'M1'!C8</f>
        <v>-4.6817600000000006</v>
      </c>
      <c r="D8" s="66">
        <f>'M2'!D8-'M1'!D8</f>
        <v>-13.216610000000001</v>
      </c>
      <c r="E8" s="66">
        <f>'M2'!E8-'M1'!E8</f>
        <v>0</v>
      </c>
      <c r="F8" s="66">
        <f>'M2'!F8-'M1'!F8</f>
        <v>10.122800000000002</v>
      </c>
      <c r="G8" s="66">
        <f>'M2'!G8-'M1'!G8</f>
        <v>0</v>
      </c>
      <c r="H8" s="66">
        <f>'M2'!H8-'M1'!H8</f>
        <v>-7.2924000000000007</v>
      </c>
    </row>
    <row r="9" spans="1:8">
      <c r="A9" s="66" t="s">
        <v>247</v>
      </c>
      <c r="B9" s="66">
        <f>'M2'!B9-'M1'!B9</f>
        <v>-7.9780000000000015</v>
      </c>
      <c r="C9" s="66">
        <f>'M2'!C9-'M1'!C9</f>
        <v>-2.3757099999999998</v>
      </c>
      <c r="D9" s="66">
        <f>'M2'!D9-'M1'!D9</f>
        <v>-3.3267799999999994</v>
      </c>
      <c r="E9" s="66">
        <f>'M2'!E9-'M1'!E9</f>
        <v>0</v>
      </c>
      <c r="F9" s="66">
        <f>'M2'!F9-'M1'!F9</f>
        <v>-3.2087999999999965</v>
      </c>
      <c r="G9" s="66">
        <f>'M2'!G9-'M1'!G9</f>
        <v>0</v>
      </c>
      <c r="H9" s="66">
        <f>'M2'!H9-'M1'!H9</f>
        <v>-17.802400000000006</v>
      </c>
    </row>
    <row r="10" spans="1:8">
      <c r="A10" s="66" t="s">
        <v>248</v>
      </c>
      <c r="B10" s="66">
        <f>'M2'!B10-'M1'!B10</f>
        <v>-0.68500000000000227</v>
      </c>
      <c r="C10" s="66">
        <f>'M2'!C10-'M1'!C10</f>
        <v>-0.63192999999999966</v>
      </c>
      <c r="D10" s="66">
        <f>'M2'!D10-'M1'!D10</f>
        <v>-1.0265399999999998</v>
      </c>
      <c r="E10" s="66">
        <f>'M2'!E10-'M1'!E10</f>
        <v>0</v>
      </c>
      <c r="F10" s="66">
        <f>'M2'!F10-'M1'!F10</f>
        <v>2.4605000000000032</v>
      </c>
      <c r="G10" s="66">
        <f>'M2'!G10-'M1'!G10</f>
        <v>0</v>
      </c>
      <c r="H10" s="66">
        <f>'M2'!H10-'M1'!H10</f>
        <v>0.28150000000000119</v>
      </c>
    </row>
    <row r="11" spans="1:8">
      <c r="A11" s="66" t="s">
        <v>249</v>
      </c>
      <c r="B11" s="66">
        <f>'M2'!B11-'M1'!B11</f>
        <v>-1.5942000000000007</v>
      </c>
      <c r="C11" s="66">
        <f>'M2'!C11-'M1'!C11</f>
        <v>-2.2018800000000001</v>
      </c>
      <c r="D11" s="66">
        <f>'M2'!D11-'M1'!D11</f>
        <v>-16.381100000000004</v>
      </c>
      <c r="E11" s="66">
        <f>'M2'!E11-'M1'!E11</f>
        <v>0</v>
      </c>
      <c r="F11" s="66">
        <f>'M2'!F11-'M1'!F11</f>
        <v>4.0162399999999998</v>
      </c>
      <c r="G11" s="66">
        <f>'M2'!G11-'M1'!G11</f>
        <v>0</v>
      </c>
      <c r="H11" s="66">
        <f>'M2'!H11-'M1'!H11</f>
        <v>-1.6229999999999993</v>
      </c>
    </row>
    <row r="12" spans="1:8">
      <c r="A12" s="66" t="s">
        <v>250</v>
      </c>
      <c r="B12" s="66">
        <f>'M2'!B12-'M1'!B12</f>
        <v>-3.3111999999999995</v>
      </c>
      <c r="C12" s="66">
        <f>'M2'!C12-'M1'!C12</f>
        <v>-1.2116500000000001</v>
      </c>
      <c r="D12" s="66">
        <f>'M2'!D12-'M1'!D12</f>
        <v>-1.9269600000000002</v>
      </c>
      <c r="E12" s="66">
        <f>'M2'!E12-'M1'!E12</f>
        <v>0</v>
      </c>
      <c r="F12" s="66">
        <f>'M2'!F12-'M1'!F12</f>
        <v>-2.7256</v>
      </c>
      <c r="G12" s="66">
        <f>'M2'!G12-'M1'!G12</f>
        <v>0</v>
      </c>
      <c r="H12" s="66">
        <f>'M2'!H12-'M1'!H12</f>
        <v>-9.9491000000000085</v>
      </c>
    </row>
    <row r="13" spans="1:8">
      <c r="A13" s="66" t="s">
        <v>251</v>
      </c>
      <c r="B13" s="66">
        <f>'M2'!B13-'M1'!B13</f>
        <v>-0.58279999999999887</v>
      </c>
      <c r="C13" s="66">
        <f>'M2'!C13-'M1'!C13</f>
        <v>-6.1679999999999957E-2</v>
      </c>
      <c r="D13" s="66">
        <f>'M2'!D13-'M1'!D13</f>
        <v>0.3127999999999993</v>
      </c>
      <c r="E13" s="66">
        <f>'M2'!E13-'M1'!E13</f>
        <v>0</v>
      </c>
      <c r="F13" s="66">
        <f>'M2'!F13-'M1'!F13</f>
        <v>-0.13480000000000025</v>
      </c>
      <c r="G13" s="66">
        <f>'M2'!G13-'M1'!G13</f>
        <v>0</v>
      </c>
      <c r="H13" s="66">
        <f>'M2'!H13-'M1'!H13</f>
        <v>3.4733000000000018</v>
      </c>
    </row>
    <row r="14" spans="1:8">
      <c r="A14" s="66" t="s">
        <v>252</v>
      </c>
      <c r="B14" s="66">
        <f>'M2'!B14-'M1'!B14</f>
        <v>-0.61679999999999779</v>
      </c>
      <c r="C14" s="66">
        <f>'M2'!C14-'M1'!C14</f>
        <v>1.9215999999999998</v>
      </c>
      <c r="D14" s="66">
        <f>'M2'!D14-'M1'!D14</f>
        <v>6.0534000000000034</v>
      </c>
      <c r="E14" s="66">
        <f>'M2'!E14-'M1'!E14</f>
        <v>0</v>
      </c>
      <c r="F14" s="66">
        <f>'M2'!F14-'M1'!F14</f>
        <v>1.2419999999999654E-2</v>
      </c>
      <c r="G14" s="66">
        <f>'M2'!G14-'M1'!G14</f>
        <v>0</v>
      </c>
      <c r="H14" s="66">
        <f>'M2'!H14-'M1'!H14</f>
        <v>2.794000000000004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-5.069499999999999E-2</v>
      </c>
      <c r="C18" s="66">
        <f>'M2'!C18-'M1'!C18</f>
        <v>2.46959E-2</v>
      </c>
      <c r="D18" s="66">
        <f>'M2'!D18-'M1'!D18</f>
        <v>7.4761800000000003E-2</v>
      </c>
      <c r="E18" s="66">
        <f>'M2'!E18-'M1'!E18</f>
        <v>0</v>
      </c>
      <c r="F18" s="66">
        <f>'M2'!F18-'M1'!F18</f>
        <v>0.30563200000000001</v>
      </c>
      <c r="G18" s="66">
        <f>'M2'!G18-'M1'!G18</f>
        <v>0</v>
      </c>
      <c r="H18" s="66">
        <f>'M2'!H18-'M1'!H18</f>
        <v>0.35502400000000001</v>
      </c>
    </row>
    <row r="19" spans="1:8">
      <c r="A19" s="66" t="s">
        <v>256</v>
      </c>
      <c r="B19" s="66">
        <f>'M2'!B19-'M1'!B19</f>
        <v>7.7936999999999923E-2</v>
      </c>
      <c r="C19" s="66">
        <f>'M2'!C19-'M1'!C19</f>
        <v>9.8845000000000002E-2</v>
      </c>
      <c r="D19" s="66">
        <f>'M2'!D19-'M1'!D19</f>
        <v>0.12775600000000001</v>
      </c>
      <c r="E19" s="66">
        <f>'M2'!E19-'M1'!E19</f>
        <v>0</v>
      </c>
      <c r="F19" s="66">
        <f>'M2'!F19-'M1'!F19</f>
        <v>0.67485899999999999</v>
      </c>
      <c r="G19" s="66">
        <f>'M2'!G19-'M1'!G19</f>
        <v>0</v>
      </c>
      <c r="H19" s="66">
        <f>'M2'!H19-'M1'!H19</f>
        <v>0.87254900000000002</v>
      </c>
    </row>
    <row r="20" spans="1:8">
      <c r="A20" s="66" t="s">
        <v>63</v>
      </c>
      <c r="B20" s="66">
        <f>'M2'!B20-'M1'!B20</f>
        <v>-1.430487E-4</v>
      </c>
      <c r="C20" s="66">
        <f>'M2'!C20-'M1'!C20</f>
        <v>2.6067000000000035E-3</v>
      </c>
      <c r="D20" s="66">
        <f>'M2'!D20-'M1'!D20</f>
        <v>899.26599999999996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0.43356800000000006</v>
      </c>
    </row>
    <row r="21" spans="1:8">
      <c r="A21" s="66" t="s">
        <v>64</v>
      </c>
      <c r="B21" s="66">
        <f>'M2'!B21-'M1'!B21</f>
        <v>-1.74495E-2</v>
      </c>
      <c r="C21" s="66">
        <f>'M2'!C21-'M1'!C21</f>
        <v>-6.294999999999995E-3</v>
      </c>
      <c r="D21" s="66">
        <f>'M2'!D21-'M1'!D21</f>
        <v>6.8768700000000003</v>
      </c>
      <c r="E21" s="66">
        <f>'M2'!E21-'M1'!E21</f>
        <v>0</v>
      </c>
      <c r="F21" s="66">
        <f>'M2'!F21-'M1'!F21</f>
        <v>-1.49293E-4</v>
      </c>
      <c r="G21" s="66">
        <f>'M2'!G21-'M1'!G21</f>
        <v>0</v>
      </c>
      <c r="H21" s="66">
        <f>'M2'!H21-'M1'!H21</f>
        <v>0.38156299999999999</v>
      </c>
    </row>
    <row r="22" spans="1:8">
      <c r="A22" s="66" t="s">
        <v>65</v>
      </c>
      <c r="B22" s="66">
        <f>'M2'!B22-'M1'!B22</f>
        <v>-7.5578999999999965</v>
      </c>
      <c r="C22" s="66">
        <f>'M2'!C22-'M1'!C22</f>
        <v>5.7431999999999999</v>
      </c>
      <c r="D22" s="66">
        <f>'M2'!D22-'M1'!D22</f>
        <v>0.27016699999999999</v>
      </c>
      <c r="E22" s="66">
        <f>'M2'!E22-'M1'!E22</f>
        <v>0</v>
      </c>
      <c r="F22" s="66">
        <f>'M2'!F22-'M1'!F22</f>
        <v>-6.4657000000000018</v>
      </c>
      <c r="G22" s="66">
        <f>'M2'!G22-'M1'!G22</f>
        <v>0</v>
      </c>
      <c r="H22" s="66">
        <f>'M2'!H22-'M1'!H22</f>
        <v>21.086200000000005</v>
      </c>
    </row>
    <row r="23" spans="1:8">
      <c r="A23" s="66" t="s">
        <v>66</v>
      </c>
      <c r="B23" s="66">
        <f>'M2'!B23-'M1'!B23</f>
        <v>-1.3446999999999996</v>
      </c>
      <c r="C23" s="66">
        <f>'M2'!C23-'M1'!C23</f>
        <v>4.3770000000000087E-2</v>
      </c>
      <c r="D23" s="66">
        <f>'M2'!D23-'M1'!D23</f>
        <v>1.7972000000000002E-2</v>
      </c>
      <c r="E23" s="66">
        <f>'M2'!E23-'M1'!E23</f>
        <v>0</v>
      </c>
      <c r="F23" s="66">
        <f>'M2'!F23-'M1'!F23</f>
        <v>2.0825599999999991</v>
      </c>
      <c r="G23" s="66">
        <f>'M2'!G23-'M1'!G23</f>
        <v>0</v>
      </c>
      <c r="H23" s="66">
        <f>'M2'!H23-'M1'!H23</f>
        <v>0.83689999999999998</v>
      </c>
    </row>
    <row r="24" spans="1:8">
      <c r="A24" s="66" t="s">
        <v>67</v>
      </c>
      <c r="B24" s="66">
        <f>'M2'!B24-'M1'!B24</f>
        <v>-9.1486999999999992E-4</v>
      </c>
      <c r="C24" s="66">
        <f>'M2'!C24-'M1'!C24</f>
        <v>-8.9076000000000016E-3</v>
      </c>
      <c r="D24" s="66">
        <f>'M2'!D24-'M1'!D24</f>
        <v>98.461800000000011</v>
      </c>
      <c r="E24" s="66">
        <f>'M2'!E24-'M1'!E24</f>
        <v>0</v>
      </c>
      <c r="F24" s="66">
        <f>'M2'!F24-'M1'!F24</f>
        <v>2.6721000000000002E-7</v>
      </c>
      <c r="G24" s="66">
        <f>'M2'!G24-'M1'!G24</f>
        <v>0</v>
      </c>
      <c r="H24" s="66">
        <f>'M2'!H24-'M1'!H24</f>
        <v>-8.7889999999999913E-3</v>
      </c>
    </row>
    <row r="25" spans="1:8">
      <c r="A25" s="66" t="s">
        <v>68</v>
      </c>
      <c r="B25" s="66">
        <f>'M2'!B25-'M1'!B25</f>
        <v>-2.3690099999999999E-2</v>
      </c>
      <c r="C25" s="66">
        <f>'M2'!C25-'M1'!C25</f>
        <v>-2.5660600000000006E-2</v>
      </c>
      <c r="D25" s="66">
        <f>'M2'!D25-'M1'!D25</f>
        <v>0.25915999999999983</v>
      </c>
      <c r="E25" s="66">
        <f>'M2'!E25-'M1'!E25</f>
        <v>0</v>
      </c>
      <c r="F25" s="66">
        <f>'M2'!F25-'M1'!F25</f>
        <v>-9.8663399999999978E-3</v>
      </c>
      <c r="G25" s="66">
        <f>'M2'!G25-'M1'!G25</f>
        <v>0</v>
      </c>
      <c r="H25" s="66">
        <f>'M2'!H25-'M1'!H25</f>
        <v>-0.18959700000000002</v>
      </c>
    </row>
    <row r="26" spans="1:8">
      <c r="A26" s="66" t="s">
        <v>69</v>
      </c>
      <c r="B26" s="66">
        <f>'M2'!B26-'M1'!B26</f>
        <v>-5.2521000000000001E-5</v>
      </c>
      <c r="C26" s="66">
        <f>'M2'!C26-'M1'!C26</f>
        <v>6.9300000000000004E-4</v>
      </c>
      <c r="D26" s="66">
        <f>'M2'!D26-'M1'!D26</f>
        <v>300.97210000000001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5.6614000000000012E-2</v>
      </c>
    </row>
    <row r="27" spans="1:8">
      <c r="A27" s="66" t="s">
        <v>70</v>
      </c>
      <c r="B27" s="66">
        <f>'M2'!B27-'M1'!B27</f>
        <v>1.6412799999999999E-6</v>
      </c>
      <c r="C27" s="66">
        <f>'M2'!C27-'M1'!C27</f>
        <v>2.1716499999999998E-3</v>
      </c>
      <c r="D27" s="66">
        <f>'M2'!D27-'M1'!D27</f>
        <v>4004.44</v>
      </c>
      <c r="E27" s="66">
        <f>'M2'!E27-'M1'!E27</f>
        <v>0</v>
      </c>
      <c r="F27" s="66">
        <f>'M2'!F27-'M1'!F27</f>
        <v>-5.9677000000000008E-2</v>
      </c>
      <c r="G27" s="66">
        <f>'M2'!G27-'M1'!G27</f>
        <v>0</v>
      </c>
      <c r="H27" s="66">
        <f>'M2'!H27-'M1'!H27</f>
        <v>5.6628000000000012E-2</v>
      </c>
    </row>
    <row r="28" spans="1:8">
      <c r="A28" s="66" t="s">
        <v>71</v>
      </c>
      <c r="B28" s="66">
        <f>'M2'!B28-'M1'!B28</f>
        <v>-2.3160800000000003E-3</v>
      </c>
      <c r="C28" s="66">
        <f>'M2'!C28-'M1'!C28</f>
        <v>1.1905000000000006E-3</v>
      </c>
      <c r="D28" s="66">
        <f>'M2'!D28-'M1'!D28</f>
        <v>3.2682499999999997</v>
      </c>
      <c r="E28" s="66">
        <f>'M2'!E28-'M1'!E28</f>
        <v>0</v>
      </c>
      <c r="F28" s="66">
        <f>'M2'!F28-'M1'!F28</f>
        <v>-5.5338200000000005E-5</v>
      </c>
      <c r="G28" s="66">
        <f>'M2'!G28-'M1'!G28</f>
        <v>0</v>
      </c>
      <c r="H28" s="66">
        <f>'M2'!H28-'M1'!H28</f>
        <v>5.0380999999999995E-2</v>
      </c>
    </row>
    <row r="29" spans="1:8">
      <c r="A29" s="66" t="s">
        <v>72</v>
      </c>
      <c r="B29" s="66">
        <f>'M2'!B29-'M1'!B29</f>
        <v>-5.5193999999999903</v>
      </c>
      <c r="C29" s="66">
        <f>'M2'!C29-'M1'!C29</f>
        <v>3.5749999999999993</v>
      </c>
      <c r="D29" s="66">
        <f>'M2'!D29-'M1'!D29</f>
        <v>7.1282999999999985E-2</v>
      </c>
      <c r="E29" s="66">
        <f>'M2'!E29-'M1'!E29</f>
        <v>0</v>
      </c>
      <c r="F29" s="66">
        <f>'M2'!F29-'M1'!F29</f>
        <v>-3.133499999999998</v>
      </c>
      <c r="G29" s="66">
        <f>'M2'!G29-'M1'!G29</f>
        <v>0</v>
      </c>
      <c r="H29" s="66">
        <f>'M2'!H29-'M1'!H29</f>
        <v>26.243600000000001</v>
      </c>
    </row>
    <row r="30" spans="1:8">
      <c r="A30" s="66" t="s">
        <v>73</v>
      </c>
      <c r="B30" s="66">
        <f>'M2'!B30-'M1'!B30</f>
        <v>-2.0204000000000004</v>
      </c>
      <c r="C30" s="66">
        <f>'M2'!C30-'M1'!C30</f>
        <v>-0.13250000000000006</v>
      </c>
      <c r="D30" s="66">
        <f>'M2'!D30-'M1'!D30</f>
        <v>1.1838999999999988E-2</v>
      </c>
      <c r="E30" s="66">
        <f>'M2'!E30-'M1'!E30</f>
        <v>0</v>
      </c>
      <c r="F30" s="66">
        <f>'M2'!F30-'M1'!F30</f>
        <v>0.99236000000000146</v>
      </c>
      <c r="G30" s="66">
        <f>'M2'!G30-'M1'!G30</f>
        <v>0</v>
      </c>
      <c r="H30" s="66">
        <f>'M2'!H30-'M1'!H30</f>
        <v>-0.5663000000000018</v>
      </c>
    </row>
    <row r="31" spans="1:8">
      <c r="A31" s="66" t="s">
        <v>74</v>
      </c>
      <c r="B31" s="66">
        <f>'M2'!B31-'M1'!B31</f>
        <v>-16.329999999999984</v>
      </c>
      <c r="C31" s="66">
        <f>'M2'!C31-'M1'!C31</f>
        <v>-14.602699999999999</v>
      </c>
      <c r="D31" s="66">
        <f>'M2'!D31-'M1'!D31</f>
        <v>-6.562599999999999E-2</v>
      </c>
      <c r="E31" s="66">
        <f>'M2'!E31-'M1'!E31</f>
        <v>0</v>
      </c>
      <c r="F31" s="66">
        <f>'M2'!F31-'M1'!F31</f>
        <v>27.825800000000001</v>
      </c>
      <c r="G31" s="66">
        <f>'M2'!G31-'M1'!G31</f>
        <v>0</v>
      </c>
      <c r="H31" s="66">
        <f>'M2'!H31-'M1'!H31</f>
        <v>-23.990000000000009</v>
      </c>
    </row>
    <row r="32" spans="1:8">
      <c r="A32" s="66" t="s">
        <v>75</v>
      </c>
      <c r="B32" s="66">
        <f>'M2'!B32-'M1'!B32</f>
        <v>2.1388999999999991E-2</v>
      </c>
      <c r="C32" s="66">
        <f>'M2'!C32-'M1'!C32</f>
        <v>-1.037600000000001E-2</v>
      </c>
      <c r="D32" s="66">
        <f>'M2'!D32-'M1'!D32</f>
        <v>-6.0406000000000015E-2</v>
      </c>
      <c r="E32" s="66">
        <f>'M2'!E32-'M1'!E32</f>
        <v>0</v>
      </c>
      <c r="F32" s="66">
        <f>'M2'!F32-'M1'!F32</f>
        <v>5.341700000000002E-2</v>
      </c>
      <c r="G32" s="66">
        <f>'M2'!G32-'M1'!G32</f>
        <v>0</v>
      </c>
      <c r="H32" s="66">
        <f>'M2'!H32-'M1'!H32</f>
        <v>-1.8789999999999973E-2</v>
      </c>
    </row>
    <row r="33" spans="1:8">
      <c r="A33" s="66" t="s">
        <v>76</v>
      </c>
      <c r="B33" s="66">
        <f>'M2'!B33-'M1'!B33</f>
        <v>2.7859999999999996E-2</v>
      </c>
      <c r="C33" s="66">
        <f>'M2'!C33-'M1'!C33</f>
        <v>-8.0575000000000022E-3</v>
      </c>
      <c r="D33" s="66">
        <f>'M2'!D33-'M1'!D33</f>
        <v>-2.6500599999999999E-2</v>
      </c>
      <c r="E33" s="66">
        <f>'M2'!E33-'M1'!E33</f>
        <v>0</v>
      </c>
      <c r="F33" s="66">
        <f>'M2'!F33-'M1'!F33</f>
        <v>4.181600000000002E-2</v>
      </c>
      <c r="G33" s="66">
        <f>'M2'!G33-'M1'!G33</f>
        <v>0</v>
      </c>
      <c r="H33" s="66">
        <f>'M2'!H33-'M1'!H33</f>
        <v>-1.1135000000000006E-2</v>
      </c>
    </row>
    <row r="34" spans="1:8">
      <c r="A34" s="66" t="s">
        <v>77</v>
      </c>
      <c r="B34" s="66">
        <f>'M2'!B34-'M1'!B34</f>
        <v>-5.8279999999999998E-3</v>
      </c>
      <c r="C34" s="66">
        <f>'M2'!C34-'M1'!C34</f>
        <v>-6.1680000000000068E-4</v>
      </c>
      <c r="D34" s="66">
        <f>'M2'!D34-'M1'!D34</f>
        <v>3.1279999999999919E-3</v>
      </c>
      <c r="E34" s="66">
        <f>'M2'!E34-'M1'!E34</f>
        <v>0</v>
      </c>
      <c r="F34" s="66">
        <f>'M2'!F34-'M1'!F34</f>
        <v>-1.3479999999999881E-3</v>
      </c>
      <c r="G34" s="66">
        <f>'M2'!G34-'M1'!G34</f>
        <v>0</v>
      </c>
      <c r="H34" s="66">
        <f>'M2'!H34-'M1'!H34</f>
        <v>3.4733000000000014E-2</v>
      </c>
    </row>
    <row r="35" spans="1:8">
      <c r="A35" s="66" t="s">
        <v>78</v>
      </c>
      <c r="B35" s="66">
        <f>'M2'!B35-'M1'!B35</f>
        <v>6.8944999999999979E-3</v>
      </c>
      <c r="C35" s="66">
        <f>'M2'!C35-'M1'!C35</f>
        <v>-3.3191999999999978E-3</v>
      </c>
      <c r="D35" s="66">
        <f>'M2'!D35-'M1'!D35</f>
        <v>-6.4557999999999977E-2</v>
      </c>
      <c r="E35" s="66">
        <f>'M2'!E35-'M1'!E35</f>
        <v>0</v>
      </c>
      <c r="F35" s="66">
        <f>'M2'!F35-'M1'!F35</f>
        <v>6.2545000000000031E-3</v>
      </c>
      <c r="G35" s="66">
        <f>'M2'!G35-'M1'!G35</f>
        <v>0</v>
      </c>
      <c r="H35" s="66">
        <f>'M2'!H35-'M1'!H35</f>
        <v>-8.4319999999999951E-3</v>
      </c>
    </row>
    <row r="36" spans="1:8">
      <c r="A36" s="66" t="s">
        <v>79</v>
      </c>
      <c r="B36" s="66">
        <f>'M2'!B36-'M1'!B36</f>
        <v>-8.995000000000003E-3</v>
      </c>
      <c r="C36" s="66">
        <f>'M2'!C36-'M1'!C36</f>
        <v>1.1106000000000033E-3</v>
      </c>
      <c r="D36" s="66">
        <f>'M2'!D36-'M1'!D36</f>
        <v>3.821399999999997E-2</v>
      </c>
      <c r="E36" s="66">
        <f>'M2'!E36-'M1'!E36</f>
        <v>0</v>
      </c>
      <c r="F36" s="66">
        <f>'M2'!F36-'M1'!F36</f>
        <v>2.0444999999999977E-3</v>
      </c>
      <c r="G36" s="66">
        <f>'M2'!G36-'M1'!G36</f>
        <v>0</v>
      </c>
      <c r="H36" s="66">
        <f>'M2'!H36-'M1'!H36</f>
        <v>-4.556300000000002E-2</v>
      </c>
    </row>
    <row r="37" spans="1:8">
      <c r="A37" s="66" t="s">
        <v>80</v>
      </c>
      <c r="B37" s="66">
        <f>'M2'!B37-'M1'!B37</f>
        <v>-6.1680000000000068E-3</v>
      </c>
      <c r="C37" s="66">
        <f>'M2'!C37-'M1'!C37</f>
        <v>1.9215999999999997E-2</v>
      </c>
      <c r="D37" s="66">
        <f>'M2'!D37-'M1'!D37</f>
        <v>6.0534000000000032E-2</v>
      </c>
      <c r="E37" s="66">
        <f>'M2'!E37-'M1'!E37</f>
        <v>0</v>
      </c>
      <c r="F37" s="66">
        <f>'M2'!F37-'M1'!F37</f>
        <v>1.2420000000000139E-4</v>
      </c>
      <c r="G37" s="66">
        <f>'M2'!G37-'M1'!G37</f>
        <v>0</v>
      </c>
      <c r="H37" s="66">
        <f>'M2'!H37-'M1'!H37</f>
        <v>2.794000000000002E-2</v>
      </c>
    </row>
    <row r="38" spans="1:8">
      <c r="A38" s="66" t="s">
        <v>81</v>
      </c>
      <c r="B38" s="66">
        <f>'M2'!B38-'M1'!B38</f>
        <v>-2.4876000000000005</v>
      </c>
      <c r="C38" s="66">
        <f>'M2'!C38-'M1'!C38</f>
        <v>-7.7708000000000084</v>
      </c>
      <c r="D38" s="66">
        <f>'M2'!D38-'M1'!D38</f>
        <v>1.7978699999999996</v>
      </c>
      <c r="E38" s="66">
        <f>'M2'!E38-'M1'!E38</f>
        <v>0</v>
      </c>
      <c r="F38" s="66">
        <f>'M2'!F38-'M1'!F38</f>
        <v>-13.607699999999994</v>
      </c>
      <c r="G38" s="66">
        <f>'M2'!G38-'M1'!G38</f>
        <v>0</v>
      </c>
      <c r="H38" s="66">
        <f>'M2'!H38-'M1'!H38</f>
        <v>-82.007000000000005</v>
      </c>
    </row>
    <row r="39" spans="1:8">
      <c r="A39" s="66" t="s">
        <v>82</v>
      </c>
      <c r="B39" s="66">
        <f>'M2'!B39-'M1'!B39</f>
        <v>-0.12368000000000001</v>
      </c>
      <c r="C39" s="66">
        <f>'M2'!C39-'M1'!C39</f>
        <v>1.5165000000000006</v>
      </c>
      <c r="D39" s="66">
        <f>'M2'!D39-'M1'!D39</f>
        <v>6.9100000000000605E-2</v>
      </c>
      <c r="E39" s="66">
        <f>'M2'!E39-'M1'!E39</f>
        <v>0</v>
      </c>
      <c r="F39" s="66">
        <f>'M2'!F39-'M1'!F39</f>
        <v>-1.6611000000000011</v>
      </c>
      <c r="G39" s="66">
        <f>'M2'!G39-'M1'!G39</f>
        <v>0</v>
      </c>
      <c r="H39" s="66">
        <f>'M2'!H39-'M1'!H39</f>
        <v>24.066300000000005</v>
      </c>
    </row>
    <row r="40" spans="1:8">
      <c r="A40" s="66" t="s">
        <v>83</v>
      </c>
      <c r="B40" s="66">
        <f>'M2'!B40-'M1'!B40</f>
        <v>-0.71029999999999993</v>
      </c>
      <c r="C40" s="66">
        <f>'M2'!C40-'M1'!C40</f>
        <v>-0.68818500000000005</v>
      </c>
      <c r="D40" s="66">
        <f>'M2'!D40-'M1'!D40</f>
        <v>0.49321700000000002</v>
      </c>
      <c r="E40" s="66">
        <f>'M2'!E40-'M1'!E40</f>
        <v>0</v>
      </c>
      <c r="F40" s="66">
        <f>'M2'!F40-'M1'!F40</f>
        <v>-0.74153999999999964</v>
      </c>
      <c r="G40" s="66">
        <f>'M2'!G40-'M1'!G40</f>
        <v>0</v>
      </c>
      <c r="H40" s="66">
        <f>'M2'!H40-'M1'!H40</f>
        <v>-1.3016639999999999</v>
      </c>
    </row>
    <row r="41" spans="1:8">
      <c r="A41" s="66" t="s">
        <v>84</v>
      </c>
      <c r="B41" s="66">
        <f>'M2'!B41-'M1'!B41</f>
        <v>-2.8595999999999996E-2</v>
      </c>
      <c r="C41" s="66">
        <f>'M2'!C41-'M1'!C41</f>
        <v>2.0711999999999953E-2</v>
      </c>
      <c r="D41" s="66">
        <f>'M2'!D41-'M1'!D41</f>
        <v>0.62847000000000008</v>
      </c>
      <c r="E41" s="66">
        <f>'M2'!E41-'M1'!E41</f>
        <v>0</v>
      </c>
      <c r="F41" s="66">
        <f>'M2'!F41-'M1'!F41</f>
        <v>0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-0.1037141</v>
      </c>
      <c r="C42" s="66">
        <f>'M2'!C42-'M1'!C42</f>
        <v>4.1302000000000005E-2</v>
      </c>
      <c r="D42" s="66">
        <f>'M2'!D42-'M1'!D42</f>
        <v>1.5418000000000001</v>
      </c>
      <c r="E42" s="66">
        <f>'M2'!E42-'M1'!E42</f>
        <v>0</v>
      </c>
      <c r="F42" s="66">
        <f>'M2'!F42-'M1'!F42</f>
        <v>-0.13326899999999997</v>
      </c>
      <c r="G42" s="66">
        <f>'M2'!G42-'M1'!G42</f>
        <v>0</v>
      </c>
      <c r="H42" s="66">
        <f>'M2'!H42-'M1'!H42</f>
        <v>8.7380000000000235E-3</v>
      </c>
    </row>
    <row r="43" spans="1:8">
      <c r="A43" s="66" t="s">
        <v>86</v>
      </c>
      <c r="B43" s="66">
        <f>'M2'!B43-'M1'!B43</f>
        <v>-0.17969689999999999</v>
      </c>
      <c r="C43" s="66">
        <f>'M2'!C43-'M1'!C43</f>
        <v>1.4921000000000004E-2</v>
      </c>
      <c r="D43" s="66">
        <f>'M2'!D43-'M1'!D43</f>
        <v>1.552886</v>
      </c>
      <c r="E43" s="66">
        <f>'M2'!E43-'M1'!E43</f>
        <v>0</v>
      </c>
      <c r="F43" s="66">
        <f>'M2'!F43-'M1'!F43</f>
        <v>-0.143654</v>
      </c>
      <c r="G43" s="66">
        <f>'M2'!G43-'M1'!G43</f>
        <v>0</v>
      </c>
      <c r="H43" s="66">
        <f>'M2'!H43-'M1'!H43</f>
        <v>-0.13952619999999999</v>
      </c>
    </row>
    <row r="44" spans="1:8">
      <c r="A44" s="66" t="s">
        <v>87</v>
      </c>
      <c r="B44" s="66">
        <f>'M2'!B44-'M1'!B44</f>
        <v>11.883299999999998</v>
      </c>
      <c r="C44" s="66">
        <f>'M2'!C44-'M1'!C44</f>
        <v>-7.5650000000000013</v>
      </c>
      <c r="D44" s="66">
        <f>'M2'!D44-'M1'!D44</f>
        <v>-3.3460000000000711E-3</v>
      </c>
      <c r="E44" s="66">
        <f>'M2'!E44-'M1'!E44</f>
        <v>0</v>
      </c>
      <c r="F44" s="66">
        <f>'M2'!F44-'M1'!F44</f>
        <v>10.547600000000003</v>
      </c>
      <c r="G44" s="66">
        <f>'M2'!G44-'M1'!G44</f>
        <v>0</v>
      </c>
      <c r="H44" s="66">
        <f>'M2'!H44-'M1'!H44</f>
        <v>22.699820000000003</v>
      </c>
    </row>
    <row r="45" spans="1:8">
      <c r="A45" s="66" t="s">
        <v>88</v>
      </c>
      <c r="B45" s="66">
        <f>'M2'!B45-'M1'!B45</f>
        <v>-4.2350999999999956</v>
      </c>
      <c r="C45" s="66">
        <f>'M2'!C45-'M1'!C45</f>
        <v>0.83756999999999948</v>
      </c>
      <c r="D45" s="66">
        <f>'M2'!D45-'M1'!D45</f>
        <v>2.7709999999999985E-2</v>
      </c>
      <c r="E45" s="66">
        <f>'M2'!E45-'M1'!E45</f>
        <v>0</v>
      </c>
      <c r="F45" s="66">
        <f>'M2'!F45-'M1'!F45</f>
        <v>-5.9385000000000048</v>
      </c>
      <c r="G45" s="66">
        <f>'M2'!G45-'M1'!G45</f>
        <v>0</v>
      </c>
      <c r="H45" s="66">
        <f>'M2'!H45-'M1'!H45</f>
        <v>-9.4052999999999969</v>
      </c>
    </row>
    <row r="46" spans="1:8">
      <c r="A46" s="66" t="s">
        <v>89</v>
      </c>
      <c r="B46" s="66">
        <f>'M2'!B46-'M1'!B46</f>
        <v>-0.12389999999999901</v>
      </c>
      <c r="C46" s="66">
        <f>'M2'!C46-'M1'!C46</f>
        <v>-6.4779900000000001</v>
      </c>
      <c r="D46" s="66">
        <f>'M2'!D46-'M1'!D46</f>
        <v>-0.18537500000000001</v>
      </c>
      <c r="E46" s="66">
        <f>'M2'!E46-'M1'!E46</f>
        <v>0</v>
      </c>
      <c r="F46" s="66">
        <f>'M2'!F46-'M1'!F46</f>
        <v>19.99438</v>
      </c>
      <c r="G46" s="66">
        <f>'M2'!G46-'M1'!G46</f>
        <v>0</v>
      </c>
      <c r="H46" s="66">
        <f>'M2'!H46-'M1'!H46</f>
        <v>-0.5180999999999969</v>
      </c>
    </row>
    <row r="47" spans="1:8">
      <c r="A47" s="66" t="s">
        <v>90</v>
      </c>
      <c r="B47" s="66">
        <f>'M2'!B47-'M1'!B47</f>
        <v>-0.11947000000000002</v>
      </c>
      <c r="C47" s="66">
        <f>'M2'!C47-'M1'!C47</f>
        <v>-5.8189999999999992E-2</v>
      </c>
      <c r="D47" s="66">
        <f>'M2'!D47-'M1'!D47</f>
        <v>-4.0579000000000032E-2</v>
      </c>
      <c r="E47" s="66">
        <f>'M2'!E47-'M1'!E47</f>
        <v>0</v>
      </c>
      <c r="F47" s="66">
        <f>'M2'!F47-'M1'!F47</f>
        <v>-5.3365999999999997E-2</v>
      </c>
      <c r="G47" s="66">
        <f>'M2'!G47-'M1'!G47</f>
        <v>0</v>
      </c>
      <c r="H47" s="66">
        <f>'M2'!H47-'M1'!H47</f>
        <v>-0.50947900000000002</v>
      </c>
    </row>
    <row r="48" spans="1:8">
      <c r="A48" s="66" t="s">
        <v>91</v>
      </c>
      <c r="B48" s="66">
        <f>'M2'!B48-'M1'!B48</f>
        <v>1.3923000000000019E-2</v>
      </c>
      <c r="C48" s="66">
        <f>'M2'!C48-'M1'!C48</f>
        <v>6.6958000000000018E-3</v>
      </c>
      <c r="D48" s="66">
        <f>'M2'!D48-'M1'!D48</f>
        <v>9.6960000000000102E-3</v>
      </c>
      <c r="E48" s="66">
        <f>'M2'!E48-'M1'!E48</f>
        <v>0</v>
      </c>
      <c r="F48" s="66">
        <f>'M2'!F48-'M1'!F48</f>
        <v>-1.6160000000000063E-3</v>
      </c>
      <c r="G48" s="66">
        <f>'M2'!G48-'M1'!G48</f>
        <v>0</v>
      </c>
      <c r="H48" s="66">
        <f>'M2'!H48-'M1'!H48</f>
        <v>5.3732000000000002E-2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347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348</v>
      </c>
      <c r="H1" s="66" t="s">
        <v>299</v>
      </c>
    </row>
    <row r="2" spans="1:8">
      <c r="A2" s="66" t="s">
        <v>346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36.0045</v>
      </c>
      <c r="C5" s="66">
        <v>13.833</v>
      </c>
      <c r="D5" s="66">
        <v>38.420299999999997</v>
      </c>
      <c r="E5" s="66">
        <v>20</v>
      </c>
      <c r="F5" s="66">
        <v>8.0651399999999995</v>
      </c>
      <c r="G5" s="66">
        <v>50</v>
      </c>
      <c r="H5" s="66">
        <v>59.749400000000001</v>
      </c>
    </row>
    <row r="6" spans="1:8">
      <c r="A6" s="66" t="s">
        <v>303</v>
      </c>
      <c r="B6" s="66">
        <v>47.263199999999998</v>
      </c>
      <c r="C6" s="66">
        <v>2.6559599999999999</v>
      </c>
      <c r="D6" s="66">
        <v>5.6195199999999996</v>
      </c>
      <c r="E6" s="66">
        <v>20</v>
      </c>
      <c r="F6" s="66">
        <v>38.024799999999999</v>
      </c>
      <c r="G6" s="66">
        <v>40</v>
      </c>
      <c r="H6" s="66">
        <v>51.175899999999999</v>
      </c>
    </row>
    <row r="7" spans="1:8">
      <c r="A7" s="66" t="s">
        <v>304</v>
      </c>
      <c r="B7" s="66">
        <v>28.5411</v>
      </c>
      <c r="C7" s="66">
        <v>10.883900000000001</v>
      </c>
      <c r="D7" s="66">
        <v>38.1342</v>
      </c>
      <c r="E7" s="66">
        <v>15</v>
      </c>
      <c r="F7" s="66">
        <v>12.6434</v>
      </c>
      <c r="G7" s="66">
        <v>40</v>
      </c>
      <c r="H7" s="66">
        <v>52.801299999999998</v>
      </c>
    </row>
    <row r="8" spans="1:8">
      <c r="A8" s="66" t="s">
        <v>305</v>
      </c>
      <c r="B8" s="66">
        <v>37.149799999999999</v>
      </c>
      <c r="C8" s="66">
        <v>7.6161099999999999</v>
      </c>
      <c r="D8" s="66">
        <v>20.501000000000001</v>
      </c>
      <c r="E8" s="66">
        <v>20</v>
      </c>
      <c r="F8" s="66">
        <v>24.5793</v>
      </c>
      <c r="G8" s="66">
        <v>50</v>
      </c>
      <c r="H8" s="66">
        <v>52.664999999999999</v>
      </c>
    </row>
    <row r="9" spans="1:8">
      <c r="A9" s="66" t="s">
        <v>306</v>
      </c>
      <c r="B9" s="66">
        <v>55.915199999999999</v>
      </c>
      <c r="C9" s="66">
        <v>5.4733799999999997</v>
      </c>
      <c r="D9" s="66">
        <v>9.7887299999999993</v>
      </c>
      <c r="E9" s="66">
        <v>50</v>
      </c>
      <c r="F9" s="66">
        <v>42.971699999999998</v>
      </c>
      <c r="G9" s="66">
        <v>100</v>
      </c>
      <c r="H9" s="66">
        <v>72.487700000000004</v>
      </c>
    </row>
    <row r="10" spans="1:8">
      <c r="A10" s="66" t="s">
        <v>307</v>
      </c>
      <c r="B10" s="66">
        <v>56.896900000000002</v>
      </c>
      <c r="C10" s="66">
        <v>4.5604199999999997</v>
      </c>
      <c r="D10" s="66">
        <v>8.01525</v>
      </c>
      <c r="E10" s="66">
        <v>40</v>
      </c>
      <c r="F10" s="66">
        <v>44.9499</v>
      </c>
      <c r="G10" s="66">
        <v>100</v>
      </c>
      <c r="H10" s="66">
        <v>62.525500000000001</v>
      </c>
    </row>
    <row r="11" spans="1:8">
      <c r="A11" s="66" t="s">
        <v>308</v>
      </c>
      <c r="B11" s="66">
        <v>12.3933</v>
      </c>
      <c r="C11" s="66">
        <v>3.3652099999999998</v>
      </c>
      <c r="D11" s="66">
        <v>27.153500000000001</v>
      </c>
      <c r="E11" s="66">
        <v>10</v>
      </c>
      <c r="F11" s="66">
        <v>3.9617800000000001</v>
      </c>
      <c r="G11" s="66">
        <v>50</v>
      </c>
      <c r="H11" s="66">
        <v>14.5449</v>
      </c>
    </row>
    <row r="12" spans="1:8">
      <c r="A12" s="66" t="s">
        <v>309</v>
      </c>
      <c r="B12" s="66">
        <v>54.834299999999999</v>
      </c>
      <c r="C12" s="66">
        <v>3.6237300000000001</v>
      </c>
      <c r="D12" s="66">
        <v>6.6085099999999999</v>
      </c>
      <c r="E12" s="66">
        <v>50</v>
      </c>
      <c r="F12" s="66">
        <v>49.1447</v>
      </c>
      <c r="G12" s="66">
        <v>100</v>
      </c>
      <c r="H12" s="66">
        <v>67.506600000000006</v>
      </c>
    </row>
    <row r="13" spans="1:8">
      <c r="A13" s="66" t="s">
        <v>310</v>
      </c>
      <c r="B13" s="66">
        <v>17.823499999999999</v>
      </c>
      <c r="C13" s="66">
        <v>3.5363199999999999</v>
      </c>
      <c r="D13" s="66">
        <v>19.840800000000002</v>
      </c>
      <c r="E13" s="66">
        <v>10</v>
      </c>
      <c r="F13" s="66">
        <v>13.4376</v>
      </c>
      <c r="G13" s="66">
        <v>25</v>
      </c>
      <c r="H13" s="66">
        <v>27.706499999999998</v>
      </c>
    </row>
    <row r="14" spans="1:8">
      <c r="A14" s="66" t="s">
        <v>311</v>
      </c>
      <c r="B14" s="66">
        <v>35.363199999999999</v>
      </c>
      <c r="C14" s="66">
        <v>10.4231</v>
      </c>
      <c r="D14" s="66">
        <v>29.474499999999999</v>
      </c>
      <c r="E14" s="66">
        <v>10</v>
      </c>
      <c r="F14" s="66">
        <v>2.1885400000000002</v>
      </c>
      <c r="G14" s="66">
        <v>50</v>
      </c>
      <c r="H14" s="66">
        <v>38.380499999999998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0.381023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0.69576700000000002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66">
        <v>1.87035E-4</v>
      </c>
      <c r="C20" s="66">
        <v>4.8309999999999999E-2</v>
      </c>
      <c r="D20" s="66">
        <v>258.29399999999998</v>
      </c>
      <c r="E20" s="66">
        <v>0</v>
      </c>
      <c r="F20" s="66">
        <v>0</v>
      </c>
      <c r="G20" s="66">
        <v>0</v>
      </c>
      <c r="H20" s="66">
        <v>0.88620200000000005</v>
      </c>
    </row>
    <row r="21" spans="1:8">
      <c r="A21" s="66" t="s">
        <v>318</v>
      </c>
      <c r="B21" s="66">
        <v>3.0562499999999999E-2</v>
      </c>
      <c r="C21" s="66">
        <v>0.16896800000000001</v>
      </c>
      <c r="D21" s="66">
        <v>5.5286299999999997</v>
      </c>
      <c r="E21" s="66">
        <v>0</v>
      </c>
      <c r="F21" s="66">
        <v>3.0215999999999999E-4</v>
      </c>
      <c r="G21" s="66">
        <v>0</v>
      </c>
      <c r="H21" s="66">
        <v>0.94212700000000005</v>
      </c>
    </row>
    <row r="22" spans="1:8">
      <c r="A22" s="66" t="s">
        <v>319</v>
      </c>
      <c r="B22" s="66">
        <v>39.770099999999999</v>
      </c>
      <c r="C22" s="66">
        <v>15.5725</v>
      </c>
      <c r="D22" s="66">
        <v>0.39156200000000002</v>
      </c>
      <c r="E22" s="66">
        <v>0</v>
      </c>
      <c r="F22" s="66">
        <v>20.347100000000001</v>
      </c>
      <c r="G22" s="66">
        <v>0</v>
      </c>
      <c r="H22" s="66">
        <v>93.578800000000001</v>
      </c>
    </row>
    <row r="23" spans="1:8">
      <c r="A23" s="66" t="s">
        <v>320</v>
      </c>
      <c r="B23" s="66">
        <v>13.1052</v>
      </c>
      <c r="C23" s="66">
        <v>1.6332199999999999</v>
      </c>
      <c r="D23" s="66">
        <v>0.124623</v>
      </c>
      <c r="E23" s="66">
        <v>0</v>
      </c>
      <c r="F23" s="66">
        <v>7.7846200000000003</v>
      </c>
      <c r="G23" s="66">
        <v>0</v>
      </c>
      <c r="H23" s="66">
        <v>14.8729</v>
      </c>
    </row>
    <row r="24" spans="1:8">
      <c r="A24" s="66" t="s">
        <v>321</v>
      </c>
      <c r="B24" s="66">
        <v>1.0669799999999999E-3</v>
      </c>
      <c r="C24" s="66">
        <v>2.78558E-2</v>
      </c>
      <c r="D24" s="66">
        <v>26.107199999999999</v>
      </c>
      <c r="E24" s="66">
        <v>0</v>
      </c>
      <c r="F24" s="196">
        <v>2.9374800000000001E-6</v>
      </c>
      <c r="G24" s="66">
        <v>0</v>
      </c>
      <c r="H24" s="66">
        <v>0.20122399999999999</v>
      </c>
    </row>
    <row r="25" spans="1:8">
      <c r="A25" s="66" t="s">
        <v>322</v>
      </c>
      <c r="B25" s="66">
        <v>6.2712299999999999E-2</v>
      </c>
      <c r="C25" s="66">
        <v>9.4700300000000001E-2</v>
      </c>
      <c r="D25" s="66">
        <v>1.5100800000000001</v>
      </c>
      <c r="E25" s="66">
        <v>0</v>
      </c>
      <c r="F25" s="66">
        <v>1.6315199999999998E-2</v>
      </c>
      <c r="G25" s="66">
        <v>0</v>
      </c>
      <c r="H25" s="66">
        <v>0.44164700000000001</v>
      </c>
    </row>
    <row r="26" spans="1:8">
      <c r="A26" s="66" t="s">
        <v>323</v>
      </c>
      <c r="B26" s="196">
        <v>6.8933800000000001E-5</v>
      </c>
      <c r="C26" s="66">
        <v>5.5739199999999996E-3</v>
      </c>
      <c r="D26" s="66">
        <v>80.858900000000006</v>
      </c>
      <c r="E26" s="66">
        <v>0</v>
      </c>
      <c r="F26" s="66">
        <v>0</v>
      </c>
      <c r="G26" s="66">
        <v>0</v>
      </c>
      <c r="H26" s="66">
        <v>0.109664</v>
      </c>
    </row>
    <row r="27" spans="1:8">
      <c r="A27" s="66" t="s">
        <v>324</v>
      </c>
      <c r="B27" s="196">
        <v>-1.6412799999999999E-6</v>
      </c>
      <c r="C27" s="66">
        <v>6.5724099999999999E-3</v>
      </c>
      <c r="D27" s="66">
        <v>-4004.44</v>
      </c>
      <c r="E27" s="66">
        <v>0</v>
      </c>
      <c r="F27" s="66">
        <v>-0.10656499999999999</v>
      </c>
      <c r="G27" s="66">
        <v>0</v>
      </c>
      <c r="H27" s="66">
        <v>0.10964699999999999</v>
      </c>
    </row>
    <row r="28" spans="1:8">
      <c r="A28" s="66" t="s">
        <v>325</v>
      </c>
      <c r="B28" s="66">
        <v>5.0651000000000003E-3</v>
      </c>
      <c r="C28" s="66">
        <v>1.7044799999999999E-2</v>
      </c>
      <c r="D28" s="66">
        <v>3.3651300000000002</v>
      </c>
      <c r="E28" s="66">
        <v>0</v>
      </c>
      <c r="F28" s="66">
        <v>1.3020800000000001E-4</v>
      </c>
      <c r="G28" s="66">
        <v>0</v>
      </c>
      <c r="H28" s="66">
        <v>0.116351</v>
      </c>
    </row>
    <row r="29" spans="1:8">
      <c r="A29" s="66" t="s">
        <v>326</v>
      </c>
      <c r="B29" s="66">
        <v>68.216399999999993</v>
      </c>
      <c r="C29" s="66">
        <v>11.051</v>
      </c>
      <c r="D29" s="66">
        <v>0.161998</v>
      </c>
      <c r="E29" s="66">
        <v>0</v>
      </c>
      <c r="F29" s="66">
        <v>39.5227</v>
      </c>
      <c r="G29" s="66">
        <v>0</v>
      </c>
      <c r="H29" s="66">
        <v>90.534400000000005</v>
      </c>
    </row>
    <row r="30" spans="1:8">
      <c r="A30" s="66" t="s">
        <v>327</v>
      </c>
      <c r="B30" s="66">
        <v>14.1181</v>
      </c>
      <c r="C30" s="66">
        <v>1.9267300000000001</v>
      </c>
      <c r="D30" s="66">
        <v>0.13647200000000001</v>
      </c>
      <c r="E30" s="66">
        <v>0</v>
      </c>
      <c r="F30" s="66">
        <v>8.3057599999999994</v>
      </c>
      <c r="G30" s="66">
        <v>0</v>
      </c>
      <c r="H30" s="66">
        <v>17.1188</v>
      </c>
    </row>
    <row r="31" spans="1:8">
      <c r="A31" s="66" t="s">
        <v>328</v>
      </c>
      <c r="B31" s="66">
        <v>163.45599999999999</v>
      </c>
      <c r="C31" s="66">
        <v>49.521099999999997</v>
      </c>
      <c r="D31" s="66">
        <v>0.30296299999999998</v>
      </c>
      <c r="E31" s="66">
        <v>0</v>
      </c>
      <c r="F31" s="66">
        <v>48.314300000000003</v>
      </c>
      <c r="G31" s="66">
        <v>0</v>
      </c>
      <c r="H31" s="66">
        <v>206.041</v>
      </c>
    </row>
    <row r="32" spans="1:8">
      <c r="A32" s="66" t="s">
        <v>329</v>
      </c>
      <c r="B32" s="66">
        <v>0.28541100000000003</v>
      </c>
      <c r="C32" s="66">
        <v>0.10883900000000001</v>
      </c>
      <c r="D32" s="66">
        <v>0.38134200000000001</v>
      </c>
      <c r="E32" s="66">
        <v>0.15</v>
      </c>
      <c r="F32" s="66">
        <v>0.12643399999999999</v>
      </c>
      <c r="G32" s="66">
        <v>0.4</v>
      </c>
      <c r="H32" s="66">
        <v>0.52801299999999995</v>
      </c>
    </row>
    <row r="33" spans="1:8">
      <c r="A33" s="66" t="s">
        <v>330</v>
      </c>
      <c r="B33" s="66">
        <v>0.35208699999999998</v>
      </c>
      <c r="C33" s="66">
        <v>2.5419500000000001E-2</v>
      </c>
      <c r="D33" s="66">
        <v>7.2196499999999997E-2</v>
      </c>
      <c r="E33" s="66">
        <v>0</v>
      </c>
      <c r="F33" s="66">
        <v>0.312496</v>
      </c>
      <c r="G33" s="66">
        <v>0</v>
      </c>
      <c r="H33" s="66">
        <v>0.44589899999999999</v>
      </c>
    </row>
    <row r="34" spans="1:8">
      <c r="A34" s="66" t="s">
        <v>331</v>
      </c>
      <c r="B34" s="66">
        <v>0.178235</v>
      </c>
      <c r="C34" s="66">
        <v>3.5363199999999997E-2</v>
      </c>
      <c r="D34" s="66">
        <v>0.198408</v>
      </c>
      <c r="E34" s="66">
        <v>0.1</v>
      </c>
      <c r="F34" s="66">
        <v>0.134376</v>
      </c>
      <c r="G34" s="66">
        <v>0.25</v>
      </c>
      <c r="H34" s="66">
        <v>0.27706500000000001</v>
      </c>
    </row>
    <row r="35" spans="1:8">
      <c r="A35" s="66" t="s">
        <v>332</v>
      </c>
      <c r="B35" s="66">
        <v>7.4740200000000007E-2</v>
      </c>
      <c r="C35" s="66">
        <v>2.1149899999999999E-2</v>
      </c>
      <c r="D35" s="66">
        <v>0.28297899999999998</v>
      </c>
      <c r="E35" s="66">
        <v>0</v>
      </c>
      <c r="F35" s="66">
        <v>2.60769E-2</v>
      </c>
      <c r="G35" s="66">
        <v>0</v>
      </c>
      <c r="H35" s="66">
        <v>0.12959899999999999</v>
      </c>
    </row>
    <row r="36" spans="1:8">
      <c r="A36" s="66" t="s">
        <v>333</v>
      </c>
      <c r="B36" s="66">
        <v>0.16508200000000001</v>
      </c>
      <c r="C36" s="66">
        <v>8.9091299999999998E-2</v>
      </c>
      <c r="D36" s="66">
        <v>0.53967900000000002</v>
      </c>
      <c r="E36" s="66">
        <v>0</v>
      </c>
      <c r="F36" s="66">
        <v>4.1463E-2</v>
      </c>
      <c r="G36" s="66">
        <v>0</v>
      </c>
      <c r="H36" s="66">
        <v>0.472609</v>
      </c>
    </row>
    <row r="37" spans="1:8">
      <c r="A37" s="66" t="s">
        <v>334</v>
      </c>
      <c r="B37" s="66">
        <v>0.353632</v>
      </c>
      <c r="C37" s="66">
        <v>0.104231</v>
      </c>
      <c r="D37" s="66">
        <v>0.29474499999999998</v>
      </c>
      <c r="E37" s="66">
        <v>0.1</v>
      </c>
      <c r="F37" s="66">
        <v>2.1885399999999999E-2</v>
      </c>
      <c r="G37" s="66">
        <v>0.5</v>
      </c>
      <c r="H37" s="66">
        <v>0.38380500000000001</v>
      </c>
    </row>
    <row r="38" spans="1:8">
      <c r="A38" s="66" t="s">
        <v>335</v>
      </c>
      <c r="B38" s="66">
        <v>-10.6737</v>
      </c>
      <c r="C38" s="66">
        <v>68.185100000000006</v>
      </c>
      <c r="D38" s="66">
        <v>-6.3881600000000001</v>
      </c>
      <c r="E38" s="66">
        <v>0</v>
      </c>
      <c r="F38" s="66">
        <v>-86.915300000000002</v>
      </c>
      <c r="G38" s="66">
        <v>0</v>
      </c>
      <c r="H38" s="66">
        <v>343.00200000000001</v>
      </c>
    </row>
    <row r="39" spans="1:8">
      <c r="A39" s="66" t="s">
        <v>336</v>
      </c>
      <c r="B39" s="66">
        <v>-1.4230799999999999</v>
      </c>
      <c r="C39" s="66">
        <v>18.6769</v>
      </c>
      <c r="D39" s="66">
        <v>-13.1243</v>
      </c>
      <c r="E39" s="66">
        <v>0</v>
      </c>
      <c r="F39" s="66">
        <v>-17.4998</v>
      </c>
      <c r="G39" s="66">
        <v>0</v>
      </c>
      <c r="H39" s="66">
        <v>63.311399999999999</v>
      </c>
    </row>
    <row r="40" spans="1:8">
      <c r="A40" s="66" t="s">
        <v>337</v>
      </c>
      <c r="B40" s="66">
        <v>-1.90262</v>
      </c>
      <c r="C40" s="66">
        <v>1.6086400000000001</v>
      </c>
      <c r="D40" s="66">
        <v>-0.84548800000000002</v>
      </c>
      <c r="E40" s="66">
        <v>0</v>
      </c>
      <c r="F40" s="66">
        <v>-3.55898</v>
      </c>
      <c r="G40" s="66">
        <v>0</v>
      </c>
      <c r="H40" s="66">
        <v>1.9533799999999999</v>
      </c>
    </row>
    <row r="41" spans="1:8">
      <c r="A41" s="66" t="s">
        <v>338</v>
      </c>
      <c r="B41" s="66">
        <v>-0.119908</v>
      </c>
      <c r="C41" s="66">
        <v>0.47820800000000002</v>
      </c>
      <c r="D41" s="66">
        <v>-3.9881199999999999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339</v>
      </c>
      <c r="B42" s="66">
        <v>-7.9901899999999998E-2</v>
      </c>
      <c r="C42" s="66">
        <v>0.249921</v>
      </c>
      <c r="D42" s="66">
        <v>-3.12784</v>
      </c>
      <c r="E42" s="66">
        <v>0</v>
      </c>
      <c r="F42" s="66">
        <v>-0.387351</v>
      </c>
      <c r="G42" s="66">
        <v>0</v>
      </c>
      <c r="H42" s="66">
        <v>0.58771600000000002</v>
      </c>
    </row>
    <row r="43" spans="1:8">
      <c r="A43" s="66" t="s">
        <v>340</v>
      </c>
      <c r="B43" s="66">
        <v>-2.50101E-2</v>
      </c>
      <c r="C43" s="66">
        <v>4.6319899999999997E-2</v>
      </c>
      <c r="D43" s="66">
        <v>-1.85205</v>
      </c>
      <c r="E43" s="66">
        <v>0</v>
      </c>
      <c r="F43" s="66">
        <v>-0.116894</v>
      </c>
      <c r="G43" s="66">
        <v>0</v>
      </c>
      <c r="H43" s="66">
        <v>7.9699699999999998E-2</v>
      </c>
    </row>
    <row r="44" spans="1:8">
      <c r="A44" s="66" t="s">
        <v>341</v>
      </c>
      <c r="B44" s="66">
        <v>-27.474499999999999</v>
      </c>
      <c r="C44" s="66">
        <v>17.6111</v>
      </c>
      <c r="D44" s="66">
        <v>-0.64099799999999996</v>
      </c>
      <c r="E44" s="66">
        <v>0</v>
      </c>
      <c r="F44" s="66">
        <v>-51.676000000000002</v>
      </c>
      <c r="G44" s="66">
        <v>0</v>
      </c>
      <c r="H44" s="66">
        <v>6.3302800000000001</v>
      </c>
    </row>
    <row r="45" spans="1:8">
      <c r="A45" s="66" t="s">
        <v>342</v>
      </c>
      <c r="B45" s="66">
        <v>58.420299999999997</v>
      </c>
      <c r="C45" s="66">
        <v>9.1578700000000008</v>
      </c>
      <c r="D45" s="66">
        <v>0.15675800000000001</v>
      </c>
      <c r="E45" s="66">
        <v>0</v>
      </c>
      <c r="F45" s="66">
        <v>43.234900000000003</v>
      </c>
      <c r="G45" s="66">
        <v>0</v>
      </c>
      <c r="H45" s="66">
        <v>89.069199999999995</v>
      </c>
    </row>
    <row r="46" spans="1:8">
      <c r="A46" s="66" t="s">
        <v>343</v>
      </c>
      <c r="B46" s="66">
        <v>34.871299999999998</v>
      </c>
      <c r="C46" s="66">
        <v>10.3079</v>
      </c>
      <c r="D46" s="66">
        <v>0.295597</v>
      </c>
      <c r="E46" s="66">
        <v>0</v>
      </c>
      <c r="F46" s="66">
        <v>8.3976199999999999</v>
      </c>
      <c r="G46" s="66">
        <v>0</v>
      </c>
      <c r="H46" s="66">
        <v>42.058799999999998</v>
      </c>
    </row>
    <row r="47" spans="1:8">
      <c r="A47" s="66" t="s">
        <v>344</v>
      </c>
      <c r="B47" s="66">
        <v>0.58318400000000004</v>
      </c>
      <c r="C47" s="66">
        <v>0.192194</v>
      </c>
      <c r="D47" s="66">
        <v>0.32956000000000002</v>
      </c>
      <c r="E47" s="66">
        <v>0</v>
      </c>
      <c r="F47" s="66">
        <v>0.243336</v>
      </c>
      <c r="G47" s="66">
        <v>0</v>
      </c>
      <c r="H47" s="66">
        <v>1.36124</v>
      </c>
    </row>
    <row r="48" spans="1:8">
      <c r="A48" s="66" t="s">
        <v>345</v>
      </c>
      <c r="B48" s="66">
        <v>0.48987599999999998</v>
      </c>
      <c r="C48" s="66">
        <v>6.3719499999999998E-2</v>
      </c>
      <c r="D48" s="66">
        <v>0.13007299999999999</v>
      </c>
      <c r="E48" s="66">
        <v>0</v>
      </c>
      <c r="F48" s="66">
        <v>0.38381100000000001</v>
      </c>
      <c r="G48" s="66">
        <v>0</v>
      </c>
      <c r="H48" s="66">
        <v>0.61433700000000002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347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346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34.728499999999997</v>
      </c>
      <c r="C5" s="66">
        <v>5.5127100000000002</v>
      </c>
      <c r="D5" s="66">
        <v>15.873699999999999</v>
      </c>
      <c r="E5" s="66">
        <v>20</v>
      </c>
      <c r="F5" s="66">
        <v>26.480599999999999</v>
      </c>
      <c r="G5" s="66">
        <v>50</v>
      </c>
      <c r="H5" s="66">
        <v>50.7624</v>
      </c>
    </row>
    <row r="6" spans="1:8">
      <c r="A6" s="66" t="s">
        <v>303</v>
      </c>
      <c r="B6" s="66">
        <v>47.921700000000001</v>
      </c>
      <c r="C6" s="66">
        <v>2.5850900000000001</v>
      </c>
      <c r="D6" s="66">
        <v>5.3943899999999996</v>
      </c>
      <c r="E6" s="66">
        <v>20</v>
      </c>
      <c r="F6" s="66">
        <v>44.482799999999997</v>
      </c>
      <c r="G6" s="66">
        <v>40</v>
      </c>
      <c r="H6" s="66">
        <v>55.6937</v>
      </c>
    </row>
    <row r="7" spans="1:8">
      <c r="A7" s="66" t="s">
        <v>304</v>
      </c>
      <c r="B7" s="66">
        <v>30.68</v>
      </c>
      <c r="C7" s="66">
        <v>9.8462999999999994</v>
      </c>
      <c r="D7" s="66">
        <v>32.093600000000002</v>
      </c>
      <c r="E7" s="66">
        <v>15</v>
      </c>
      <c r="F7" s="66">
        <v>17.985099999999999</v>
      </c>
      <c r="G7" s="66">
        <v>40</v>
      </c>
      <c r="H7" s="66">
        <v>50.9223</v>
      </c>
    </row>
    <row r="8" spans="1:8">
      <c r="A8" s="66" t="s">
        <v>305</v>
      </c>
      <c r="B8" s="66">
        <v>40.282699999999998</v>
      </c>
      <c r="C8" s="66">
        <v>2.9343499999999998</v>
      </c>
      <c r="D8" s="66">
        <v>7.2843900000000001</v>
      </c>
      <c r="E8" s="66">
        <v>20</v>
      </c>
      <c r="F8" s="66">
        <v>34.702100000000002</v>
      </c>
      <c r="G8" s="66">
        <v>50</v>
      </c>
      <c r="H8" s="66">
        <v>45.372599999999998</v>
      </c>
    </row>
    <row r="9" spans="1:8">
      <c r="A9" s="66" t="s">
        <v>306</v>
      </c>
      <c r="B9" s="66">
        <v>47.937199999999997</v>
      </c>
      <c r="C9" s="66">
        <v>3.0976699999999999</v>
      </c>
      <c r="D9" s="66">
        <v>6.4619499999999999</v>
      </c>
      <c r="E9" s="66">
        <v>50</v>
      </c>
      <c r="F9" s="66">
        <v>39.762900000000002</v>
      </c>
      <c r="G9" s="66">
        <v>100</v>
      </c>
      <c r="H9" s="66">
        <v>54.685299999999998</v>
      </c>
    </row>
    <row r="10" spans="1:8">
      <c r="A10" s="66" t="s">
        <v>307</v>
      </c>
      <c r="B10" s="66">
        <v>56.2119</v>
      </c>
      <c r="C10" s="66">
        <v>3.92849</v>
      </c>
      <c r="D10" s="66">
        <v>6.9887100000000002</v>
      </c>
      <c r="E10" s="66">
        <v>40</v>
      </c>
      <c r="F10" s="66">
        <v>47.410400000000003</v>
      </c>
      <c r="G10" s="66">
        <v>100</v>
      </c>
      <c r="H10" s="66">
        <v>62.807000000000002</v>
      </c>
    </row>
    <row r="11" spans="1:8">
      <c r="A11" s="66" t="s">
        <v>308</v>
      </c>
      <c r="B11" s="66">
        <v>10.799099999999999</v>
      </c>
      <c r="C11" s="66">
        <v>1.16333</v>
      </c>
      <c r="D11" s="66">
        <v>10.772399999999999</v>
      </c>
      <c r="E11" s="66">
        <v>10</v>
      </c>
      <c r="F11" s="66">
        <v>7.9780199999999999</v>
      </c>
      <c r="G11" s="66">
        <v>50</v>
      </c>
      <c r="H11" s="66">
        <v>12.921900000000001</v>
      </c>
    </row>
    <row r="12" spans="1:8">
      <c r="A12" s="66" t="s">
        <v>309</v>
      </c>
      <c r="B12" s="66">
        <v>51.523099999999999</v>
      </c>
      <c r="C12" s="66">
        <v>2.41208</v>
      </c>
      <c r="D12" s="66">
        <v>4.6815499999999997</v>
      </c>
      <c r="E12" s="66">
        <v>50</v>
      </c>
      <c r="F12" s="66">
        <v>46.4191</v>
      </c>
      <c r="G12" s="66">
        <v>100</v>
      </c>
      <c r="H12" s="66">
        <v>57.557499999999997</v>
      </c>
    </row>
    <row r="13" spans="1:8">
      <c r="A13" s="66" t="s">
        <v>310</v>
      </c>
      <c r="B13" s="66">
        <v>17.2407</v>
      </c>
      <c r="C13" s="66">
        <v>3.47464</v>
      </c>
      <c r="D13" s="66">
        <v>20.153600000000001</v>
      </c>
      <c r="E13" s="66">
        <v>10</v>
      </c>
      <c r="F13" s="66">
        <v>13.3028</v>
      </c>
      <c r="G13" s="66">
        <v>25</v>
      </c>
      <c r="H13" s="66">
        <v>31.1798</v>
      </c>
    </row>
    <row r="14" spans="1:8">
      <c r="A14" s="66" t="s">
        <v>311</v>
      </c>
      <c r="B14" s="66">
        <v>34.746400000000001</v>
      </c>
      <c r="C14" s="66">
        <v>12.3447</v>
      </c>
      <c r="D14" s="66">
        <v>35.527900000000002</v>
      </c>
      <c r="E14" s="66">
        <v>10</v>
      </c>
      <c r="F14" s="66">
        <v>2.2009599999999998</v>
      </c>
      <c r="G14" s="66">
        <v>50</v>
      </c>
      <c r="H14" s="66">
        <v>41.174500000000002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0.33032800000000001</v>
      </c>
      <c r="C18" s="66">
        <v>2.46959E-2</v>
      </c>
      <c r="D18" s="66">
        <v>7.4761800000000003E-2</v>
      </c>
      <c r="E18" s="66">
        <v>0</v>
      </c>
      <c r="F18" s="66">
        <v>0.30563200000000001</v>
      </c>
      <c r="G18" s="66">
        <v>0</v>
      </c>
      <c r="H18" s="66">
        <v>0.35502400000000001</v>
      </c>
    </row>
    <row r="19" spans="1:8">
      <c r="A19" s="66" t="s">
        <v>316</v>
      </c>
      <c r="B19" s="66">
        <v>0.77370399999999995</v>
      </c>
      <c r="C19" s="66">
        <v>9.8845000000000002E-2</v>
      </c>
      <c r="D19" s="66">
        <v>0.12775600000000001</v>
      </c>
      <c r="E19" s="66">
        <v>0</v>
      </c>
      <c r="F19" s="66">
        <v>0.67485899999999999</v>
      </c>
      <c r="G19" s="66">
        <v>0</v>
      </c>
      <c r="H19" s="66">
        <v>0.87254900000000002</v>
      </c>
    </row>
    <row r="20" spans="1:8">
      <c r="A20" s="66" t="s">
        <v>349</v>
      </c>
      <c r="B20" s="196">
        <v>4.3986300000000003E-5</v>
      </c>
      <c r="C20" s="66">
        <v>5.0916700000000002E-2</v>
      </c>
      <c r="D20" s="66">
        <v>1157.56</v>
      </c>
      <c r="E20" s="66">
        <v>0</v>
      </c>
      <c r="F20" s="66">
        <v>0</v>
      </c>
      <c r="G20" s="66">
        <v>0</v>
      </c>
      <c r="H20" s="66">
        <v>1.3197700000000001</v>
      </c>
    </row>
    <row r="21" spans="1:8">
      <c r="A21" s="66" t="s">
        <v>318</v>
      </c>
      <c r="B21" s="66">
        <v>1.3113E-2</v>
      </c>
      <c r="C21" s="66">
        <v>0.16267300000000001</v>
      </c>
      <c r="D21" s="66">
        <v>12.4055</v>
      </c>
      <c r="E21" s="66">
        <v>0</v>
      </c>
      <c r="F21" s="66">
        <v>1.52867E-4</v>
      </c>
      <c r="G21" s="66">
        <v>0</v>
      </c>
      <c r="H21" s="66">
        <v>1.32369</v>
      </c>
    </row>
    <row r="22" spans="1:8">
      <c r="A22" s="66" t="s">
        <v>319</v>
      </c>
      <c r="B22" s="66">
        <v>32.212200000000003</v>
      </c>
      <c r="C22" s="66">
        <v>21.3157</v>
      </c>
      <c r="D22" s="66">
        <v>0.66172900000000001</v>
      </c>
      <c r="E22" s="66">
        <v>0</v>
      </c>
      <c r="F22" s="66">
        <v>13.881399999999999</v>
      </c>
      <c r="G22" s="66">
        <v>0</v>
      </c>
      <c r="H22" s="66">
        <v>114.66500000000001</v>
      </c>
    </row>
    <row r="23" spans="1:8">
      <c r="A23" s="66" t="s">
        <v>320</v>
      </c>
      <c r="B23" s="66">
        <v>11.7605</v>
      </c>
      <c r="C23" s="66">
        <v>1.67699</v>
      </c>
      <c r="D23" s="66">
        <v>0.142595</v>
      </c>
      <c r="E23" s="66">
        <v>0</v>
      </c>
      <c r="F23" s="66">
        <v>9.8671799999999994</v>
      </c>
      <c r="G23" s="66">
        <v>0</v>
      </c>
      <c r="H23" s="66">
        <v>15.7098</v>
      </c>
    </row>
    <row r="24" spans="1:8">
      <c r="A24" s="66" t="s">
        <v>321</v>
      </c>
      <c r="B24" s="66">
        <v>1.5211000000000001E-4</v>
      </c>
      <c r="C24" s="66">
        <v>1.8948199999999998E-2</v>
      </c>
      <c r="D24" s="66">
        <v>124.569</v>
      </c>
      <c r="E24" s="66">
        <v>0</v>
      </c>
      <c r="F24" s="196">
        <v>3.2046900000000001E-6</v>
      </c>
      <c r="G24" s="66">
        <v>0</v>
      </c>
      <c r="H24" s="66">
        <v>0.19243499999999999</v>
      </c>
    </row>
    <row r="25" spans="1:8">
      <c r="A25" s="66" t="s">
        <v>322</v>
      </c>
      <c r="B25" s="66">
        <v>3.90222E-2</v>
      </c>
      <c r="C25" s="66">
        <v>6.9039699999999996E-2</v>
      </c>
      <c r="D25" s="66">
        <v>1.7692399999999999</v>
      </c>
      <c r="E25" s="66">
        <v>0</v>
      </c>
      <c r="F25" s="66">
        <v>6.4488599999999998E-3</v>
      </c>
      <c r="G25" s="66">
        <v>0</v>
      </c>
      <c r="H25" s="66">
        <v>0.25205</v>
      </c>
    </row>
    <row r="26" spans="1:8">
      <c r="A26" s="66" t="s">
        <v>323</v>
      </c>
      <c r="B26" s="196">
        <v>1.64128E-5</v>
      </c>
      <c r="C26" s="66">
        <v>6.2669199999999996E-3</v>
      </c>
      <c r="D26" s="66">
        <v>381.83100000000002</v>
      </c>
      <c r="E26" s="66">
        <v>0</v>
      </c>
      <c r="F26" s="66">
        <v>0</v>
      </c>
      <c r="G26" s="66">
        <v>0</v>
      </c>
      <c r="H26" s="66">
        <v>0.16627800000000001</v>
      </c>
    </row>
    <row r="27" spans="1:8">
      <c r="A27" s="66" t="s">
        <v>324</v>
      </c>
      <c r="B27" s="66">
        <v>0</v>
      </c>
      <c r="C27" s="66">
        <v>8.7440599999999997E-3</v>
      </c>
      <c r="D27" s="66">
        <v>0</v>
      </c>
      <c r="E27" s="66">
        <v>0</v>
      </c>
      <c r="F27" s="66">
        <v>-0.166242</v>
      </c>
      <c r="G27" s="66">
        <v>0</v>
      </c>
      <c r="H27" s="66">
        <v>0.16627500000000001</v>
      </c>
    </row>
    <row r="28" spans="1:8">
      <c r="A28" s="66" t="s">
        <v>325</v>
      </c>
      <c r="B28" s="66">
        <v>2.74902E-3</v>
      </c>
      <c r="C28" s="66">
        <v>1.8235299999999999E-2</v>
      </c>
      <c r="D28" s="66">
        <v>6.6333799999999998</v>
      </c>
      <c r="E28" s="66">
        <v>0</v>
      </c>
      <c r="F28" s="196">
        <v>7.4869800000000006E-5</v>
      </c>
      <c r="G28" s="66">
        <v>0</v>
      </c>
      <c r="H28" s="66">
        <v>0.16673199999999999</v>
      </c>
    </row>
    <row r="29" spans="1:8">
      <c r="A29" s="66" t="s">
        <v>326</v>
      </c>
      <c r="B29" s="66">
        <v>62.697000000000003</v>
      </c>
      <c r="C29" s="66">
        <v>14.625999999999999</v>
      </c>
      <c r="D29" s="66">
        <v>0.23328099999999999</v>
      </c>
      <c r="E29" s="66">
        <v>0</v>
      </c>
      <c r="F29" s="66">
        <v>36.389200000000002</v>
      </c>
      <c r="G29" s="66">
        <v>0</v>
      </c>
      <c r="H29" s="66">
        <v>116.77800000000001</v>
      </c>
    </row>
    <row r="30" spans="1:8">
      <c r="A30" s="66" t="s">
        <v>327</v>
      </c>
      <c r="B30" s="66">
        <v>12.0977</v>
      </c>
      <c r="C30" s="66">
        <v>1.79423</v>
      </c>
      <c r="D30" s="66">
        <v>0.148311</v>
      </c>
      <c r="E30" s="66">
        <v>0</v>
      </c>
      <c r="F30" s="66">
        <v>9.2981200000000008</v>
      </c>
      <c r="G30" s="66">
        <v>0</v>
      </c>
      <c r="H30" s="66">
        <v>16.552499999999998</v>
      </c>
    </row>
    <row r="31" spans="1:8">
      <c r="A31" s="66" t="s">
        <v>328</v>
      </c>
      <c r="B31" s="66">
        <v>147.126</v>
      </c>
      <c r="C31" s="66">
        <v>34.918399999999998</v>
      </c>
      <c r="D31" s="66">
        <v>0.23733699999999999</v>
      </c>
      <c r="E31" s="66">
        <v>0</v>
      </c>
      <c r="F31" s="66">
        <v>76.140100000000004</v>
      </c>
      <c r="G31" s="66">
        <v>0</v>
      </c>
      <c r="H31" s="66">
        <v>182.05099999999999</v>
      </c>
    </row>
    <row r="32" spans="1:8">
      <c r="A32" s="66" t="s">
        <v>329</v>
      </c>
      <c r="B32" s="66">
        <v>0.30680000000000002</v>
      </c>
      <c r="C32" s="66">
        <v>9.8462999999999995E-2</v>
      </c>
      <c r="D32" s="66">
        <v>0.320936</v>
      </c>
      <c r="E32" s="66">
        <v>0.15</v>
      </c>
      <c r="F32" s="66">
        <v>0.17985100000000001</v>
      </c>
      <c r="G32" s="66">
        <v>0.4</v>
      </c>
      <c r="H32" s="66">
        <v>0.50922299999999998</v>
      </c>
    </row>
    <row r="33" spans="1:8">
      <c r="A33" s="66" t="s">
        <v>330</v>
      </c>
      <c r="B33" s="66">
        <v>0.37994699999999998</v>
      </c>
      <c r="C33" s="66">
        <v>1.7361999999999999E-2</v>
      </c>
      <c r="D33" s="66">
        <v>4.5695899999999998E-2</v>
      </c>
      <c r="E33" s="66">
        <v>0</v>
      </c>
      <c r="F33" s="66">
        <v>0.35431200000000002</v>
      </c>
      <c r="G33" s="66">
        <v>0</v>
      </c>
      <c r="H33" s="66">
        <v>0.43476399999999998</v>
      </c>
    </row>
    <row r="34" spans="1:8">
      <c r="A34" s="66" t="s">
        <v>331</v>
      </c>
      <c r="B34" s="66">
        <v>0.172407</v>
      </c>
      <c r="C34" s="66">
        <v>3.4746399999999997E-2</v>
      </c>
      <c r="D34" s="66">
        <v>0.20153599999999999</v>
      </c>
      <c r="E34" s="66">
        <v>0.1</v>
      </c>
      <c r="F34" s="66">
        <v>0.13302800000000001</v>
      </c>
      <c r="G34" s="66">
        <v>0.25</v>
      </c>
      <c r="H34" s="66">
        <v>0.31179800000000002</v>
      </c>
    </row>
    <row r="35" spans="1:8">
      <c r="A35" s="66" t="s">
        <v>332</v>
      </c>
      <c r="B35" s="66">
        <v>8.1634700000000004E-2</v>
      </c>
      <c r="C35" s="66">
        <v>1.7830700000000001E-2</v>
      </c>
      <c r="D35" s="66">
        <v>0.218421</v>
      </c>
      <c r="E35" s="66">
        <v>0</v>
      </c>
      <c r="F35" s="66">
        <v>3.2331400000000003E-2</v>
      </c>
      <c r="G35" s="66">
        <v>0</v>
      </c>
      <c r="H35" s="66">
        <v>0.121167</v>
      </c>
    </row>
    <row r="36" spans="1:8">
      <c r="A36" s="66" t="s">
        <v>333</v>
      </c>
      <c r="B36" s="66">
        <v>0.156087</v>
      </c>
      <c r="C36" s="66">
        <v>9.0201900000000002E-2</v>
      </c>
      <c r="D36" s="66">
        <v>0.57789299999999999</v>
      </c>
      <c r="E36" s="66">
        <v>0</v>
      </c>
      <c r="F36" s="66">
        <v>4.3507499999999998E-2</v>
      </c>
      <c r="G36" s="66">
        <v>0</v>
      </c>
      <c r="H36" s="66">
        <v>0.42704599999999998</v>
      </c>
    </row>
    <row r="37" spans="1:8">
      <c r="A37" s="66" t="s">
        <v>334</v>
      </c>
      <c r="B37" s="66">
        <v>0.347464</v>
      </c>
      <c r="C37" s="66">
        <v>0.123447</v>
      </c>
      <c r="D37" s="66">
        <v>0.35527900000000001</v>
      </c>
      <c r="E37" s="66">
        <v>0.1</v>
      </c>
      <c r="F37" s="66">
        <v>2.2009600000000001E-2</v>
      </c>
      <c r="G37" s="66">
        <v>0.5</v>
      </c>
      <c r="H37" s="66">
        <v>0.41174500000000003</v>
      </c>
    </row>
    <row r="38" spans="1:8">
      <c r="A38" s="66" t="s">
        <v>335</v>
      </c>
      <c r="B38" s="66">
        <v>-13.161300000000001</v>
      </c>
      <c r="C38" s="66">
        <v>60.414299999999997</v>
      </c>
      <c r="D38" s="66">
        <v>-4.5902900000000004</v>
      </c>
      <c r="E38" s="66">
        <v>0</v>
      </c>
      <c r="F38" s="66">
        <v>-100.523</v>
      </c>
      <c r="G38" s="66">
        <v>0</v>
      </c>
      <c r="H38" s="66">
        <v>260.995</v>
      </c>
    </row>
    <row r="39" spans="1:8">
      <c r="A39" s="66" t="s">
        <v>336</v>
      </c>
      <c r="B39" s="66">
        <v>-1.5467599999999999</v>
      </c>
      <c r="C39" s="66">
        <v>20.1934</v>
      </c>
      <c r="D39" s="66">
        <v>-13.055199999999999</v>
      </c>
      <c r="E39" s="66">
        <v>0</v>
      </c>
      <c r="F39" s="66">
        <v>-19.160900000000002</v>
      </c>
      <c r="G39" s="66">
        <v>0</v>
      </c>
      <c r="H39" s="66">
        <v>87.377700000000004</v>
      </c>
    </row>
    <row r="40" spans="1:8">
      <c r="A40" s="66" t="s">
        <v>337</v>
      </c>
      <c r="B40" s="66">
        <v>-2.6129199999999999</v>
      </c>
      <c r="C40" s="66">
        <v>0.92045500000000002</v>
      </c>
      <c r="D40" s="66">
        <v>-0.352271</v>
      </c>
      <c r="E40" s="66">
        <v>0</v>
      </c>
      <c r="F40" s="66">
        <v>-4.3005199999999997</v>
      </c>
      <c r="G40" s="66">
        <v>0</v>
      </c>
      <c r="H40" s="66">
        <v>0.65171599999999996</v>
      </c>
    </row>
    <row r="41" spans="1:8">
      <c r="A41" s="66" t="s">
        <v>338</v>
      </c>
      <c r="B41" s="66">
        <v>-0.148504</v>
      </c>
      <c r="C41" s="66">
        <v>0.49891999999999997</v>
      </c>
      <c r="D41" s="66">
        <v>-3.3596499999999998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339</v>
      </c>
      <c r="B42" s="66">
        <v>-0.183616</v>
      </c>
      <c r="C42" s="66">
        <v>0.29122300000000001</v>
      </c>
      <c r="D42" s="66">
        <v>-1.5860399999999999</v>
      </c>
      <c r="E42" s="66">
        <v>0</v>
      </c>
      <c r="F42" s="66">
        <v>-0.52061999999999997</v>
      </c>
      <c r="G42" s="66">
        <v>0</v>
      </c>
      <c r="H42" s="66">
        <v>0.59645400000000004</v>
      </c>
    </row>
    <row r="43" spans="1:8">
      <c r="A43" s="66" t="s">
        <v>340</v>
      </c>
      <c r="B43" s="66">
        <v>-0.204707</v>
      </c>
      <c r="C43" s="66">
        <v>6.1240900000000001E-2</v>
      </c>
      <c r="D43" s="66">
        <v>-0.29916399999999999</v>
      </c>
      <c r="E43" s="66">
        <v>0</v>
      </c>
      <c r="F43" s="66">
        <v>-0.260548</v>
      </c>
      <c r="G43" s="66">
        <v>0</v>
      </c>
      <c r="H43" s="66">
        <v>-5.9826499999999998E-2</v>
      </c>
    </row>
    <row r="44" spans="1:8">
      <c r="A44" s="66" t="s">
        <v>341</v>
      </c>
      <c r="B44" s="66">
        <v>-15.591200000000001</v>
      </c>
      <c r="C44" s="66">
        <v>10.046099999999999</v>
      </c>
      <c r="D44" s="66">
        <v>-0.64434400000000003</v>
      </c>
      <c r="E44" s="66">
        <v>0</v>
      </c>
      <c r="F44" s="66">
        <v>-41.128399999999999</v>
      </c>
      <c r="G44" s="66">
        <v>0</v>
      </c>
      <c r="H44" s="66">
        <v>29.030100000000001</v>
      </c>
    </row>
    <row r="45" spans="1:8">
      <c r="A45" s="66" t="s">
        <v>342</v>
      </c>
      <c r="B45" s="66">
        <v>54.185200000000002</v>
      </c>
      <c r="C45" s="66">
        <v>9.9954400000000003</v>
      </c>
      <c r="D45" s="66">
        <v>0.18446799999999999</v>
      </c>
      <c r="E45" s="66">
        <v>0</v>
      </c>
      <c r="F45" s="66">
        <v>37.296399999999998</v>
      </c>
      <c r="G45" s="66">
        <v>0</v>
      </c>
      <c r="H45" s="66">
        <v>79.663899999999998</v>
      </c>
    </row>
    <row r="46" spans="1:8">
      <c r="A46" s="66" t="s">
        <v>343</v>
      </c>
      <c r="B46" s="66">
        <v>34.747399999999999</v>
      </c>
      <c r="C46" s="66">
        <v>3.8299099999999999</v>
      </c>
      <c r="D46" s="66">
        <v>0.110222</v>
      </c>
      <c r="E46" s="66">
        <v>0</v>
      </c>
      <c r="F46" s="66">
        <v>28.391999999999999</v>
      </c>
      <c r="G46" s="66">
        <v>0</v>
      </c>
      <c r="H46" s="66">
        <v>41.540700000000001</v>
      </c>
    </row>
    <row r="47" spans="1:8">
      <c r="A47" s="66" t="s">
        <v>344</v>
      </c>
      <c r="B47" s="66">
        <v>0.46371400000000002</v>
      </c>
      <c r="C47" s="66">
        <v>0.13400400000000001</v>
      </c>
      <c r="D47" s="66">
        <v>0.28898099999999999</v>
      </c>
      <c r="E47" s="66">
        <v>0</v>
      </c>
      <c r="F47" s="66">
        <v>0.18997</v>
      </c>
      <c r="G47" s="66">
        <v>0</v>
      </c>
      <c r="H47" s="66">
        <v>0.85176099999999999</v>
      </c>
    </row>
    <row r="48" spans="1:8">
      <c r="A48" s="66" t="s">
        <v>345</v>
      </c>
      <c r="B48" s="66">
        <v>0.503799</v>
      </c>
      <c r="C48" s="66">
        <v>7.04153E-2</v>
      </c>
      <c r="D48" s="66">
        <v>0.139769</v>
      </c>
      <c r="E48" s="66">
        <v>0</v>
      </c>
      <c r="F48" s="66">
        <v>0.38219500000000001</v>
      </c>
      <c r="G48" s="66">
        <v>0</v>
      </c>
      <c r="H48" s="66">
        <v>0.66806900000000002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350</v>
      </c>
      <c r="B1" s="60" t="s">
        <v>351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62.80449099590242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1.2125970941730819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0.7209119551404769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23669</v>
      </c>
      <c r="B8" s="66">
        <v>23669</v>
      </c>
      <c r="D8">
        <f t="shared" si="0"/>
        <v>0.27420064874884154</v>
      </c>
      <c r="E8">
        <f t="shared" si="0"/>
        <v>0.27420064874884154</v>
      </c>
      <c r="G8">
        <f t="shared" ca="1" si="1"/>
        <v>6</v>
      </c>
      <c r="H8">
        <f t="shared" ca="1" si="2"/>
        <v>1.6452038924930492</v>
      </c>
      <c r="I8">
        <f t="shared" ca="1" si="3"/>
        <v>884.77699745108839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51667</v>
      </c>
      <c r="B10" s="66">
        <v>51667</v>
      </c>
      <c r="D10">
        <f t="shared" si="0"/>
        <v>0.59855189990732161</v>
      </c>
      <c r="E10">
        <f t="shared" si="0"/>
        <v>0.59855189990732161</v>
      </c>
      <c r="G10">
        <f t="shared" ca="1" si="1"/>
        <v>8</v>
      </c>
      <c r="H10">
        <f t="shared" ca="1" si="2"/>
        <v>4.7884151992585728</v>
      </c>
      <c r="I10">
        <f t="shared" ca="1" si="3"/>
        <v>1797.7699246865363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58290</v>
      </c>
      <c r="B13" s="66">
        <v>58290</v>
      </c>
      <c r="D13">
        <f t="shared" si="0"/>
        <v>0.67527803521779428</v>
      </c>
      <c r="E13">
        <f t="shared" si="0"/>
        <v>0.67527803521779428</v>
      </c>
      <c r="G13">
        <f t="shared" ca="1" si="1"/>
        <v>11</v>
      </c>
      <c r="H13">
        <f t="shared" ca="1" si="2"/>
        <v>7.4280583873957369</v>
      </c>
      <c r="I13">
        <f t="shared" ca="1" si="3"/>
        <v>1812.2472335416237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78126</v>
      </c>
      <c r="B15" s="66">
        <v>78126</v>
      </c>
      <c r="D15">
        <f t="shared" si="0"/>
        <v>0.90507414272474518</v>
      </c>
      <c r="E15">
        <f t="shared" si="0"/>
        <v>0.90507414272474518</v>
      </c>
      <c r="G15">
        <f t="shared" ca="1" si="1"/>
        <v>13</v>
      </c>
      <c r="H15">
        <f t="shared" ca="1" si="2"/>
        <v>11.765963855421687</v>
      </c>
      <c r="I15">
        <f t="shared" ca="1" si="3"/>
        <v>2245.0249377304872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76928</v>
      </c>
      <c r="B18" s="66">
        <v>76928</v>
      </c>
      <c r="D18">
        <f t="shared" si="0"/>
        <v>0.8911955514365153</v>
      </c>
      <c r="E18">
        <f t="shared" si="0"/>
        <v>0.8911955514365153</v>
      </c>
      <c r="G18">
        <f t="shared" ca="1" si="1"/>
        <v>16</v>
      </c>
      <c r="H18">
        <f t="shared" ca="1" si="2"/>
        <v>14.259128822984245</v>
      </c>
      <c r="I18">
        <f t="shared" ca="1" si="3"/>
        <v>1952.306783034205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80765</v>
      </c>
      <c r="B21" s="66">
        <v>80765</v>
      </c>
      <c r="D21">
        <f t="shared" si="0"/>
        <v>0.93564643188137164</v>
      </c>
      <c r="E21">
        <f t="shared" si="0"/>
        <v>0.93564643188137164</v>
      </c>
      <c r="G21">
        <f t="shared" ca="1" si="1"/>
        <v>19</v>
      </c>
      <c r="H21">
        <f t="shared" ca="1" si="2"/>
        <v>17.777282205746062</v>
      </c>
      <c r="I21">
        <f t="shared" ca="1" si="3"/>
        <v>1795.3496534735452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85188</v>
      </c>
      <c r="B23" s="66">
        <v>85188</v>
      </c>
      <c r="D23">
        <f t="shared" si="0"/>
        <v>0.98688600556070438</v>
      </c>
      <c r="E23">
        <f t="shared" si="0"/>
        <v>0.98688600556070438</v>
      </c>
      <c r="G23">
        <f t="shared" ca="1" si="1"/>
        <v>21</v>
      </c>
      <c r="H23">
        <f t="shared" ca="1" si="2"/>
        <v>20.72460611677479</v>
      </c>
      <c r="I23">
        <f t="shared" ca="1" si="3"/>
        <v>1724.6972479046285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82222</v>
      </c>
      <c r="B26" s="66">
        <v>82222</v>
      </c>
      <c r="D26">
        <f t="shared" si="0"/>
        <v>0.95252548656163116</v>
      </c>
      <c r="E26">
        <f t="shared" si="0"/>
        <v>0.95252548656163116</v>
      </c>
      <c r="G26">
        <f t="shared" ca="1" si="1"/>
        <v>24</v>
      </c>
      <c r="H26">
        <f t="shared" ca="1" si="2"/>
        <v>22.860611677479149</v>
      </c>
      <c r="I26">
        <f t="shared" ca="1" si="3"/>
        <v>1434.3019440541016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86320</v>
      </c>
      <c r="B28" s="66">
        <v>86320</v>
      </c>
      <c r="D28">
        <f t="shared" si="0"/>
        <v>1</v>
      </c>
      <c r="E28">
        <f t="shared" si="0"/>
        <v>1</v>
      </c>
      <c r="G28">
        <f t="shared" ca="1" si="1"/>
        <v>26</v>
      </c>
      <c r="H28">
        <f t="shared" ca="1" si="2"/>
        <v>26</v>
      </c>
      <c r="I28">
        <f t="shared" ca="1" si="3"/>
        <v>1354.5705574674623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70186</v>
      </c>
      <c r="B31" s="66">
        <v>70186</v>
      </c>
      <c r="D31">
        <f t="shared" si="0"/>
        <v>0.81309082483781281</v>
      </c>
      <c r="E31">
        <f t="shared" si="0"/>
        <v>0.81309082483781281</v>
      </c>
      <c r="G31">
        <f t="shared" ca="1" si="1"/>
        <v>29</v>
      </c>
      <c r="H31">
        <f t="shared" ca="1" si="2"/>
        <v>23.579633920296573</v>
      </c>
      <c r="I31">
        <f t="shared" ca="1" si="3"/>
        <v>929.15434564621012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73629</v>
      </c>
      <c r="B33" s="66">
        <v>73629</v>
      </c>
      <c r="D33">
        <f t="shared" si="0"/>
        <v>0.85297729379054676</v>
      </c>
      <c r="E33">
        <f t="shared" si="0"/>
        <v>0.85297729379054676</v>
      </c>
      <c r="G33">
        <f t="shared" ca="1" si="1"/>
        <v>31</v>
      </c>
      <c r="H33">
        <f t="shared" ca="1" si="2"/>
        <v>26.442296107506948</v>
      </c>
      <c r="I33">
        <f t="shared" ca="1" si="3"/>
        <v>862.80840941147801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68225</v>
      </c>
      <c r="B36" s="66">
        <v>68225</v>
      </c>
      <c r="D36">
        <f t="shared" si="0"/>
        <v>0.79037303058387398</v>
      </c>
      <c r="E36">
        <f t="shared" si="0"/>
        <v>0.79037303058387398</v>
      </c>
      <c r="G36">
        <f t="shared" ca="1" si="1"/>
        <v>34</v>
      </c>
      <c r="H36">
        <f t="shared" ca="1" si="2"/>
        <v>26.872683039851715</v>
      </c>
      <c r="I36">
        <f t="shared" ca="1" si="3"/>
        <v>655.77147720216101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73890</v>
      </c>
      <c r="B39" s="66">
        <v>73890</v>
      </c>
      <c r="D39">
        <f t="shared" si="0"/>
        <v>0.85600092678405937</v>
      </c>
      <c r="E39">
        <f t="shared" si="0"/>
        <v>0.85600092678405937</v>
      </c>
      <c r="G39">
        <f t="shared" ca="1" si="1"/>
        <v>37</v>
      </c>
      <c r="H39">
        <f t="shared" ca="1" si="2"/>
        <v>31.672034291010196</v>
      </c>
      <c r="I39">
        <f t="shared" ca="1" si="3"/>
        <v>569.98683987664197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67234</v>
      </c>
      <c r="B41" s="66">
        <v>67234</v>
      </c>
      <c r="D41">
        <f t="shared" si="0"/>
        <v>0.77889249304911956</v>
      </c>
      <c r="E41">
        <f t="shared" si="0"/>
        <v>0.77889249304911956</v>
      </c>
      <c r="G41">
        <f t="shared" ca="1" si="1"/>
        <v>39</v>
      </c>
      <c r="H41">
        <f t="shared" ca="1" si="2"/>
        <v>30.376807228915663</v>
      </c>
      <c r="I41">
        <f t="shared" ca="1" si="3"/>
        <v>441.3623844148085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67359</v>
      </c>
      <c r="B44" s="66">
        <v>67359</v>
      </c>
      <c r="D44">
        <f t="shared" si="0"/>
        <v>0.78034059314179793</v>
      </c>
      <c r="E44">
        <f t="shared" si="0"/>
        <v>0.78034059314179793</v>
      </c>
      <c r="G44">
        <f t="shared" ca="1" si="1"/>
        <v>42</v>
      </c>
      <c r="H44">
        <f t="shared" ca="1" si="2"/>
        <v>32.774304911955511</v>
      </c>
      <c r="I44">
        <f t="shared" ca="1" si="3"/>
        <v>337.7523574220931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75563</v>
      </c>
      <c r="B46" s="66">
        <v>75563</v>
      </c>
      <c r="D46">
        <f t="shared" si="0"/>
        <v>0.87538229842446713</v>
      </c>
      <c r="E46">
        <f t="shared" si="0"/>
        <v>0.87538229842446713</v>
      </c>
      <c r="G46">
        <f t="shared" ca="1" si="1"/>
        <v>44</v>
      </c>
      <c r="H46">
        <f t="shared" ca="1" si="2"/>
        <v>38.516821130676554</v>
      </c>
      <c r="I46">
        <f t="shared" ca="1" si="3"/>
        <v>309.54295553142231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65438</v>
      </c>
      <c r="B49" s="66">
        <v>65438</v>
      </c>
      <c r="D49">
        <f t="shared" si="0"/>
        <v>0.75808619091751617</v>
      </c>
      <c r="E49">
        <f t="shared" si="0"/>
        <v>0.75808619091751617</v>
      </c>
      <c r="G49">
        <f t="shared" ca="1" si="1"/>
        <v>47</v>
      </c>
      <c r="H49">
        <f t="shared" ca="1" si="2"/>
        <v>35.630050973123261</v>
      </c>
      <c r="I49">
        <f t="shared" ca="1" si="3"/>
        <v>189.3562361489987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58457</v>
      </c>
      <c r="B51" s="66">
        <v>58457</v>
      </c>
      <c r="D51">
        <f t="shared" si="0"/>
        <v>0.67721269694161257</v>
      </c>
      <c r="E51">
        <f t="shared" si="0"/>
        <v>0.67721269694161257</v>
      </c>
      <c r="G51">
        <f t="shared" ca="1" si="1"/>
        <v>49</v>
      </c>
      <c r="H51">
        <f t="shared" ca="1" si="2"/>
        <v>33.183422150139016</v>
      </c>
      <c r="I51">
        <f t="shared" ca="1" si="3"/>
        <v>129.05234118503157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56452</v>
      </c>
      <c r="B54" s="66">
        <v>56452</v>
      </c>
      <c r="D54">
        <f t="shared" si="0"/>
        <v>0.65398517145505097</v>
      </c>
      <c r="E54">
        <f t="shared" si="0"/>
        <v>0.65398517145505097</v>
      </c>
      <c r="G54">
        <f t="shared" ca="1" si="1"/>
        <v>52</v>
      </c>
      <c r="H54">
        <f t="shared" ca="1" si="2"/>
        <v>34.007228915662651</v>
      </c>
      <c r="I54">
        <f t="shared" ca="1" si="3"/>
        <v>76.34428375483833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56126</v>
      </c>
      <c r="B57" s="66">
        <v>56126</v>
      </c>
      <c r="D57">
        <f t="shared" si="0"/>
        <v>0.6502085264133457</v>
      </c>
      <c r="E57">
        <f t="shared" si="0"/>
        <v>0.6502085264133457</v>
      </c>
      <c r="G57">
        <f t="shared" ca="1" si="1"/>
        <v>55</v>
      </c>
      <c r="H57">
        <f t="shared" ca="1" si="2"/>
        <v>35.761468952734013</v>
      </c>
      <c r="I57">
        <f t="shared" ca="1" si="3"/>
        <v>39.604253168786769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50000</v>
      </c>
      <c r="B59" s="66">
        <v>50000</v>
      </c>
      <c r="D59">
        <f t="shared" si="0"/>
        <v>0.5792400370713624</v>
      </c>
      <c r="E59">
        <f t="shared" si="0"/>
        <v>0.5792400370713624</v>
      </c>
      <c r="G59">
        <f t="shared" ca="1" si="1"/>
        <v>57</v>
      </c>
      <c r="H59">
        <f t="shared" ca="1" si="2"/>
        <v>33.01668211306766</v>
      </c>
      <c r="I59">
        <f t="shared" ca="1" si="3"/>
        <v>19.515822359541392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48554</v>
      </c>
      <c r="B62" s="66">
        <v>48554</v>
      </c>
      <c r="D62">
        <f t="shared" si="0"/>
        <v>0.56248841519925852</v>
      </c>
      <c r="E62">
        <f t="shared" si="0"/>
        <v>0.56248841519925852</v>
      </c>
      <c r="G62">
        <f t="shared" ca="1" si="1"/>
        <v>60</v>
      </c>
      <c r="H62">
        <f t="shared" ca="1" si="2"/>
        <v>33.749304911955512</v>
      </c>
      <c r="I62">
        <f t="shared" ca="1" si="3"/>
        <v>4.424066865755675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53403</v>
      </c>
      <c r="B64" s="66">
        <v>53403</v>
      </c>
      <c r="D64">
        <f t="shared" si="0"/>
        <v>0.6186631139944393</v>
      </c>
      <c r="E64">
        <f t="shared" si="0"/>
        <v>0.6186631139944393</v>
      </c>
      <c r="G64">
        <f t="shared" ca="1" si="1"/>
        <v>62</v>
      </c>
      <c r="H64">
        <f t="shared" ca="1" si="2"/>
        <v>38.357113067655234</v>
      </c>
      <c r="I64">
        <f t="shared" ca="1" si="3"/>
        <v>0.40040233241601292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55105</v>
      </c>
      <c r="B67" s="66">
        <v>55105</v>
      </c>
      <c r="D67">
        <f t="shared" ref="D67:E130" si="4">IFERROR( A67/MAX(A$2:A$257), 0 )</f>
        <v>0.63838044485634848</v>
      </c>
      <c r="E67">
        <f t="shared" si="4"/>
        <v>0.63838044485634848</v>
      </c>
      <c r="G67">
        <f t="shared" ref="G67:G130" ca="1" si="5">CELL("row",D67)-2</f>
        <v>65</v>
      </c>
      <c r="H67">
        <f t="shared" ref="H67:H130" ca="1" si="6">D67*G67</f>
        <v>41.494728915662648</v>
      </c>
      <c r="I67">
        <f t="shared" ref="I67:I130" ca="1" si="7">D67*((G67-$L$1)^2)</f>
        <v>3.07715958719518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58730</v>
      </c>
      <c r="B69" s="66">
        <v>58730</v>
      </c>
      <c r="D69">
        <f t="shared" si="4"/>
        <v>0.68037534754402229</v>
      </c>
      <c r="E69">
        <f t="shared" si="4"/>
        <v>0.68037534754402229</v>
      </c>
      <c r="G69">
        <f t="shared" ca="1" si="5"/>
        <v>67</v>
      </c>
      <c r="H69">
        <f t="shared" ca="1" si="6"/>
        <v>45.585148285449492</v>
      </c>
      <c r="I69">
        <f t="shared" ca="1" si="7"/>
        <v>11.976168124854416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59653</v>
      </c>
      <c r="B72" s="66">
        <v>59653</v>
      </c>
      <c r="D72">
        <f t="shared" si="4"/>
        <v>0.6910681186283596</v>
      </c>
      <c r="E72">
        <f t="shared" si="4"/>
        <v>0.6910681186283596</v>
      </c>
      <c r="G72">
        <f t="shared" ca="1" si="5"/>
        <v>70</v>
      </c>
      <c r="H72">
        <f t="shared" ca="1" si="6"/>
        <v>48.374768303985171</v>
      </c>
      <c r="I72">
        <f t="shared" ca="1" si="7"/>
        <v>35.780293596995229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56112</v>
      </c>
      <c r="B75" s="66">
        <v>56112</v>
      </c>
      <c r="D75">
        <f t="shared" si="4"/>
        <v>0.65004633920296573</v>
      </c>
      <c r="E75">
        <f t="shared" si="4"/>
        <v>0.65004633920296573</v>
      </c>
      <c r="G75">
        <f t="shared" ca="1" si="5"/>
        <v>73</v>
      </c>
      <c r="H75">
        <f t="shared" ca="1" si="6"/>
        <v>47.453382761816499</v>
      </c>
      <c r="I75">
        <f t="shared" ca="1" si="7"/>
        <v>67.571279390396739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62588</v>
      </c>
      <c r="B77" s="66">
        <v>62588</v>
      </c>
      <c r="D77">
        <f t="shared" si="4"/>
        <v>0.72506950880444854</v>
      </c>
      <c r="E77">
        <f t="shared" si="4"/>
        <v>0.72506950880444854</v>
      </c>
      <c r="G77">
        <f t="shared" ca="1" si="5"/>
        <v>75</v>
      </c>
      <c r="H77">
        <f t="shared" ca="1" si="6"/>
        <v>54.380213160333639</v>
      </c>
      <c r="I77">
        <f t="shared" ca="1" si="7"/>
        <v>107.83990698010365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59968</v>
      </c>
      <c r="B80" s="66">
        <v>59968</v>
      </c>
      <c r="D80">
        <f t="shared" si="4"/>
        <v>0.69471733086190912</v>
      </c>
      <c r="E80">
        <f t="shared" si="4"/>
        <v>0.69471733086190912</v>
      </c>
      <c r="G80">
        <f t="shared" ca="1" si="5"/>
        <v>78</v>
      </c>
      <c r="H80">
        <f t="shared" ca="1" si="6"/>
        <v>54.187951807228913</v>
      </c>
      <c r="I80">
        <f t="shared" ca="1" si="7"/>
        <v>160.4126589644583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59143</v>
      </c>
      <c r="B82" s="66">
        <v>59143</v>
      </c>
      <c r="D82">
        <f t="shared" si="4"/>
        <v>0.68515987025023173</v>
      </c>
      <c r="E82">
        <f t="shared" si="4"/>
        <v>0.68515987025023173</v>
      </c>
      <c r="G82">
        <f t="shared" ca="1" si="5"/>
        <v>80</v>
      </c>
      <c r="H82">
        <f t="shared" ca="1" si="6"/>
        <v>54.812789620018535</v>
      </c>
      <c r="I82">
        <f t="shared" ca="1" si="7"/>
        <v>202.59185930800729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57318</v>
      </c>
      <c r="B85" s="66">
        <v>57318</v>
      </c>
      <c r="D85">
        <f t="shared" si="4"/>
        <v>0.66401760889712702</v>
      </c>
      <c r="E85">
        <f t="shared" si="4"/>
        <v>0.66401760889712702</v>
      </c>
      <c r="G85">
        <f t="shared" ca="1" si="5"/>
        <v>83</v>
      </c>
      <c r="H85">
        <f t="shared" ca="1" si="6"/>
        <v>55.113461538461543</v>
      </c>
      <c r="I85">
        <f t="shared" ca="1" si="7"/>
        <v>270.82528167241225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57487</v>
      </c>
      <c r="B88" s="66">
        <v>57487</v>
      </c>
      <c r="D88">
        <f t="shared" si="4"/>
        <v>0.66597544022242816</v>
      </c>
      <c r="E88">
        <f t="shared" si="4"/>
        <v>0.66597544022242816</v>
      </c>
      <c r="G88">
        <f t="shared" ca="1" si="5"/>
        <v>86</v>
      </c>
      <c r="H88">
        <f t="shared" ca="1" si="6"/>
        <v>57.27388785912882</v>
      </c>
      <c r="I88">
        <f t="shared" ca="1" si="7"/>
        <v>358.31585694345358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54620</v>
      </c>
      <c r="B90" s="66">
        <v>54620</v>
      </c>
      <c r="D90">
        <f t="shared" si="4"/>
        <v>0.63276181649675622</v>
      </c>
      <c r="E90">
        <f t="shared" si="4"/>
        <v>0.63276181649675622</v>
      </c>
      <c r="G90">
        <f t="shared" ca="1" si="5"/>
        <v>88</v>
      </c>
      <c r="H90">
        <f t="shared" ca="1" si="6"/>
        <v>55.683039851714547</v>
      </c>
      <c r="I90">
        <f t="shared" ca="1" si="7"/>
        <v>401.68585348175634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51370</v>
      </c>
      <c r="B93" s="66">
        <v>51370</v>
      </c>
      <c r="D93">
        <f t="shared" si="4"/>
        <v>0.59511121408711776</v>
      </c>
      <c r="E93">
        <f t="shared" si="4"/>
        <v>0.59511121408711776</v>
      </c>
      <c r="G93">
        <f t="shared" ca="1" si="5"/>
        <v>91</v>
      </c>
      <c r="H93">
        <f t="shared" ca="1" si="6"/>
        <v>54.155120481927717</v>
      </c>
      <c r="I93">
        <f t="shared" ca="1" si="7"/>
        <v>473.10551688331321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51358</v>
      </c>
      <c r="B95" s="66">
        <v>51358</v>
      </c>
      <c r="D95">
        <f t="shared" si="4"/>
        <v>0.59497219647822053</v>
      </c>
      <c r="E95">
        <f t="shared" si="4"/>
        <v>0.59497219647822053</v>
      </c>
      <c r="G95">
        <f t="shared" ca="1" si="5"/>
        <v>93</v>
      </c>
      <c r="H95">
        <f t="shared" ca="1" si="6"/>
        <v>55.332414272474509</v>
      </c>
      <c r="I95">
        <f t="shared" ca="1" si="7"/>
        <v>542.47706420715201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48704</v>
      </c>
      <c r="B98" s="66">
        <v>48704</v>
      </c>
      <c r="D98">
        <f t="shared" si="4"/>
        <v>0.56422613531047261</v>
      </c>
      <c r="E98">
        <f t="shared" si="4"/>
        <v>0.56422613531047261</v>
      </c>
      <c r="G98">
        <f t="shared" ca="1" si="5"/>
        <v>96</v>
      </c>
      <c r="H98">
        <f t="shared" ca="1" si="6"/>
        <v>54.165708989805367</v>
      </c>
      <c r="I98">
        <f t="shared" ca="1" si="7"/>
        <v>621.74437333033916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49590</v>
      </c>
      <c r="B100" s="66">
        <v>49590</v>
      </c>
      <c r="D100">
        <f t="shared" si="4"/>
        <v>0.57449026876737719</v>
      </c>
      <c r="E100">
        <f t="shared" si="4"/>
        <v>0.57449026876737719</v>
      </c>
      <c r="G100">
        <f t="shared" ca="1" si="5"/>
        <v>98</v>
      </c>
      <c r="H100">
        <f t="shared" ca="1" si="6"/>
        <v>56.300046339202964</v>
      </c>
      <c r="I100">
        <f t="shared" ca="1" si="7"/>
        <v>711.63479984606238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46478</v>
      </c>
      <c r="B103" s="66">
        <v>46478</v>
      </c>
      <c r="D103">
        <f t="shared" si="4"/>
        <v>0.53843836886005558</v>
      </c>
      <c r="E103">
        <f t="shared" si="4"/>
        <v>0.53843836886005558</v>
      </c>
      <c r="G103">
        <f t="shared" ca="1" si="5"/>
        <v>101</v>
      </c>
      <c r="H103">
        <f t="shared" ca="1" si="6"/>
        <v>54.382275254865611</v>
      </c>
      <c r="I103">
        <f t="shared" ca="1" si="7"/>
        <v>785.526071522704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44424</v>
      </c>
      <c r="B106" s="66">
        <v>44424</v>
      </c>
      <c r="D106">
        <f t="shared" si="4"/>
        <v>0.51464318813716403</v>
      </c>
      <c r="E106">
        <f t="shared" si="4"/>
        <v>0.51464318813716403</v>
      </c>
      <c r="G106">
        <f t="shared" ca="1" si="5"/>
        <v>104</v>
      </c>
      <c r="H106">
        <f t="shared" ca="1" si="6"/>
        <v>53.522891566265059</v>
      </c>
      <c r="I106">
        <f t="shared" ca="1" si="7"/>
        <v>873.38549579040046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38742</v>
      </c>
      <c r="B108" s="66">
        <v>38742</v>
      </c>
      <c r="D108">
        <f t="shared" si="4"/>
        <v>0.44881835032437439</v>
      </c>
      <c r="E108">
        <f t="shared" si="4"/>
        <v>0.44881835032437439</v>
      </c>
      <c r="G108">
        <f t="shared" ca="1" si="5"/>
        <v>106</v>
      </c>
      <c r="H108">
        <f t="shared" ca="1" si="6"/>
        <v>47.574745134383683</v>
      </c>
      <c r="I108">
        <f t="shared" ca="1" si="7"/>
        <v>837.42861574703636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34556</v>
      </c>
      <c r="B111" s="66">
        <v>34556</v>
      </c>
      <c r="D111">
        <f t="shared" si="4"/>
        <v>0.40032437442075997</v>
      </c>
      <c r="E111">
        <f t="shared" si="4"/>
        <v>0.40032437442075997</v>
      </c>
      <c r="G111">
        <f t="shared" ca="1" si="5"/>
        <v>109</v>
      </c>
      <c r="H111">
        <f t="shared" ca="1" si="6"/>
        <v>43.635356811862835</v>
      </c>
      <c r="I111">
        <f t="shared" ca="1" si="7"/>
        <v>854.30224399924191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32323</v>
      </c>
      <c r="B113" s="66">
        <v>32323</v>
      </c>
      <c r="D113">
        <f t="shared" si="4"/>
        <v>0.3744555143651529</v>
      </c>
      <c r="E113">
        <f t="shared" si="4"/>
        <v>0.3744555143651529</v>
      </c>
      <c r="G113">
        <f t="shared" ca="1" si="5"/>
        <v>111</v>
      </c>
      <c r="H113">
        <f t="shared" ca="1" si="6"/>
        <v>41.564562094531972</v>
      </c>
      <c r="I113">
        <f t="shared" ca="1" si="7"/>
        <v>869.7879229694928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31756</v>
      </c>
      <c r="B116" s="66">
        <v>31756</v>
      </c>
      <c r="D116">
        <f t="shared" si="4"/>
        <v>0.36788693234476366</v>
      </c>
      <c r="E116">
        <f t="shared" si="4"/>
        <v>0.36788693234476366</v>
      </c>
      <c r="G116">
        <f t="shared" ca="1" si="5"/>
        <v>114</v>
      </c>
      <c r="H116">
        <f t="shared" ca="1" si="6"/>
        <v>41.939110287303059</v>
      </c>
      <c r="I116">
        <f t="shared" ca="1" si="7"/>
        <v>964.2243442463199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27786</v>
      </c>
      <c r="B118" s="66">
        <v>27786</v>
      </c>
      <c r="D118">
        <f t="shared" si="4"/>
        <v>0.32189527340129748</v>
      </c>
      <c r="E118">
        <f t="shared" si="4"/>
        <v>0.32189527340129748</v>
      </c>
      <c r="G118">
        <f t="shared" ca="1" si="5"/>
        <v>116</v>
      </c>
      <c r="H118">
        <f t="shared" ca="1" si="6"/>
        <v>37.339851714550505</v>
      </c>
      <c r="I118">
        <f t="shared" ca="1" si="7"/>
        <v>910.88707001395824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27285</v>
      </c>
      <c r="B121" s="66">
        <v>27285</v>
      </c>
      <c r="D121">
        <f t="shared" si="4"/>
        <v>0.31609128822984245</v>
      </c>
      <c r="E121">
        <f t="shared" si="4"/>
        <v>0.31609128822984245</v>
      </c>
      <c r="G121">
        <f t="shared" ca="1" si="5"/>
        <v>119</v>
      </c>
      <c r="H121">
        <f t="shared" ca="1" si="6"/>
        <v>37.614863299351249</v>
      </c>
      <c r="I121">
        <f t="shared" ca="1" si="7"/>
        <v>998.19581570186483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25530</v>
      </c>
      <c r="B124" s="66">
        <v>25530</v>
      </c>
      <c r="D124">
        <f t="shared" si="4"/>
        <v>0.29575996292863765</v>
      </c>
      <c r="E124">
        <f t="shared" si="4"/>
        <v>0.29575996292863765</v>
      </c>
      <c r="G124">
        <f t="shared" ca="1" si="5"/>
        <v>122</v>
      </c>
      <c r="H124">
        <f t="shared" ca="1" si="6"/>
        <v>36.082715477293796</v>
      </c>
      <c r="I124">
        <f t="shared" ca="1" si="7"/>
        <v>1036.3749368404735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24946</v>
      </c>
      <c r="B126" s="66">
        <v>24946</v>
      </c>
      <c r="D126">
        <f t="shared" si="4"/>
        <v>0.28899443929564411</v>
      </c>
      <c r="E126">
        <f t="shared" si="4"/>
        <v>0.28899443929564411</v>
      </c>
      <c r="G126">
        <f t="shared" ca="1" si="5"/>
        <v>124</v>
      </c>
      <c r="H126">
        <f t="shared" ca="1" si="6"/>
        <v>35.83531047265987</v>
      </c>
      <c r="I126">
        <f t="shared" ca="1" si="7"/>
        <v>1082.2524789082727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23387</v>
      </c>
      <c r="B129" s="66">
        <v>23387</v>
      </c>
      <c r="D129">
        <f t="shared" si="4"/>
        <v>0.27093373493975903</v>
      </c>
      <c r="E129">
        <f t="shared" si="4"/>
        <v>0.27093373493975903</v>
      </c>
      <c r="G129">
        <f t="shared" ca="1" si="5"/>
        <v>127</v>
      </c>
      <c r="H129">
        <f t="shared" ca="1" si="6"/>
        <v>34.408584337349396</v>
      </c>
      <c r="I129">
        <f t="shared" ca="1" si="7"/>
        <v>1116.5350924631048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19897</v>
      </c>
      <c r="B131" s="66">
        <v>19897</v>
      </c>
      <c r="D131">
        <f t="shared" ref="D131:E194" si="8">IFERROR( A131/MAX(A$2:A$257), 0 )</f>
        <v>0.23050278035217794</v>
      </c>
      <c r="E131">
        <f t="shared" si="8"/>
        <v>0.23050278035217794</v>
      </c>
      <c r="G131">
        <f t="shared" ref="G131:G194" ca="1" si="9">CELL("row",D131)-2</f>
        <v>129</v>
      </c>
      <c r="H131">
        <f t="shared" ref="H131:H194" ca="1" si="10">D131*G131</f>
        <v>29.734858665430956</v>
      </c>
      <c r="I131">
        <f t="shared" ref="I131:I194" ca="1" si="11">D131*((G131-$L$1)^2)</f>
        <v>1010.0275506112507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21217</v>
      </c>
      <c r="B134" s="66">
        <v>21217</v>
      </c>
      <c r="D134">
        <f t="shared" si="8"/>
        <v>0.24579471733086192</v>
      </c>
      <c r="E134">
        <f t="shared" si="8"/>
        <v>0.24579471733086192</v>
      </c>
      <c r="G134">
        <f t="shared" ca="1" si="9"/>
        <v>132</v>
      </c>
      <c r="H134">
        <f t="shared" ca="1" si="10"/>
        <v>32.444902687673775</v>
      </c>
      <c r="I134">
        <f t="shared" ca="1" si="11"/>
        <v>1176.8696455080408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19642</v>
      </c>
      <c r="B136" s="66">
        <v>19642</v>
      </c>
      <c r="D136">
        <f t="shared" si="8"/>
        <v>0.22754865616311398</v>
      </c>
      <c r="E136">
        <f t="shared" si="8"/>
        <v>0.22754865616311398</v>
      </c>
      <c r="G136">
        <f t="shared" ca="1" si="9"/>
        <v>134</v>
      </c>
      <c r="H136">
        <f t="shared" ca="1" si="10"/>
        <v>30.491519925857272</v>
      </c>
      <c r="I136">
        <f t="shared" ca="1" si="11"/>
        <v>1153.3987426692372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16900</v>
      </c>
      <c r="B139" s="66">
        <v>16900</v>
      </c>
      <c r="D139">
        <f t="shared" si="8"/>
        <v>0.19578313253012047</v>
      </c>
      <c r="E139">
        <f t="shared" si="8"/>
        <v>0.19578313253012047</v>
      </c>
      <c r="G139">
        <f t="shared" ca="1" si="9"/>
        <v>137</v>
      </c>
      <c r="H139">
        <f t="shared" ca="1" si="10"/>
        <v>26.822289156626503</v>
      </c>
      <c r="I139">
        <f t="shared" ca="1" si="11"/>
        <v>1077.7809673629911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16253</v>
      </c>
      <c r="B142" s="66">
        <v>16253</v>
      </c>
      <c r="D142">
        <f t="shared" si="8"/>
        <v>0.18828776645041706</v>
      </c>
      <c r="E142">
        <f t="shared" si="8"/>
        <v>0.18828776645041706</v>
      </c>
      <c r="G142">
        <f t="shared" ca="1" si="9"/>
        <v>140</v>
      </c>
      <c r="H142">
        <f t="shared" ca="1" si="10"/>
        <v>26.360287303058389</v>
      </c>
      <c r="I142">
        <f t="shared" ca="1" si="11"/>
        <v>1122.0344052231117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13567</v>
      </c>
      <c r="B144" s="66">
        <v>13567</v>
      </c>
      <c r="D144">
        <f t="shared" si="8"/>
        <v>0.15717099165894347</v>
      </c>
      <c r="E144">
        <f t="shared" si="8"/>
        <v>0.15717099165894347</v>
      </c>
      <c r="G144">
        <f t="shared" ca="1" si="9"/>
        <v>142</v>
      </c>
      <c r="H144">
        <f t="shared" ca="1" si="10"/>
        <v>22.31828081556997</v>
      </c>
      <c r="I144">
        <f t="shared" ca="1" si="11"/>
        <v>985.7652449716677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13064</v>
      </c>
      <c r="B147" s="66">
        <v>13064</v>
      </c>
      <c r="D147">
        <f t="shared" si="8"/>
        <v>0.15134383688600556</v>
      </c>
      <c r="E147">
        <f t="shared" si="8"/>
        <v>0.15134383688600556</v>
      </c>
      <c r="G147">
        <f t="shared" ca="1" si="9"/>
        <v>145</v>
      </c>
      <c r="H147">
        <f t="shared" ca="1" si="10"/>
        <v>21.944856348470804</v>
      </c>
      <c r="I147">
        <f t="shared" ca="1" si="11"/>
        <v>1022.4943537370625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11336</v>
      </c>
      <c r="B149" s="66">
        <v>11336</v>
      </c>
      <c r="D149">
        <f t="shared" si="8"/>
        <v>0.13132530120481928</v>
      </c>
      <c r="E149">
        <f t="shared" si="8"/>
        <v>0.13132530120481928</v>
      </c>
      <c r="G149">
        <f t="shared" ca="1" si="9"/>
        <v>147</v>
      </c>
      <c r="H149">
        <f t="shared" ca="1" si="10"/>
        <v>19.304819277108432</v>
      </c>
      <c r="I149">
        <f t="shared" ca="1" si="11"/>
        <v>930.94979189643277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8733</v>
      </c>
      <c r="B152" s="66">
        <v>8733</v>
      </c>
      <c r="D152">
        <f t="shared" si="8"/>
        <v>0.10117006487488416</v>
      </c>
      <c r="E152">
        <f t="shared" si="8"/>
        <v>0.10117006487488416</v>
      </c>
      <c r="G152">
        <f t="shared" ca="1" si="9"/>
        <v>150</v>
      </c>
      <c r="H152">
        <f t="shared" ca="1" si="10"/>
        <v>15.175509731232623</v>
      </c>
      <c r="I152">
        <f t="shared" ca="1" si="11"/>
        <v>769.20174874066049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6205</v>
      </c>
      <c r="B154" s="66">
        <v>6205</v>
      </c>
      <c r="D154">
        <f t="shared" si="8"/>
        <v>7.1883688600556064E-2</v>
      </c>
      <c r="E154">
        <f t="shared" si="8"/>
        <v>7.1883688600556064E-2</v>
      </c>
      <c r="G154">
        <f t="shared" ca="1" si="9"/>
        <v>152</v>
      </c>
      <c r="H154">
        <f t="shared" ca="1" si="10"/>
        <v>10.926320667284521</v>
      </c>
      <c r="I154">
        <f t="shared" ca="1" si="11"/>
        <v>571.89504076034302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5304</v>
      </c>
      <c r="B157" s="66">
        <v>5304</v>
      </c>
      <c r="D157">
        <f t="shared" si="8"/>
        <v>6.1445783132530123E-2</v>
      </c>
      <c r="E157">
        <f t="shared" si="8"/>
        <v>6.1445783132530123E-2</v>
      </c>
      <c r="G157">
        <f t="shared" ca="1" si="9"/>
        <v>155</v>
      </c>
      <c r="H157">
        <f t="shared" ca="1" si="10"/>
        <v>9.524096385542169</v>
      </c>
      <c r="I157">
        <f t="shared" ca="1" si="11"/>
        <v>522.28988663464634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4379</v>
      </c>
      <c r="B160" s="66">
        <v>4379</v>
      </c>
      <c r="D160">
        <f t="shared" si="8"/>
        <v>5.0729842446709916E-2</v>
      </c>
      <c r="E160">
        <f t="shared" si="8"/>
        <v>5.0729842446709916E-2</v>
      </c>
      <c r="G160">
        <f t="shared" ca="1" si="9"/>
        <v>158</v>
      </c>
      <c r="H160">
        <f t="shared" ca="1" si="10"/>
        <v>8.0153151065801662</v>
      </c>
      <c r="I160">
        <f t="shared" ca="1" si="11"/>
        <v>459.72321395263026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2822</v>
      </c>
      <c r="B162" s="66">
        <v>2822</v>
      </c>
      <c r="D162">
        <f t="shared" si="8"/>
        <v>3.2692307692307694E-2</v>
      </c>
      <c r="E162">
        <f t="shared" si="8"/>
        <v>3.2692307692307694E-2</v>
      </c>
      <c r="G162">
        <f t="shared" ca="1" si="9"/>
        <v>160</v>
      </c>
      <c r="H162">
        <f t="shared" ca="1" si="10"/>
        <v>5.2307692307692308</v>
      </c>
      <c r="I162">
        <f t="shared" ca="1" si="11"/>
        <v>308.84315096079888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1453</v>
      </c>
      <c r="B165" s="66">
        <v>1453</v>
      </c>
      <c r="D165">
        <f t="shared" si="8"/>
        <v>1.6832715477293789E-2</v>
      </c>
      <c r="E165">
        <f t="shared" si="8"/>
        <v>1.6832715477293789E-2</v>
      </c>
      <c r="G165">
        <f t="shared" ca="1" si="9"/>
        <v>163</v>
      </c>
      <c r="H165">
        <f t="shared" ca="1" si="10"/>
        <v>2.7437326227988876</v>
      </c>
      <c r="I165">
        <f t="shared" ca="1" si="11"/>
        <v>168.98598767063899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762</v>
      </c>
      <c r="B167" s="66">
        <v>762</v>
      </c>
      <c r="D167">
        <f t="shared" si="8"/>
        <v>8.8276181649675628E-3</v>
      </c>
      <c r="E167">
        <f t="shared" si="8"/>
        <v>8.8276181649675628E-3</v>
      </c>
      <c r="G167">
        <f t="shared" ca="1" si="9"/>
        <v>165</v>
      </c>
      <c r="H167">
        <f t="shared" ca="1" si="10"/>
        <v>1.4565569972196479</v>
      </c>
      <c r="I167">
        <f t="shared" ca="1" si="11"/>
        <v>92.194956095716179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703</v>
      </c>
      <c r="B170" s="66">
        <v>703</v>
      </c>
      <c r="D170">
        <f t="shared" si="8"/>
        <v>8.1441149212233555E-3</v>
      </c>
      <c r="E170">
        <f t="shared" si="8"/>
        <v>8.1441149212233555E-3</v>
      </c>
      <c r="G170">
        <f t="shared" ca="1" si="9"/>
        <v>168</v>
      </c>
      <c r="H170">
        <f t="shared" ca="1" si="10"/>
        <v>1.3682113067655237</v>
      </c>
      <c r="I170">
        <f t="shared" ca="1" si="11"/>
        <v>90.123550342744622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334</v>
      </c>
      <c r="B173" s="66">
        <v>334</v>
      </c>
      <c r="D173">
        <f t="shared" si="8"/>
        <v>3.8693234476367007E-3</v>
      </c>
      <c r="E173">
        <f t="shared" si="8"/>
        <v>3.8693234476367007E-3</v>
      </c>
      <c r="G173">
        <f t="shared" ca="1" si="9"/>
        <v>171</v>
      </c>
      <c r="H173">
        <f t="shared" ca="1" si="10"/>
        <v>0.66165430954587579</v>
      </c>
      <c r="I173">
        <f t="shared" ca="1" si="11"/>
        <v>45.295337909302866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0</v>
      </c>
      <c r="B175" s="66">
        <v>0</v>
      </c>
      <c r="D175">
        <f t="shared" si="8"/>
        <v>0</v>
      </c>
      <c r="E175">
        <f t="shared" si="8"/>
        <v>0</v>
      </c>
      <c r="G175">
        <f t="shared" ca="1" si="9"/>
        <v>173</v>
      </c>
      <c r="H175">
        <f t="shared" ca="1" si="10"/>
        <v>0</v>
      </c>
      <c r="I175">
        <f t="shared" ca="1" si="11"/>
        <v>0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0</v>
      </c>
      <c r="B178" s="66">
        <v>0</v>
      </c>
      <c r="D178">
        <f t="shared" si="8"/>
        <v>0</v>
      </c>
      <c r="E178">
        <f t="shared" si="8"/>
        <v>0</v>
      </c>
      <c r="G178">
        <f t="shared" ca="1" si="9"/>
        <v>176</v>
      </c>
      <c r="H178">
        <f t="shared" ca="1" si="10"/>
        <v>0</v>
      </c>
      <c r="I178">
        <f t="shared" ca="1" si="11"/>
        <v>0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0</v>
      </c>
      <c r="B180" s="66">
        <v>0</v>
      </c>
      <c r="D180">
        <f t="shared" si="8"/>
        <v>0</v>
      </c>
      <c r="E180">
        <f t="shared" si="8"/>
        <v>0</v>
      </c>
      <c r="G180">
        <f t="shared" ca="1" si="9"/>
        <v>178</v>
      </c>
      <c r="H180">
        <f t="shared" ca="1" si="10"/>
        <v>0</v>
      </c>
      <c r="I180">
        <f t="shared" ca="1" si="11"/>
        <v>0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350</v>
      </c>
      <c r="B1" s="66" t="s">
        <v>351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62.21364610262242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1.2011893621886756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0.74296136478656771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17073</v>
      </c>
      <c r="B8" s="66">
        <v>17073</v>
      </c>
      <c r="D8">
        <f t="shared" si="0"/>
        <v>36.053976432825102</v>
      </c>
      <c r="E8">
        <f t="shared" si="1"/>
        <v>36.053976432825102</v>
      </c>
      <c r="G8">
        <f t="shared" ca="1" si="2"/>
        <v>6</v>
      </c>
      <c r="H8">
        <f t="shared" ca="1" si="3"/>
        <v>216.32385859695063</v>
      </c>
      <c r="I8">
        <f t="shared" ca="1" si="4"/>
        <v>113929.62841821159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37369</v>
      </c>
      <c r="B10" s="66">
        <v>37369</v>
      </c>
      <c r="D10">
        <f t="shared" si="0"/>
        <v>78.914136081429234</v>
      </c>
      <c r="E10">
        <f t="shared" si="1"/>
        <v>78.914136081429234</v>
      </c>
      <c r="G10">
        <f t="shared" ca="1" si="2"/>
        <v>8</v>
      </c>
      <c r="H10">
        <f t="shared" ca="1" si="3"/>
        <v>631.31308865143387</v>
      </c>
      <c r="I10">
        <f t="shared" ca="1" si="4"/>
        <v>231938.07016462076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31096</v>
      </c>
      <c r="B13" s="66">
        <v>31096</v>
      </c>
      <c r="D13">
        <f t="shared" si="0"/>
        <v>65.667103095831393</v>
      </c>
      <c r="E13">
        <f t="shared" si="1"/>
        <v>65.667103095831393</v>
      </c>
      <c r="G13">
        <f t="shared" ca="1" si="2"/>
        <v>11</v>
      </c>
      <c r="H13">
        <f t="shared" ca="1" si="3"/>
        <v>722.33813405414537</v>
      </c>
      <c r="I13">
        <f t="shared" ca="1" si="4"/>
        <v>172234.1436106521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36562</v>
      </c>
      <c r="B15" s="66">
        <v>36562</v>
      </c>
      <c r="D15">
        <f t="shared" si="0"/>
        <v>77.209950584955862</v>
      </c>
      <c r="E15">
        <f t="shared" si="1"/>
        <v>77.209950584955862</v>
      </c>
      <c r="G15">
        <f t="shared" ca="1" si="2"/>
        <v>13</v>
      </c>
      <c r="H15">
        <f t="shared" ca="1" si="3"/>
        <v>1003.7293576044262</v>
      </c>
      <c r="I15">
        <f t="shared" ca="1" si="4"/>
        <v>187001.18486876553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33239</v>
      </c>
      <c r="B18" s="66">
        <v>33239</v>
      </c>
      <c r="D18">
        <f t="shared" si="0"/>
        <v>70.19259196688769</v>
      </c>
      <c r="E18">
        <f t="shared" si="1"/>
        <v>70.19259196688769</v>
      </c>
      <c r="G18">
        <f t="shared" ca="1" si="2"/>
        <v>16</v>
      </c>
      <c r="H18">
        <f t="shared" ca="1" si="3"/>
        <v>1123.081471470203</v>
      </c>
      <c r="I18">
        <f t="shared" ca="1" si="4"/>
        <v>149910.39489974585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36751</v>
      </c>
      <c r="B21" s="66">
        <v>36751</v>
      </c>
      <c r="D21">
        <f t="shared" si="0"/>
        <v>77.609072095282343</v>
      </c>
      <c r="E21">
        <f t="shared" si="1"/>
        <v>77.609072095282343</v>
      </c>
      <c r="G21">
        <f t="shared" ca="1" si="2"/>
        <v>19</v>
      </c>
      <c r="H21">
        <f t="shared" ca="1" si="3"/>
        <v>1474.5723698103645</v>
      </c>
      <c r="I21">
        <f t="shared" ca="1" si="4"/>
        <v>144928.67206085753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45881</v>
      </c>
      <c r="B23" s="66">
        <v>45881</v>
      </c>
      <c r="D23">
        <f t="shared" si="0"/>
        <v>96.889386324280949</v>
      </c>
      <c r="E23">
        <f t="shared" si="1"/>
        <v>96.889386324280949</v>
      </c>
      <c r="G23">
        <f t="shared" ca="1" si="2"/>
        <v>21</v>
      </c>
      <c r="H23">
        <f t="shared" ca="1" si="3"/>
        <v>2034.6771128098999</v>
      </c>
      <c r="I23">
        <f t="shared" ca="1" si="4"/>
        <v>164572.88415537821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45643</v>
      </c>
      <c r="B26" s="66">
        <v>45643</v>
      </c>
      <c r="D26">
        <f t="shared" si="0"/>
        <v>96.386788866832788</v>
      </c>
      <c r="E26">
        <f t="shared" si="1"/>
        <v>96.386788866832788</v>
      </c>
      <c r="G26">
        <f t="shared" ca="1" si="2"/>
        <v>24</v>
      </c>
      <c r="H26">
        <f t="shared" ca="1" si="3"/>
        <v>2313.282932803987</v>
      </c>
      <c r="I26">
        <f t="shared" ca="1" si="4"/>
        <v>140751.96496135203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47354</v>
      </c>
      <c r="B28" s="66">
        <v>47354</v>
      </c>
      <c r="D28">
        <f t="shared" si="0"/>
        <v>100</v>
      </c>
      <c r="E28">
        <f t="shared" si="1"/>
        <v>100</v>
      </c>
      <c r="G28">
        <f t="shared" ca="1" si="2"/>
        <v>26</v>
      </c>
      <c r="H28">
        <f t="shared" ca="1" si="3"/>
        <v>2600</v>
      </c>
      <c r="I28">
        <f t="shared" ca="1" si="4"/>
        <v>131142.81640459798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40286</v>
      </c>
      <c r="B31" s="66">
        <v>40286</v>
      </c>
      <c r="D31">
        <f t="shared" si="0"/>
        <v>85.074122566203485</v>
      </c>
      <c r="E31">
        <f t="shared" si="1"/>
        <v>85.074122566203485</v>
      </c>
      <c r="G31">
        <f t="shared" ca="1" si="2"/>
        <v>29</v>
      </c>
      <c r="H31">
        <f t="shared" ca="1" si="3"/>
        <v>2467.1495544199011</v>
      </c>
      <c r="I31">
        <f t="shared" ca="1" si="4"/>
        <v>93849.202465293027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41543</v>
      </c>
      <c r="B33" s="66">
        <v>41543</v>
      </c>
      <c r="D33">
        <f t="shared" si="0"/>
        <v>87.728597372978001</v>
      </c>
      <c r="E33">
        <f t="shared" si="1"/>
        <v>87.728597372978001</v>
      </c>
      <c r="G33">
        <f t="shared" ca="1" si="2"/>
        <v>31</v>
      </c>
      <c r="H33">
        <f t="shared" ca="1" si="3"/>
        <v>2719.5865185623179</v>
      </c>
      <c r="I33">
        <f t="shared" ca="1" si="4"/>
        <v>85473.244538053215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40723</v>
      </c>
      <c r="B36" s="66">
        <v>40723</v>
      </c>
      <c r="D36">
        <f t="shared" si="0"/>
        <v>85.996959074207041</v>
      </c>
      <c r="E36">
        <f t="shared" si="1"/>
        <v>85.996959074207041</v>
      </c>
      <c r="G36">
        <f t="shared" ca="1" si="2"/>
        <v>34</v>
      </c>
      <c r="H36">
        <f t="shared" ca="1" si="3"/>
        <v>2923.8966085230395</v>
      </c>
      <c r="I36">
        <f t="shared" ca="1" si="4"/>
        <v>68454.424463933276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42369</v>
      </c>
      <c r="B39" s="66">
        <v>42369</v>
      </c>
      <c r="D39">
        <f t="shared" si="0"/>
        <v>89.47290619588631</v>
      </c>
      <c r="E39">
        <f t="shared" si="1"/>
        <v>89.47290619588631</v>
      </c>
      <c r="G39">
        <f t="shared" ca="1" si="2"/>
        <v>37</v>
      </c>
      <c r="H39">
        <f t="shared" ca="1" si="3"/>
        <v>3310.4975292477934</v>
      </c>
      <c r="I39">
        <f t="shared" ca="1" si="4"/>
        <v>56880.427217510507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36468</v>
      </c>
      <c r="B41" s="66">
        <v>36468</v>
      </c>
      <c r="D41">
        <f t="shared" si="0"/>
        <v>77.011445706804068</v>
      </c>
      <c r="E41">
        <f t="shared" si="1"/>
        <v>77.011445706804068</v>
      </c>
      <c r="G41">
        <f t="shared" ca="1" si="2"/>
        <v>39</v>
      </c>
      <c r="H41">
        <f t="shared" ca="1" si="3"/>
        <v>3003.4463825653588</v>
      </c>
      <c r="I41">
        <f t="shared" ca="1" si="4"/>
        <v>41499.416920635013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36327</v>
      </c>
      <c r="B44" s="66">
        <v>36327</v>
      </c>
      <c r="D44">
        <f t="shared" si="0"/>
        <v>76.713688389576376</v>
      </c>
      <c r="E44">
        <f t="shared" si="1"/>
        <v>76.713688389576376</v>
      </c>
      <c r="G44">
        <f t="shared" ca="1" si="2"/>
        <v>42</v>
      </c>
      <c r="H44">
        <f t="shared" ca="1" si="3"/>
        <v>3221.9749123622078</v>
      </c>
      <c r="I44">
        <f t="shared" ca="1" si="4"/>
        <v>31344.560147525961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46164</v>
      </c>
      <c r="B46" s="66">
        <v>46164</v>
      </c>
      <c r="D46">
        <f t="shared" si="0"/>
        <v>97.487012712759224</v>
      </c>
      <c r="E46">
        <f t="shared" si="1"/>
        <v>97.487012712759224</v>
      </c>
      <c r="G46">
        <f t="shared" ca="1" si="2"/>
        <v>44</v>
      </c>
      <c r="H46">
        <f t="shared" ca="1" si="3"/>
        <v>4289.4285593614059</v>
      </c>
      <c r="I46">
        <f t="shared" ca="1" si="4"/>
        <v>32340.039811813171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38403</v>
      </c>
      <c r="B49" s="66">
        <v>38403</v>
      </c>
      <c r="D49">
        <f t="shared" si="0"/>
        <v>81.097689741098961</v>
      </c>
      <c r="E49">
        <f t="shared" si="1"/>
        <v>81.097689741098961</v>
      </c>
      <c r="G49">
        <f t="shared" ca="1" si="2"/>
        <v>47</v>
      </c>
      <c r="H49">
        <f t="shared" ca="1" si="3"/>
        <v>3811.5914178316511</v>
      </c>
      <c r="I49">
        <f t="shared" ca="1" si="4"/>
        <v>18770.468028338473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36871</v>
      </c>
      <c r="B51" s="66">
        <v>36871</v>
      </c>
      <c r="D51">
        <f t="shared" si="0"/>
        <v>77.862482578029315</v>
      </c>
      <c r="E51">
        <f t="shared" si="1"/>
        <v>77.862482578029315</v>
      </c>
      <c r="G51">
        <f t="shared" ca="1" si="2"/>
        <v>49</v>
      </c>
      <c r="H51">
        <f t="shared" ca="1" si="3"/>
        <v>3815.2616463234363</v>
      </c>
      <c r="I51">
        <f t="shared" ca="1" si="4"/>
        <v>13594.823976536156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35110</v>
      </c>
      <c r="B54" s="66">
        <v>35110</v>
      </c>
      <c r="D54">
        <f t="shared" si="0"/>
        <v>74.143683743717531</v>
      </c>
      <c r="E54">
        <f t="shared" si="1"/>
        <v>74.143683743717531</v>
      </c>
      <c r="G54">
        <f t="shared" ca="1" si="2"/>
        <v>52</v>
      </c>
      <c r="H54">
        <f t="shared" ca="1" si="3"/>
        <v>3855.4715546733114</v>
      </c>
      <c r="I54">
        <f t="shared" ca="1" si="4"/>
        <v>7734.5628187155307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34681</v>
      </c>
      <c r="B57" s="66">
        <v>34681</v>
      </c>
      <c r="D57">
        <f t="shared" si="0"/>
        <v>73.237741267897121</v>
      </c>
      <c r="E57">
        <f t="shared" si="1"/>
        <v>73.237741267897121</v>
      </c>
      <c r="G57">
        <f t="shared" ca="1" si="2"/>
        <v>55</v>
      </c>
      <c r="H57">
        <f t="shared" ca="1" si="3"/>
        <v>4028.0757697343415</v>
      </c>
      <c r="I57">
        <f t="shared" ca="1" si="4"/>
        <v>3811.0496455333014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31456</v>
      </c>
      <c r="B59" s="66">
        <v>31456</v>
      </c>
      <c r="D59">
        <f t="shared" si="0"/>
        <v>66.427334544072309</v>
      </c>
      <c r="E59">
        <f t="shared" si="1"/>
        <v>66.427334544072309</v>
      </c>
      <c r="G59">
        <f t="shared" ca="1" si="2"/>
        <v>57</v>
      </c>
      <c r="H59">
        <f t="shared" ca="1" si="3"/>
        <v>3786.3580690121216</v>
      </c>
      <c r="I59">
        <f t="shared" ca="1" si="4"/>
        <v>1805.6348278428732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28220</v>
      </c>
      <c r="B62" s="66">
        <v>28220</v>
      </c>
      <c r="D62">
        <f t="shared" si="0"/>
        <v>59.593698525995691</v>
      </c>
      <c r="E62">
        <f t="shared" si="1"/>
        <v>59.593698525995691</v>
      </c>
      <c r="G62">
        <f t="shared" ca="1" si="2"/>
        <v>60</v>
      </c>
      <c r="H62">
        <f t="shared" ca="1" si="3"/>
        <v>3575.6219115597414</v>
      </c>
      <c r="I62">
        <f t="shared" ca="1" si="4"/>
        <v>292.02277376617855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28094</v>
      </c>
      <c r="B64" s="66">
        <v>28094</v>
      </c>
      <c r="D64">
        <f t="shared" si="0"/>
        <v>59.327617519111371</v>
      </c>
      <c r="E64">
        <f t="shared" si="1"/>
        <v>59.327617519111371</v>
      </c>
      <c r="G64">
        <f t="shared" ca="1" si="2"/>
        <v>62</v>
      </c>
      <c r="H64">
        <f t="shared" ca="1" si="3"/>
        <v>3678.3122861849051</v>
      </c>
      <c r="I64">
        <f t="shared" ca="1" si="4"/>
        <v>2.7079887621205514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25825</v>
      </c>
      <c r="B67" s="66">
        <v>25825</v>
      </c>
      <c r="D67">
        <f t="shared" ref="D67:D130" si="5">IFERROR( 100*A67/MAX(A$2:A$257), 0 )</f>
        <v>54.536047641170754</v>
      </c>
      <c r="E67">
        <f t="shared" ref="E67:E130" si="6">IFERROR( 100*B67/MAX(B$2:B$257), 0 )</f>
        <v>54.536047641170754</v>
      </c>
      <c r="G67">
        <f t="shared" ref="G67:G130" ca="1" si="7">CELL("row",D67)-2</f>
        <v>65</v>
      </c>
      <c r="H67">
        <f t="shared" ref="H67:H130" ca="1" si="8">D67*G67</f>
        <v>3544.8430966760989</v>
      </c>
      <c r="I67">
        <f t="shared" ref="I67:I130" ca="1" si="9">D67*((G67-$L$1)^2)</f>
        <v>423.40522378249261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31688</v>
      </c>
      <c r="B69" s="66">
        <v>31688</v>
      </c>
      <c r="D69">
        <f t="shared" si="5"/>
        <v>66.917261477383121</v>
      </c>
      <c r="E69">
        <f t="shared" si="6"/>
        <v>66.917261477383121</v>
      </c>
      <c r="G69">
        <f t="shared" ca="1" si="7"/>
        <v>67</v>
      </c>
      <c r="H69">
        <f t="shared" ca="1" si="8"/>
        <v>4483.4565189846689</v>
      </c>
      <c r="I69">
        <f t="shared" ca="1" si="9"/>
        <v>1533.0198312651012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31727</v>
      </c>
      <c r="B72" s="66">
        <v>31727</v>
      </c>
      <c r="D72">
        <f t="shared" si="5"/>
        <v>66.999619884275873</v>
      </c>
      <c r="E72">
        <f t="shared" si="6"/>
        <v>66.999619884275873</v>
      </c>
      <c r="G72">
        <f t="shared" ca="1" si="7"/>
        <v>70</v>
      </c>
      <c r="H72">
        <f t="shared" ca="1" si="8"/>
        <v>4689.9733918993115</v>
      </c>
      <c r="I72">
        <f t="shared" ca="1" si="9"/>
        <v>4062.0065246261634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25412</v>
      </c>
      <c r="B75" s="66">
        <v>25412</v>
      </c>
      <c r="D75">
        <f t="shared" si="5"/>
        <v>53.663893229716599</v>
      </c>
      <c r="E75">
        <f t="shared" si="6"/>
        <v>53.663893229716599</v>
      </c>
      <c r="G75">
        <f t="shared" ca="1" si="7"/>
        <v>73</v>
      </c>
      <c r="H75">
        <f t="shared" ca="1" si="8"/>
        <v>3917.4642057693118</v>
      </c>
      <c r="I75">
        <f t="shared" ca="1" si="9"/>
        <v>6243.5487547227176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32205</v>
      </c>
      <c r="B77" s="66">
        <v>32205</v>
      </c>
      <c r="D77">
        <f t="shared" si="5"/>
        <v>68.009038307217978</v>
      </c>
      <c r="E77">
        <f t="shared" si="6"/>
        <v>68.009038307217978</v>
      </c>
      <c r="G77">
        <f t="shared" ca="1" si="7"/>
        <v>75</v>
      </c>
      <c r="H77">
        <f t="shared" ca="1" si="8"/>
        <v>5100.677873041348</v>
      </c>
      <c r="I77">
        <f t="shared" ca="1" si="9"/>
        <v>11118.855207744209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28685</v>
      </c>
      <c r="B80" s="66">
        <v>28685</v>
      </c>
      <c r="D80">
        <f t="shared" si="5"/>
        <v>60.5756641466402</v>
      </c>
      <c r="E80">
        <f t="shared" si="6"/>
        <v>60.5756641466402</v>
      </c>
      <c r="G80">
        <f t="shared" ca="1" si="7"/>
        <v>78</v>
      </c>
      <c r="H80">
        <f t="shared" ca="1" si="8"/>
        <v>4724.901803437936</v>
      </c>
      <c r="I80">
        <f t="shared" ca="1" si="9"/>
        <v>15095.998831084235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26893</v>
      </c>
      <c r="B82" s="66">
        <v>26893</v>
      </c>
      <c r="D82">
        <f t="shared" si="5"/>
        <v>56.791400937618789</v>
      </c>
      <c r="E82">
        <f t="shared" si="6"/>
        <v>56.791400937618789</v>
      </c>
      <c r="G82">
        <f t="shared" ca="1" si="7"/>
        <v>80</v>
      </c>
      <c r="H82">
        <f t="shared" ca="1" si="8"/>
        <v>4543.3120750095031</v>
      </c>
      <c r="I82">
        <f t="shared" ca="1" si="9"/>
        <v>17966.208714793825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25697</v>
      </c>
      <c r="B85" s="66">
        <v>25697</v>
      </c>
      <c r="D85">
        <f t="shared" si="5"/>
        <v>54.265743126240658</v>
      </c>
      <c r="E85">
        <f t="shared" si="6"/>
        <v>54.265743126240658</v>
      </c>
      <c r="G85">
        <f t="shared" ca="1" si="7"/>
        <v>83</v>
      </c>
      <c r="H85">
        <f t="shared" ca="1" si="8"/>
        <v>4504.0566794779743</v>
      </c>
      <c r="I85">
        <f t="shared" ca="1" si="9"/>
        <v>23446.73574987008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24428</v>
      </c>
      <c r="B88" s="66">
        <v>24428</v>
      </c>
      <c r="D88">
        <f t="shared" si="5"/>
        <v>51.585927271191451</v>
      </c>
      <c r="E88">
        <f t="shared" si="6"/>
        <v>51.585927271191451</v>
      </c>
      <c r="G88">
        <f t="shared" ca="1" si="7"/>
        <v>86</v>
      </c>
      <c r="H88">
        <f t="shared" ca="1" si="8"/>
        <v>4436.3897453224645</v>
      </c>
      <c r="I88">
        <f t="shared" ca="1" si="9"/>
        <v>29186.834379211774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22498</v>
      </c>
      <c r="B90" s="66">
        <v>22498</v>
      </c>
      <c r="D90">
        <f t="shared" si="5"/>
        <v>47.510242007011023</v>
      </c>
      <c r="E90">
        <f t="shared" si="6"/>
        <v>47.510242007011023</v>
      </c>
      <c r="G90">
        <f t="shared" ca="1" si="7"/>
        <v>88</v>
      </c>
      <c r="H90">
        <f t="shared" ca="1" si="8"/>
        <v>4180.9012966169703</v>
      </c>
      <c r="I90">
        <f t="shared" ca="1" si="9"/>
        <v>31591.272527396541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21435</v>
      </c>
      <c r="B93" s="66">
        <v>21435</v>
      </c>
      <c r="D93">
        <f t="shared" si="5"/>
        <v>45.265447480677452</v>
      </c>
      <c r="E93">
        <f t="shared" si="6"/>
        <v>45.265447480677452</v>
      </c>
      <c r="G93">
        <f t="shared" ca="1" si="7"/>
        <v>91</v>
      </c>
      <c r="H93">
        <f t="shared" ca="1" si="8"/>
        <v>4119.1557207416481</v>
      </c>
      <c r="I93">
        <f t="shared" ca="1" si="9"/>
        <v>37509.401843694468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21750</v>
      </c>
      <c r="B95" s="66">
        <v>21750</v>
      </c>
      <c r="D95">
        <f t="shared" si="5"/>
        <v>45.930649997888246</v>
      </c>
      <c r="E95">
        <f t="shared" si="6"/>
        <v>45.930649997888246</v>
      </c>
      <c r="G95">
        <f t="shared" ca="1" si="7"/>
        <v>93</v>
      </c>
      <c r="H95">
        <f t="shared" ca="1" si="8"/>
        <v>4271.5504498036071</v>
      </c>
      <c r="I95">
        <f t="shared" ca="1" si="9"/>
        <v>43533.051066239437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21453</v>
      </c>
      <c r="B98" s="66">
        <v>21453</v>
      </c>
      <c r="D98">
        <f t="shared" si="5"/>
        <v>45.303459053089497</v>
      </c>
      <c r="E98">
        <f t="shared" si="6"/>
        <v>45.303459053089497</v>
      </c>
      <c r="G98">
        <f t="shared" ca="1" si="7"/>
        <v>96</v>
      </c>
      <c r="H98">
        <f t="shared" ca="1" si="8"/>
        <v>4349.1320690965913</v>
      </c>
      <c r="I98">
        <f t="shared" ca="1" si="9"/>
        <v>51714.700818811885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20777</v>
      </c>
      <c r="B100" s="66">
        <v>20777</v>
      </c>
      <c r="D100">
        <f t="shared" si="5"/>
        <v>43.875913333614903</v>
      </c>
      <c r="E100">
        <f t="shared" si="6"/>
        <v>43.875913333614903</v>
      </c>
      <c r="G100">
        <f t="shared" ca="1" si="7"/>
        <v>98</v>
      </c>
      <c r="H100">
        <f t="shared" ca="1" si="8"/>
        <v>4299.8395066942603</v>
      </c>
      <c r="I100">
        <f t="shared" ca="1" si="9"/>
        <v>56190.264293830594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18288</v>
      </c>
      <c r="B103" s="66">
        <v>18288</v>
      </c>
      <c r="D103">
        <f t="shared" si="5"/>
        <v>38.619757570638171</v>
      </c>
      <c r="E103">
        <f t="shared" si="6"/>
        <v>38.619757570638171</v>
      </c>
      <c r="G103">
        <f t="shared" ca="1" si="7"/>
        <v>101</v>
      </c>
      <c r="H103">
        <f t="shared" ca="1" si="8"/>
        <v>3900.5955146344554</v>
      </c>
      <c r="I103">
        <f t="shared" ca="1" si="9"/>
        <v>58098.839116778006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19798</v>
      </c>
      <c r="B106" s="66">
        <v>19798</v>
      </c>
      <c r="D106">
        <f t="shared" si="5"/>
        <v>41.808506145204205</v>
      </c>
      <c r="E106">
        <f t="shared" si="6"/>
        <v>41.808506145204205</v>
      </c>
      <c r="G106">
        <f t="shared" ca="1" si="7"/>
        <v>104</v>
      </c>
      <c r="H106">
        <f t="shared" ca="1" si="8"/>
        <v>4348.0846391012374</v>
      </c>
      <c r="I106">
        <f t="shared" ca="1" si="9"/>
        <v>73001.806325941201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17657</v>
      </c>
      <c r="B108" s="66">
        <v>17657</v>
      </c>
      <c r="D108">
        <f t="shared" si="5"/>
        <v>37.287240782193692</v>
      </c>
      <c r="E108">
        <f t="shared" si="6"/>
        <v>37.287240782193692</v>
      </c>
      <c r="G108">
        <f t="shared" ca="1" si="7"/>
        <v>106</v>
      </c>
      <c r="H108">
        <f t="shared" ca="1" si="8"/>
        <v>3952.4475229125314</v>
      </c>
      <c r="I108">
        <f t="shared" ca="1" si="9"/>
        <v>71488.76803463111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17021</v>
      </c>
      <c r="B111" s="66">
        <v>17021</v>
      </c>
      <c r="D111">
        <f t="shared" si="5"/>
        <v>35.944165223634748</v>
      </c>
      <c r="E111">
        <f t="shared" si="6"/>
        <v>35.944165223634748</v>
      </c>
      <c r="G111">
        <f t="shared" ca="1" si="7"/>
        <v>109</v>
      </c>
      <c r="H111">
        <f t="shared" ca="1" si="8"/>
        <v>3917.9140093761876</v>
      </c>
      <c r="I111">
        <f t="shared" ca="1" si="9"/>
        <v>78680.444541775592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14748</v>
      </c>
      <c r="B113" s="66">
        <v>14748</v>
      </c>
      <c r="D113">
        <f t="shared" si="5"/>
        <v>31.144148329602569</v>
      </c>
      <c r="E113">
        <f t="shared" si="6"/>
        <v>31.144148329602569</v>
      </c>
      <c r="G113">
        <f t="shared" ca="1" si="7"/>
        <v>111</v>
      </c>
      <c r="H113">
        <f t="shared" ca="1" si="8"/>
        <v>3457.0004645858853</v>
      </c>
      <c r="I113">
        <f t="shared" ca="1" si="9"/>
        <v>74126.446764157809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14571</v>
      </c>
      <c r="B116" s="66">
        <v>14571</v>
      </c>
      <c r="D116">
        <f t="shared" si="5"/>
        <v>30.770367867550789</v>
      </c>
      <c r="E116">
        <f t="shared" si="6"/>
        <v>30.770367867550789</v>
      </c>
      <c r="G116">
        <f t="shared" ca="1" si="7"/>
        <v>114</v>
      </c>
      <c r="H116">
        <f t="shared" ca="1" si="8"/>
        <v>3507.8219369007898</v>
      </c>
      <c r="I116">
        <f t="shared" ca="1" si="9"/>
        <v>82520.786422948833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13970</v>
      </c>
      <c r="B118" s="66">
        <v>13970</v>
      </c>
      <c r="D118">
        <f t="shared" si="5"/>
        <v>29.501203699793049</v>
      </c>
      <c r="E118">
        <f t="shared" si="6"/>
        <v>29.501203699793049</v>
      </c>
      <c r="G118">
        <f t="shared" ca="1" si="7"/>
        <v>116</v>
      </c>
      <c r="H118">
        <f t="shared" ca="1" si="8"/>
        <v>3422.1396291759938</v>
      </c>
      <c r="I118">
        <f t="shared" ca="1" si="9"/>
        <v>85346.152304067247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13821</v>
      </c>
      <c r="B121" s="66">
        <v>13821</v>
      </c>
      <c r="D121">
        <f t="shared" si="5"/>
        <v>29.186552350382229</v>
      </c>
      <c r="E121">
        <f t="shared" si="6"/>
        <v>29.186552350382229</v>
      </c>
      <c r="G121">
        <f t="shared" ca="1" si="7"/>
        <v>119</v>
      </c>
      <c r="H121">
        <f t="shared" ca="1" si="8"/>
        <v>3473.1997296954851</v>
      </c>
      <c r="I121">
        <f t="shared" ca="1" si="9"/>
        <v>94117.583176482294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12998</v>
      </c>
      <c r="B124" s="66">
        <v>12998</v>
      </c>
      <c r="D124">
        <f t="shared" si="5"/>
        <v>27.448578789542594</v>
      </c>
      <c r="E124">
        <f t="shared" si="6"/>
        <v>27.448578789542594</v>
      </c>
      <c r="G124">
        <f t="shared" ca="1" si="7"/>
        <v>122</v>
      </c>
      <c r="H124">
        <f t="shared" ca="1" si="8"/>
        <v>3348.7266123241966</v>
      </c>
      <c r="I124">
        <f t="shared" ca="1" si="9"/>
        <v>98112.422697612652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13840</v>
      </c>
      <c r="B126" s="66">
        <v>13840</v>
      </c>
      <c r="D126">
        <f t="shared" si="5"/>
        <v>29.226675676817166</v>
      </c>
      <c r="E126">
        <f t="shared" si="6"/>
        <v>29.226675676817166</v>
      </c>
      <c r="G126">
        <f t="shared" ca="1" si="7"/>
        <v>124</v>
      </c>
      <c r="H126">
        <f t="shared" ca="1" si="8"/>
        <v>3624.1077839253285</v>
      </c>
      <c r="I126">
        <f t="shared" ca="1" si="9"/>
        <v>111574.39883975733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13387</v>
      </c>
      <c r="B129" s="66">
        <v>13387</v>
      </c>
      <c r="D129">
        <f t="shared" si="5"/>
        <v>28.270051104447354</v>
      </c>
      <c r="E129">
        <f t="shared" si="6"/>
        <v>28.270051104447354</v>
      </c>
      <c r="G129">
        <f t="shared" ca="1" si="7"/>
        <v>127</v>
      </c>
      <c r="H129">
        <f t="shared" ca="1" si="8"/>
        <v>3590.2964902648141</v>
      </c>
      <c r="I129">
        <f t="shared" ca="1" si="9"/>
        <v>118657.08408195856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11986</v>
      </c>
      <c r="B131" s="66">
        <v>11986</v>
      </c>
      <c r="D131">
        <f t="shared" ref="D131:D194" si="10">IFERROR( 100*A131/MAX(A$2:A$257), 0 )</f>
        <v>25.311483718376483</v>
      </c>
      <c r="E131">
        <f t="shared" ref="E131:E194" si="11">IFERROR( 100*B131/MAX(B$2:B$257), 0 )</f>
        <v>25.311483718376483</v>
      </c>
      <c r="G131">
        <f t="shared" ref="G131:G194" ca="1" si="12">CELL("row",D131)-2</f>
        <v>129</v>
      </c>
      <c r="H131">
        <f t="shared" ref="H131:H194" ca="1" si="13">D131*G131</f>
        <v>3265.1813996705664</v>
      </c>
      <c r="I131">
        <f t="shared" ref="I131:I194" ca="1" si="14">D131*((G131-$L$1)^2)</f>
        <v>112899.77396615376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14528</v>
      </c>
      <c r="B134" s="66">
        <v>14528</v>
      </c>
      <c r="D134">
        <f t="shared" si="10"/>
        <v>30.679562444566457</v>
      </c>
      <c r="E134">
        <f t="shared" si="11"/>
        <v>30.679562444566457</v>
      </c>
      <c r="G134">
        <f t="shared" ca="1" si="12"/>
        <v>132</v>
      </c>
      <c r="H134">
        <f t="shared" ca="1" si="13"/>
        <v>4049.7022426827725</v>
      </c>
      <c r="I134">
        <f t="shared" ca="1" si="14"/>
        <v>149413.61668398342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13149</v>
      </c>
      <c r="B136" s="66">
        <v>13149</v>
      </c>
      <c r="D136">
        <f t="shared" si="10"/>
        <v>27.767453646999197</v>
      </c>
      <c r="E136">
        <f t="shared" si="11"/>
        <v>27.767453646999197</v>
      </c>
      <c r="G136">
        <f t="shared" ca="1" si="12"/>
        <v>134</v>
      </c>
      <c r="H136">
        <f t="shared" ca="1" si="13"/>
        <v>3720.8387886978926</v>
      </c>
      <c r="I136">
        <f t="shared" ca="1" si="14"/>
        <v>143093.48035374001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12147</v>
      </c>
      <c r="B139" s="66">
        <v>12147</v>
      </c>
      <c r="D139">
        <f t="shared" si="10"/>
        <v>25.651476116062</v>
      </c>
      <c r="E139">
        <f t="shared" si="11"/>
        <v>25.651476116062</v>
      </c>
      <c r="G139">
        <f t="shared" ca="1" si="12"/>
        <v>137</v>
      </c>
      <c r="H139">
        <f t="shared" ca="1" si="13"/>
        <v>3514.2522279004938</v>
      </c>
      <c r="I139">
        <f t="shared" ca="1" si="14"/>
        <v>143468.67332087553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11505</v>
      </c>
      <c r="B142" s="66">
        <v>11505</v>
      </c>
      <c r="D142">
        <f t="shared" si="10"/>
        <v>24.295730033365714</v>
      </c>
      <c r="E142">
        <f t="shared" si="11"/>
        <v>24.295730033365714</v>
      </c>
      <c r="G142">
        <f t="shared" ca="1" si="12"/>
        <v>140</v>
      </c>
      <c r="H142">
        <f t="shared" ca="1" si="13"/>
        <v>3401.4022046711998</v>
      </c>
      <c r="I142">
        <f t="shared" ca="1" si="14"/>
        <v>147006.58316027373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10046</v>
      </c>
      <c r="B144" s="66">
        <v>10046</v>
      </c>
      <c r="D144">
        <f t="shared" si="10"/>
        <v>21.21468091396714</v>
      </c>
      <c r="E144">
        <f t="shared" si="11"/>
        <v>21.21468091396714</v>
      </c>
      <c r="G144">
        <f t="shared" ca="1" si="12"/>
        <v>142</v>
      </c>
      <c r="H144">
        <f t="shared" ca="1" si="13"/>
        <v>3012.484689783334</v>
      </c>
      <c r="I144">
        <f t="shared" ca="1" si="14"/>
        <v>135049.73676292333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9125</v>
      </c>
      <c r="B147" s="66">
        <v>9125</v>
      </c>
      <c r="D147">
        <f t="shared" si="10"/>
        <v>19.269755458884148</v>
      </c>
      <c r="E147">
        <f t="shared" si="11"/>
        <v>19.269755458884148</v>
      </c>
      <c r="G147">
        <f t="shared" ca="1" si="12"/>
        <v>145</v>
      </c>
      <c r="H147">
        <f t="shared" ca="1" si="13"/>
        <v>2794.1145415382016</v>
      </c>
      <c r="I147">
        <f t="shared" ca="1" si="14"/>
        <v>132066.81816435637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7937</v>
      </c>
      <c r="B149" s="66">
        <v>7937</v>
      </c>
      <c r="D149">
        <f t="shared" si="10"/>
        <v>16.760991679689148</v>
      </c>
      <c r="E149">
        <f t="shared" si="11"/>
        <v>16.760991679689148</v>
      </c>
      <c r="G149">
        <f t="shared" ca="1" si="12"/>
        <v>147</v>
      </c>
      <c r="H149">
        <f t="shared" ca="1" si="13"/>
        <v>2463.8657769143047</v>
      </c>
      <c r="I149">
        <f t="shared" ca="1" si="14"/>
        <v>120490.17344223618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5936</v>
      </c>
      <c r="B152" s="66">
        <v>5936</v>
      </c>
      <c r="D152">
        <f t="shared" si="10"/>
        <v>12.535371879883431</v>
      </c>
      <c r="E152">
        <f t="shared" si="11"/>
        <v>12.535371879883431</v>
      </c>
      <c r="G152">
        <f t="shared" ca="1" si="12"/>
        <v>150</v>
      </c>
      <c r="H152">
        <f t="shared" ca="1" si="13"/>
        <v>1880.3057819825146</v>
      </c>
      <c r="I152">
        <f t="shared" ca="1" si="14"/>
        <v>96603.140541486675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4475</v>
      </c>
      <c r="B154" s="66">
        <v>4475</v>
      </c>
      <c r="D154">
        <f t="shared" si="10"/>
        <v>9.4500992524390757</v>
      </c>
      <c r="E154">
        <f t="shared" si="11"/>
        <v>9.4500992524390757</v>
      </c>
      <c r="G154">
        <f t="shared" ca="1" si="12"/>
        <v>152</v>
      </c>
      <c r="H154">
        <f t="shared" ca="1" si="13"/>
        <v>1436.4150863707396</v>
      </c>
      <c r="I154">
        <f t="shared" ca="1" si="14"/>
        <v>76182.819453854914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4174</v>
      </c>
      <c r="B157" s="66">
        <v>4174</v>
      </c>
      <c r="D157">
        <f t="shared" si="10"/>
        <v>8.8144612915487599</v>
      </c>
      <c r="E157">
        <f t="shared" si="11"/>
        <v>8.8144612915487599</v>
      </c>
      <c r="G157">
        <f t="shared" ca="1" si="12"/>
        <v>155</v>
      </c>
      <c r="H157">
        <f t="shared" ca="1" si="13"/>
        <v>1366.2415001900579</v>
      </c>
      <c r="I157">
        <f t="shared" ca="1" si="14"/>
        <v>75886.407437561036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3268</v>
      </c>
      <c r="B160" s="66">
        <v>3268</v>
      </c>
      <c r="D160">
        <f t="shared" si="10"/>
        <v>6.9012121468091401</v>
      </c>
      <c r="E160">
        <f t="shared" si="11"/>
        <v>6.9012121468091401</v>
      </c>
      <c r="G160">
        <f t="shared" ca="1" si="12"/>
        <v>158</v>
      </c>
      <c r="H160">
        <f t="shared" ca="1" si="13"/>
        <v>1090.3915191958442</v>
      </c>
      <c r="I160">
        <f t="shared" ca="1" si="14"/>
        <v>63318.798069376542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2115</v>
      </c>
      <c r="B162" s="66">
        <v>2115</v>
      </c>
      <c r="D162">
        <f t="shared" si="10"/>
        <v>4.4663597584153401</v>
      </c>
      <c r="E162">
        <f t="shared" si="11"/>
        <v>4.4663597584153401</v>
      </c>
      <c r="G162">
        <f t="shared" ca="1" si="12"/>
        <v>160</v>
      </c>
      <c r="H162">
        <f t="shared" ca="1" si="13"/>
        <v>714.61756134645441</v>
      </c>
      <c r="I162">
        <f t="shared" ca="1" si="14"/>
        <v>42708.09579564305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1195</v>
      </c>
      <c r="B165" s="66">
        <v>1195</v>
      </c>
      <c r="D165">
        <f t="shared" si="10"/>
        <v>2.5235460573552393</v>
      </c>
      <c r="E165">
        <f t="shared" si="11"/>
        <v>2.5235460573552393</v>
      </c>
      <c r="G165">
        <f t="shared" ca="1" si="12"/>
        <v>163</v>
      </c>
      <c r="H165">
        <f t="shared" ca="1" si="13"/>
        <v>411.338007348904</v>
      </c>
      <c r="I165">
        <f t="shared" ca="1" si="14"/>
        <v>25633.901069927117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622</v>
      </c>
      <c r="B167" s="66">
        <v>622</v>
      </c>
      <c r="D167">
        <f t="shared" si="10"/>
        <v>1.3135110022384593</v>
      </c>
      <c r="E167">
        <f t="shared" si="11"/>
        <v>1.3135110022384593</v>
      </c>
      <c r="G167">
        <f t="shared" ca="1" si="12"/>
        <v>165</v>
      </c>
      <c r="H167">
        <f t="shared" ca="1" si="13"/>
        <v>216.72931536934578</v>
      </c>
      <c r="I167">
        <f t="shared" ca="1" si="14"/>
        <v>13877.289117192933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492</v>
      </c>
      <c r="B170" s="66">
        <v>492</v>
      </c>
      <c r="D170">
        <f t="shared" si="10"/>
        <v>1.0389829792625755</v>
      </c>
      <c r="E170">
        <f t="shared" si="11"/>
        <v>1.0389829792625755</v>
      </c>
      <c r="G170">
        <f t="shared" ca="1" si="12"/>
        <v>168</v>
      </c>
      <c r="H170">
        <f t="shared" ca="1" si="13"/>
        <v>174.54914051611269</v>
      </c>
      <c r="I170">
        <f t="shared" ca="1" si="14"/>
        <v>11627.001550203566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240</v>
      </c>
      <c r="B173" s="66">
        <v>240</v>
      </c>
      <c r="D173">
        <f t="shared" si="10"/>
        <v>0.50682096549393929</v>
      </c>
      <c r="E173">
        <f t="shared" si="11"/>
        <v>0.50682096549393929</v>
      </c>
      <c r="G173">
        <f t="shared" ca="1" si="12"/>
        <v>171</v>
      </c>
      <c r="H173">
        <f t="shared" ca="1" si="13"/>
        <v>86.666385099463625</v>
      </c>
      <c r="I173">
        <f t="shared" ca="1" si="14"/>
        <v>5997.9579140695923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350</v>
      </c>
      <c r="B1" s="66" t="s">
        <v>351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63.543392876621645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1.2268634349909324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0.69568944189874293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6644</v>
      </c>
      <c r="B8" s="66">
        <v>6644</v>
      </c>
      <c r="D8">
        <f t="shared" si="0"/>
        <v>15.025555203763174</v>
      </c>
      <c r="E8">
        <f t="shared" si="1"/>
        <v>15.025555203763174</v>
      </c>
      <c r="G8">
        <f t="shared" ca="1" si="2"/>
        <v>6</v>
      </c>
      <c r="H8">
        <f t="shared" ca="1" si="3"/>
        <v>90.153331222579041</v>
      </c>
      <c r="I8">
        <f t="shared" ca="1" si="4"/>
        <v>49753.250421946868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14390</v>
      </c>
      <c r="B10" s="66">
        <v>14390</v>
      </c>
      <c r="D10">
        <f t="shared" si="0"/>
        <v>32.543308155049978</v>
      </c>
      <c r="E10">
        <f t="shared" si="1"/>
        <v>32.543308155049978</v>
      </c>
      <c r="G10">
        <f t="shared" ca="1" si="2"/>
        <v>8</v>
      </c>
      <c r="H10">
        <f t="shared" ca="1" si="3"/>
        <v>260.34646524039982</v>
      </c>
      <c r="I10">
        <f t="shared" ca="1" si="4"/>
        <v>100398.3346226212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27268</v>
      </c>
      <c r="B13" s="66">
        <v>27268</v>
      </c>
      <c r="D13">
        <f t="shared" si="0"/>
        <v>61.66719435523995</v>
      </c>
      <c r="E13">
        <f t="shared" si="1"/>
        <v>61.66719435523995</v>
      </c>
      <c r="G13">
        <f t="shared" ca="1" si="2"/>
        <v>11</v>
      </c>
      <c r="H13">
        <f t="shared" ca="1" si="3"/>
        <v>678.3391379076395</v>
      </c>
      <c r="I13">
        <f t="shared" ca="1" si="4"/>
        <v>170251.29183777174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41669</v>
      </c>
      <c r="B15" s="66">
        <v>41669</v>
      </c>
      <c r="D15">
        <f t="shared" si="0"/>
        <v>94.235379257316026</v>
      </c>
      <c r="E15">
        <f t="shared" si="1"/>
        <v>94.235379257316026</v>
      </c>
      <c r="G15">
        <f t="shared" ca="1" si="2"/>
        <v>13</v>
      </c>
      <c r="H15">
        <f t="shared" ca="1" si="3"/>
        <v>1225.0599303451083</v>
      </c>
      <c r="I15">
        <f t="shared" ca="1" si="4"/>
        <v>240736.9569534355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43729</v>
      </c>
      <c r="B18" s="66">
        <v>43729</v>
      </c>
      <c r="D18">
        <f t="shared" si="0"/>
        <v>98.894115518567105</v>
      </c>
      <c r="E18">
        <f t="shared" si="1"/>
        <v>98.894115518567105</v>
      </c>
      <c r="G18">
        <f t="shared" ca="1" si="2"/>
        <v>16</v>
      </c>
      <c r="H18">
        <f t="shared" ca="1" si="3"/>
        <v>1582.3058482970737</v>
      </c>
      <c r="I18">
        <f t="shared" ca="1" si="4"/>
        <v>223537.70786518903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44218</v>
      </c>
      <c r="B21" s="66">
        <v>44218</v>
      </c>
      <c r="D21">
        <f t="shared" si="0"/>
        <v>100</v>
      </c>
      <c r="E21">
        <f t="shared" si="1"/>
        <v>100</v>
      </c>
      <c r="G21">
        <f t="shared" ca="1" si="2"/>
        <v>19</v>
      </c>
      <c r="H21">
        <f t="shared" ca="1" si="3"/>
        <v>1900</v>
      </c>
      <c r="I21">
        <f t="shared" ca="1" si="4"/>
        <v>198411.38489610681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39597</v>
      </c>
      <c r="B23" s="66">
        <v>39597</v>
      </c>
      <c r="D23">
        <f t="shared" si="0"/>
        <v>89.54950472658193</v>
      </c>
      <c r="E23">
        <f t="shared" si="1"/>
        <v>89.54950472658193</v>
      </c>
      <c r="G23">
        <f t="shared" ca="1" si="2"/>
        <v>21</v>
      </c>
      <c r="H23">
        <f t="shared" ca="1" si="3"/>
        <v>1880.5395992582205</v>
      </c>
      <c r="I23">
        <f t="shared" ca="1" si="4"/>
        <v>162079.25543075002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37027</v>
      </c>
      <c r="B26" s="66">
        <v>37027</v>
      </c>
      <c r="D26">
        <f t="shared" si="0"/>
        <v>83.737392012302678</v>
      </c>
      <c r="E26">
        <f t="shared" si="1"/>
        <v>83.737392012302678</v>
      </c>
      <c r="G26">
        <f t="shared" ca="1" si="2"/>
        <v>24</v>
      </c>
      <c r="H26">
        <f t="shared" ca="1" si="3"/>
        <v>2009.6974082952643</v>
      </c>
      <c r="I26">
        <f t="shared" ca="1" si="4"/>
        <v>130938.47845912245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39448</v>
      </c>
      <c r="B28" s="66">
        <v>39448</v>
      </c>
      <c r="D28">
        <f t="shared" si="0"/>
        <v>89.212537880501159</v>
      </c>
      <c r="E28">
        <f t="shared" si="1"/>
        <v>89.212537880501159</v>
      </c>
      <c r="G28">
        <f t="shared" ca="1" si="2"/>
        <v>26</v>
      </c>
      <c r="H28">
        <f t="shared" ca="1" si="3"/>
        <v>2319.52598489303</v>
      </c>
      <c r="I28">
        <f t="shared" ca="1" si="4"/>
        <v>125745.63852516763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30264</v>
      </c>
      <c r="B31" s="66">
        <v>30264</v>
      </c>
      <c r="D31">
        <f t="shared" si="0"/>
        <v>68.44271563616627</v>
      </c>
      <c r="E31">
        <f t="shared" si="1"/>
        <v>68.44271563616627</v>
      </c>
      <c r="G31">
        <f t="shared" ca="1" si="2"/>
        <v>29</v>
      </c>
      <c r="H31">
        <f t="shared" ca="1" si="3"/>
        <v>1984.8387534488218</v>
      </c>
      <c r="I31">
        <f t="shared" ca="1" si="4"/>
        <v>81668.996075345363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32303</v>
      </c>
      <c r="B33" s="66">
        <v>32303</v>
      </c>
      <c r="D33">
        <f t="shared" si="0"/>
        <v>73.05395992582207</v>
      </c>
      <c r="E33">
        <f t="shared" si="1"/>
        <v>73.05395992582207</v>
      </c>
      <c r="G33">
        <f t="shared" ca="1" si="2"/>
        <v>31</v>
      </c>
      <c r="H33">
        <f t="shared" ca="1" si="3"/>
        <v>2264.672757700484</v>
      </c>
      <c r="I33">
        <f t="shared" ca="1" si="4"/>
        <v>77369.434123536033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27848</v>
      </c>
      <c r="B36" s="66">
        <v>27848</v>
      </c>
      <c r="D36">
        <f t="shared" si="0"/>
        <v>62.978877380252385</v>
      </c>
      <c r="E36">
        <f t="shared" si="1"/>
        <v>62.978877380252385</v>
      </c>
      <c r="G36">
        <f t="shared" ca="1" si="2"/>
        <v>34</v>
      </c>
      <c r="H36">
        <f t="shared" ca="1" si="3"/>
        <v>2141.2818309285813</v>
      </c>
      <c r="I36">
        <f t="shared" ca="1" si="4"/>
        <v>54968.723870421622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31751</v>
      </c>
      <c r="B39" s="66">
        <v>31751</v>
      </c>
      <c r="D39">
        <f t="shared" si="0"/>
        <v>71.805599529603327</v>
      </c>
      <c r="E39">
        <f t="shared" si="1"/>
        <v>71.805599529603327</v>
      </c>
      <c r="G39">
        <f t="shared" ca="1" si="2"/>
        <v>37</v>
      </c>
      <c r="H39">
        <f t="shared" ca="1" si="3"/>
        <v>2656.807182595323</v>
      </c>
      <c r="I39">
        <f t="shared" ca="1" si="4"/>
        <v>50590.757606044528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31001</v>
      </c>
      <c r="B41" s="66">
        <v>31001</v>
      </c>
      <c r="D41">
        <f t="shared" si="0"/>
        <v>70.109457686914837</v>
      </c>
      <c r="E41">
        <f t="shared" si="1"/>
        <v>70.109457686914837</v>
      </c>
      <c r="G41">
        <f t="shared" ca="1" si="2"/>
        <v>39</v>
      </c>
      <c r="H41">
        <f t="shared" ca="1" si="3"/>
        <v>2734.2688497896788</v>
      </c>
      <c r="I41">
        <f t="shared" ca="1" si="4"/>
        <v>42232.404289918508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31319</v>
      </c>
      <c r="B44" s="66">
        <v>31319</v>
      </c>
      <c r="D44">
        <f t="shared" si="0"/>
        <v>70.82862182821475</v>
      </c>
      <c r="E44">
        <f t="shared" si="1"/>
        <v>70.82862182821475</v>
      </c>
      <c r="G44">
        <f t="shared" ca="1" si="2"/>
        <v>42</v>
      </c>
      <c r="H44">
        <f t="shared" ca="1" si="3"/>
        <v>2974.8021167850193</v>
      </c>
      <c r="I44">
        <f t="shared" ca="1" si="4"/>
        <v>32872.822485136538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29840</v>
      </c>
      <c r="B46" s="66">
        <v>29840</v>
      </c>
      <c r="D46">
        <f t="shared" si="0"/>
        <v>67.483830114433033</v>
      </c>
      <c r="E46">
        <f t="shared" si="1"/>
        <v>67.483830114433033</v>
      </c>
      <c r="G46">
        <f t="shared" ca="1" si="2"/>
        <v>44</v>
      </c>
      <c r="H46">
        <f t="shared" ca="1" si="3"/>
        <v>2969.2885250350537</v>
      </c>
      <c r="I46">
        <f t="shared" ca="1" si="4"/>
        <v>25775.057852184116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27233</v>
      </c>
      <c r="B49" s="66">
        <v>27233</v>
      </c>
      <c r="D49">
        <f t="shared" si="0"/>
        <v>61.588041069247815</v>
      </c>
      <c r="E49">
        <f t="shared" si="1"/>
        <v>61.588041069247815</v>
      </c>
      <c r="G49">
        <f t="shared" ca="1" si="2"/>
        <v>47</v>
      </c>
      <c r="H49">
        <f t="shared" ca="1" si="3"/>
        <v>2894.6379302546475</v>
      </c>
      <c r="I49">
        <f t="shared" ca="1" si="4"/>
        <v>16855.652062623085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21721</v>
      </c>
      <c r="B51" s="66">
        <v>21721</v>
      </c>
      <c r="D51">
        <f t="shared" si="0"/>
        <v>49.122529286715817</v>
      </c>
      <c r="E51">
        <f t="shared" si="1"/>
        <v>49.122529286715817</v>
      </c>
      <c r="G51">
        <f t="shared" ca="1" si="2"/>
        <v>49</v>
      </c>
      <c r="H51">
        <f t="shared" ca="1" si="3"/>
        <v>2407.0039350490752</v>
      </c>
      <c r="I51">
        <f t="shared" ca="1" si="4"/>
        <v>10389.919745120609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21553</v>
      </c>
      <c r="B54" s="66">
        <v>21553</v>
      </c>
      <c r="D54">
        <f t="shared" si="0"/>
        <v>48.742593513953594</v>
      </c>
      <c r="E54">
        <f t="shared" si="1"/>
        <v>48.742593513953594</v>
      </c>
      <c r="G54">
        <f t="shared" ca="1" si="2"/>
        <v>52</v>
      </c>
      <c r="H54">
        <f t="shared" ca="1" si="3"/>
        <v>2534.614862725587</v>
      </c>
      <c r="I54">
        <f t="shared" ca="1" si="4"/>
        <v>6494.946642655389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21623</v>
      </c>
      <c r="B57" s="66">
        <v>21623</v>
      </c>
      <c r="D57">
        <f t="shared" si="0"/>
        <v>48.900900085937856</v>
      </c>
      <c r="E57">
        <f t="shared" si="1"/>
        <v>48.900900085937856</v>
      </c>
      <c r="G57">
        <f t="shared" ca="1" si="2"/>
        <v>55</v>
      </c>
      <c r="H57">
        <f t="shared" ca="1" si="3"/>
        <v>2689.5495047265822</v>
      </c>
      <c r="I57">
        <f t="shared" ca="1" si="4"/>
        <v>3569.2552710649597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18788</v>
      </c>
      <c r="B59" s="66">
        <v>18788</v>
      </c>
      <c r="D59">
        <f t="shared" si="0"/>
        <v>42.489483920575331</v>
      </c>
      <c r="E59">
        <f t="shared" si="1"/>
        <v>42.489483920575331</v>
      </c>
      <c r="G59">
        <f t="shared" ca="1" si="2"/>
        <v>57</v>
      </c>
      <c r="H59">
        <f t="shared" ca="1" si="3"/>
        <v>2421.9005834727941</v>
      </c>
      <c r="I59">
        <f t="shared" ca="1" si="4"/>
        <v>1819.2293330024345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20446</v>
      </c>
      <c r="B62" s="66">
        <v>20446</v>
      </c>
      <c r="D62">
        <f t="shared" si="0"/>
        <v>46.239088154145371</v>
      </c>
      <c r="E62">
        <f t="shared" si="1"/>
        <v>46.239088154145371</v>
      </c>
      <c r="G62">
        <f t="shared" ca="1" si="2"/>
        <v>60</v>
      </c>
      <c r="H62">
        <f t="shared" ca="1" si="3"/>
        <v>2774.3452892487221</v>
      </c>
      <c r="I62">
        <f t="shared" ca="1" si="4"/>
        <v>580.56102472904672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25527</v>
      </c>
      <c r="B64" s="66">
        <v>25527</v>
      </c>
      <c r="D64">
        <f t="shared" si="0"/>
        <v>57.729883757745718</v>
      </c>
      <c r="E64">
        <f t="shared" si="1"/>
        <v>57.729883757745718</v>
      </c>
      <c r="G64">
        <f t="shared" ca="1" si="2"/>
        <v>62</v>
      </c>
      <c r="H64">
        <f t="shared" ca="1" si="3"/>
        <v>3579.2527929802345</v>
      </c>
      <c r="I64">
        <f t="shared" ca="1" si="4"/>
        <v>137.51613763263271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29444</v>
      </c>
      <c r="B67" s="66">
        <v>29444</v>
      </c>
      <c r="D67">
        <f t="shared" ref="D67:D130" si="5">IFERROR(100*A67/MAX(A$2:A$257), 0 )</f>
        <v>66.58826722149351</v>
      </c>
      <c r="E67">
        <f t="shared" ref="E67:E130" si="6">IFERROR(100*B67/MAX(B$2:B$257), 0 )</f>
        <v>66.58826722149351</v>
      </c>
      <c r="G67">
        <f t="shared" ref="G67:G130" ca="1" si="7">CELL("row",D67)-2</f>
        <v>65</v>
      </c>
      <c r="H67">
        <f t="shared" ref="H67:H130" ca="1" si="8">D67*G67</f>
        <v>4328.2373693970785</v>
      </c>
      <c r="I67">
        <f t="shared" ref="I67:I130" ca="1" si="9">D67*((G67-$L$1)^2)</f>
        <v>141.28061368423172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27317</v>
      </c>
      <c r="B69" s="66">
        <v>27317</v>
      </c>
      <c r="D69">
        <f t="shared" si="5"/>
        <v>61.778008955628927</v>
      </c>
      <c r="E69">
        <f t="shared" si="6"/>
        <v>61.778008955628927</v>
      </c>
      <c r="G69">
        <f t="shared" ca="1" si="7"/>
        <v>67</v>
      </c>
      <c r="H69">
        <f t="shared" ca="1" si="8"/>
        <v>4139.126600027138</v>
      </c>
      <c r="I69">
        <f t="shared" ca="1" si="9"/>
        <v>738.13185545442616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28179</v>
      </c>
      <c r="B72" s="66">
        <v>28179</v>
      </c>
      <c r="D72">
        <f t="shared" si="5"/>
        <v>63.727441313492243</v>
      </c>
      <c r="E72">
        <f t="shared" si="6"/>
        <v>63.727441313492243</v>
      </c>
      <c r="G72">
        <f t="shared" ca="1" si="7"/>
        <v>70</v>
      </c>
      <c r="H72">
        <f t="shared" ca="1" si="8"/>
        <v>4460.9208919444573</v>
      </c>
      <c r="I72">
        <f t="shared" ca="1" si="9"/>
        <v>2656.6552695760915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31027</v>
      </c>
      <c r="B75" s="66">
        <v>31027</v>
      </c>
      <c r="D75">
        <f t="shared" si="5"/>
        <v>70.168257270794697</v>
      </c>
      <c r="E75">
        <f t="shared" si="6"/>
        <v>70.168257270794697</v>
      </c>
      <c r="G75">
        <f t="shared" ca="1" si="7"/>
        <v>73</v>
      </c>
      <c r="H75">
        <f t="shared" ca="1" si="8"/>
        <v>5122.2827807680133</v>
      </c>
      <c r="I75">
        <f t="shared" ca="1" si="9"/>
        <v>6274.9660933501236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30540</v>
      </c>
      <c r="B77" s="66">
        <v>30540</v>
      </c>
      <c r="D77">
        <f t="shared" si="5"/>
        <v>69.066895834275641</v>
      </c>
      <c r="E77">
        <f t="shared" si="6"/>
        <v>69.066895834275641</v>
      </c>
      <c r="G77">
        <f t="shared" ca="1" si="7"/>
        <v>75</v>
      </c>
      <c r="H77">
        <f t="shared" ca="1" si="8"/>
        <v>5180.0171875706728</v>
      </c>
      <c r="I77">
        <f t="shared" ca="1" si="9"/>
        <v>9065.2957633638107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31533</v>
      </c>
      <c r="B80" s="66">
        <v>31533</v>
      </c>
      <c r="D80">
        <f t="shared" si="5"/>
        <v>71.312587633995207</v>
      </c>
      <c r="E80">
        <f t="shared" si="6"/>
        <v>71.312587633995207</v>
      </c>
      <c r="G80">
        <f t="shared" ca="1" si="7"/>
        <v>78</v>
      </c>
      <c r="H80">
        <f t="shared" ca="1" si="8"/>
        <v>5562.3818354516261</v>
      </c>
      <c r="I80">
        <f t="shared" ca="1" si="9"/>
        <v>14903.866536309049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32513</v>
      </c>
      <c r="B82" s="66">
        <v>32513</v>
      </c>
      <c r="D82">
        <f t="shared" si="5"/>
        <v>73.528879641774836</v>
      </c>
      <c r="E82">
        <f t="shared" si="6"/>
        <v>73.528879641774836</v>
      </c>
      <c r="G82">
        <f t="shared" ca="1" si="7"/>
        <v>80</v>
      </c>
      <c r="H82">
        <f t="shared" ca="1" si="8"/>
        <v>5882.3103713419869</v>
      </c>
      <c r="I82">
        <f t="shared" ca="1" si="9"/>
        <v>19913.085156189911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31806</v>
      </c>
      <c r="B85" s="66">
        <v>31806</v>
      </c>
      <c r="D85">
        <f t="shared" si="5"/>
        <v>71.929983264733821</v>
      </c>
      <c r="E85">
        <f t="shared" si="6"/>
        <v>71.929983264733821</v>
      </c>
      <c r="G85">
        <f t="shared" ca="1" si="7"/>
        <v>83</v>
      </c>
      <c r="H85">
        <f t="shared" ca="1" si="8"/>
        <v>5970.1886109729076</v>
      </c>
      <c r="I85">
        <f t="shared" ca="1" si="9"/>
        <v>27229.78286970405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33163</v>
      </c>
      <c r="B88" s="66">
        <v>33163</v>
      </c>
      <c r="D88">
        <f t="shared" si="5"/>
        <v>74.998869238771547</v>
      </c>
      <c r="E88">
        <f t="shared" si="6"/>
        <v>74.998869238771547</v>
      </c>
      <c r="G88">
        <f t="shared" ca="1" si="7"/>
        <v>86</v>
      </c>
      <c r="H88">
        <f t="shared" ca="1" si="8"/>
        <v>6449.9027545343533</v>
      </c>
      <c r="I88">
        <f t="shared" ca="1" si="9"/>
        <v>37821.87002004571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32266</v>
      </c>
      <c r="B90" s="66">
        <v>32266</v>
      </c>
      <c r="D90">
        <f t="shared" si="5"/>
        <v>72.970283594916097</v>
      </c>
      <c r="E90">
        <f t="shared" si="6"/>
        <v>72.970283594916097</v>
      </c>
      <c r="G90">
        <f t="shared" ca="1" si="7"/>
        <v>88</v>
      </c>
      <c r="H90">
        <f t="shared" ca="1" si="8"/>
        <v>6421.3849563526164</v>
      </c>
      <c r="I90">
        <f t="shared" ca="1" si="9"/>
        <v>43645.396991500304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30090</v>
      </c>
      <c r="B93" s="66">
        <v>30090</v>
      </c>
      <c r="D93">
        <f t="shared" si="5"/>
        <v>68.04921072866253</v>
      </c>
      <c r="E93">
        <f t="shared" si="6"/>
        <v>68.04921072866253</v>
      </c>
      <c r="G93">
        <f t="shared" ca="1" si="7"/>
        <v>91</v>
      </c>
      <c r="H93">
        <f t="shared" ca="1" si="8"/>
        <v>6192.4781763082901</v>
      </c>
      <c r="I93">
        <f t="shared" ca="1" si="9"/>
        <v>51299.936940956184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29902</v>
      </c>
      <c r="B95" s="66">
        <v>29902</v>
      </c>
      <c r="D95">
        <f t="shared" si="5"/>
        <v>67.624044506761948</v>
      </c>
      <c r="E95">
        <f t="shared" si="6"/>
        <v>67.624044506761948</v>
      </c>
      <c r="G95">
        <f t="shared" ca="1" si="7"/>
        <v>93</v>
      </c>
      <c r="H95">
        <f t="shared" ca="1" si="8"/>
        <v>6289.0361391288607</v>
      </c>
      <c r="I95">
        <f t="shared" ca="1" si="9"/>
        <v>58676.822356769342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27582</v>
      </c>
      <c r="B98" s="66">
        <v>27582</v>
      </c>
      <c r="D98">
        <f t="shared" si="5"/>
        <v>62.3773124067122</v>
      </c>
      <c r="E98">
        <f t="shared" si="6"/>
        <v>62.3773124067122</v>
      </c>
      <c r="G98">
        <f t="shared" ca="1" si="7"/>
        <v>96</v>
      </c>
      <c r="H98">
        <f t="shared" ca="1" si="8"/>
        <v>5988.221991044371</v>
      </c>
      <c r="I98">
        <f t="shared" ca="1" si="9"/>
        <v>65710.216166053477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29198</v>
      </c>
      <c r="B100" s="66">
        <v>29198</v>
      </c>
      <c r="D100">
        <f t="shared" si="5"/>
        <v>66.031932697091676</v>
      </c>
      <c r="E100">
        <f t="shared" si="6"/>
        <v>66.031932697091676</v>
      </c>
      <c r="G100">
        <f t="shared" ca="1" si="7"/>
        <v>98</v>
      </c>
      <c r="H100">
        <f t="shared" ca="1" si="8"/>
        <v>6471.1294043149846</v>
      </c>
      <c r="I100">
        <f t="shared" ca="1" si="9"/>
        <v>78396.925456901372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28526</v>
      </c>
      <c r="B103" s="66">
        <v>28526</v>
      </c>
      <c r="D103">
        <f t="shared" si="5"/>
        <v>64.512189606042782</v>
      </c>
      <c r="E103">
        <f t="shared" si="6"/>
        <v>64.512189606042782</v>
      </c>
      <c r="G103">
        <f t="shared" ca="1" si="7"/>
        <v>101</v>
      </c>
      <c r="H103">
        <f t="shared" ca="1" si="8"/>
        <v>6515.7311502103212</v>
      </c>
      <c r="I103">
        <f t="shared" ca="1" si="9"/>
        <v>90510.435394879765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24821</v>
      </c>
      <c r="B106" s="66">
        <v>24821</v>
      </c>
      <c r="D106">
        <f t="shared" si="5"/>
        <v>56.133248903161608</v>
      </c>
      <c r="E106">
        <f t="shared" si="6"/>
        <v>56.133248903161608</v>
      </c>
      <c r="G106">
        <f t="shared" ca="1" si="7"/>
        <v>104</v>
      </c>
      <c r="H106">
        <f t="shared" ca="1" si="8"/>
        <v>5837.8578859288073</v>
      </c>
      <c r="I106">
        <f t="shared" ca="1" si="9"/>
        <v>91875.368774382092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21114</v>
      </c>
      <c r="B108" s="66">
        <v>21114</v>
      </c>
      <c r="D108">
        <f t="shared" si="5"/>
        <v>47.749785155366595</v>
      </c>
      <c r="E108">
        <f t="shared" si="6"/>
        <v>47.749785155366595</v>
      </c>
      <c r="G108">
        <f t="shared" ca="1" si="7"/>
        <v>106</v>
      </c>
      <c r="H108">
        <f t="shared" ca="1" si="8"/>
        <v>5061.477226468859</v>
      </c>
      <c r="I108">
        <f t="shared" ca="1" si="9"/>
        <v>86072.019301388194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17622</v>
      </c>
      <c r="B111" s="66">
        <v>17622</v>
      </c>
      <c r="D111">
        <f t="shared" si="5"/>
        <v>39.852548735808945</v>
      </c>
      <c r="E111">
        <f t="shared" si="6"/>
        <v>39.852548735808945</v>
      </c>
      <c r="G111">
        <f t="shared" ca="1" si="7"/>
        <v>109</v>
      </c>
      <c r="H111">
        <f t="shared" ca="1" si="8"/>
        <v>4343.9278122031747</v>
      </c>
      <c r="I111">
        <f t="shared" ca="1" si="9"/>
        <v>82347.446237874028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17635</v>
      </c>
      <c r="B113" s="66">
        <v>17635</v>
      </c>
      <c r="D113">
        <f t="shared" si="5"/>
        <v>39.881948527748882</v>
      </c>
      <c r="E113">
        <f t="shared" si="6"/>
        <v>39.881948527748882</v>
      </c>
      <c r="G113">
        <f t="shared" ca="1" si="7"/>
        <v>111</v>
      </c>
      <c r="H113">
        <f t="shared" ca="1" si="8"/>
        <v>4426.8962865801259</v>
      </c>
      <c r="I113">
        <f t="shared" ca="1" si="9"/>
        <v>89819.315176288961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17252</v>
      </c>
      <c r="B116" s="66">
        <v>17252</v>
      </c>
      <c r="D116">
        <f t="shared" si="5"/>
        <v>39.015785426749289</v>
      </c>
      <c r="E116">
        <f t="shared" si="6"/>
        <v>39.015785426749289</v>
      </c>
      <c r="G116">
        <f t="shared" ca="1" si="7"/>
        <v>114</v>
      </c>
      <c r="H116">
        <f t="shared" ca="1" si="8"/>
        <v>4447.7995386494185</v>
      </c>
      <c r="I116">
        <f t="shared" ca="1" si="9"/>
        <v>99329.08652552306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13845</v>
      </c>
      <c r="B118" s="66">
        <v>13845</v>
      </c>
      <c r="D118">
        <f t="shared" si="5"/>
        <v>31.31077841602967</v>
      </c>
      <c r="E118">
        <f t="shared" si="6"/>
        <v>31.31077841602967</v>
      </c>
      <c r="G118">
        <f t="shared" ca="1" si="7"/>
        <v>116</v>
      </c>
      <c r="H118">
        <f t="shared" ca="1" si="8"/>
        <v>3632.0502962594419</v>
      </c>
      <c r="I118">
        <f t="shared" ca="1" si="9"/>
        <v>86157.732167356298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13586</v>
      </c>
      <c r="B121" s="66">
        <v>13586</v>
      </c>
      <c r="D121">
        <f t="shared" si="5"/>
        <v>30.72504409968791</v>
      </c>
      <c r="E121">
        <f t="shared" si="6"/>
        <v>30.72504409968791</v>
      </c>
      <c r="G121">
        <f t="shared" ca="1" si="7"/>
        <v>119</v>
      </c>
      <c r="H121">
        <f t="shared" ca="1" si="8"/>
        <v>3656.2802478628614</v>
      </c>
      <c r="I121">
        <f t="shared" ca="1" si="9"/>
        <v>94492.884408224549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12794</v>
      </c>
      <c r="B124" s="66">
        <v>12794</v>
      </c>
      <c r="D124">
        <f t="shared" si="5"/>
        <v>28.933918313808856</v>
      </c>
      <c r="E124">
        <f t="shared" si="6"/>
        <v>28.933918313808856</v>
      </c>
      <c r="G124">
        <f t="shared" ca="1" si="7"/>
        <v>122</v>
      </c>
      <c r="H124">
        <f t="shared" ca="1" si="8"/>
        <v>3529.9380342846803</v>
      </c>
      <c r="I124">
        <f t="shared" ca="1" si="9"/>
        <v>98872.259894448987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11277</v>
      </c>
      <c r="B126" s="66">
        <v>11277</v>
      </c>
      <c r="D126">
        <f t="shared" si="5"/>
        <v>25.503188746664254</v>
      </c>
      <c r="E126">
        <f t="shared" si="6"/>
        <v>25.503188746664254</v>
      </c>
      <c r="G126">
        <f t="shared" ca="1" si="7"/>
        <v>124</v>
      </c>
      <c r="H126">
        <f t="shared" ca="1" si="8"/>
        <v>3162.3954045863675</v>
      </c>
      <c r="I126">
        <f t="shared" ca="1" si="9"/>
        <v>93214.18916754461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10288</v>
      </c>
      <c r="B129" s="66">
        <v>10288</v>
      </c>
      <c r="D129">
        <f t="shared" si="5"/>
        <v>23.266543036772354</v>
      </c>
      <c r="E129">
        <f t="shared" si="6"/>
        <v>23.266543036772354</v>
      </c>
      <c r="G129">
        <f t="shared" ca="1" si="7"/>
        <v>127</v>
      </c>
      <c r="H129">
        <f t="shared" ca="1" si="8"/>
        <v>2954.850965670089</v>
      </c>
      <c r="I129">
        <f t="shared" ca="1" si="9"/>
        <v>93688.342486181718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7928</v>
      </c>
      <c r="B131" s="66">
        <v>7928</v>
      </c>
      <c r="D131">
        <f t="shared" ref="D131:D194" si="10">IFERROR(100*A131/MAX(A$2:A$257), 0 )</f>
        <v>17.929350038445882</v>
      </c>
      <c r="E131">
        <f t="shared" ref="E131:E194" si="11">IFERROR(100*B131/MAX(B$2:B$257), 0 )</f>
        <v>17.929350038445882</v>
      </c>
      <c r="G131">
        <f t="shared" ref="G131:G194" ca="1" si="12">CELL("row",D131)-2</f>
        <v>129</v>
      </c>
      <c r="H131">
        <f t="shared" ref="H131:H194" ca="1" si="13">D131*G131</f>
        <v>2312.886154959519</v>
      </c>
      <c r="I131">
        <f t="shared" ref="I131:I194" ca="1" si="14">D131*((G131-$L$1)^2)</f>
        <v>76819.508966653695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6877</v>
      </c>
      <c r="B134" s="66">
        <v>6877</v>
      </c>
      <c r="D134">
        <f t="shared" si="10"/>
        <v>15.552489936225067</v>
      </c>
      <c r="E134">
        <f t="shared" si="11"/>
        <v>15.552489936225067</v>
      </c>
      <c r="G134">
        <f t="shared" ca="1" si="12"/>
        <v>132</v>
      </c>
      <c r="H134">
        <f t="shared" ca="1" si="13"/>
        <v>2052.9286715817088</v>
      </c>
      <c r="I134">
        <f t="shared" ca="1" si="14"/>
        <v>72883.743370740747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6587</v>
      </c>
      <c r="B136" s="66">
        <v>6587</v>
      </c>
      <c r="D136">
        <f t="shared" si="10"/>
        <v>14.896648423718847</v>
      </c>
      <c r="E136">
        <f t="shared" si="11"/>
        <v>14.896648423718847</v>
      </c>
      <c r="G136">
        <f t="shared" ca="1" si="12"/>
        <v>134</v>
      </c>
      <c r="H136">
        <f t="shared" ca="1" si="13"/>
        <v>1996.1508887783255</v>
      </c>
      <c r="I136">
        <f t="shared" ca="1" si="14"/>
        <v>73948.951289284872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4872</v>
      </c>
      <c r="B139" s="66">
        <v>4872</v>
      </c>
      <c r="D139">
        <f t="shared" si="10"/>
        <v>11.018137410104483</v>
      </c>
      <c r="E139">
        <f t="shared" si="11"/>
        <v>11.018137410104483</v>
      </c>
      <c r="G139">
        <f t="shared" ca="1" si="12"/>
        <v>137</v>
      </c>
      <c r="H139">
        <f t="shared" ca="1" si="13"/>
        <v>1509.4848251843141</v>
      </c>
      <c r="I139">
        <f t="shared" ca="1" si="14"/>
        <v>59452.471594693932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4794</v>
      </c>
      <c r="B142" s="66">
        <v>4794</v>
      </c>
      <c r="D142">
        <f t="shared" si="10"/>
        <v>10.841738658464878</v>
      </c>
      <c r="E142">
        <f t="shared" si="11"/>
        <v>10.841738658464878</v>
      </c>
      <c r="G142">
        <f t="shared" ca="1" si="12"/>
        <v>140</v>
      </c>
      <c r="H142">
        <f t="shared" ca="1" si="13"/>
        <v>1517.843412185083</v>
      </c>
      <c r="I142">
        <f t="shared" ca="1" si="14"/>
        <v>63376.605981483794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3580</v>
      </c>
      <c r="B144" s="66">
        <v>3580</v>
      </c>
      <c r="D144">
        <f t="shared" si="10"/>
        <v>8.0962503957664307</v>
      </c>
      <c r="E144">
        <f t="shared" si="11"/>
        <v>8.0962503957664307</v>
      </c>
      <c r="G144">
        <f t="shared" ca="1" si="12"/>
        <v>142</v>
      </c>
      <c r="H144">
        <f t="shared" ca="1" si="13"/>
        <v>1149.6675561988332</v>
      </c>
      <c r="I144">
        <f t="shared" ca="1" si="14"/>
        <v>49835.977069739638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4061</v>
      </c>
      <c r="B147" s="66">
        <v>4061</v>
      </c>
      <c r="D147">
        <f t="shared" si="10"/>
        <v>9.1840426975439868</v>
      </c>
      <c r="E147">
        <f t="shared" si="11"/>
        <v>9.1840426975439868</v>
      </c>
      <c r="G147">
        <f t="shared" ca="1" si="12"/>
        <v>145</v>
      </c>
      <c r="H147">
        <f t="shared" ca="1" si="13"/>
        <v>1331.6861911438782</v>
      </c>
      <c r="I147">
        <f t="shared" ca="1" si="14"/>
        <v>60937.765809617908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3470</v>
      </c>
      <c r="B149" s="66">
        <v>3470</v>
      </c>
      <c r="D149">
        <f t="shared" si="10"/>
        <v>7.8474829255054503</v>
      </c>
      <c r="E149">
        <f t="shared" si="11"/>
        <v>7.8474829255054503</v>
      </c>
      <c r="G149">
        <f t="shared" ca="1" si="12"/>
        <v>147</v>
      </c>
      <c r="H149">
        <f t="shared" ca="1" si="13"/>
        <v>1153.5799900493012</v>
      </c>
      <c r="I149">
        <f t="shared" ca="1" si="14"/>
        <v>54657.759952359585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2896</v>
      </c>
      <c r="B152" s="66">
        <v>2896</v>
      </c>
      <c r="D152">
        <f t="shared" si="10"/>
        <v>6.5493690352345197</v>
      </c>
      <c r="E152">
        <f t="shared" si="11"/>
        <v>6.5493690352345197</v>
      </c>
      <c r="G152">
        <f t="shared" ca="1" si="12"/>
        <v>150</v>
      </c>
      <c r="H152">
        <f t="shared" ca="1" si="13"/>
        <v>982.40535528517796</v>
      </c>
      <c r="I152">
        <f t="shared" ca="1" si="14"/>
        <v>48954.862894452082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1826</v>
      </c>
      <c r="B154" s="66">
        <v>1826</v>
      </c>
      <c r="D154">
        <f t="shared" si="10"/>
        <v>4.1295400063322631</v>
      </c>
      <c r="E154">
        <f t="shared" si="11"/>
        <v>4.1295400063322631</v>
      </c>
      <c r="G154">
        <f t="shared" ca="1" si="12"/>
        <v>152</v>
      </c>
      <c r="H154">
        <f t="shared" ca="1" si="13"/>
        <v>627.690080962504</v>
      </c>
      <c r="I154">
        <f t="shared" ca="1" si="14"/>
        <v>32311.880396539305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1227</v>
      </c>
      <c r="B157" s="66">
        <v>1227</v>
      </c>
      <c r="D157">
        <f t="shared" si="10"/>
        <v>2.7748880546383825</v>
      </c>
      <c r="E157">
        <f t="shared" si="11"/>
        <v>2.7748880546383825</v>
      </c>
      <c r="G157">
        <f t="shared" ca="1" si="12"/>
        <v>155</v>
      </c>
      <c r="H157">
        <f t="shared" ca="1" si="13"/>
        <v>430.10764846894926</v>
      </c>
      <c r="I157">
        <f t="shared" ca="1" si="14"/>
        <v>23210.026641774872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1171</v>
      </c>
      <c r="B160" s="66">
        <v>1171</v>
      </c>
      <c r="D160">
        <f t="shared" si="10"/>
        <v>2.6482427970509748</v>
      </c>
      <c r="E160">
        <f t="shared" si="11"/>
        <v>2.6482427970509748</v>
      </c>
      <c r="G160">
        <f t="shared" ca="1" si="12"/>
        <v>158</v>
      </c>
      <c r="H160">
        <f t="shared" ca="1" si="13"/>
        <v>418.42236193405404</v>
      </c>
      <c r="I160">
        <f t="shared" ca="1" si="14"/>
        <v>23627.756313862574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707</v>
      </c>
      <c r="B162" s="66">
        <v>707</v>
      </c>
      <c r="D162">
        <f t="shared" si="10"/>
        <v>1.5988963770410241</v>
      </c>
      <c r="E162">
        <f t="shared" si="11"/>
        <v>1.5988963770410241</v>
      </c>
      <c r="G162">
        <f t="shared" ca="1" si="12"/>
        <v>160</v>
      </c>
      <c r="H162">
        <f t="shared" ca="1" si="13"/>
        <v>255.82342032656385</v>
      </c>
      <c r="I162">
        <f t="shared" ca="1" si="14"/>
        <v>14875.935320077595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273</v>
      </c>
      <c r="B165" s="66">
        <v>273</v>
      </c>
      <c r="D165">
        <f t="shared" si="10"/>
        <v>0.61739563073861325</v>
      </c>
      <c r="E165">
        <f t="shared" si="11"/>
        <v>0.61739563073861325</v>
      </c>
      <c r="G165">
        <f t="shared" ca="1" si="12"/>
        <v>163</v>
      </c>
      <c r="H165">
        <f t="shared" ca="1" si="13"/>
        <v>100.63548781039395</v>
      </c>
      <c r="I165">
        <f t="shared" ca="1" si="14"/>
        <v>6107.0409318261136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169</v>
      </c>
      <c r="B167" s="66">
        <v>169</v>
      </c>
      <c r="D167">
        <f t="shared" si="10"/>
        <v>0.38219729521914153</v>
      </c>
      <c r="E167">
        <f t="shared" si="11"/>
        <v>0.38219729521914153</v>
      </c>
      <c r="G167">
        <f t="shared" ca="1" si="12"/>
        <v>165</v>
      </c>
      <c r="H167">
        <f t="shared" ca="1" si="13"/>
        <v>63.062553711158351</v>
      </c>
      <c r="I167">
        <f t="shared" ca="1" si="14"/>
        <v>3934.1261223910974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226</v>
      </c>
      <c r="B170" s="66">
        <v>226</v>
      </c>
      <c r="D170">
        <f t="shared" si="10"/>
        <v>0.51110407526346735</v>
      </c>
      <c r="E170">
        <f t="shared" si="11"/>
        <v>0.51110407526346735</v>
      </c>
      <c r="G170">
        <f t="shared" ca="1" si="12"/>
        <v>168</v>
      </c>
      <c r="H170">
        <f t="shared" ca="1" si="13"/>
        <v>85.865484644262509</v>
      </c>
      <c r="I170">
        <f t="shared" ca="1" si="14"/>
        <v>5576.749980574622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94</v>
      </c>
      <c r="B173" s="66">
        <v>94</v>
      </c>
      <c r="D173">
        <f t="shared" si="10"/>
        <v>0.21258311095029173</v>
      </c>
      <c r="E173">
        <f t="shared" si="11"/>
        <v>0.21258311095029173</v>
      </c>
      <c r="G173">
        <f t="shared" ca="1" si="12"/>
        <v>171</v>
      </c>
      <c r="H173">
        <f t="shared" ca="1" si="13"/>
        <v>36.351711972499885</v>
      </c>
      <c r="I173">
        <f t="shared" ca="1" si="14"/>
        <v>2454.6806887692796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352</v>
      </c>
      <c r="B1" s="68" t="s">
        <v>353</v>
      </c>
      <c r="C1" s="32" t="s">
        <v>354</v>
      </c>
      <c r="D1" s="32" t="s">
        <v>355</v>
      </c>
      <c r="E1" s="32" t="s">
        <v>356</v>
      </c>
    </row>
    <row r="2" spans="1:5">
      <c r="A2" s="68">
        <v>0.14219699999999999</v>
      </c>
      <c r="B2" s="68">
        <v>0.56649899999999997</v>
      </c>
      <c r="C2" s="68">
        <v>0</v>
      </c>
      <c r="D2" s="68">
        <v>1</v>
      </c>
      <c r="E2" s="68" t="s">
        <v>357</v>
      </c>
    </row>
    <row r="3" spans="1:5">
      <c r="A3" s="68">
        <v>0.147372</v>
      </c>
      <c r="B3" s="68">
        <v>0.55310499999999996</v>
      </c>
      <c r="C3" s="68">
        <v>0.376303</v>
      </c>
      <c r="D3" s="89">
        <v>1</v>
      </c>
      <c r="E3" s="68" t="s">
        <v>358</v>
      </c>
    </row>
    <row r="4" spans="1:5">
      <c r="A4" s="68">
        <v>0.15241199999999999</v>
      </c>
      <c r="B4" s="68">
        <v>0.54048099999999999</v>
      </c>
      <c r="C4" s="68">
        <v>0.77855099999999999</v>
      </c>
      <c r="D4" s="89">
        <v>1</v>
      </c>
      <c r="E4" s="68" t="s">
        <v>359</v>
      </c>
    </row>
    <row r="5" spans="1:5">
      <c r="A5" s="89">
        <v>0.157497</v>
      </c>
      <c r="B5" s="89">
        <v>0.52777700000000005</v>
      </c>
      <c r="C5" s="89">
        <v>1.18449</v>
      </c>
      <c r="D5" s="89">
        <v>1</v>
      </c>
      <c r="E5" s="68" t="s">
        <v>360</v>
      </c>
    </row>
    <row r="6" spans="1:5">
      <c r="A6" s="68">
        <v>0.162604</v>
      </c>
      <c r="B6" s="68">
        <v>0.51485199999999998</v>
      </c>
      <c r="C6" s="68">
        <v>1.5905499999999999</v>
      </c>
      <c r="D6" s="68">
        <v>1</v>
      </c>
      <c r="E6" s="68" t="s">
        <v>361</v>
      </c>
    </row>
    <row r="7" spans="1:5">
      <c r="A7" s="68">
        <v>0.16761799999999999</v>
      </c>
      <c r="B7" s="68">
        <v>0.50236899999999995</v>
      </c>
      <c r="C7" s="68">
        <v>1.9973099999999999</v>
      </c>
      <c r="D7" s="68">
        <v>1</v>
      </c>
      <c r="E7" s="68" t="s">
        <v>362</v>
      </c>
    </row>
    <row r="8" spans="1:5">
      <c r="A8" s="68">
        <v>0.17286099999999999</v>
      </c>
      <c r="B8" s="68">
        <v>0.48926799999999998</v>
      </c>
      <c r="C8" s="68">
        <v>2.4063699999999999</v>
      </c>
      <c r="D8" s="68">
        <v>1</v>
      </c>
      <c r="E8" s="68" t="s">
        <v>363</v>
      </c>
    </row>
    <row r="9" spans="1:5">
      <c r="A9" s="68">
        <v>0.178092</v>
      </c>
      <c r="B9" s="68">
        <v>0.47639399999999998</v>
      </c>
      <c r="C9" s="68">
        <v>2.8087399999999998</v>
      </c>
      <c r="D9" s="68">
        <v>1</v>
      </c>
      <c r="E9" s="68" t="s">
        <v>364</v>
      </c>
    </row>
    <row r="10" spans="1:5">
      <c r="A10" s="68">
        <v>0.183277</v>
      </c>
      <c r="B10" s="68">
        <v>0.46402300000000002</v>
      </c>
      <c r="C10" s="68">
        <v>3.2156400000000001</v>
      </c>
      <c r="D10" s="68">
        <v>1</v>
      </c>
      <c r="E10" s="68" t="s">
        <v>365</v>
      </c>
    </row>
    <row r="11" spans="1:5">
      <c r="A11" s="68">
        <v>0.188194</v>
      </c>
      <c r="B11" s="68">
        <v>0.45240900000000001</v>
      </c>
      <c r="C11" s="68">
        <v>3.6237900000000001</v>
      </c>
      <c r="D11" s="68">
        <v>1</v>
      </c>
      <c r="E11" s="68" t="s">
        <v>366</v>
      </c>
    </row>
    <row r="12" spans="1:5">
      <c r="A12" s="68">
        <v>0.19303400000000001</v>
      </c>
      <c r="B12" s="68">
        <v>0.44109700000000002</v>
      </c>
      <c r="C12" s="68">
        <v>4.0314800000000002</v>
      </c>
      <c r="D12" s="68">
        <v>1</v>
      </c>
      <c r="E12" s="68" t="s">
        <v>367</v>
      </c>
    </row>
    <row r="13" spans="1:5">
      <c r="A13" s="68">
        <v>0.197934</v>
      </c>
      <c r="B13" s="68">
        <v>0.42828300000000002</v>
      </c>
      <c r="C13" s="68">
        <v>4.43736</v>
      </c>
      <c r="D13" s="68">
        <v>1</v>
      </c>
      <c r="E13" s="68" t="s">
        <v>368</v>
      </c>
    </row>
    <row r="14" spans="1:5">
      <c r="A14" s="68">
        <v>0.203122</v>
      </c>
      <c r="B14" s="68">
        <v>0.41441</v>
      </c>
      <c r="C14" s="68">
        <v>4.8420199999999998</v>
      </c>
      <c r="D14" s="68">
        <v>1</v>
      </c>
      <c r="E14" s="68" t="s">
        <v>369</v>
      </c>
    </row>
    <row r="15" spans="1:5">
      <c r="A15" s="68">
        <v>0.20830399999999999</v>
      </c>
      <c r="B15" s="68">
        <v>0.40063700000000002</v>
      </c>
      <c r="C15" s="68">
        <v>5.2469900000000003</v>
      </c>
      <c r="D15" s="68">
        <v>1</v>
      </c>
      <c r="E15" s="68" t="s">
        <v>370</v>
      </c>
    </row>
    <row r="16" spans="1:5">
      <c r="A16" s="68">
        <v>0.213227</v>
      </c>
      <c r="B16" s="68">
        <v>0.38805899999999999</v>
      </c>
      <c r="C16" s="68">
        <v>5.6550900000000004</v>
      </c>
      <c r="D16" s="68">
        <v>1</v>
      </c>
      <c r="E16" s="68" t="s">
        <v>371</v>
      </c>
    </row>
    <row r="17" spans="1:5">
      <c r="A17" s="68">
        <v>0.21801000000000001</v>
      </c>
      <c r="B17" s="68">
        <v>0.37554799999999999</v>
      </c>
      <c r="C17" s="68">
        <v>6.06229</v>
      </c>
      <c r="D17" s="68">
        <v>1</v>
      </c>
      <c r="E17" s="68" t="s">
        <v>372</v>
      </c>
    </row>
    <row r="18" spans="1:5">
      <c r="A18" s="68">
        <v>0.22284699999999999</v>
      </c>
      <c r="B18" s="68">
        <v>0.36348200000000003</v>
      </c>
      <c r="C18" s="68">
        <v>6.4673999999999996</v>
      </c>
      <c r="D18" s="68">
        <v>1</v>
      </c>
      <c r="E18" s="68" t="s">
        <v>373</v>
      </c>
    </row>
    <row r="19" spans="1:5">
      <c r="A19" s="68">
        <v>0.22761500000000001</v>
      </c>
      <c r="B19" s="68">
        <v>0.35194300000000001</v>
      </c>
      <c r="C19" s="68">
        <v>6.8716299999999997</v>
      </c>
      <c r="D19" s="68">
        <v>1</v>
      </c>
      <c r="E19" s="68" t="s">
        <v>374</v>
      </c>
    </row>
    <row r="20" spans="1:5">
      <c r="A20" s="68">
        <v>0.23255100000000001</v>
      </c>
      <c r="B20" s="68">
        <v>0.33989000000000003</v>
      </c>
      <c r="C20" s="68">
        <v>7.2775499999999997</v>
      </c>
      <c r="D20" s="68">
        <v>1</v>
      </c>
      <c r="E20" s="68" t="s">
        <v>375</v>
      </c>
    </row>
    <row r="21" spans="1:5">
      <c r="A21" s="68">
        <v>0.23758499999999999</v>
      </c>
      <c r="B21" s="68">
        <v>0.32764799999999999</v>
      </c>
      <c r="C21" s="68">
        <v>7.68377</v>
      </c>
      <c r="D21" s="68">
        <v>1</v>
      </c>
      <c r="E21" s="68" t="s">
        <v>376</v>
      </c>
    </row>
    <row r="22" spans="1:5">
      <c r="A22" s="68">
        <v>0.24241299999999999</v>
      </c>
      <c r="B22" s="68">
        <v>0.31685999999999998</v>
      </c>
      <c r="C22" s="68">
        <v>8.0926200000000001</v>
      </c>
      <c r="D22" s="68">
        <v>1</v>
      </c>
      <c r="E22" s="68" t="s">
        <v>377</v>
      </c>
    </row>
    <row r="23" spans="1:5">
      <c r="A23" s="68">
        <v>0.24685299999999999</v>
      </c>
      <c r="B23" s="68">
        <v>0.30719600000000002</v>
      </c>
      <c r="C23" s="68">
        <v>8.4993999999999996</v>
      </c>
      <c r="D23" s="68">
        <v>1</v>
      </c>
      <c r="E23" s="68" t="s">
        <v>378</v>
      </c>
    </row>
    <row r="24" spans="1:5">
      <c r="A24" s="68">
        <v>0.25135099999999999</v>
      </c>
      <c r="B24" s="68">
        <v>0.29700100000000001</v>
      </c>
      <c r="C24" s="68">
        <v>8.9051799999999997</v>
      </c>
      <c r="D24" s="68">
        <v>1</v>
      </c>
      <c r="E24" s="68" t="s">
        <v>379</v>
      </c>
    </row>
    <row r="25" spans="1:5">
      <c r="A25" s="68">
        <v>0.255882</v>
      </c>
      <c r="B25" s="68">
        <v>0.28631899999999999</v>
      </c>
      <c r="C25" s="68">
        <v>9.3107699999999998</v>
      </c>
      <c r="D25" s="68">
        <v>1</v>
      </c>
      <c r="E25" s="68" t="s">
        <v>380</v>
      </c>
    </row>
    <row r="26" spans="1:5">
      <c r="A26" s="68">
        <v>0.26021899999999998</v>
      </c>
      <c r="B26" s="68">
        <v>0.27645700000000001</v>
      </c>
      <c r="C26" s="68">
        <v>9.7141599999999997</v>
      </c>
      <c r="D26" s="68">
        <v>1</v>
      </c>
      <c r="E26" s="68" t="s">
        <v>381</v>
      </c>
    </row>
    <row r="27" spans="1:5">
      <c r="A27" s="68">
        <v>0.26419100000000001</v>
      </c>
      <c r="B27" s="68">
        <v>0.26805499999999999</v>
      </c>
      <c r="C27" s="68">
        <v>10.1213</v>
      </c>
      <c r="D27" s="68">
        <v>1</v>
      </c>
      <c r="E27" s="68" t="s">
        <v>382</v>
      </c>
    </row>
    <row r="28" spans="1:5">
      <c r="A28" s="68">
        <v>0.26801599999999998</v>
      </c>
      <c r="B28" s="68">
        <v>0.26063900000000001</v>
      </c>
      <c r="C28" s="68">
        <v>10.527699999999999</v>
      </c>
      <c r="D28" s="68">
        <v>1</v>
      </c>
      <c r="E28" s="68" t="s">
        <v>383</v>
      </c>
    </row>
    <row r="29" spans="1:5">
      <c r="A29" s="68">
        <v>0.27161099999999999</v>
      </c>
      <c r="B29" s="68">
        <v>0.25397700000000001</v>
      </c>
      <c r="C29" s="68">
        <v>10.9381</v>
      </c>
      <c r="D29" s="68">
        <v>1</v>
      </c>
      <c r="E29" s="68" t="s">
        <v>384</v>
      </c>
    </row>
    <row r="30" spans="1:5">
      <c r="A30" s="68">
        <v>0.27479999999999999</v>
      </c>
      <c r="B30" s="68">
        <v>0.24812400000000001</v>
      </c>
      <c r="C30" s="68">
        <v>11.3431</v>
      </c>
      <c r="D30" s="68">
        <v>1</v>
      </c>
      <c r="E30" s="68" t="s">
        <v>385</v>
      </c>
    </row>
    <row r="31" spans="1:5">
      <c r="A31" s="68">
        <v>0.27772799999999997</v>
      </c>
      <c r="B31" s="68">
        <v>0.24310100000000001</v>
      </c>
      <c r="C31" s="68">
        <v>11.7478</v>
      </c>
      <c r="D31" s="68">
        <v>1</v>
      </c>
      <c r="E31" s="68" t="s">
        <v>386</v>
      </c>
    </row>
    <row r="32" spans="1:5">
      <c r="A32" s="68">
        <v>0.28049099999999999</v>
      </c>
      <c r="B32" s="68">
        <v>0.23844699999999999</v>
      </c>
      <c r="C32" s="68">
        <v>12.1556</v>
      </c>
      <c r="D32" s="68">
        <v>1</v>
      </c>
      <c r="E32" s="68" t="s">
        <v>387</v>
      </c>
    </row>
    <row r="33" spans="1:5">
      <c r="A33" s="68">
        <v>0.28298899999999999</v>
      </c>
      <c r="B33" s="68">
        <v>0.23404900000000001</v>
      </c>
      <c r="C33" s="68">
        <v>12.5596</v>
      </c>
      <c r="D33" s="68">
        <v>1</v>
      </c>
      <c r="E33" s="68" t="s">
        <v>388</v>
      </c>
    </row>
    <row r="34" spans="1:5">
      <c r="A34" s="68">
        <v>0.285279</v>
      </c>
      <c r="B34" s="68">
        <v>0.230214</v>
      </c>
      <c r="C34" s="68">
        <v>12.9674</v>
      </c>
      <c r="D34" s="68">
        <v>1</v>
      </c>
      <c r="E34" s="68" t="s">
        <v>389</v>
      </c>
    </row>
    <row r="35" spans="1:5">
      <c r="A35" s="68">
        <v>0.287466</v>
      </c>
      <c r="B35" s="68">
        <v>0.22645100000000001</v>
      </c>
      <c r="C35" s="68">
        <v>13.3749</v>
      </c>
      <c r="D35" s="68">
        <v>1</v>
      </c>
      <c r="E35" s="68" t="s">
        <v>390</v>
      </c>
    </row>
    <row r="36" spans="1:5">
      <c r="A36" s="68">
        <v>0.28956700000000002</v>
      </c>
      <c r="B36" s="68">
        <v>0.222832</v>
      </c>
      <c r="C36" s="68">
        <v>13.7811</v>
      </c>
      <c r="D36" s="68">
        <v>1</v>
      </c>
      <c r="E36" s="68" t="s">
        <v>391</v>
      </c>
    </row>
    <row r="37" spans="1:5">
      <c r="A37" s="68">
        <v>0.29149700000000001</v>
      </c>
      <c r="B37" s="68">
        <v>0.219637</v>
      </c>
      <c r="C37" s="68">
        <v>14.1845</v>
      </c>
      <c r="D37" s="68">
        <v>1</v>
      </c>
      <c r="E37" s="68" t="s">
        <v>392</v>
      </c>
    </row>
    <row r="38" spans="1:5">
      <c r="A38" s="68">
        <v>0.29303400000000002</v>
      </c>
      <c r="B38" s="68">
        <v>0.217025</v>
      </c>
      <c r="C38" s="68">
        <v>14.592499999999999</v>
      </c>
      <c r="D38" s="68">
        <v>1</v>
      </c>
      <c r="E38" s="68" t="s">
        <v>393</v>
      </c>
    </row>
    <row r="39" spans="1:5">
      <c r="A39" s="68">
        <v>0.29419600000000001</v>
      </c>
      <c r="B39" s="68">
        <v>0.21479599999999999</v>
      </c>
      <c r="C39" s="68">
        <v>14.9971</v>
      </c>
      <c r="D39" s="68">
        <v>1</v>
      </c>
      <c r="E39" s="68" t="s">
        <v>394</v>
      </c>
    </row>
    <row r="40" spans="1:5">
      <c r="A40" s="68">
        <v>0.29519299999999998</v>
      </c>
      <c r="B40" s="68">
        <v>0.21274899999999999</v>
      </c>
      <c r="C40" s="68">
        <v>15.408300000000001</v>
      </c>
      <c r="D40" s="68">
        <v>1</v>
      </c>
      <c r="E40" s="68" t="s">
        <v>395</v>
      </c>
    </row>
    <row r="41" spans="1:5">
      <c r="A41" s="68">
        <v>0.29613299999999998</v>
      </c>
      <c r="B41" s="68">
        <v>0.21083299999999999</v>
      </c>
      <c r="C41" s="68">
        <v>15.811500000000001</v>
      </c>
      <c r="D41" s="68">
        <v>1</v>
      </c>
      <c r="E41" s="68" t="s">
        <v>396</v>
      </c>
    </row>
    <row r="42" spans="1:5">
      <c r="A42" s="68">
        <v>0.29689900000000002</v>
      </c>
      <c r="B42" s="68">
        <v>0.209206</v>
      </c>
      <c r="C42" s="68">
        <v>16.219100000000001</v>
      </c>
      <c r="D42" s="68">
        <v>1</v>
      </c>
      <c r="E42" s="68" t="s">
        <v>397</v>
      </c>
    </row>
    <row r="43" spans="1:5">
      <c r="A43" s="68">
        <v>0.29738100000000001</v>
      </c>
      <c r="B43" s="68">
        <v>0.207956</v>
      </c>
      <c r="C43" s="68">
        <v>16.626100000000001</v>
      </c>
      <c r="D43" s="68">
        <v>1</v>
      </c>
      <c r="E43" s="68" t="s">
        <v>398</v>
      </c>
    </row>
    <row r="44" spans="1:5">
      <c r="A44" s="68">
        <v>0.29767199999999999</v>
      </c>
      <c r="B44" s="68">
        <v>0.207228</v>
      </c>
      <c r="C44" s="68">
        <v>17.028600000000001</v>
      </c>
      <c r="D44" s="68">
        <v>1</v>
      </c>
      <c r="E44" s="68" t="s">
        <v>399</v>
      </c>
    </row>
    <row r="45" spans="1:5">
      <c r="A45" s="68">
        <v>0.29791299999999998</v>
      </c>
      <c r="B45" s="68">
        <v>0.20669699999999999</v>
      </c>
      <c r="C45" s="68">
        <v>17.436800000000002</v>
      </c>
      <c r="D45" s="68">
        <v>1</v>
      </c>
      <c r="E45" s="68" t="s">
        <v>400</v>
      </c>
    </row>
    <row r="46" spans="1:5">
      <c r="A46" s="68">
        <v>0.297875</v>
      </c>
      <c r="B46" s="68">
        <v>0.20674899999999999</v>
      </c>
      <c r="C46" s="68">
        <v>17.845500000000001</v>
      </c>
      <c r="D46" s="68">
        <v>1</v>
      </c>
      <c r="E46" s="68" t="s">
        <v>401</v>
      </c>
    </row>
    <row r="47" spans="1:5">
      <c r="A47" s="68">
        <v>0.29757899999999998</v>
      </c>
      <c r="B47" s="68">
        <v>0.20677799999999999</v>
      </c>
      <c r="C47" s="68">
        <v>18.247299999999999</v>
      </c>
      <c r="D47" s="68">
        <v>1</v>
      </c>
      <c r="E47" s="68" t="s">
        <v>402</v>
      </c>
    </row>
    <row r="48" spans="1:5">
      <c r="A48" s="68">
        <v>0.297296</v>
      </c>
      <c r="B48" s="68">
        <v>0.20679400000000001</v>
      </c>
      <c r="C48" s="68">
        <v>18.654499999999999</v>
      </c>
      <c r="D48" s="68">
        <v>1</v>
      </c>
      <c r="E48" s="68" t="s">
        <v>403</v>
      </c>
    </row>
    <row r="49" spans="1:5">
      <c r="A49" s="68">
        <v>0.29683199999999998</v>
      </c>
      <c r="B49" s="68">
        <v>0.207313</v>
      </c>
      <c r="C49" s="68">
        <v>19.0642</v>
      </c>
      <c r="D49" s="68">
        <v>1</v>
      </c>
      <c r="E49" s="68" t="s">
        <v>404</v>
      </c>
    </row>
    <row r="50" spans="1:5">
      <c r="A50" s="68">
        <v>0.29595700000000003</v>
      </c>
      <c r="B50" s="68">
        <v>0.20888999999999999</v>
      </c>
      <c r="C50" s="68">
        <v>19.465900000000001</v>
      </c>
      <c r="D50" s="68">
        <v>1</v>
      </c>
      <c r="E50" s="68" t="s">
        <v>405</v>
      </c>
    </row>
    <row r="51" spans="1:5">
      <c r="A51" s="68">
        <v>0.29494900000000002</v>
      </c>
      <c r="B51" s="68">
        <v>0.21080399999999999</v>
      </c>
      <c r="C51" s="68">
        <v>19.8748</v>
      </c>
      <c r="D51" s="68">
        <v>1</v>
      </c>
      <c r="E51" s="68" t="s">
        <v>406</v>
      </c>
    </row>
    <row r="52" spans="1:5">
      <c r="A52" s="68">
        <v>0.29423899999999997</v>
      </c>
      <c r="B52" s="68">
        <v>0.21218100000000001</v>
      </c>
      <c r="C52" s="68">
        <v>20.279199999999999</v>
      </c>
      <c r="D52" s="68">
        <v>1</v>
      </c>
      <c r="E52" s="68" t="s">
        <v>407</v>
      </c>
    </row>
    <row r="53" spans="1:5">
      <c r="A53" s="68">
        <v>0.29328900000000002</v>
      </c>
      <c r="B53" s="68">
        <v>0.21316199999999999</v>
      </c>
      <c r="C53" s="68">
        <v>20.683499999999999</v>
      </c>
      <c r="D53" s="68">
        <v>1</v>
      </c>
      <c r="E53" s="68" t="s">
        <v>408</v>
      </c>
    </row>
    <row r="54" spans="1:5">
      <c r="A54" s="68">
        <v>0.29248000000000002</v>
      </c>
      <c r="B54" s="68">
        <v>0.21379699999999999</v>
      </c>
      <c r="C54" s="68">
        <v>21.095700000000001</v>
      </c>
      <c r="D54" s="68">
        <v>1</v>
      </c>
      <c r="E54" s="68" t="s">
        <v>409</v>
      </c>
    </row>
    <row r="55" spans="1:5">
      <c r="A55" s="68">
        <v>0.29181099999999999</v>
      </c>
      <c r="B55" s="68">
        <v>0.21412300000000001</v>
      </c>
      <c r="C55" s="68">
        <v>21.498999999999999</v>
      </c>
      <c r="D55" s="68">
        <v>1</v>
      </c>
      <c r="E55" s="68" t="s">
        <v>410</v>
      </c>
    </row>
    <row r="56" spans="1:5">
      <c r="A56" s="68">
        <v>0.291134</v>
      </c>
      <c r="B56" s="68">
        <v>0.21434800000000001</v>
      </c>
      <c r="C56" s="68">
        <v>21.906700000000001</v>
      </c>
      <c r="D56" s="68">
        <v>1</v>
      </c>
      <c r="E56" s="68" t="s">
        <v>411</v>
      </c>
    </row>
    <row r="57" spans="1:5">
      <c r="A57" s="68">
        <v>0.290271</v>
      </c>
      <c r="B57" s="68">
        <v>0.214866</v>
      </c>
      <c r="C57" s="68">
        <v>22.3093</v>
      </c>
      <c r="D57" s="68">
        <v>1</v>
      </c>
      <c r="E57" s="68" t="s">
        <v>412</v>
      </c>
    </row>
    <row r="58" spans="1:5">
      <c r="A58" s="68">
        <v>0.28915299999999999</v>
      </c>
      <c r="B58" s="68">
        <v>0.21542800000000001</v>
      </c>
      <c r="C58" s="68">
        <v>22.716999999999999</v>
      </c>
      <c r="D58" s="68">
        <v>1</v>
      </c>
      <c r="E58" s="68" t="s">
        <v>413</v>
      </c>
    </row>
    <row r="59" spans="1:5">
      <c r="A59" s="68">
        <v>0.287993</v>
      </c>
      <c r="B59" s="68">
        <v>0.215559</v>
      </c>
      <c r="C59" s="68">
        <v>23.121700000000001</v>
      </c>
      <c r="D59" s="68">
        <v>1</v>
      </c>
      <c r="E59" s="68" t="s">
        <v>414</v>
      </c>
    </row>
    <row r="60" spans="1:5">
      <c r="A60" s="68">
        <v>0.28690199999999999</v>
      </c>
      <c r="B60" s="68">
        <v>0.21509700000000001</v>
      </c>
      <c r="C60" s="68">
        <v>23.5306</v>
      </c>
      <c r="D60" s="68">
        <v>1</v>
      </c>
      <c r="E60" s="68" t="s">
        <v>415</v>
      </c>
    </row>
    <row r="61" spans="1:5">
      <c r="A61" s="68">
        <v>0.28602</v>
      </c>
      <c r="B61" s="68">
        <v>0.214338</v>
      </c>
      <c r="C61" s="68">
        <v>23.938199999999998</v>
      </c>
      <c r="D61" s="68">
        <v>1</v>
      </c>
      <c r="E61" s="68" t="s">
        <v>416</v>
      </c>
    </row>
    <row r="62" spans="1:5">
      <c r="A62" s="68">
        <v>0.285107</v>
      </c>
      <c r="B62" s="68">
        <v>0.21346399999999999</v>
      </c>
      <c r="C62" s="68">
        <v>24.343599999999999</v>
      </c>
      <c r="D62" s="68">
        <v>1</v>
      </c>
      <c r="E62" s="68" t="s">
        <v>417</v>
      </c>
    </row>
    <row r="63" spans="1:5">
      <c r="A63" s="68">
        <v>0.28399200000000002</v>
      </c>
      <c r="B63" s="68">
        <v>0.21321799999999999</v>
      </c>
      <c r="C63" s="68">
        <v>24.746500000000001</v>
      </c>
      <c r="D63" s="68">
        <v>1</v>
      </c>
      <c r="E63" s="68" t="s">
        <v>418</v>
      </c>
    </row>
    <row r="64" spans="1:5">
      <c r="A64" s="68">
        <v>0.28259299999999998</v>
      </c>
      <c r="B64" s="68">
        <v>0.213668</v>
      </c>
      <c r="C64" s="68">
        <v>25.151800000000001</v>
      </c>
      <c r="D64" s="68">
        <v>1</v>
      </c>
      <c r="E64" s="68" t="s">
        <v>419</v>
      </c>
    </row>
    <row r="65" spans="1:5">
      <c r="A65" s="68">
        <v>0.281024</v>
      </c>
      <c r="B65" s="68">
        <v>0.214614</v>
      </c>
      <c r="C65" s="68">
        <v>25.561800000000002</v>
      </c>
      <c r="D65" s="68">
        <v>1</v>
      </c>
      <c r="E65" s="68" t="s">
        <v>420</v>
      </c>
    </row>
    <row r="66" spans="1:5">
      <c r="A66" s="68">
        <v>0.279393</v>
      </c>
      <c r="B66" s="68">
        <v>0.21602299999999999</v>
      </c>
      <c r="C66" s="68">
        <v>25.964300000000001</v>
      </c>
      <c r="D66" s="68">
        <v>1</v>
      </c>
      <c r="E66" s="68" t="s">
        <v>421</v>
      </c>
    </row>
    <row r="67" spans="1:5">
      <c r="A67" s="68">
        <v>0.27768199999999998</v>
      </c>
      <c r="B67" s="68">
        <v>0.218583</v>
      </c>
      <c r="C67" s="68">
        <v>26.374500000000001</v>
      </c>
      <c r="D67" s="68">
        <v>1</v>
      </c>
      <c r="E67" s="68" t="s">
        <v>422</v>
      </c>
    </row>
    <row r="68" spans="1:5">
      <c r="A68" s="68">
        <v>0.27612999999999999</v>
      </c>
      <c r="B68" s="68">
        <v>0.22112399999999999</v>
      </c>
      <c r="C68" s="68">
        <v>26.7788</v>
      </c>
      <c r="D68" s="68">
        <v>1</v>
      </c>
      <c r="E68" s="68" t="s">
        <v>423</v>
      </c>
    </row>
    <row r="69" spans="1:5">
      <c r="A69" s="68">
        <v>0.27478200000000003</v>
      </c>
      <c r="B69" s="68">
        <v>0.22341</v>
      </c>
      <c r="C69" s="68">
        <v>27.1861</v>
      </c>
      <c r="D69" s="68">
        <v>1</v>
      </c>
      <c r="E69" s="68" t="s">
        <v>424</v>
      </c>
    </row>
    <row r="70" spans="1:5">
      <c r="A70" s="68">
        <v>0.27310600000000002</v>
      </c>
      <c r="B70" s="68">
        <v>0.226905</v>
      </c>
      <c r="C70" s="68">
        <v>27.591100000000001</v>
      </c>
      <c r="D70" s="68">
        <v>1</v>
      </c>
      <c r="E70" s="68" t="s">
        <v>425</v>
      </c>
    </row>
    <row r="71" spans="1:5">
      <c r="A71" s="68">
        <v>0.27143099999999998</v>
      </c>
      <c r="B71" s="68">
        <v>0.230906</v>
      </c>
      <c r="C71" s="68">
        <v>27.998699999999999</v>
      </c>
      <c r="D71" s="68">
        <v>1</v>
      </c>
      <c r="E71" s="68" t="s">
        <v>426</v>
      </c>
    </row>
    <row r="72" spans="1:5">
      <c r="A72" s="68">
        <v>0.27006599999999997</v>
      </c>
      <c r="B72" s="68">
        <v>0.23460600000000001</v>
      </c>
      <c r="C72" s="68">
        <v>28.4084</v>
      </c>
      <c r="D72" s="68">
        <v>1</v>
      </c>
      <c r="E72" s="68" t="s">
        <v>427</v>
      </c>
    </row>
    <row r="73" spans="1:5">
      <c r="A73" s="68">
        <v>0.26874999999999999</v>
      </c>
      <c r="B73" s="68">
        <v>0.23825499999999999</v>
      </c>
      <c r="C73" s="68">
        <v>28.809100000000001</v>
      </c>
      <c r="D73" s="68">
        <v>1</v>
      </c>
      <c r="E73" s="68" t="s">
        <v>428</v>
      </c>
    </row>
    <row r="74" spans="1:5">
      <c r="A74" s="68">
        <v>0.267287</v>
      </c>
      <c r="B74" s="68">
        <v>0.242451</v>
      </c>
      <c r="C74" s="68">
        <v>29.217099999999999</v>
      </c>
      <c r="D74" s="68">
        <v>1</v>
      </c>
      <c r="E74" s="68" t="s">
        <v>429</v>
      </c>
    </row>
    <row r="75" spans="1:5">
      <c r="A75" s="68">
        <v>0.26592500000000002</v>
      </c>
      <c r="B75" s="68">
        <v>0.24632499999999999</v>
      </c>
      <c r="C75" s="68">
        <v>29.622299999999999</v>
      </c>
      <c r="D75" s="68">
        <v>1</v>
      </c>
      <c r="E75" s="68" t="s">
        <v>430</v>
      </c>
    </row>
    <row r="76" spans="1:5">
      <c r="A76" s="68">
        <v>0.26459100000000002</v>
      </c>
      <c r="B76" s="68">
        <v>0.25034499999999998</v>
      </c>
      <c r="C76" s="68">
        <v>30.028600000000001</v>
      </c>
      <c r="D76" s="68">
        <v>1</v>
      </c>
      <c r="E76" s="68" t="s">
        <v>431</v>
      </c>
    </row>
    <row r="77" spans="1:5">
      <c r="A77" s="68">
        <v>0.26277099999999998</v>
      </c>
      <c r="B77" s="68">
        <v>0.25569199999999997</v>
      </c>
      <c r="C77" s="68">
        <v>30.622900000000001</v>
      </c>
      <c r="D77" s="68">
        <v>2</v>
      </c>
      <c r="E77" s="68" t="s">
        <v>432</v>
      </c>
    </row>
    <row r="78" spans="1:5">
      <c r="A78" s="68">
        <v>0.26086700000000002</v>
      </c>
      <c r="B78" s="68">
        <v>0.26063399999999998</v>
      </c>
      <c r="C78" s="68">
        <v>30.9986</v>
      </c>
      <c r="D78" s="68">
        <v>2</v>
      </c>
      <c r="E78" s="68" t="s">
        <v>433</v>
      </c>
    </row>
    <row r="79" spans="1:5">
      <c r="A79" s="68">
        <v>0.25970500000000002</v>
      </c>
      <c r="B79" s="68">
        <v>0.26729599999999998</v>
      </c>
      <c r="C79" s="68">
        <v>31.3765</v>
      </c>
      <c r="D79" s="68">
        <v>2</v>
      </c>
      <c r="E79" s="68" t="s">
        <v>434</v>
      </c>
    </row>
    <row r="80" spans="1:5">
      <c r="A80" s="68">
        <v>0.258409</v>
      </c>
      <c r="B80" s="68">
        <v>0.27497100000000002</v>
      </c>
      <c r="C80" s="68">
        <v>31.749300000000002</v>
      </c>
      <c r="D80" s="68">
        <v>2</v>
      </c>
      <c r="E80" s="68" t="s">
        <v>435</v>
      </c>
    </row>
    <row r="81" spans="1:5">
      <c r="A81" s="68">
        <v>0.257164</v>
      </c>
      <c r="B81" s="68">
        <v>0.282528</v>
      </c>
      <c r="C81" s="68">
        <v>32.123600000000003</v>
      </c>
      <c r="D81" s="68">
        <v>2</v>
      </c>
      <c r="E81" s="68" t="s">
        <v>436</v>
      </c>
    </row>
    <row r="82" spans="1:5">
      <c r="A82" s="68">
        <v>0.25613000000000002</v>
      </c>
      <c r="B82" s="68">
        <v>0.28986099999999998</v>
      </c>
      <c r="C82" s="68">
        <v>32.529499999999999</v>
      </c>
      <c r="D82" s="68">
        <v>2</v>
      </c>
      <c r="E82" s="68" t="s">
        <v>437</v>
      </c>
    </row>
    <row r="83" spans="1:5">
      <c r="A83" s="68">
        <v>0.25496600000000003</v>
      </c>
      <c r="B83" s="68">
        <v>0.29711900000000002</v>
      </c>
      <c r="C83" s="68">
        <v>32.935400000000001</v>
      </c>
      <c r="D83" s="68">
        <v>2</v>
      </c>
      <c r="E83" s="68" t="s">
        <v>438</v>
      </c>
    </row>
    <row r="84" spans="1:5">
      <c r="A84" s="68">
        <v>0.25364399999999998</v>
      </c>
      <c r="B84" s="68">
        <v>0.304678</v>
      </c>
      <c r="C84" s="68">
        <v>33.342199999999998</v>
      </c>
      <c r="D84" s="68">
        <v>2</v>
      </c>
      <c r="E84" s="68" t="s">
        <v>439</v>
      </c>
    </row>
    <row r="85" spans="1:5">
      <c r="A85" s="68">
        <v>0.25209100000000001</v>
      </c>
      <c r="B85" s="68">
        <v>0.31285800000000002</v>
      </c>
      <c r="C85" s="68">
        <v>33.749000000000002</v>
      </c>
      <c r="D85" s="68">
        <v>2</v>
      </c>
      <c r="E85" s="68" t="s">
        <v>440</v>
      </c>
    </row>
    <row r="86" spans="1:5">
      <c r="A86" s="68">
        <v>0.250197</v>
      </c>
      <c r="B86" s="68">
        <v>0.32144800000000001</v>
      </c>
      <c r="C86" s="68">
        <v>34.154699999999998</v>
      </c>
      <c r="D86" s="68">
        <v>2</v>
      </c>
      <c r="E86" s="68" t="s">
        <v>441</v>
      </c>
    </row>
    <row r="87" spans="1:5">
      <c r="A87" s="68">
        <v>0.24846499999999999</v>
      </c>
      <c r="B87" s="68">
        <v>0.32942199999999999</v>
      </c>
      <c r="C87" s="68">
        <v>34.559399999999997</v>
      </c>
      <c r="D87" s="68">
        <v>2</v>
      </c>
      <c r="E87" s="68" t="s">
        <v>442</v>
      </c>
    </row>
    <row r="88" spans="1:5">
      <c r="A88" s="68">
        <v>0.24707799999999999</v>
      </c>
      <c r="B88" s="68">
        <v>0.335669</v>
      </c>
      <c r="C88" s="68">
        <v>34.966900000000003</v>
      </c>
      <c r="D88" s="68">
        <v>2</v>
      </c>
      <c r="E88" s="68" t="s">
        <v>443</v>
      </c>
    </row>
    <row r="89" spans="1:5">
      <c r="A89" s="68">
        <v>0.24617600000000001</v>
      </c>
      <c r="B89" s="68">
        <v>0.34062300000000001</v>
      </c>
      <c r="C89" s="68">
        <v>35.377099999999999</v>
      </c>
      <c r="D89" s="68">
        <v>2</v>
      </c>
      <c r="E89" s="68" t="s">
        <v>444</v>
      </c>
    </row>
    <row r="90" spans="1:5">
      <c r="A90" s="68">
        <v>0.245199</v>
      </c>
      <c r="B90" s="68">
        <v>0.34594399999999997</v>
      </c>
      <c r="C90" s="68">
        <v>35.7819</v>
      </c>
      <c r="D90" s="68">
        <v>2</v>
      </c>
      <c r="E90" s="68" t="s">
        <v>445</v>
      </c>
    </row>
    <row r="91" spans="1:5">
      <c r="A91" s="68">
        <v>0.24415200000000001</v>
      </c>
      <c r="B91" s="68">
        <v>0.35078100000000001</v>
      </c>
      <c r="C91" s="68">
        <v>36.184199999999997</v>
      </c>
      <c r="D91" s="68">
        <v>2</v>
      </c>
      <c r="E91" s="68" t="s">
        <v>446</v>
      </c>
    </row>
    <row r="92" spans="1:5">
      <c r="A92" s="68">
        <v>0.242977</v>
      </c>
      <c r="B92" s="68">
        <v>0.35504000000000002</v>
      </c>
      <c r="C92" s="68">
        <v>36.588200000000001</v>
      </c>
      <c r="D92" s="68">
        <v>2</v>
      </c>
      <c r="E92" s="68" t="s">
        <v>447</v>
      </c>
    </row>
    <row r="93" spans="1:5">
      <c r="A93" s="68">
        <v>0.24172099999999999</v>
      </c>
      <c r="B93" s="68">
        <v>0.35937200000000002</v>
      </c>
      <c r="C93" s="68">
        <v>36.999699999999997</v>
      </c>
      <c r="D93" s="68">
        <v>2</v>
      </c>
      <c r="E93" s="68" t="s">
        <v>448</v>
      </c>
    </row>
    <row r="94" spans="1:5">
      <c r="A94" s="68">
        <v>0.240395</v>
      </c>
      <c r="B94" s="68">
        <v>0.36291000000000001</v>
      </c>
      <c r="C94" s="68">
        <v>37.406700000000001</v>
      </c>
      <c r="D94" s="68">
        <v>2</v>
      </c>
      <c r="E94" s="68" t="s">
        <v>449</v>
      </c>
    </row>
    <row r="95" spans="1:5">
      <c r="A95" s="68">
        <v>0.23913100000000001</v>
      </c>
      <c r="B95" s="68">
        <v>0.365784</v>
      </c>
      <c r="C95" s="68">
        <v>37.8125</v>
      </c>
      <c r="D95" s="68">
        <v>2</v>
      </c>
      <c r="E95" s="68" t="s">
        <v>450</v>
      </c>
    </row>
    <row r="96" spans="1:5">
      <c r="A96" s="68">
        <v>0.237867</v>
      </c>
      <c r="B96" s="68">
        <v>0.36842000000000003</v>
      </c>
      <c r="C96" s="68">
        <v>38.217700000000001</v>
      </c>
      <c r="D96" s="68">
        <v>2</v>
      </c>
      <c r="E96" s="68" t="s">
        <v>451</v>
      </c>
    </row>
    <row r="97" spans="1:5">
      <c r="A97" s="68">
        <v>0.23655399999999999</v>
      </c>
      <c r="B97" s="68">
        <v>0.37098399999999998</v>
      </c>
      <c r="C97" s="68">
        <v>38.622100000000003</v>
      </c>
      <c r="D97" s="68">
        <v>2</v>
      </c>
      <c r="E97" s="68" t="s">
        <v>452</v>
      </c>
    </row>
    <row r="98" spans="1:5">
      <c r="A98" s="68">
        <v>0.23551800000000001</v>
      </c>
      <c r="B98" s="68">
        <v>0.37242199999999998</v>
      </c>
      <c r="C98" s="68">
        <v>39.0274</v>
      </c>
      <c r="D98" s="68">
        <v>2</v>
      </c>
      <c r="E98" s="68" t="s">
        <v>453</v>
      </c>
    </row>
    <row r="99" spans="1:5">
      <c r="A99" s="68">
        <v>0.23442499999999999</v>
      </c>
      <c r="B99" s="68">
        <v>0.373948</v>
      </c>
      <c r="C99" s="68">
        <v>39.438499999999998</v>
      </c>
      <c r="D99" s="68">
        <v>2</v>
      </c>
      <c r="E99" s="68" t="s">
        <v>454</v>
      </c>
    </row>
    <row r="100" spans="1:5">
      <c r="A100" s="68">
        <v>0.23345199999999999</v>
      </c>
      <c r="B100" s="68">
        <v>0.37493100000000001</v>
      </c>
      <c r="C100" s="68">
        <v>39.843200000000003</v>
      </c>
      <c r="D100" s="68">
        <v>2</v>
      </c>
      <c r="E100" s="68" t="s">
        <v>455</v>
      </c>
    </row>
    <row r="101" spans="1:5">
      <c r="A101" s="68">
        <v>0.232517</v>
      </c>
      <c r="B101" s="68">
        <v>0.37541099999999999</v>
      </c>
      <c r="C101" s="68">
        <v>40.247999999999998</v>
      </c>
      <c r="D101" s="68">
        <v>2</v>
      </c>
      <c r="E101" s="68" t="s">
        <v>456</v>
      </c>
    </row>
    <row r="102" spans="1:5">
      <c r="A102" s="68">
        <v>0.231624</v>
      </c>
      <c r="B102" s="68">
        <v>0.37553999999999998</v>
      </c>
      <c r="C102" s="68">
        <v>40.654899999999998</v>
      </c>
      <c r="D102" s="68">
        <v>2</v>
      </c>
      <c r="E102" s="68" t="s">
        <v>457</v>
      </c>
    </row>
    <row r="103" spans="1:5">
      <c r="A103" s="68">
        <v>0.23103299999999999</v>
      </c>
      <c r="B103" s="68">
        <v>0.37531100000000001</v>
      </c>
      <c r="C103" s="68">
        <v>41.059600000000003</v>
      </c>
      <c r="D103" s="68">
        <v>2</v>
      </c>
      <c r="E103" s="68" t="s">
        <v>458</v>
      </c>
    </row>
    <row r="104" spans="1:5">
      <c r="A104" s="68">
        <v>0.22949</v>
      </c>
      <c r="B104" s="68">
        <v>0.37529099999999999</v>
      </c>
      <c r="C104" s="68">
        <v>41.466299999999997</v>
      </c>
      <c r="D104" s="68">
        <v>2</v>
      </c>
      <c r="E104" s="68" t="s">
        <v>459</v>
      </c>
    </row>
    <row r="105" spans="1:5">
      <c r="A105" s="68">
        <v>0.228272</v>
      </c>
      <c r="B105" s="68">
        <v>0.373699</v>
      </c>
      <c r="C105" s="68">
        <v>41.874499999999998</v>
      </c>
      <c r="D105" s="68">
        <v>2</v>
      </c>
      <c r="E105" s="68" t="s">
        <v>460</v>
      </c>
    </row>
    <row r="106" spans="1:5">
      <c r="A106" s="68">
        <v>0.227413</v>
      </c>
      <c r="B106" s="68">
        <v>0.37071700000000002</v>
      </c>
      <c r="C106" s="68">
        <v>42.278199999999998</v>
      </c>
      <c r="D106" s="68">
        <v>2</v>
      </c>
      <c r="E106" s="68" t="s">
        <v>461</v>
      </c>
    </row>
    <row r="107" spans="1:5">
      <c r="A107" s="68">
        <v>0.22678499999999999</v>
      </c>
      <c r="B107" s="68">
        <v>0.36643700000000001</v>
      </c>
      <c r="C107" s="68">
        <v>42.687199999999997</v>
      </c>
      <c r="D107" s="68">
        <v>2</v>
      </c>
      <c r="E107" s="68" t="s">
        <v>462</v>
      </c>
    </row>
    <row r="108" spans="1:5">
      <c r="A108" s="68">
        <v>0.22667899999999999</v>
      </c>
      <c r="B108" s="68">
        <v>0.360155</v>
      </c>
      <c r="C108" s="68">
        <v>43.0901</v>
      </c>
      <c r="D108" s="68">
        <v>2</v>
      </c>
      <c r="E108" s="68" t="s">
        <v>463</v>
      </c>
    </row>
    <row r="109" spans="1:5">
      <c r="A109" s="68">
        <v>0.22692599999999999</v>
      </c>
      <c r="B109" s="68">
        <v>0.35322799999999999</v>
      </c>
      <c r="C109" s="68">
        <v>43.497700000000002</v>
      </c>
      <c r="D109" s="68">
        <v>2</v>
      </c>
      <c r="E109" s="68" t="s">
        <v>464</v>
      </c>
    </row>
    <row r="110" spans="1:5">
      <c r="A110" s="68">
        <v>0.22745599999999999</v>
      </c>
      <c r="B110" s="68">
        <v>0.345887</v>
      </c>
      <c r="C110" s="68">
        <v>43.906999999999996</v>
      </c>
      <c r="D110" s="68">
        <v>2</v>
      </c>
      <c r="E110" s="68" t="s">
        <v>465</v>
      </c>
    </row>
    <row r="111" spans="1:5">
      <c r="A111" s="68">
        <v>0.22867100000000001</v>
      </c>
      <c r="B111" s="68">
        <v>0.33780199999999999</v>
      </c>
      <c r="C111" s="68">
        <v>44.310299999999998</v>
      </c>
      <c r="D111" s="68">
        <v>2</v>
      </c>
      <c r="E111" s="68" t="s">
        <v>466</v>
      </c>
    </row>
    <row r="112" spans="1:5">
      <c r="A112" s="68">
        <v>0.230014</v>
      </c>
      <c r="B112" s="68">
        <v>0.32947799999999999</v>
      </c>
      <c r="C112" s="68">
        <v>44.716099999999997</v>
      </c>
      <c r="D112" s="68">
        <v>2</v>
      </c>
      <c r="E112" s="68" t="s">
        <v>467</v>
      </c>
    </row>
    <row r="113" spans="1:5">
      <c r="A113" s="68">
        <v>0.23141100000000001</v>
      </c>
      <c r="B113" s="68">
        <v>0.32159199999999999</v>
      </c>
      <c r="C113" s="68">
        <v>45.122</v>
      </c>
      <c r="D113" s="68">
        <v>2</v>
      </c>
      <c r="E113" s="68" t="s">
        <v>468</v>
      </c>
    </row>
    <row r="114" spans="1:5">
      <c r="A114" s="68">
        <v>0.23281399999999999</v>
      </c>
      <c r="B114" s="68">
        <v>0.31370900000000002</v>
      </c>
      <c r="C114" s="68">
        <v>45.528399999999998</v>
      </c>
      <c r="D114" s="68">
        <v>2</v>
      </c>
      <c r="E114" s="68" t="s">
        <v>469</v>
      </c>
    </row>
    <row r="115" spans="1:5">
      <c r="A115" s="68">
        <v>0.234262</v>
      </c>
      <c r="B115" s="68">
        <v>0.305643</v>
      </c>
      <c r="C115" s="68">
        <v>45.939300000000003</v>
      </c>
      <c r="D115" s="68">
        <v>2</v>
      </c>
      <c r="E115" s="68" t="s">
        <v>470</v>
      </c>
    </row>
    <row r="116" spans="1:5">
      <c r="A116" s="68">
        <v>0.23592199999999999</v>
      </c>
      <c r="B116" s="68">
        <v>0.29700599999999999</v>
      </c>
      <c r="C116" s="68">
        <v>46.342399999999998</v>
      </c>
      <c r="D116" s="68">
        <v>2</v>
      </c>
      <c r="E116" s="68" t="s">
        <v>471</v>
      </c>
    </row>
    <row r="117" spans="1:5">
      <c r="A117" s="68">
        <v>0.23778199999999999</v>
      </c>
      <c r="B117" s="68">
        <v>0.28842699999999999</v>
      </c>
      <c r="C117" s="68">
        <v>46.747199999999999</v>
      </c>
      <c r="D117" s="68">
        <v>2</v>
      </c>
      <c r="E117" s="68" t="s">
        <v>472</v>
      </c>
    </row>
    <row r="118" spans="1:5">
      <c r="A118" s="68">
        <v>0.23954700000000001</v>
      </c>
      <c r="B118" s="68">
        <v>0.28040500000000002</v>
      </c>
      <c r="C118" s="68">
        <v>47.155900000000003</v>
      </c>
      <c r="D118" s="68">
        <v>2</v>
      </c>
      <c r="E118" s="68" t="s">
        <v>473</v>
      </c>
    </row>
    <row r="119" spans="1:5">
      <c r="A119" s="68">
        <v>0.24132899999999999</v>
      </c>
      <c r="B119" s="68">
        <v>0.27318300000000001</v>
      </c>
      <c r="C119" s="68">
        <v>47.560600000000001</v>
      </c>
      <c r="D119" s="68">
        <v>2</v>
      </c>
      <c r="E119" s="68" t="s">
        <v>474</v>
      </c>
    </row>
    <row r="120" spans="1:5">
      <c r="A120" s="68">
        <v>0.242948</v>
      </c>
      <c r="B120" s="68">
        <v>0.26696199999999998</v>
      </c>
      <c r="C120" s="68">
        <v>47.964599999999997</v>
      </c>
      <c r="D120" s="68">
        <v>2</v>
      </c>
      <c r="E120" s="68" t="s">
        <v>475</v>
      </c>
    </row>
    <row r="121" spans="1:5">
      <c r="A121" s="68">
        <v>0.24443999999999999</v>
      </c>
      <c r="B121" s="68">
        <v>0.261714</v>
      </c>
      <c r="C121" s="68">
        <v>48.372300000000003</v>
      </c>
      <c r="D121" s="68">
        <v>2</v>
      </c>
      <c r="E121" s="68" t="s">
        <v>476</v>
      </c>
    </row>
    <row r="122" spans="1:5">
      <c r="A122" s="68">
        <v>0.245696</v>
      </c>
      <c r="B122" s="68">
        <v>0.25856499999999999</v>
      </c>
      <c r="C122" s="68">
        <v>48.781100000000002</v>
      </c>
      <c r="D122" s="68">
        <v>2</v>
      </c>
      <c r="E122" s="68" t="s">
        <v>477</v>
      </c>
    </row>
    <row r="123" spans="1:5">
      <c r="A123" s="68">
        <v>0.24648700000000001</v>
      </c>
      <c r="B123" s="68">
        <v>0.25758599999999998</v>
      </c>
      <c r="C123" s="68">
        <v>49.1858</v>
      </c>
      <c r="D123" s="68">
        <v>2</v>
      </c>
      <c r="E123" s="68" t="s">
        <v>478</v>
      </c>
    </row>
    <row r="124" spans="1:5">
      <c r="A124" s="68">
        <v>0.24718899999999999</v>
      </c>
      <c r="B124" s="68">
        <v>0.25720900000000002</v>
      </c>
      <c r="C124" s="68">
        <v>49.591999999999999</v>
      </c>
      <c r="D124" s="68">
        <v>2</v>
      </c>
      <c r="E124" s="68" t="s">
        <v>479</v>
      </c>
    </row>
    <row r="125" spans="1:5">
      <c r="A125" s="68">
        <v>0.24776899999999999</v>
      </c>
      <c r="B125" s="68">
        <v>0.25689200000000001</v>
      </c>
      <c r="C125" s="68">
        <v>49.997900000000001</v>
      </c>
      <c r="D125" s="68">
        <v>2</v>
      </c>
      <c r="E125" s="68" t="s">
        <v>480</v>
      </c>
    </row>
    <row r="126" spans="1:5">
      <c r="A126" s="68">
        <v>0.24848799999999999</v>
      </c>
      <c r="B126" s="68">
        <v>0.25601699999999999</v>
      </c>
      <c r="C126" s="68">
        <v>50.402000000000001</v>
      </c>
      <c r="D126" s="68">
        <v>2</v>
      </c>
      <c r="E126" s="68" t="s">
        <v>481</v>
      </c>
    </row>
    <row r="127" spans="1:5">
      <c r="A127" s="68">
        <v>0.24970500000000001</v>
      </c>
      <c r="B127" s="68">
        <v>0.25445299999999998</v>
      </c>
      <c r="C127" s="68">
        <v>50.810499999999998</v>
      </c>
      <c r="D127" s="68">
        <v>2</v>
      </c>
      <c r="E127" s="68" t="s">
        <v>482</v>
      </c>
    </row>
    <row r="128" spans="1:5">
      <c r="A128" s="68">
        <v>0.250913</v>
      </c>
      <c r="B128" s="68">
        <v>0.25257400000000002</v>
      </c>
      <c r="C128" s="68">
        <v>51.2181</v>
      </c>
      <c r="D128" s="68">
        <v>2</v>
      </c>
      <c r="E128" s="68" t="s">
        <v>483</v>
      </c>
    </row>
    <row r="129" spans="1:5">
      <c r="A129" s="68">
        <v>0.25194899999999998</v>
      </c>
      <c r="B129" s="68">
        <v>0.25110300000000002</v>
      </c>
      <c r="C129" s="68">
        <v>51.621600000000001</v>
      </c>
      <c r="D129" s="68">
        <v>2</v>
      </c>
      <c r="E129" s="68" t="s">
        <v>484</v>
      </c>
    </row>
    <row r="130" spans="1:5">
      <c r="A130" s="68">
        <v>0.25264999999999999</v>
      </c>
      <c r="B130" s="68">
        <v>0.25008399999999997</v>
      </c>
      <c r="C130" s="68">
        <v>52.0261</v>
      </c>
      <c r="D130" s="68">
        <v>2</v>
      </c>
      <c r="E130" s="68" t="s">
        <v>485</v>
      </c>
    </row>
    <row r="131" spans="1:5">
      <c r="A131" s="68">
        <v>0.25320100000000001</v>
      </c>
      <c r="B131" s="68">
        <v>0.24909100000000001</v>
      </c>
      <c r="C131" s="68">
        <v>52.433900000000001</v>
      </c>
      <c r="D131" s="68">
        <v>2</v>
      </c>
      <c r="E131" s="68" t="s">
        <v>486</v>
      </c>
    </row>
    <row r="132" spans="1:5">
      <c r="A132" s="68">
        <v>0.253635</v>
      </c>
      <c r="B132" s="68">
        <v>0.24846399999999999</v>
      </c>
      <c r="C132" s="68">
        <v>52.841999999999999</v>
      </c>
      <c r="D132" s="68">
        <v>2</v>
      </c>
      <c r="E132" s="68" t="s">
        <v>487</v>
      </c>
    </row>
    <row r="133" spans="1:5">
      <c r="A133" s="68">
        <v>0.25402599999999997</v>
      </c>
      <c r="B133" s="68">
        <v>0.24854100000000001</v>
      </c>
      <c r="C133" s="68">
        <v>53.251600000000003</v>
      </c>
      <c r="D133" s="68">
        <v>2</v>
      </c>
      <c r="E133" s="68" t="s">
        <v>488</v>
      </c>
    </row>
    <row r="134" spans="1:5">
      <c r="A134" s="68">
        <v>0.25428200000000001</v>
      </c>
      <c r="B134" s="68">
        <v>0.249219</v>
      </c>
      <c r="C134" s="68">
        <v>53.657899999999998</v>
      </c>
      <c r="D134" s="68">
        <v>2</v>
      </c>
      <c r="E134" s="68" t="s">
        <v>489</v>
      </c>
    </row>
    <row r="135" spans="1:5">
      <c r="A135" s="68">
        <v>0.25403100000000001</v>
      </c>
      <c r="B135" s="68">
        <v>0.25125700000000001</v>
      </c>
      <c r="C135" s="68">
        <v>54.060699999999997</v>
      </c>
      <c r="D135" s="68">
        <v>2</v>
      </c>
      <c r="E135" s="68" t="s">
        <v>490</v>
      </c>
    </row>
    <row r="136" spans="1:5">
      <c r="A136" s="68">
        <v>0.25317400000000001</v>
      </c>
      <c r="B136" s="68">
        <v>0.25361699999999998</v>
      </c>
      <c r="C136" s="68">
        <v>54.465600000000002</v>
      </c>
      <c r="D136" s="68">
        <v>2</v>
      </c>
      <c r="E136" s="68" t="s">
        <v>491</v>
      </c>
    </row>
    <row r="137" spans="1:5">
      <c r="A137" s="68">
        <v>0.25223499999999999</v>
      </c>
      <c r="B137" s="68">
        <v>0.25606400000000001</v>
      </c>
      <c r="C137" s="68">
        <v>54.875599999999999</v>
      </c>
      <c r="D137" s="68">
        <v>2</v>
      </c>
      <c r="E137" s="68" t="s">
        <v>492</v>
      </c>
    </row>
    <row r="138" spans="1:5">
      <c r="A138" s="68">
        <v>0.25129600000000002</v>
      </c>
      <c r="B138" s="68">
        <v>0.258245</v>
      </c>
      <c r="C138" s="68">
        <v>55.280500000000004</v>
      </c>
      <c r="D138" s="68">
        <v>2</v>
      </c>
      <c r="E138" s="68" t="s">
        <v>493</v>
      </c>
    </row>
    <row r="139" spans="1:5">
      <c r="A139" s="68">
        <v>0.25024299999999999</v>
      </c>
      <c r="B139" s="68">
        <v>0.26053900000000002</v>
      </c>
      <c r="C139" s="68">
        <v>55.685099999999998</v>
      </c>
      <c r="D139" s="68">
        <v>2</v>
      </c>
      <c r="E139" s="68" t="s">
        <v>494</v>
      </c>
    </row>
    <row r="140" spans="1:5">
      <c r="A140" s="68">
        <v>0.24918299999999999</v>
      </c>
      <c r="B140" s="68">
        <v>0.26274999999999998</v>
      </c>
      <c r="C140" s="68">
        <v>56.088799999999999</v>
      </c>
      <c r="D140" s="68">
        <v>2</v>
      </c>
      <c r="E140" s="68" t="s">
        <v>495</v>
      </c>
    </row>
    <row r="141" spans="1:5">
      <c r="A141" s="68">
        <v>0.24779599999999999</v>
      </c>
      <c r="B141" s="68">
        <v>0.26680700000000002</v>
      </c>
      <c r="C141" s="68">
        <v>56.497700000000002</v>
      </c>
      <c r="D141" s="68">
        <v>2</v>
      </c>
      <c r="E141" s="68" t="s">
        <v>496</v>
      </c>
    </row>
    <row r="142" spans="1:5">
      <c r="A142" s="68">
        <v>0.246007</v>
      </c>
      <c r="B142" s="68">
        <v>0.27264500000000003</v>
      </c>
      <c r="C142" s="68">
        <v>56.906500000000001</v>
      </c>
      <c r="D142" s="68">
        <v>2</v>
      </c>
      <c r="E142" s="68" t="s">
        <v>497</v>
      </c>
    </row>
    <row r="143" spans="1:5">
      <c r="A143" s="68">
        <v>0.244006</v>
      </c>
      <c r="B143" s="68">
        <v>0.28009099999999998</v>
      </c>
      <c r="C143" s="68">
        <v>57.3127</v>
      </c>
      <c r="D143" s="68">
        <v>2</v>
      </c>
      <c r="E143" s="68" t="s">
        <v>498</v>
      </c>
    </row>
    <row r="144" spans="1:5">
      <c r="A144" s="68">
        <v>0.241895</v>
      </c>
      <c r="B144" s="68">
        <v>0.28785699999999997</v>
      </c>
      <c r="C144" s="68">
        <v>57.716799999999999</v>
      </c>
      <c r="D144" s="68">
        <v>2</v>
      </c>
      <c r="E144" s="68" t="s">
        <v>499</v>
      </c>
    </row>
    <row r="145" spans="1:5">
      <c r="A145" s="68">
        <v>0.23993999999999999</v>
      </c>
      <c r="B145" s="68">
        <v>0.29617900000000003</v>
      </c>
      <c r="C145" s="68">
        <v>58.121699999999997</v>
      </c>
      <c r="D145" s="68">
        <v>2</v>
      </c>
      <c r="E145" s="68" t="s">
        <v>500</v>
      </c>
    </row>
    <row r="146" spans="1:5">
      <c r="A146" s="68">
        <v>0.23825399999999999</v>
      </c>
      <c r="B146" s="68">
        <v>0.30331399999999997</v>
      </c>
      <c r="C146" s="68">
        <v>58.528199999999998</v>
      </c>
      <c r="D146" s="68">
        <v>2</v>
      </c>
      <c r="E146" s="68" t="s">
        <v>501</v>
      </c>
    </row>
    <row r="147" spans="1:5">
      <c r="A147" s="68">
        <v>0.236454</v>
      </c>
      <c r="B147" s="68">
        <v>0.309419</v>
      </c>
      <c r="C147" s="68">
        <v>58.936199999999999</v>
      </c>
      <c r="D147" s="68">
        <v>2</v>
      </c>
      <c r="E147" s="68" t="s">
        <v>502</v>
      </c>
    </row>
    <row r="148" spans="1:5">
      <c r="A148" s="68">
        <v>0.235405</v>
      </c>
      <c r="B148" s="68">
        <v>0.31178499999999998</v>
      </c>
      <c r="C148" s="68">
        <v>59.343299999999999</v>
      </c>
      <c r="D148" s="68">
        <v>2</v>
      </c>
      <c r="E148" s="68" t="s">
        <v>503</v>
      </c>
    </row>
    <row r="149" spans="1:5">
      <c r="A149" s="68">
        <v>0.234315</v>
      </c>
      <c r="B149" s="68">
        <v>0.31251299999999999</v>
      </c>
      <c r="C149" s="68">
        <v>59.747999999999998</v>
      </c>
      <c r="D149" s="68">
        <v>2</v>
      </c>
      <c r="E149" s="68" t="s">
        <v>504</v>
      </c>
    </row>
    <row r="150" spans="1:5">
      <c r="A150" s="68">
        <v>0.232798</v>
      </c>
      <c r="B150" s="68">
        <v>0.31723499999999999</v>
      </c>
      <c r="C150" s="32">
        <v>60.155099999999997</v>
      </c>
      <c r="D150" s="32">
        <v>2</v>
      </c>
      <c r="E150" s="32" t="s">
        <v>505</v>
      </c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354</v>
      </c>
      <c r="B1" s="66" t="s">
        <v>506</v>
      </c>
      <c r="C1" s="66" t="s">
        <v>508</v>
      </c>
      <c r="D1" s="66" t="s">
        <v>509</v>
      </c>
      <c r="E1" s="66" t="s">
        <v>510</v>
      </c>
      <c r="F1" s="66" t="s">
        <v>347</v>
      </c>
      <c r="G1" s="66" t="s">
        <v>294</v>
      </c>
      <c r="H1" s="66" t="s">
        <v>511</v>
      </c>
      <c r="I1" s="66" t="s">
        <v>512</v>
      </c>
      <c r="J1" s="66" t="s">
        <v>513</v>
      </c>
      <c r="K1" s="66" t="s">
        <v>514</v>
      </c>
      <c r="L1" s="66" t="s">
        <v>515</v>
      </c>
      <c r="M1" s="66" t="s">
        <v>516</v>
      </c>
      <c r="N1" s="66"/>
    </row>
    <row r="2" spans="1:14">
      <c r="A2" s="75">
        <v>43612.71980324074</v>
      </c>
      <c r="B2" s="66" t="s">
        <v>507</v>
      </c>
      <c r="C2" s="66"/>
      <c r="D2" s="66"/>
      <c r="E2" s="66">
        <v>4.9234099999999996</v>
      </c>
      <c r="F2" s="66">
        <v>1.22367</v>
      </c>
      <c r="G2" s="66">
        <v>0.69741200000000003</v>
      </c>
      <c r="H2" s="66">
        <v>0</v>
      </c>
      <c r="I2" s="66">
        <v>44218</v>
      </c>
      <c r="J2" s="66">
        <v>19</v>
      </c>
      <c r="K2" s="66">
        <v>19</v>
      </c>
      <c r="L2" s="66">
        <v>18.354399999999998</v>
      </c>
      <c r="M2" s="66" t="s">
        <v>517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2019-05-27T09:17:11Z</cp:lastPrinted>
  <dcterms:created xsi:type="dcterms:W3CDTF">2010-10-29T12:53:05Z</dcterms:created>
  <dcterms:modified xsi:type="dcterms:W3CDTF">2019-05-27T09:18:50Z</dcterms:modified>
</cp:coreProperties>
</file>