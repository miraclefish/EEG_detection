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<sst xmlns="http://schemas.openxmlformats.org/spreadsheetml/2006/main" count="701" uniqueCount="520">
  <si>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</si>
  <si>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</si>
  <si>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</si>
  <si>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</si>
  <si>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</si>
  <si>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</si>
  <si>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</si>
  <si>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</si>
  <si>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</si>
  <si>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</si>
  <si>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</si>
  <si>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</si>
  <si>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</si>
  <si>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</si>
  <si>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</si>
  <si>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</si>
  <si>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</si>
  <si>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</si>
  <si>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</si>
  <si>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</si>
  <si>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</si>
  <si>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</si>
  <si>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</si>
  <si>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</si>
  <si>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</si>
  <si>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</si>
  <si>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</si>
  <si>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</si>
  <si>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</si>
  <si>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</si>
  <si>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</si>
  <si>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</si>
  <si>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</si>
  <si>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</si>
  <si>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</si>
  <si>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</si>
  <si>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</si>
  <si>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</si>
  <si>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</si>
  <si>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</si>
  <si>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</si>
  <si>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</si>
  <si>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</si>
  <si>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</si>
  <si>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</si>
  <si>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</si>
  <si>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</si>
  <si>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</si>
  <si>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</si>
  <si>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</si>
  <si>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</si>
  <si>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</si>
  <si>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</si>
  <si>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</si>
  <si>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</si>
  <si>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</si>
  <si>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</si>
  <si>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</si>
  <si>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</si>
  <si>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</si>
  <si>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</si>
  <si>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</si>
  <si>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</si>
  <si>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</si>
  <si>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</si>
  <si>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</si>
  <si>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</si>
  <si>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</si>
  <si>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</si>
  <si>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</si>
  <si>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</si>
  <si>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</si>
  <si>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</si>
  <si>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</si>
  <si>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</si>
  <si>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</si>
  <si>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</si>
  <si>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</si>
  <si>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</si>
  <si>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</si>
  <si>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</si>
  <si>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</si>
  <si>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</si>
  <si>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</si>
  <si>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</si>
  <si>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</si>
  <si>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</si>
  <si>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</si>
  <si>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</si>
  <si>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</si>
  <si>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</si>
  <si>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</si>
  <si>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</si>
  <si>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</si>
  <si>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</si>
  <si>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</si>
  <si>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</si>
  <si>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</si>
  <si>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</si>
  <si>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</si>
  <si>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</si>
  <si>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</si>
  <si>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</si>
  <si>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</si>
  <si>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</si>
  <si>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</si>
  <si>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</si>
  <si>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</si>
  <si>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</si>
  <si>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</si>
  <si>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</si>
  <si>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</si>
  <si>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</si>
  <si>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</si>
  <si>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</si>
  <si>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</si>
  <si>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</si>
  <si>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</si>
  <si>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</si>
  <si>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</si>
  <si>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</si>
  <si>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</si>
  <si>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</si>
  <si>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</si>
  <si>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</si>
  <si>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</si>
  <si>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</si>
  <si>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</si>
  <si>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</si>
  <si>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</si>
  <si>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</si>
  <si>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</si>
  <si>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</si>
  <si>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</si>
  <si>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</si>
  <si>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</si>
  <si>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</si>
  <si>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</si>
  <si>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</si>
  <si>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</si>
  <si>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</si>
  <si>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</si>
  <si>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</si>
  <si>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</si>
  <si>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</si>
  <si>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</si>
  <si>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</si>
  <si>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</si>
  <si>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</si>
  <si>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</si>
  <si>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</si>
  <si>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</si>
  <si>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</si>
  <si>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</si>
  <si>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</si>
  <si>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</si>
  <si>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</si>
  <si>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</si>
  <si>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</si>
  <si>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</si>
  <si>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</si>
  <si>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</si>
  <si>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</si>
  <si>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</si>
  <si>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</si>
  <si>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</si>
  <si>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</si>
  <si>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</si>
  <si>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</si>
  <si>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</si>
  <si>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</si>
  <si>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</si>
  <si>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</si>
  <si>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</si>
  <si>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</si>
  <si>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</si>
  <si>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</si>
  <si>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</si>
  <si>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</si>
  <si>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</si>
  <si>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</si>
  <si>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</si>
  <si>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</si>
  <si>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</si>
  <si>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</si>
  <si>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</si>
  <si>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</si>
  <si>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</si>
  <si>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</si>
  <si>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</si>
  <si>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</si>
  <si>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</si>
  <si>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</si>
  <si>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</si>
  <si>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</si>
  <si>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</si>
  <si>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</si>
  <si>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</si>
  <si>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</si>
  <si>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</si>
  <si>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</si>
  <si>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</si>
  <si>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</si>
  <si>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</si>
  <si>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</si>
  <si>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</si>
  <si>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</si>
  <si>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</si>
  <si>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</si>
  <si>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</si>
  <si>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</si>
  <si>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</si>
  <si>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</si>
  <si>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</si>
  <si>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</si>
  <si>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</si>
  <si>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</si>
  <si>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</si>
  <si>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</si>
  <si>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</si>
  <si>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</si>
  <si>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</si>
  <si>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</si>
  <si>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</si>
  <si>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</si>
  <si>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</si>
  <si>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</si>
  <si>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</si>
  <si>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</si>
  <si>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</si>
  <si>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</si>
  <si>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</si>
  <si>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</si>
  <si>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</si>
  <si>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</si>
  <si>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</si>
  <si>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</si>
  <si>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</si>
  <si>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</si>
  <si>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</si>
  <si>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</si>
  <si>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</si>
  <si>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</si>
  <si>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</si>
  <si>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</si>
  <si>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</si>
  <si>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</si>
  <si>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</si>
  <si>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</si>
  <si>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</si>
  <si>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</si>
  <si>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</si>
  <si>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</si>
  <si>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</si>
  <si>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</si>
  <si>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</si>
  <si>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</si>
  <si>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</si>
  <si>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</si>
  <si>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</si>
  <si>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</si>
  <si>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</si>
  <si>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</si>
  <si>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</si>
  <si>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</si>
  <si>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</si>
  <si>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</si>
  <si>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</si>
  <si>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</si>
  <si>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</si>
  <si>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</si>
  <si>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</si>
  <si>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</si>
  <si>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</si>
  <si>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</si>
  <si>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</si>
  <si>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</si>
  <si>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</si>
  <si>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</si>
  <si>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</si>
  <si>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</si>
  <si>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</si>
  <si>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</si>
  <si>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</si>
  <si>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</si>
  <si>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</si>
  <si>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</si>
  <si>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</si>
  <si>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</si>
  <si>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</si>
  <si>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</si>
  <si>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</si>
  <si>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</si>
  <si>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</si>
  <si>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</si>
  <si>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</si>
  <si>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</si>
  <si>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</si>
  <si>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</si>
  <si>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</si>
  <si>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</si>
  <si>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</si>
  <si>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</si>
  <si>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</si>
  <si>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</si>
  <si>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</si>
  <si>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</si>
  <si>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</si>
  <si>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</si>
  <si>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</si>
  <si>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</si>
  <si>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</si>
  <si>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</si>
  <si>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</si>
  <si>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</si>
  <si>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</si>
  <si>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</si>
  <si>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</si>
  <si>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</si>
  <si>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</si>
  <si>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</si>
  <si>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</si>
  <si>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</si>
  <si>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</si>
  <si>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</si>
  <si>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</si>
  <si>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</si>
  <si>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</si>
  <si>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</si>
  <si>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</si>
  <si>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</si>
  <si>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</si>
  <si>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</si>
  <si>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</si>
  <si>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</si>
  <si>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</si>
  <si>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</si>
  <si>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</si>
  <si>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</si>
  <si>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</si>
  <si>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</si>
  <si>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</si>
  <si>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</si>
  <si>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</si>
  <si>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</si>
  <si>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</si>
  <si>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</si>
  <si>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Vi</t>
    <phoneticPr fontId="29" type="noConversion"/>
  </si>
  <si>
    <t>A1 (fast)</t>
    <phoneticPr fontId="29" type="noConversion"/>
  </si>
  <si>
    <t>A1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</si>
  <si>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</si>
  <si>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</si>
  <si>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</si>
  <si>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</si>
  <si>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</si>
  <si>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</si>
  <si>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</si>
  <si>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</si>
  <si>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[0.407652]</t>
  </si>
  <si>
    <t>1 [0.817922]</t>
  </si>
  <si>
    <t>1 [1.225887]</t>
  </si>
  <si>
    <t>1 [1.626705]</t>
  </si>
  <si>
    <t>1 [2.031589]</t>
  </si>
  <si>
    <t>1 [2.435471]</t>
  </si>
  <si>
    <t>1 [2.846405]</t>
  </si>
  <si>
    <t>1 [3.249203]</t>
  </si>
  <si>
    <t>1 [3.658283]</t>
  </si>
  <si>
    <t>1 [4.065095]</t>
  </si>
  <si>
    <t>1 [4.473406]</t>
  </si>
  <si>
    <t>1 [4.876991]</t>
  </si>
  <si>
    <t>1 [5.282958]</t>
  </si>
  <si>
    <t>1 [5.691056]</t>
  </si>
  <si>
    <t>1 [6.095690]</t>
  </si>
  <si>
    <t>1 [6.499691]</t>
  </si>
  <si>
    <t>1 [6.906763]</t>
  </si>
  <si>
    <t>1 [7.316442]</t>
  </si>
  <si>
    <t>1 [7.718479]</t>
  </si>
  <si>
    <t>1 [8.128276]</t>
  </si>
  <si>
    <t>1 [8.531232]</t>
  </si>
  <si>
    <t>1 [8.941145]</t>
  </si>
  <si>
    <t>1 [9.344988]</t>
  </si>
  <si>
    <t>1 [9.752504]</t>
  </si>
  <si>
    <t>1 [10.157271]</t>
  </si>
  <si>
    <t>1 [10.562757]</t>
  </si>
  <si>
    <t>1 [10.975620]</t>
  </si>
  <si>
    <t>1 [11.378522]</t>
  </si>
  <si>
    <t>1 [11.782156]</t>
  </si>
  <si>
    <t>1 [12.189404]</t>
  </si>
  <si>
    <t>1 [12.597579]</t>
  </si>
  <si>
    <t>1 [13.002225]</t>
  </si>
  <si>
    <t>1 [13.407522]</t>
  </si>
  <si>
    <t>1 [13.813180]</t>
  </si>
  <si>
    <t>1 [14.221991]</t>
  </si>
  <si>
    <t>1 [14.629945]</t>
  </si>
  <si>
    <t>1 [15.032822]</t>
  </si>
  <si>
    <t>1 [15.435789]</t>
  </si>
  <si>
    <t>1 [15.843562]</t>
  </si>
  <si>
    <t>1 [16.252499]</t>
  </si>
  <si>
    <t>1 [16.659575]</t>
  </si>
  <si>
    <t>1 [17.065446]</t>
  </si>
  <si>
    <t>1 [17.471245]</t>
  </si>
  <si>
    <t>1 [17.877552]</t>
  </si>
  <si>
    <t>1 [18.278025]</t>
  </si>
  <si>
    <t>1 [18.691096]</t>
  </si>
  <si>
    <t>1 [19.097925]</t>
  </si>
  <si>
    <t>1 [19.502857]</t>
  </si>
  <si>
    <t>1 [19.907818]</t>
  </si>
  <si>
    <t>1 [20.314694]</t>
  </si>
  <si>
    <t>1 [20.718536]</t>
  </si>
  <si>
    <t>1 [21.128414]</t>
  </si>
  <si>
    <t>1 [21.536466]</t>
  </si>
  <si>
    <t>1 [21.939255]</t>
  </si>
  <si>
    <t>1 [22.346237]</t>
  </si>
  <si>
    <t>1 [22.750078]</t>
  </si>
  <si>
    <t>1 [23.159060]</t>
  </si>
  <si>
    <t>1 [23.567995]</t>
  </si>
  <si>
    <t>1 [23.972829]</t>
  </si>
  <si>
    <t>1 [24.375958]</t>
  </si>
  <si>
    <t>1 [24.779686]</t>
  </si>
  <si>
    <t>1 [25.193546]</t>
  </si>
  <si>
    <t>1 [25.596509]</t>
  </si>
  <si>
    <t>1 [26.003374]</t>
  </si>
  <si>
    <t>1 [26.407886]</t>
  </si>
  <si>
    <t>1 [26.812326]</t>
  </si>
  <si>
    <t>1 [27.220139]</t>
  </si>
  <si>
    <t>1 [27.625042]</t>
  </si>
  <si>
    <t>1 [28.034002]</t>
  </si>
  <si>
    <t>1 [28.441296]</t>
  </si>
  <si>
    <t>1 [28.852926]</t>
  </si>
  <si>
    <t>1 [29.257226]</t>
  </si>
  <si>
    <t>1 [29.662603]</t>
  </si>
  <si>
    <t>2 [30.063545]</t>
  </si>
  <si>
    <t>2 [30.658967]</t>
  </si>
  <si>
    <t>2 [31.035968]</t>
  </si>
  <si>
    <t>2 [31.406023]</t>
  </si>
  <si>
    <t>2 [31.783241]</t>
  </si>
  <si>
    <t>2 [32.158990]</t>
  </si>
  <si>
    <t>2 [32.566001]</t>
  </si>
  <si>
    <t>2 [32.971748]</t>
  </si>
  <si>
    <t>2 [33.375776]</t>
  </si>
  <si>
    <t>2 [33.781855]</t>
  </si>
  <si>
    <t>2 [34.193522]</t>
  </si>
  <si>
    <t>2 [34.597690]</t>
  </si>
  <si>
    <t>2 [35.002384]</t>
  </si>
  <si>
    <t>2 [35.409331]</t>
  </si>
  <si>
    <t>2 [35.812351]</t>
  </si>
  <si>
    <t>2 [36.222120]</t>
  </si>
  <si>
    <t>2 [36.628084]</t>
  </si>
  <si>
    <t>2 [37.033910]</t>
  </si>
  <si>
    <t>2 [37.437995]</t>
  </si>
  <si>
    <t>2 [37.844851]</t>
  </si>
  <si>
    <t>2 [38.250701]</t>
  </si>
  <si>
    <t>2 [38.660570]</t>
  </si>
  <si>
    <t>2 [39.067585]</t>
  </si>
  <si>
    <t>2 [39.472435]</t>
  </si>
  <si>
    <t>2 [39.878461]</t>
  </si>
  <si>
    <t>2 [40.286236]</t>
  </si>
  <si>
    <t>2 [40.690467]</t>
  </si>
  <si>
    <t>2 [41.096021]</t>
  </si>
  <si>
    <t>2 [41.501946]</t>
  </si>
  <si>
    <t>2 [41.908863]</t>
  </si>
  <si>
    <t>2 [42.315791]</t>
  </si>
  <si>
    <t>2 [42.720713]</t>
  </si>
  <si>
    <t>2 [43.129685]</t>
  </si>
  <si>
    <t>2 [43.533548]</t>
  </si>
  <si>
    <t>2 [43.938496]</t>
  </si>
  <si>
    <t>2 [44.342588]</t>
  </si>
  <si>
    <t>2 [44.753402]</t>
  </si>
  <si>
    <t>2 [45.158322]</t>
  </si>
  <si>
    <t>2 [45.564128]</t>
  </si>
  <si>
    <t>2 [45.970019]</t>
  </si>
  <si>
    <t>2 [46.374322]</t>
  </si>
  <si>
    <t>2 [46.778903]</t>
  </si>
  <si>
    <t>2 [47.186822]</t>
  </si>
  <si>
    <t>2 [47.596695]</t>
  </si>
  <si>
    <t>2 [48.003574]</t>
  </si>
  <si>
    <t>2 [48.415562]</t>
  </si>
  <si>
    <t>2 [48.817915]</t>
  </si>
  <si>
    <t>2 [49.222590]</t>
  </si>
  <si>
    <t>2 [49.629356]</t>
  </si>
  <si>
    <t>2 [50.030347]</t>
  </si>
  <si>
    <t>2 [50.448326]</t>
  </si>
  <si>
    <t>2 [50.846025]</t>
  </si>
  <si>
    <t>2 [51.252073]</t>
  </si>
  <si>
    <t>2 [51.660822]</t>
  </si>
  <si>
    <t>2 [52.064815]</t>
  </si>
  <si>
    <t>2 [52.467625]</t>
  </si>
  <si>
    <t>2 [52.876582]</t>
  </si>
  <si>
    <t>2 [53.283521]</t>
  </si>
  <si>
    <t>2 [53.693367]</t>
  </si>
  <si>
    <t>2 [54.097411]</t>
  </si>
  <si>
    <t>2 [54.501620]</t>
  </si>
  <si>
    <t>2 [54.908253]</t>
  </si>
  <si>
    <t>2 [55.315995]</t>
  </si>
  <si>
    <t>2 [55.721920]</t>
  </si>
  <si>
    <t>2 [56.124337]</t>
  </si>
  <si>
    <t>2 [56.532896]</t>
  </si>
  <si>
    <t>2 [56.938776]</t>
  </si>
  <si>
    <t>2 [57.344648]</t>
  </si>
  <si>
    <t>2 [57.749928]</t>
  </si>
  <si>
    <t>2 [58.159388]</t>
  </si>
  <si>
    <t>2 [58.567442]</t>
  </si>
  <si>
    <t>2 [58.970231]</t>
  </si>
  <si>
    <t>2 [59.377288]</t>
  </si>
  <si>
    <t>2 [59.783321]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</si>
  <si>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</si>
  <si>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</si>
  <si>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</si>
  <si>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</si>
  <si>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</si>
  <si>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</si>
  <si>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</si>
  <si>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</si>
  <si>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</si>
  <si>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</si>
  <si>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</si>
  <si>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</si>
  <si>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</si>
  <si>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王小芳</t>
    <phoneticPr fontId="1" type="noConversion"/>
  </si>
  <si>
    <t>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</si>
</sst>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41.8536</c:v>
                </c:pt>
                <c:pt idx="1">
                  <c:v>32.121200000000002</c:v>
                </c:pt>
                <c:pt idx="2">
                  <c:v>28.8004</c:v>
                </c:pt>
                <c:pt idx="3">
                  <c:v>34.296500000000002</c:v>
                </c:pt>
                <c:pt idx="4">
                  <c:v>63.8172</c:v>
                </c:pt>
                <c:pt idx="5">
                  <c:v>76.395700000000005</c:v>
                </c:pt>
                <c:pt idx="6">
                  <c:v>19.180800000000001</c:v>
                </c:pt>
                <c:pt idx="7">
                  <c:v>70.671899999999994</c:v>
                </c:pt>
                <c:pt idx="8">
                  <c:v>18.008400000000002</c:v>
                </c:pt>
                <c:pt idx="9">
                  <c:v>22.573399999999999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0.51319459764635766</c:v>
                </c:pt>
                <c:pt idx="1">
                  <c:v>0.30575825299480774</c:v>
                </c:pt>
                <c:pt idx="2">
                  <c:v>0.18104714935883467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6980</c:v>
                </c:pt>
                <c:pt idx="7">
                  <c:v>0</c:v>
                </c:pt>
                <c:pt idx="8">
                  <c:v>12859</c:v>
                </c:pt>
                <c:pt idx="9">
                  <c:v>0</c:v>
                </c:pt>
                <c:pt idx="10">
                  <c:v>0</c:v>
                </c:pt>
                <c:pt idx="11">
                  <c:v>16945</c:v>
                </c:pt>
                <c:pt idx="12">
                  <c:v>0</c:v>
                </c:pt>
                <c:pt idx="13">
                  <c:v>16866</c:v>
                </c:pt>
                <c:pt idx="14">
                  <c:v>0</c:v>
                </c:pt>
                <c:pt idx="15">
                  <c:v>0</c:v>
                </c:pt>
                <c:pt idx="16">
                  <c:v>34866</c:v>
                </c:pt>
                <c:pt idx="17">
                  <c:v>0</c:v>
                </c:pt>
                <c:pt idx="18">
                  <c:v>0</c:v>
                </c:pt>
                <c:pt idx="19">
                  <c:v>37267</c:v>
                </c:pt>
                <c:pt idx="20">
                  <c:v>0</c:v>
                </c:pt>
                <c:pt idx="21">
                  <c:v>43438</c:v>
                </c:pt>
                <c:pt idx="22">
                  <c:v>0</c:v>
                </c:pt>
                <c:pt idx="23">
                  <c:v>0</c:v>
                </c:pt>
                <c:pt idx="24">
                  <c:v>49630</c:v>
                </c:pt>
                <c:pt idx="25">
                  <c:v>0</c:v>
                </c:pt>
                <c:pt idx="26">
                  <c:v>56920</c:v>
                </c:pt>
                <c:pt idx="27">
                  <c:v>0</c:v>
                </c:pt>
                <c:pt idx="28">
                  <c:v>0</c:v>
                </c:pt>
                <c:pt idx="29">
                  <c:v>58641</c:v>
                </c:pt>
                <c:pt idx="30">
                  <c:v>0</c:v>
                </c:pt>
                <c:pt idx="31">
                  <c:v>56768</c:v>
                </c:pt>
                <c:pt idx="32">
                  <c:v>0</c:v>
                </c:pt>
                <c:pt idx="33">
                  <c:v>0</c:v>
                </c:pt>
                <c:pt idx="34">
                  <c:v>64799</c:v>
                </c:pt>
                <c:pt idx="35">
                  <c:v>0</c:v>
                </c:pt>
                <c:pt idx="36">
                  <c:v>0</c:v>
                </c:pt>
                <c:pt idx="37">
                  <c:v>75404</c:v>
                </c:pt>
                <c:pt idx="38">
                  <c:v>0</c:v>
                </c:pt>
                <c:pt idx="39">
                  <c:v>75448</c:v>
                </c:pt>
                <c:pt idx="40">
                  <c:v>0</c:v>
                </c:pt>
                <c:pt idx="41">
                  <c:v>0</c:v>
                </c:pt>
                <c:pt idx="42">
                  <c:v>78708</c:v>
                </c:pt>
                <c:pt idx="43">
                  <c:v>0</c:v>
                </c:pt>
                <c:pt idx="44">
                  <c:v>86941</c:v>
                </c:pt>
                <c:pt idx="45">
                  <c:v>0</c:v>
                </c:pt>
                <c:pt idx="46">
                  <c:v>0</c:v>
                </c:pt>
                <c:pt idx="47">
                  <c:v>86007</c:v>
                </c:pt>
                <c:pt idx="48">
                  <c:v>0</c:v>
                </c:pt>
                <c:pt idx="49">
                  <c:v>85281</c:v>
                </c:pt>
                <c:pt idx="50">
                  <c:v>0</c:v>
                </c:pt>
                <c:pt idx="51">
                  <c:v>0</c:v>
                </c:pt>
                <c:pt idx="52">
                  <c:v>90529</c:v>
                </c:pt>
                <c:pt idx="53">
                  <c:v>0</c:v>
                </c:pt>
                <c:pt idx="54">
                  <c:v>0</c:v>
                </c:pt>
                <c:pt idx="55">
                  <c:v>93940</c:v>
                </c:pt>
                <c:pt idx="56">
                  <c:v>0</c:v>
                </c:pt>
                <c:pt idx="57">
                  <c:v>96780</c:v>
                </c:pt>
                <c:pt idx="58">
                  <c:v>0</c:v>
                </c:pt>
                <c:pt idx="59">
                  <c:v>0</c:v>
                </c:pt>
                <c:pt idx="60">
                  <c:v>103144</c:v>
                </c:pt>
                <c:pt idx="61">
                  <c:v>0</c:v>
                </c:pt>
                <c:pt idx="62">
                  <c:v>110253</c:v>
                </c:pt>
                <c:pt idx="63">
                  <c:v>0</c:v>
                </c:pt>
                <c:pt idx="64">
                  <c:v>0</c:v>
                </c:pt>
                <c:pt idx="65">
                  <c:v>115118</c:v>
                </c:pt>
                <c:pt idx="66">
                  <c:v>0</c:v>
                </c:pt>
                <c:pt idx="67">
                  <c:v>116778</c:v>
                </c:pt>
                <c:pt idx="68">
                  <c:v>0</c:v>
                </c:pt>
                <c:pt idx="69">
                  <c:v>0</c:v>
                </c:pt>
                <c:pt idx="70">
                  <c:v>125739</c:v>
                </c:pt>
                <c:pt idx="71">
                  <c:v>0</c:v>
                </c:pt>
                <c:pt idx="72">
                  <c:v>0</c:v>
                </c:pt>
                <c:pt idx="73">
                  <c:v>134546</c:v>
                </c:pt>
                <c:pt idx="74">
                  <c:v>0</c:v>
                </c:pt>
                <c:pt idx="75">
                  <c:v>142966</c:v>
                </c:pt>
                <c:pt idx="76">
                  <c:v>0</c:v>
                </c:pt>
                <c:pt idx="77">
                  <c:v>0</c:v>
                </c:pt>
                <c:pt idx="78">
                  <c:v>136742</c:v>
                </c:pt>
                <c:pt idx="79">
                  <c:v>0</c:v>
                </c:pt>
                <c:pt idx="80">
                  <c:v>136258</c:v>
                </c:pt>
                <c:pt idx="81">
                  <c:v>0</c:v>
                </c:pt>
                <c:pt idx="82">
                  <c:v>0</c:v>
                </c:pt>
                <c:pt idx="83">
                  <c:v>136095</c:v>
                </c:pt>
                <c:pt idx="84">
                  <c:v>0</c:v>
                </c:pt>
                <c:pt idx="85">
                  <c:v>0</c:v>
                </c:pt>
                <c:pt idx="86">
                  <c:v>136129</c:v>
                </c:pt>
                <c:pt idx="87">
                  <c:v>0</c:v>
                </c:pt>
                <c:pt idx="88">
                  <c:v>125322</c:v>
                </c:pt>
                <c:pt idx="89">
                  <c:v>0</c:v>
                </c:pt>
                <c:pt idx="90">
                  <c:v>0</c:v>
                </c:pt>
                <c:pt idx="91">
                  <c:v>118374</c:v>
                </c:pt>
                <c:pt idx="92">
                  <c:v>0</c:v>
                </c:pt>
                <c:pt idx="93">
                  <c:v>116427</c:v>
                </c:pt>
                <c:pt idx="94">
                  <c:v>0</c:v>
                </c:pt>
                <c:pt idx="95">
                  <c:v>0</c:v>
                </c:pt>
                <c:pt idx="96">
                  <c:v>112145</c:v>
                </c:pt>
                <c:pt idx="97">
                  <c:v>0</c:v>
                </c:pt>
                <c:pt idx="98">
                  <c:v>107229</c:v>
                </c:pt>
                <c:pt idx="99">
                  <c:v>0</c:v>
                </c:pt>
                <c:pt idx="100">
                  <c:v>0</c:v>
                </c:pt>
                <c:pt idx="101">
                  <c:v>98289</c:v>
                </c:pt>
                <c:pt idx="102">
                  <c:v>0</c:v>
                </c:pt>
                <c:pt idx="103">
                  <c:v>0</c:v>
                </c:pt>
                <c:pt idx="104">
                  <c:v>89043</c:v>
                </c:pt>
                <c:pt idx="105">
                  <c:v>0</c:v>
                </c:pt>
                <c:pt idx="106">
                  <c:v>79641</c:v>
                </c:pt>
                <c:pt idx="107">
                  <c:v>0</c:v>
                </c:pt>
                <c:pt idx="108">
                  <c:v>0</c:v>
                </c:pt>
                <c:pt idx="109">
                  <c:v>70161</c:v>
                </c:pt>
                <c:pt idx="110">
                  <c:v>0</c:v>
                </c:pt>
                <c:pt idx="111">
                  <c:v>69425</c:v>
                </c:pt>
                <c:pt idx="112">
                  <c:v>0</c:v>
                </c:pt>
                <c:pt idx="113">
                  <c:v>0</c:v>
                </c:pt>
                <c:pt idx="114">
                  <c:v>59588</c:v>
                </c:pt>
                <c:pt idx="115">
                  <c:v>0</c:v>
                </c:pt>
                <c:pt idx="116">
                  <c:v>53989</c:v>
                </c:pt>
                <c:pt idx="117">
                  <c:v>0</c:v>
                </c:pt>
                <c:pt idx="118">
                  <c:v>0</c:v>
                </c:pt>
                <c:pt idx="119">
                  <c:v>49424</c:v>
                </c:pt>
                <c:pt idx="120">
                  <c:v>0</c:v>
                </c:pt>
                <c:pt idx="121">
                  <c:v>0</c:v>
                </c:pt>
                <c:pt idx="122">
                  <c:v>44858</c:v>
                </c:pt>
                <c:pt idx="123">
                  <c:v>0</c:v>
                </c:pt>
                <c:pt idx="124">
                  <c:v>40326</c:v>
                </c:pt>
                <c:pt idx="125">
                  <c:v>0</c:v>
                </c:pt>
                <c:pt idx="126">
                  <c:v>0</c:v>
                </c:pt>
                <c:pt idx="127">
                  <c:v>34410</c:v>
                </c:pt>
                <c:pt idx="128">
                  <c:v>0</c:v>
                </c:pt>
                <c:pt idx="129">
                  <c:v>29704</c:v>
                </c:pt>
                <c:pt idx="130">
                  <c:v>0</c:v>
                </c:pt>
                <c:pt idx="131">
                  <c:v>0</c:v>
                </c:pt>
                <c:pt idx="132">
                  <c:v>30760</c:v>
                </c:pt>
                <c:pt idx="133">
                  <c:v>0</c:v>
                </c:pt>
                <c:pt idx="134">
                  <c:v>33610</c:v>
                </c:pt>
                <c:pt idx="135">
                  <c:v>0</c:v>
                </c:pt>
                <c:pt idx="136">
                  <c:v>0</c:v>
                </c:pt>
                <c:pt idx="137">
                  <c:v>29275</c:v>
                </c:pt>
                <c:pt idx="138">
                  <c:v>0</c:v>
                </c:pt>
                <c:pt idx="139">
                  <c:v>0</c:v>
                </c:pt>
                <c:pt idx="140">
                  <c:v>26015</c:v>
                </c:pt>
                <c:pt idx="141">
                  <c:v>0</c:v>
                </c:pt>
                <c:pt idx="142">
                  <c:v>26518</c:v>
                </c:pt>
                <c:pt idx="143">
                  <c:v>0</c:v>
                </c:pt>
                <c:pt idx="144">
                  <c:v>0</c:v>
                </c:pt>
                <c:pt idx="145">
                  <c:v>26457</c:v>
                </c:pt>
                <c:pt idx="146">
                  <c:v>0</c:v>
                </c:pt>
                <c:pt idx="147">
                  <c:v>30397</c:v>
                </c:pt>
                <c:pt idx="148">
                  <c:v>0</c:v>
                </c:pt>
                <c:pt idx="149">
                  <c:v>0</c:v>
                </c:pt>
                <c:pt idx="150">
                  <c:v>34285</c:v>
                </c:pt>
                <c:pt idx="151">
                  <c:v>0</c:v>
                </c:pt>
                <c:pt idx="152">
                  <c:v>31286</c:v>
                </c:pt>
                <c:pt idx="153">
                  <c:v>0</c:v>
                </c:pt>
                <c:pt idx="154">
                  <c:v>0</c:v>
                </c:pt>
                <c:pt idx="155">
                  <c:v>28511</c:v>
                </c:pt>
                <c:pt idx="156">
                  <c:v>0</c:v>
                </c:pt>
                <c:pt idx="157">
                  <c:v>0</c:v>
                </c:pt>
                <c:pt idx="158">
                  <c:v>26312</c:v>
                </c:pt>
                <c:pt idx="159">
                  <c:v>0</c:v>
                </c:pt>
                <c:pt idx="160">
                  <c:v>21645</c:v>
                </c:pt>
                <c:pt idx="161">
                  <c:v>0</c:v>
                </c:pt>
                <c:pt idx="162">
                  <c:v>0</c:v>
                </c:pt>
                <c:pt idx="163">
                  <c:v>16835</c:v>
                </c:pt>
                <c:pt idx="164">
                  <c:v>0</c:v>
                </c:pt>
                <c:pt idx="165">
                  <c:v>15352</c:v>
                </c:pt>
                <c:pt idx="166">
                  <c:v>0</c:v>
                </c:pt>
                <c:pt idx="167">
                  <c:v>0</c:v>
                </c:pt>
                <c:pt idx="168">
                  <c:v>12007</c:v>
                </c:pt>
                <c:pt idx="169">
                  <c:v>0</c:v>
                </c:pt>
                <c:pt idx="170">
                  <c:v>0</c:v>
                </c:pt>
                <c:pt idx="171">
                  <c:v>6856</c:v>
                </c:pt>
                <c:pt idx="172">
                  <c:v>0</c:v>
                </c:pt>
                <c:pt idx="173">
                  <c:v>4698</c:v>
                </c:pt>
                <c:pt idx="174">
                  <c:v>0</c:v>
                </c:pt>
                <c:pt idx="175">
                  <c:v>0</c:v>
                </c:pt>
                <c:pt idx="176">
                  <c:v>1733</c:v>
                </c:pt>
                <c:pt idx="177">
                  <c:v>0</c:v>
                </c:pt>
                <c:pt idx="178">
                  <c:v>1573</c:v>
                </c:pt>
                <c:pt idx="179">
                  <c:v>0</c:v>
                </c:pt>
                <c:pt idx="180">
                  <c:v>0</c:v>
                </c:pt>
                <c:pt idx="181">
                  <c:v>496</c:v>
                </c:pt>
                <c:pt idx="182">
                  <c:v>0</c:v>
                </c:pt>
                <c:pt idx="183">
                  <c:v>295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2.1240200000000002</c:v>
                </c:pt>
                <c:pt idx="1">
                  <c:v>2.1851099999999999</c:v>
                </c:pt>
                <c:pt idx="2">
                  <c:v>2.2476099999999999</c:v>
                </c:pt>
                <c:pt idx="3">
                  <c:v>2.30837</c:v>
                </c:pt>
                <c:pt idx="4">
                  <c:v>2.3700099999999997</c:v>
                </c:pt>
                <c:pt idx="5">
                  <c:v>2.4338899999999999</c:v>
                </c:pt>
                <c:pt idx="6">
                  <c:v>2.4974499999999997</c:v>
                </c:pt>
                <c:pt idx="7">
                  <c:v>2.5609299999999999</c:v>
                </c:pt>
                <c:pt idx="8">
                  <c:v>2.6229200000000001</c:v>
                </c:pt>
                <c:pt idx="9">
                  <c:v>2.68248</c:v>
                </c:pt>
                <c:pt idx="10">
                  <c:v>2.7429300000000003</c:v>
                </c:pt>
                <c:pt idx="11">
                  <c:v>2.8046500000000001</c:v>
                </c:pt>
                <c:pt idx="12">
                  <c:v>2.8642000000000003</c:v>
                </c:pt>
                <c:pt idx="13">
                  <c:v>2.9186699999999997</c:v>
                </c:pt>
                <c:pt idx="14">
                  <c:v>2.9693199999999997</c:v>
                </c:pt>
                <c:pt idx="15">
                  <c:v>3.0188900000000003</c:v>
                </c:pt>
                <c:pt idx="16">
                  <c:v>3.0645699999999998</c:v>
                </c:pt>
                <c:pt idx="17">
                  <c:v>3.1055899999999999</c:v>
                </c:pt>
                <c:pt idx="18">
                  <c:v>3.1433400000000002</c:v>
                </c:pt>
                <c:pt idx="19">
                  <c:v>3.17509</c:v>
                </c:pt>
                <c:pt idx="20">
                  <c:v>3.2022899999999996</c:v>
                </c:pt>
                <c:pt idx="21">
                  <c:v>3.2278800000000003</c:v>
                </c:pt>
                <c:pt idx="22">
                  <c:v>3.2525300000000001</c:v>
                </c:pt>
                <c:pt idx="23">
                  <c:v>3.2785700000000002</c:v>
                </c:pt>
                <c:pt idx="24">
                  <c:v>3.2942900000000002</c:v>
                </c:pt>
                <c:pt idx="25">
                  <c:v>3.3069100000000002</c:v>
                </c:pt>
                <c:pt idx="26">
                  <c:v>3.3170799999999998</c:v>
                </c:pt>
                <c:pt idx="27">
                  <c:v>3.3207500000000003</c:v>
                </c:pt>
                <c:pt idx="28">
                  <c:v>3.32273</c:v>
                </c:pt>
                <c:pt idx="29">
                  <c:v>3.32463</c:v>
                </c:pt>
                <c:pt idx="30">
                  <c:v>3.3230700000000004</c:v>
                </c:pt>
                <c:pt idx="31">
                  <c:v>3.3194900000000001</c:v>
                </c:pt>
                <c:pt idx="32">
                  <c:v>3.3136999999999999</c:v>
                </c:pt>
                <c:pt idx="33">
                  <c:v>3.3075799999999997</c:v>
                </c:pt>
                <c:pt idx="34">
                  <c:v>3.2996099999999999</c:v>
                </c:pt>
                <c:pt idx="35">
                  <c:v>3.2892799999999998</c:v>
                </c:pt>
                <c:pt idx="36">
                  <c:v>3.2769199999999996</c:v>
                </c:pt>
                <c:pt idx="37">
                  <c:v>3.2680100000000003</c:v>
                </c:pt>
                <c:pt idx="38">
                  <c:v>3.2639200000000002</c:v>
                </c:pt>
                <c:pt idx="39">
                  <c:v>3.2637</c:v>
                </c:pt>
                <c:pt idx="40">
                  <c:v>3.2639</c:v>
                </c:pt>
                <c:pt idx="41">
                  <c:v>3.2667200000000003</c:v>
                </c:pt>
                <c:pt idx="42">
                  <c:v>3.2713700000000001</c:v>
                </c:pt>
                <c:pt idx="43">
                  <c:v>3.2754400000000001</c:v>
                </c:pt>
                <c:pt idx="44">
                  <c:v>3.2815400000000001</c:v>
                </c:pt>
                <c:pt idx="45">
                  <c:v>3.28945</c:v>
                </c:pt>
                <c:pt idx="46">
                  <c:v>3.2981199999999999</c:v>
                </c:pt>
                <c:pt idx="47">
                  <c:v>3.3036300000000001</c:v>
                </c:pt>
                <c:pt idx="48">
                  <c:v>3.3061499999999997</c:v>
                </c:pt>
                <c:pt idx="49">
                  <c:v>3.3085500000000003</c:v>
                </c:pt>
                <c:pt idx="50">
                  <c:v>3.3102300000000002</c:v>
                </c:pt>
                <c:pt idx="51">
                  <c:v>3.3130700000000002</c:v>
                </c:pt>
                <c:pt idx="52">
                  <c:v>3.3164300000000004</c:v>
                </c:pt>
                <c:pt idx="53">
                  <c:v>3.31976</c:v>
                </c:pt>
                <c:pt idx="54">
                  <c:v>3.3213999999999997</c:v>
                </c:pt>
                <c:pt idx="55">
                  <c:v>3.3224</c:v>
                </c:pt>
                <c:pt idx="56">
                  <c:v>3.3206500000000001</c:v>
                </c:pt>
                <c:pt idx="57">
                  <c:v>3.3190900000000001</c:v>
                </c:pt>
                <c:pt idx="58">
                  <c:v>3.3172699999999997</c:v>
                </c:pt>
                <c:pt idx="59">
                  <c:v>3.3153800000000002</c:v>
                </c:pt>
                <c:pt idx="60">
                  <c:v>3.3108900000000001</c:v>
                </c:pt>
                <c:pt idx="61">
                  <c:v>3.30227</c:v>
                </c:pt>
                <c:pt idx="62">
                  <c:v>3.2900600000000004</c:v>
                </c:pt>
                <c:pt idx="63">
                  <c:v>3.2759</c:v>
                </c:pt>
                <c:pt idx="64">
                  <c:v>3.2616200000000002</c:v>
                </c:pt>
                <c:pt idx="65">
                  <c:v>3.2482800000000003</c:v>
                </c:pt>
                <c:pt idx="66">
                  <c:v>3.23475</c:v>
                </c:pt>
                <c:pt idx="67">
                  <c:v>3.2224199999999996</c:v>
                </c:pt>
                <c:pt idx="68">
                  <c:v>3.2101500000000001</c:v>
                </c:pt>
                <c:pt idx="69">
                  <c:v>3.19937</c:v>
                </c:pt>
                <c:pt idx="70">
                  <c:v>3.1923300000000001</c:v>
                </c:pt>
                <c:pt idx="71">
                  <c:v>3.1851600000000002</c:v>
                </c:pt>
                <c:pt idx="72">
                  <c:v>3.1783999999999999</c:v>
                </c:pt>
                <c:pt idx="73">
                  <c:v>3.1701000000000001</c:v>
                </c:pt>
                <c:pt idx="74">
                  <c:v>3.1620900000000001</c:v>
                </c:pt>
                <c:pt idx="75">
                  <c:v>3.15469</c:v>
                </c:pt>
                <c:pt idx="76">
                  <c:v>3.1510600000000002</c:v>
                </c:pt>
                <c:pt idx="77">
                  <c:v>3.1510400000000001</c:v>
                </c:pt>
                <c:pt idx="78">
                  <c:v>3.15008</c:v>
                </c:pt>
                <c:pt idx="79">
                  <c:v>3.1471800000000001</c:v>
                </c:pt>
                <c:pt idx="80">
                  <c:v>3.1465300000000003</c:v>
                </c:pt>
                <c:pt idx="81">
                  <c:v>3.1468099999999999</c:v>
                </c:pt>
                <c:pt idx="82">
                  <c:v>3.1467700000000001</c:v>
                </c:pt>
                <c:pt idx="83">
                  <c:v>3.14649</c:v>
                </c:pt>
                <c:pt idx="84">
                  <c:v>3.1502699999999999</c:v>
                </c:pt>
                <c:pt idx="85">
                  <c:v>3.1596000000000002</c:v>
                </c:pt>
                <c:pt idx="86">
                  <c:v>3.1703199999999998</c:v>
                </c:pt>
                <c:pt idx="87">
                  <c:v>3.18004</c:v>
                </c:pt>
                <c:pt idx="88">
                  <c:v>3.1889699999999999</c:v>
                </c:pt>
                <c:pt idx="89">
                  <c:v>3.1978600000000004</c:v>
                </c:pt>
                <c:pt idx="90">
                  <c:v>3.2067000000000001</c:v>
                </c:pt>
                <c:pt idx="91">
                  <c:v>3.2140499999999999</c:v>
                </c:pt>
                <c:pt idx="92">
                  <c:v>3.21861</c:v>
                </c:pt>
                <c:pt idx="93">
                  <c:v>3.2220199999999997</c:v>
                </c:pt>
                <c:pt idx="94">
                  <c:v>3.2230699999999999</c:v>
                </c:pt>
                <c:pt idx="95">
                  <c:v>3.2224000000000004</c:v>
                </c:pt>
                <c:pt idx="96">
                  <c:v>3.2241</c:v>
                </c:pt>
                <c:pt idx="97">
                  <c:v>3.2289699999999999</c:v>
                </c:pt>
                <c:pt idx="98">
                  <c:v>3.2355200000000002</c:v>
                </c:pt>
                <c:pt idx="99">
                  <c:v>3.2451400000000001</c:v>
                </c:pt>
                <c:pt idx="100">
                  <c:v>3.2555000000000001</c:v>
                </c:pt>
                <c:pt idx="101">
                  <c:v>3.2680700000000003</c:v>
                </c:pt>
                <c:pt idx="102">
                  <c:v>3.2762799999999999</c:v>
                </c:pt>
                <c:pt idx="103">
                  <c:v>3.2824499999999999</c:v>
                </c:pt>
                <c:pt idx="104">
                  <c:v>3.28749</c:v>
                </c:pt>
                <c:pt idx="105">
                  <c:v>3.2953399999999999</c:v>
                </c:pt>
                <c:pt idx="106">
                  <c:v>3.3046100000000003</c:v>
                </c:pt>
                <c:pt idx="107">
                  <c:v>3.3148100000000005</c:v>
                </c:pt>
                <c:pt idx="108">
                  <c:v>3.3258799999999997</c:v>
                </c:pt>
                <c:pt idx="109">
                  <c:v>3.3375500000000002</c:v>
                </c:pt>
                <c:pt idx="110">
                  <c:v>3.3482000000000003</c:v>
                </c:pt>
                <c:pt idx="111">
                  <c:v>3.35968</c:v>
                </c:pt>
                <c:pt idx="112">
                  <c:v>3.3739799999999995</c:v>
                </c:pt>
                <c:pt idx="113">
                  <c:v>3.3868900000000002</c:v>
                </c:pt>
                <c:pt idx="114">
                  <c:v>3.3971099999999996</c:v>
                </c:pt>
                <c:pt idx="115">
                  <c:v>3.4079900000000003</c:v>
                </c:pt>
                <c:pt idx="116">
                  <c:v>3.4155699999999998</c:v>
                </c:pt>
                <c:pt idx="117">
                  <c:v>3.4239299999999999</c:v>
                </c:pt>
                <c:pt idx="118">
                  <c:v>3.4334500000000001</c:v>
                </c:pt>
                <c:pt idx="119">
                  <c:v>3.4412900000000004</c:v>
                </c:pt>
                <c:pt idx="120">
                  <c:v>3.4488400000000001</c:v>
                </c:pt>
                <c:pt idx="121">
                  <c:v>3.4578500000000001</c:v>
                </c:pt>
                <c:pt idx="122">
                  <c:v>3.4660600000000001</c:v>
                </c:pt>
                <c:pt idx="123">
                  <c:v>3.4719299999999995</c:v>
                </c:pt>
                <c:pt idx="124">
                  <c:v>3.4758099999999996</c:v>
                </c:pt>
                <c:pt idx="125">
                  <c:v>3.4777200000000001</c:v>
                </c:pt>
                <c:pt idx="126">
                  <c:v>3.4752999999999998</c:v>
                </c:pt>
                <c:pt idx="127">
                  <c:v>3.4740799999999998</c:v>
                </c:pt>
                <c:pt idx="128">
                  <c:v>3.4771299999999998</c:v>
                </c:pt>
                <c:pt idx="129">
                  <c:v>3.4828100000000002</c:v>
                </c:pt>
                <c:pt idx="130">
                  <c:v>3.4864299999999999</c:v>
                </c:pt>
                <c:pt idx="131">
                  <c:v>3.48813</c:v>
                </c:pt>
                <c:pt idx="132">
                  <c:v>3.4896500000000001</c:v>
                </c:pt>
                <c:pt idx="133">
                  <c:v>3.4894699999999998</c:v>
                </c:pt>
                <c:pt idx="134">
                  <c:v>3.4855900000000002</c:v>
                </c:pt>
                <c:pt idx="135">
                  <c:v>3.4778500000000001</c:v>
                </c:pt>
                <c:pt idx="136">
                  <c:v>3.4697</c:v>
                </c:pt>
                <c:pt idx="137">
                  <c:v>3.4584999999999999</c:v>
                </c:pt>
                <c:pt idx="138">
                  <c:v>3.4505599999999998</c:v>
                </c:pt>
                <c:pt idx="139">
                  <c:v>3.4457599999999999</c:v>
                </c:pt>
                <c:pt idx="140">
                  <c:v>3.4340999999999999</c:v>
                </c:pt>
                <c:pt idx="141">
                  <c:v>3.4332000000000003</c:v>
                </c:pt>
                <c:pt idx="142">
                  <c:v>3.4332500000000001</c:v>
                </c:pt>
                <c:pt idx="143">
                  <c:v>3.4329199999999997</c:v>
                </c:pt>
                <c:pt idx="144">
                  <c:v>3.4431099999999999</c:v>
                </c:pt>
                <c:pt idx="145">
                  <c:v>3.4567199999999998</c:v>
                </c:pt>
                <c:pt idx="146">
                  <c:v>3.4590399999999999</c:v>
                </c:pt>
                <c:pt idx="147">
                  <c:v>3.4271400000000001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49.513800000000003</c:v>
                </c:pt>
                <c:pt idx="1">
                  <c:v>48.295200000000001</c:v>
                </c:pt>
                <c:pt idx="2">
                  <c:v>46.943300000000001</c:v>
                </c:pt>
                <c:pt idx="3">
                  <c:v>45.671499999999995</c:v>
                </c:pt>
                <c:pt idx="4">
                  <c:v>44.439099999999996</c:v>
                </c:pt>
                <c:pt idx="5">
                  <c:v>43.232799999999997</c:v>
                </c:pt>
                <c:pt idx="6">
                  <c:v>42.0625</c:v>
                </c:pt>
                <c:pt idx="7">
                  <c:v>40.860999999999997</c:v>
                </c:pt>
                <c:pt idx="8">
                  <c:v>39.742400000000004</c:v>
                </c:pt>
                <c:pt idx="9">
                  <c:v>38.632899999999999</c:v>
                </c:pt>
                <c:pt idx="10">
                  <c:v>37.490600000000001</c:v>
                </c:pt>
                <c:pt idx="11">
                  <c:v>36.3399</c:v>
                </c:pt>
                <c:pt idx="12">
                  <c:v>35.410899999999998</c:v>
                </c:pt>
                <c:pt idx="13">
                  <c:v>34.639900000000004</c:v>
                </c:pt>
                <c:pt idx="14">
                  <c:v>34.051900000000003</c:v>
                </c:pt>
                <c:pt idx="15">
                  <c:v>33.4923</c:v>
                </c:pt>
                <c:pt idx="16">
                  <c:v>32.994800000000005</c:v>
                </c:pt>
                <c:pt idx="17">
                  <c:v>32.442900000000002</c:v>
                </c:pt>
                <c:pt idx="18">
                  <c:v>31.760699999999996</c:v>
                </c:pt>
                <c:pt idx="19">
                  <c:v>31.154300000000003</c:v>
                </c:pt>
                <c:pt idx="20">
                  <c:v>30.531799999999997</c:v>
                </c:pt>
                <c:pt idx="21">
                  <c:v>29.902299999999997</c:v>
                </c:pt>
                <c:pt idx="22">
                  <c:v>29.242600000000003</c:v>
                </c:pt>
                <c:pt idx="23">
                  <c:v>28.607500000000002</c:v>
                </c:pt>
                <c:pt idx="24">
                  <c:v>28.0989</c:v>
                </c:pt>
                <c:pt idx="25">
                  <c:v>27.668300000000002</c:v>
                </c:pt>
                <c:pt idx="26">
                  <c:v>27.2484</c:v>
                </c:pt>
                <c:pt idx="27">
                  <c:v>26.917400000000001</c:v>
                </c:pt>
                <c:pt idx="28">
                  <c:v>26.635599999999997</c:v>
                </c:pt>
                <c:pt idx="29">
                  <c:v>26.365499999999997</c:v>
                </c:pt>
                <c:pt idx="30">
                  <c:v>26.174399999999999</c:v>
                </c:pt>
                <c:pt idx="31">
                  <c:v>25.9785</c:v>
                </c:pt>
                <c:pt idx="32">
                  <c:v>25.946200000000001</c:v>
                </c:pt>
                <c:pt idx="33">
                  <c:v>26.001000000000001</c:v>
                </c:pt>
                <c:pt idx="34">
                  <c:v>26.081500000000002</c:v>
                </c:pt>
                <c:pt idx="35">
                  <c:v>26.257399999999997</c:v>
                </c:pt>
                <c:pt idx="36">
                  <c:v>26.552199999999999</c:v>
                </c:pt>
                <c:pt idx="37">
                  <c:v>26.828299999999999</c:v>
                </c:pt>
                <c:pt idx="38">
                  <c:v>27.117200000000004</c:v>
                </c:pt>
                <c:pt idx="39">
                  <c:v>27.325399999999998</c:v>
                </c:pt>
                <c:pt idx="40">
                  <c:v>27.533800000000003</c:v>
                </c:pt>
                <c:pt idx="41">
                  <c:v>27.709299999999999</c:v>
                </c:pt>
                <c:pt idx="42">
                  <c:v>27.877800000000004</c:v>
                </c:pt>
                <c:pt idx="43">
                  <c:v>28.148499999999999</c:v>
                </c:pt>
                <c:pt idx="44">
                  <c:v>28.384500000000003</c:v>
                </c:pt>
                <c:pt idx="45">
                  <c:v>28.655900000000003</c:v>
                </c:pt>
                <c:pt idx="46">
                  <c:v>28.910599999999999</c:v>
                </c:pt>
                <c:pt idx="47">
                  <c:v>29.214200000000002</c:v>
                </c:pt>
                <c:pt idx="48">
                  <c:v>29.608800000000002</c:v>
                </c:pt>
                <c:pt idx="49">
                  <c:v>29.984899999999996</c:v>
                </c:pt>
                <c:pt idx="50">
                  <c:v>30.236699999999999</c:v>
                </c:pt>
                <c:pt idx="51">
                  <c:v>30.5533</c:v>
                </c:pt>
                <c:pt idx="52">
                  <c:v>30.853899999999999</c:v>
                </c:pt>
                <c:pt idx="53">
                  <c:v>31.1</c:v>
                </c:pt>
                <c:pt idx="54">
                  <c:v>31.246600000000001</c:v>
                </c:pt>
                <c:pt idx="55">
                  <c:v>31.326999999999998</c:v>
                </c:pt>
                <c:pt idx="56">
                  <c:v>31.497299999999999</c:v>
                </c:pt>
                <c:pt idx="57">
                  <c:v>31.639899999999997</c:v>
                </c:pt>
                <c:pt idx="58">
                  <c:v>31.752000000000002</c:v>
                </c:pt>
                <c:pt idx="59">
                  <c:v>31.881599999999999</c:v>
                </c:pt>
                <c:pt idx="60">
                  <c:v>32.050600000000003</c:v>
                </c:pt>
                <c:pt idx="61">
                  <c:v>32.2288</c:v>
                </c:pt>
                <c:pt idx="62">
                  <c:v>32.379000000000005</c:v>
                </c:pt>
                <c:pt idx="63">
                  <c:v>32.513599999999997</c:v>
                </c:pt>
                <c:pt idx="64">
                  <c:v>32.688499999999998</c:v>
                </c:pt>
                <c:pt idx="65">
                  <c:v>32.908000000000001</c:v>
                </c:pt>
                <c:pt idx="66">
                  <c:v>33.177199999999999</c:v>
                </c:pt>
                <c:pt idx="67">
                  <c:v>33.528300000000002</c:v>
                </c:pt>
                <c:pt idx="68">
                  <c:v>33.8947</c:v>
                </c:pt>
                <c:pt idx="69">
                  <c:v>34.231899999999996</c:v>
                </c:pt>
                <c:pt idx="70">
                  <c:v>34.4604</c:v>
                </c:pt>
                <c:pt idx="71">
                  <c:v>34.678100000000001</c:v>
                </c:pt>
                <c:pt idx="72">
                  <c:v>34.926200000000001</c:v>
                </c:pt>
                <c:pt idx="73">
                  <c:v>35.113199999999999</c:v>
                </c:pt>
                <c:pt idx="74">
                  <c:v>35.32</c:v>
                </c:pt>
                <c:pt idx="75">
                  <c:v>35.695799999999998</c:v>
                </c:pt>
                <c:pt idx="76">
                  <c:v>35.875399999999999</c:v>
                </c:pt>
                <c:pt idx="77">
                  <c:v>36.016399999999997</c:v>
                </c:pt>
                <c:pt idx="78">
                  <c:v>36.255700000000004</c:v>
                </c:pt>
                <c:pt idx="79">
                  <c:v>36.530699999999996</c:v>
                </c:pt>
                <c:pt idx="80">
                  <c:v>36.757300000000001</c:v>
                </c:pt>
                <c:pt idx="81">
                  <c:v>36.926700000000004</c:v>
                </c:pt>
                <c:pt idx="82">
                  <c:v>37.1023</c:v>
                </c:pt>
                <c:pt idx="83">
                  <c:v>37.2774</c:v>
                </c:pt>
                <c:pt idx="84">
                  <c:v>37.382300000000001</c:v>
                </c:pt>
                <c:pt idx="85">
                  <c:v>37.360900000000001</c:v>
                </c:pt>
                <c:pt idx="86">
                  <c:v>37.303799999999995</c:v>
                </c:pt>
                <c:pt idx="87">
                  <c:v>37.328499999999998</c:v>
                </c:pt>
                <c:pt idx="88">
                  <c:v>37.345399999999998</c:v>
                </c:pt>
                <c:pt idx="89">
                  <c:v>37.368000000000002</c:v>
                </c:pt>
                <c:pt idx="90">
                  <c:v>37.343199999999996</c:v>
                </c:pt>
                <c:pt idx="91">
                  <c:v>37.294400000000003</c:v>
                </c:pt>
                <c:pt idx="92">
                  <c:v>37.190400000000004</c:v>
                </c:pt>
                <c:pt idx="93">
                  <c:v>37.078299999999999</c:v>
                </c:pt>
                <c:pt idx="94">
                  <c:v>37.008699999999997</c:v>
                </c:pt>
                <c:pt idx="95">
                  <c:v>36.987400000000001</c:v>
                </c:pt>
                <c:pt idx="96">
                  <c:v>36.960999999999999</c:v>
                </c:pt>
                <c:pt idx="97">
                  <c:v>36.8399</c:v>
                </c:pt>
                <c:pt idx="98">
                  <c:v>36.685099999999998</c:v>
                </c:pt>
                <c:pt idx="99">
                  <c:v>36.494700000000002</c:v>
                </c:pt>
                <c:pt idx="100">
                  <c:v>36.204599999999999</c:v>
                </c:pt>
                <c:pt idx="101">
                  <c:v>35.912300000000002</c:v>
                </c:pt>
                <c:pt idx="102">
                  <c:v>35.7483</c:v>
                </c:pt>
                <c:pt idx="103">
                  <c:v>35.671799999999998</c:v>
                </c:pt>
                <c:pt idx="104">
                  <c:v>35.5991</c:v>
                </c:pt>
                <c:pt idx="105">
                  <c:v>35.421599999999998</c:v>
                </c:pt>
                <c:pt idx="106">
                  <c:v>35.235300000000002</c:v>
                </c:pt>
                <c:pt idx="107">
                  <c:v>34.993699999999997</c:v>
                </c:pt>
                <c:pt idx="108">
                  <c:v>34.7136</c:v>
                </c:pt>
                <c:pt idx="109">
                  <c:v>34.377299999999998</c:v>
                </c:pt>
                <c:pt idx="110">
                  <c:v>34.025399999999998</c:v>
                </c:pt>
                <c:pt idx="111">
                  <c:v>33.788899999999998</c:v>
                </c:pt>
                <c:pt idx="112">
                  <c:v>33.5244</c:v>
                </c:pt>
                <c:pt idx="113">
                  <c:v>33.275399999999998</c:v>
                </c:pt>
                <c:pt idx="114">
                  <c:v>33.103900000000003</c:v>
                </c:pt>
                <c:pt idx="115">
                  <c:v>32.886200000000002</c:v>
                </c:pt>
                <c:pt idx="116">
                  <c:v>32.703700000000005</c:v>
                </c:pt>
                <c:pt idx="117">
                  <c:v>32.595200000000006</c:v>
                </c:pt>
                <c:pt idx="118">
                  <c:v>32.482599999999998</c:v>
                </c:pt>
                <c:pt idx="119">
                  <c:v>32.394099999999995</c:v>
                </c:pt>
                <c:pt idx="120">
                  <c:v>32.321399999999997</c:v>
                </c:pt>
                <c:pt idx="121">
                  <c:v>32.0901</c:v>
                </c:pt>
                <c:pt idx="122">
                  <c:v>31.835699999999999</c:v>
                </c:pt>
                <c:pt idx="123">
                  <c:v>31.703199999999999</c:v>
                </c:pt>
                <c:pt idx="124">
                  <c:v>31.620100000000001</c:v>
                </c:pt>
                <c:pt idx="125">
                  <c:v>31.563400000000001</c:v>
                </c:pt>
                <c:pt idx="126">
                  <c:v>31.543500000000002</c:v>
                </c:pt>
                <c:pt idx="127">
                  <c:v>31.441700000000001</c:v>
                </c:pt>
                <c:pt idx="128">
                  <c:v>31.242900000000002</c:v>
                </c:pt>
                <c:pt idx="129">
                  <c:v>31.060300000000002</c:v>
                </c:pt>
                <c:pt idx="130">
                  <c:v>30.948999999999998</c:v>
                </c:pt>
                <c:pt idx="131">
                  <c:v>30.8568</c:v>
                </c:pt>
                <c:pt idx="132">
                  <c:v>30.786400000000004</c:v>
                </c:pt>
                <c:pt idx="133">
                  <c:v>30.764200000000002</c:v>
                </c:pt>
                <c:pt idx="134">
                  <c:v>30.8215</c:v>
                </c:pt>
                <c:pt idx="135">
                  <c:v>30.971500000000002</c:v>
                </c:pt>
                <c:pt idx="136">
                  <c:v>30.9573</c:v>
                </c:pt>
                <c:pt idx="137">
                  <c:v>30.9819</c:v>
                </c:pt>
                <c:pt idx="138">
                  <c:v>30.999399999999998</c:v>
                </c:pt>
                <c:pt idx="139">
                  <c:v>30.856499999999997</c:v>
                </c:pt>
                <c:pt idx="140">
                  <c:v>30.891300000000001</c:v>
                </c:pt>
                <c:pt idx="141">
                  <c:v>30.830600000000004</c:v>
                </c:pt>
                <c:pt idx="142">
                  <c:v>30.580500000000001</c:v>
                </c:pt>
                <c:pt idx="143">
                  <c:v>30.293599999999998</c:v>
                </c:pt>
                <c:pt idx="144">
                  <c:v>29.770299999999999</c:v>
                </c:pt>
                <c:pt idx="145">
                  <c:v>28.899599999999996</c:v>
                </c:pt>
                <c:pt idx="146">
                  <c:v>28.383599999999998</c:v>
                </c:pt>
                <c:pt idx="147">
                  <c:v>29.121000000000002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2.1240200000000002</c:v>
                </c:pt>
                <c:pt idx="1">
                  <c:v>2.1851099999999999</c:v>
                </c:pt>
                <c:pt idx="2">
                  <c:v>2.2476099999999999</c:v>
                </c:pt>
                <c:pt idx="3">
                  <c:v>2.30837</c:v>
                </c:pt>
                <c:pt idx="4">
                  <c:v>2.3700099999999997</c:v>
                </c:pt>
                <c:pt idx="5">
                  <c:v>2.4338899999999999</c:v>
                </c:pt>
                <c:pt idx="6">
                  <c:v>2.4974499999999997</c:v>
                </c:pt>
                <c:pt idx="7">
                  <c:v>2.5609299999999999</c:v>
                </c:pt>
                <c:pt idx="8">
                  <c:v>2.6229200000000001</c:v>
                </c:pt>
                <c:pt idx="9">
                  <c:v>2.68248</c:v>
                </c:pt>
                <c:pt idx="10">
                  <c:v>2.7429300000000003</c:v>
                </c:pt>
                <c:pt idx="11">
                  <c:v>2.8046500000000001</c:v>
                </c:pt>
                <c:pt idx="12">
                  <c:v>2.8642000000000003</c:v>
                </c:pt>
                <c:pt idx="13">
                  <c:v>2.9186699999999997</c:v>
                </c:pt>
                <c:pt idx="14">
                  <c:v>2.9693199999999997</c:v>
                </c:pt>
                <c:pt idx="15">
                  <c:v>3.0188900000000003</c:v>
                </c:pt>
                <c:pt idx="16">
                  <c:v>3.0645699999999998</c:v>
                </c:pt>
                <c:pt idx="17">
                  <c:v>3.1055899999999999</c:v>
                </c:pt>
                <c:pt idx="18">
                  <c:v>3.1433400000000002</c:v>
                </c:pt>
                <c:pt idx="19">
                  <c:v>3.17509</c:v>
                </c:pt>
                <c:pt idx="20">
                  <c:v>3.2022899999999996</c:v>
                </c:pt>
                <c:pt idx="21">
                  <c:v>3.2278800000000003</c:v>
                </c:pt>
                <c:pt idx="22">
                  <c:v>3.2525300000000001</c:v>
                </c:pt>
                <c:pt idx="23">
                  <c:v>3.2785700000000002</c:v>
                </c:pt>
                <c:pt idx="24">
                  <c:v>3.2942900000000002</c:v>
                </c:pt>
                <c:pt idx="25">
                  <c:v>3.3069100000000002</c:v>
                </c:pt>
                <c:pt idx="26">
                  <c:v>3.3170799999999998</c:v>
                </c:pt>
                <c:pt idx="27">
                  <c:v>3.3207500000000003</c:v>
                </c:pt>
                <c:pt idx="28">
                  <c:v>3.32273</c:v>
                </c:pt>
                <c:pt idx="29">
                  <c:v>3.32463</c:v>
                </c:pt>
                <c:pt idx="30">
                  <c:v>3.3230700000000004</c:v>
                </c:pt>
                <c:pt idx="31">
                  <c:v>3.3194900000000001</c:v>
                </c:pt>
                <c:pt idx="32">
                  <c:v>3.3136999999999999</c:v>
                </c:pt>
                <c:pt idx="33">
                  <c:v>3.3075799999999997</c:v>
                </c:pt>
                <c:pt idx="34">
                  <c:v>3.2996099999999999</c:v>
                </c:pt>
                <c:pt idx="35">
                  <c:v>3.2892799999999998</c:v>
                </c:pt>
                <c:pt idx="36">
                  <c:v>3.2769199999999996</c:v>
                </c:pt>
                <c:pt idx="37">
                  <c:v>3.2680100000000003</c:v>
                </c:pt>
                <c:pt idx="38">
                  <c:v>3.2639200000000002</c:v>
                </c:pt>
                <c:pt idx="39">
                  <c:v>3.2637</c:v>
                </c:pt>
                <c:pt idx="40">
                  <c:v>3.2639</c:v>
                </c:pt>
                <c:pt idx="41">
                  <c:v>3.2667200000000003</c:v>
                </c:pt>
                <c:pt idx="42">
                  <c:v>3.2713700000000001</c:v>
                </c:pt>
                <c:pt idx="43">
                  <c:v>3.2754400000000001</c:v>
                </c:pt>
                <c:pt idx="44">
                  <c:v>3.2815400000000001</c:v>
                </c:pt>
                <c:pt idx="45">
                  <c:v>3.28945</c:v>
                </c:pt>
                <c:pt idx="46">
                  <c:v>3.2981199999999999</c:v>
                </c:pt>
                <c:pt idx="47">
                  <c:v>3.3036300000000001</c:v>
                </c:pt>
                <c:pt idx="48">
                  <c:v>3.3061499999999997</c:v>
                </c:pt>
                <c:pt idx="49">
                  <c:v>3.3085500000000003</c:v>
                </c:pt>
                <c:pt idx="50">
                  <c:v>3.3102300000000002</c:v>
                </c:pt>
                <c:pt idx="51">
                  <c:v>3.3130700000000002</c:v>
                </c:pt>
                <c:pt idx="52">
                  <c:v>3.3164300000000004</c:v>
                </c:pt>
                <c:pt idx="53">
                  <c:v>3.31976</c:v>
                </c:pt>
                <c:pt idx="54">
                  <c:v>3.3213999999999997</c:v>
                </c:pt>
                <c:pt idx="55">
                  <c:v>3.3224</c:v>
                </c:pt>
                <c:pt idx="56">
                  <c:v>3.3206500000000001</c:v>
                </c:pt>
                <c:pt idx="57">
                  <c:v>3.3190900000000001</c:v>
                </c:pt>
                <c:pt idx="58">
                  <c:v>3.3172699999999997</c:v>
                </c:pt>
                <c:pt idx="59">
                  <c:v>3.3153800000000002</c:v>
                </c:pt>
                <c:pt idx="60">
                  <c:v>3.3108900000000001</c:v>
                </c:pt>
                <c:pt idx="61">
                  <c:v>3.30227</c:v>
                </c:pt>
                <c:pt idx="62">
                  <c:v>3.2900600000000004</c:v>
                </c:pt>
                <c:pt idx="63">
                  <c:v>3.2759</c:v>
                </c:pt>
                <c:pt idx="64">
                  <c:v>3.2616200000000002</c:v>
                </c:pt>
                <c:pt idx="65">
                  <c:v>3.2482800000000003</c:v>
                </c:pt>
                <c:pt idx="66">
                  <c:v>3.23475</c:v>
                </c:pt>
                <c:pt idx="67">
                  <c:v>3.2224199999999996</c:v>
                </c:pt>
                <c:pt idx="68">
                  <c:v>3.2101500000000001</c:v>
                </c:pt>
                <c:pt idx="69">
                  <c:v>3.19937</c:v>
                </c:pt>
                <c:pt idx="70">
                  <c:v>3.1923300000000001</c:v>
                </c:pt>
                <c:pt idx="71">
                  <c:v>3.1851600000000002</c:v>
                </c:pt>
                <c:pt idx="72">
                  <c:v>3.1783999999999999</c:v>
                </c:pt>
                <c:pt idx="73">
                  <c:v>3.1701000000000001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49.513800000000003</c:v>
                </c:pt>
                <c:pt idx="1">
                  <c:v>48.295200000000001</c:v>
                </c:pt>
                <c:pt idx="2">
                  <c:v>46.943300000000001</c:v>
                </c:pt>
                <c:pt idx="3">
                  <c:v>45.671499999999995</c:v>
                </c:pt>
                <c:pt idx="4">
                  <c:v>44.439099999999996</c:v>
                </c:pt>
                <c:pt idx="5">
                  <c:v>43.232799999999997</c:v>
                </c:pt>
                <c:pt idx="6">
                  <c:v>42.0625</c:v>
                </c:pt>
                <c:pt idx="7">
                  <c:v>40.860999999999997</c:v>
                </c:pt>
                <c:pt idx="8">
                  <c:v>39.742400000000004</c:v>
                </c:pt>
                <c:pt idx="9">
                  <c:v>38.632899999999999</c:v>
                </c:pt>
                <c:pt idx="10">
                  <c:v>37.490600000000001</c:v>
                </c:pt>
                <c:pt idx="11">
                  <c:v>36.3399</c:v>
                </c:pt>
                <c:pt idx="12">
                  <c:v>35.410899999999998</c:v>
                </c:pt>
                <c:pt idx="13">
                  <c:v>34.639900000000004</c:v>
                </c:pt>
                <c:pt idx="14">
                  <c:v>34.051900000000003</c:v>
                </c:pt>
                <c:pt idx="15">
                  <c:v>33.4923</c:v>
                </c:pt>
                <c:pt idx="16">
                  <c:v>32.994800000000005</c:v>
                </c:pt>
                <c:pt idx="17">
                  <c:v>32.442900000000002</c:v>
                </c:pt>
                <c:pt idx="18">
                  <c:v>31.760699999999996</c:v>
                </c:pt>
                <c:pt idx="19">
                  <c:v>31.154300000000003</c:v>
                </c:pt>
                <c:pt idx="20">
                  <c:v>30.531799999999997</c:v>
                </c:pt>
                <c:pt idx="21">
                  <c:v>29.902299999999997</c:v>
                </c:pt>
                <c:pt idx="22">
                  <c:v>29.242600000000003</c:v>
                </c:pt>
                <c:pt idx="23">
                  <c:v>28.607500000000002</c:v>
                </c:pt>
                <c:pt idx="24">
                  <c:v>28.0989</c:v>
                </c:pt>
                <c:pt idx="25">
                  <c:v>27.668300000000002</c:v>
                </c:pt>
                <c:pt idx="26">
                  <c:v>27.2484</c:v>
                </c:pt>
                <c:pt idx="27">
                  <c:v>26.917400000000001</c:v>
                </c:pt>
                <c:pt idx="28">
                  <c:v>26.635599999999997</c:v>
                </c:pt>
                <c:pt idx="29">
                  <c:v>26.365499999999997</c:v>
                </c:pt>
                <c:pt idx="30">
                  <c:v>26.174399999999999</c:v>
                </c:pt>
                <c:pt idx="31">
                  <c:v>25.9785</c:v>
                </c:pt>
                <c:pt idx="32">
                  <c:v>25.946200000000001</c:v>
                </c:pt>
                <c:pt idx="33">
                  <c:v>26.001000000000001</c:v>
                </c:pt>
                <c:pt idx="34">
                  <c:v>26.081500000000002</c:v>
                </c:pt>
                <c:pt idx="35">
                  <c:v>26.257399999999997</c:v>
                </c:pt>
                <c:pt idx="36">
                  <c:v>26.552199999999999</c:v>
                </c:pt>
                <c:pt idx="37">
                  <c:v>26.828299999999999</c:v>
                </c:pt>
                <c:pt idx="38">
                  <c:v>27.117200000000004</c:v>
                </c:pt>
                <c:pt idx="39">
                  <c:v>27.325399999999998</c:v>
                </c:pt>
                <c:pt idx="40">
                  <c:v>27.533800000000003</c:v>
                </c:pt>
                <c:pt idx="41">
                  <c:v>27.709299999999999</c:v>
                </c:pt>
                <c:pt idx="42">
                  <c:v>27.877800000000004</c:v>
                </c:pt>
                <c:pt idx="43">
                  <c:v>28.148499999999999</c:v>
                </c:pt>
                <c:pt idx="44">
                  <c:v>28.384500000000003</c:v>
                </c:pt>
                <c:pt idx="45">
                  <c:v>28.655900000000003</c:v>
                </c:pt>
                <c:pt idx="46">
                  <c:v>28.910599999999999</c:v>
                </c:pt>
                <c:pt idx="47">
                  <c:v>29.214200000000002</c:v>
                </c:pt>
                <c:pt idx="48">
                  <c:v>29.608800000000002</c:v>
                </c:pt>
                <c:pt idx="49">
                  <c:v>29.984899999999996</c:v>
                </c:pt>
                <c:pt idx="50">
                  <c:v>30.236699999999999</c:v>
                </c:pt>
                <c:pt idx="51">
                  <c:v>30.5533</c:v>
                </c:pt>
                <c:pt idx="52">
                  <c:v>30.853899999999999</c:v>
                </c:pt>
                <c:pt idx="53">
                  <c:v>31.1</c:v>
                </c:pt>
                <c:pt idx="54">
                  <c:v>31.246600000000001</c:v>
                </c:pt>
                <c:pt idx="55">
                  <c:v>31.326999999999998</c:v>
                </c:pt>
                <c:pt idx="56">
                  <c:v>31.497299999999999</c:v>
                </c:pt>
                <c:pt idx="57">
                  <c:v>31.639899999999997</c:v>
                </c:pt>
                <c:pt idx="58">
                  <c:v>31.752000000000002</c:v>
                </c:pt>
                <c:pt idx="59">
                  <c:v>31.881599999999999</c:v>
                </c:pt>
                <c:pt idx="60">
                  <c:v>32.050600000000003</c:v>
                </c:pt>
                <c:pt idx="61">
                  <c:v>32.2288</c:v>
                </c:pt>
                <c:pt idx="62">
                  <c:v>32.379000000000005</c:v>
                </c:pt>
                <c:pt idx="63">
                  <c:v>32.513599999999997</c:v>
                </c:pt>
                <c:pt idx="64">
                  <c:v>32.688499999999998</c:v>
                </c:pt>
                <c:pt idx="65">
                  <c:v>32.908000000000001</c:v>
                </c:pt>
                <c:pt idx="66">
                  <c:v>33.177199999999999</c:v>
                </c:pt>
                <c:pt idx="67">
                  <c:v>33.528300000000002</c:v>
                </c:pt>
                <c:pt idx="68">
                  <c:v>33.8947</c:v>
                </c:pt>
                <c:pt idx="69">
                  <c:v>34.231899999999996</c:v>
                </c:pt>
                <c:pt idx="70">
                  <c:v>34.4604</c:v>
                </c:pt>
                <c:pt idx="71">
                  <c:v>34.678100000000001</c:v>
                </c:pt>
                <c:pt idx="72">
                  <c:v>34.926200000000001</c:v>
                </c:pt>
                <c:pt idx="73">
                  <c:v>35.113199999999999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3.1701000000000001</c:v>
                </c:pt>
                <c:pt idx="1">
                  <c:v>3.1620900000000001</c:v>
                </c:pt>
                <c:pt idx="2">
                  <c:v>3.15469</c:v>
                </c:pt>
                <c:pt idx="3">
                  <c:v>3.1510600000000002</c:v>
                </c:pt>
                <c:pt idx="4">
                  <c:v>3.1510400000000001</c:v>
                </c:pt>
                <c:pt idx="5">
                  <c:v>3.15008</c:v>
                </c:pt>
                <c:pt idx="6">
                  <c:v>3.1471800000000001</c:v>
                </c:pt>
                <c:pt idx="7">
                  <c:v>3.1465300000000003</c:v>
                </c:pt>
                <c:pt idx="8">
                  <c:v>3.1468099999999999</c:v>
                </c:pt>
                <c:pt idx="9">
                  <c:v>3.1467700000000001</c:v>
                </c:pt>
                <c:pt idx="10">
                  <c:v>3.14649</c:v>
                </c:pt>
                <c:pt idx="11">
                  <c:v>3.1502699999999999</c:v>
                </c:pt>
                <c:pt idx="12">
                  <c:v>3.1596000000000002</c:v>
                </c:pt>
                <c:pt idx="13">
                  <c:v>3.1703199999999998</c:v>
                </c:pt>
                <c:pt idx="14">
                  <c:v>3.18004</c:v>
                </c:pt>
                <c:pt idx="15">
                  <c:v>3.1889699999999999</c:v>
                </c:pt>
                <c:pt idx="16">
                  <c:v>3.1978600000000004</c:v>
                </c:pt>
                <c:pt idx="17">
                  <c:v>3.2067000000000001</c:v>
                </c:pt>
                <c:pt idx="18">
                  <c:v>3.2140499999999999</c:v>
                </c:pt>
                <c:pt idx="19">
                  <c:v>3.21861</c:v>
                </c:pt>
                <c:pt idx="20">
                  <c:v>3.2220199999999997</c:v>
                </c:pt>
                <c:pt idx="21">
                  <c:v>3.2230699999999999</c:v>
                </c:pt>
                <c:pt idx="22">
                  <c:v>3.2224000000000004</c:v>
                </c:pt>
                <c:pt idx="23">
                  <c:v>3.2241</c:v>
                </c:pt>
                <c:pt idx="24">
                  <c:v>3.2289699999999999</c:v>
                </c:pt>
                <c:pt idx="25">
                  <c:v>3.2355200000000002</c:v>
                </c:pt>
                <c:pt idx="26">
                  <c:v>3.2451400000000001</c:v>
                </c:pt>
                <c:pt idx="27">
                  <c:v>3.2555000000000001</c:v>
                </c:pt>
                <c:pt idx="28">
                  <c:v>3.2680700000000003</c:v>
                </c:pt>
                <c:pt idx="29">
                  <c:v>3.2762799999999999</c:v>
                </c:pt>
                <c:pt idx="30">
                  <c:v>3.2824499999999999</c:v>
                </c:pt>
                <c:pt idx="31">
                  <c:v>3.28749</c:v>
                </c:pt>
                <c:pt idx="32">
                  <c:v>3.2953399999999999</c:v>
                </c:pt>
                <c:pt idx="33">
                  <c:v>3.3046100000000003</c:v>
                </c:pt>
                <c:pt idx="34">
                  <c:v>3.3148100000000005</c:v>
                </c:pt>
                <c:pt idx="35">
                  <c:v>3.3258799999999997</c:v>
                </c:pt>
                <c:pt idx="36">
                  <c:v>3.3375500000000002</c:v>
                </c:pt>
                <c:pt idx="37">
                  <c:v>3.3482000000000003</c:v>
                </c:pt>
                <c:pt idx="38">
                  <c:v>3.35968</c:v>
                </c:pt>
                <c:pt idx="39">
                  <c:v>3.3739799999999995</c:v>
                </c:pt>
                <c:pt idx="40">
                  <c:v>3.3868900000000002</c:v>
                </c:pt>
                <c:pt idx="41">
                  <c:v>3.3971099999999996</c:v>
                </c:pt>
                <c:pt idx="42">
                  <c:v>3.4079900000000003</c:v>
                </c:pt>
                <c:pt idx="43">
                  <c:v>3.4155699999999998</c:v>
                </c:pt>
                <c:pt idx="44">
                  <c:v>3.4239299999999999</c:v>
                </c:pt>
                <c:pt idx="45">
                  <c:v>3.4334500000000001</c:v>
                </c:pt>
                <c:pt idx="46">
                  <c:v>3.4412900000000004</c:v>
                </c:pt>
                <c:pt idx="47">
                  <c:v>3.4488400000000001</c:v>
                </c:pt>
                <c:pt idx="48">
                  <c:v>3.4578500000000001</c:v>
                </c:pt>
                <c:pt idx="49">
                  <c:v>3.4660600000000001</c:v>
                </c:pt>
                <c:pt idx="50">
                  <c:v>3.4719299999999995</c:v>
                </c:pt>
                <c:pt idx="51">
                  <c:v>3.4758099999999996</c:v>
                </c:pt>
                <c:pt idx="52">
                  <c:v>3.4777200000000001</c:v>
                </c:pt>
                <c:pt idx="53">
                  <c:v>3.4752999999999998</c:v>
                </c:pt>
                <c:pt idx="54">
                  <c:v>3.4740799999999998</c:v>
                </c:pt>
                <c:pt idx="55">
                  <c:v>3.4771299999999998</c:v>
                </c:pt>
                <c:pt idx="56">
                  <c:v>3.4828100000000002</c:v>
                </c:pt>
                <c:pt idx="57">
                  <c:v>3.4864299999999999</c:v>
                </c:pt>
                <c:pt idx="58">
                  <c:v>3.48813</c:v>
                </c:pt>
                <c:pt idx="59">
                  <c:v>3.4896500000000001</c:v>
                </c:pt>
                <c:pt idx="60">
                  <c:v>3.4894699999999998</c:v>
                </c:pt>
                <c:pt idx="61">
                  <c:v>3.4855900000000002</c:v>
                </c:pt>
                <c:pt idx="62">
                  <c:v>3.4778500000000001</c:v>
                </c:pt>
                <c:pt idx="63">
                  <c:v>3.4697</c:v>
                </c:pt>
                <c:pt idx="64">
                  <c:v>3.4584999999999999</c:v>
                </c:pt>
                <c:pt idx="65">
                  <c:v>3.4505599999999998</c:v>
                </c:pt>
                <c:pt idx="66">
                  <c:v>3.4457599999999999</c:v>
                </c:pt>
                <c:pt idx="67">
                  <c:v>3.4340999999999999</c:v>
                </c:pt>
                <c:pt idx="68">
                  <c:v>3.4332000000000003</c:v>
                </c:pt>
                <c:pt idx="69">
                  <c:v>3.4332500000000001</c:v>
                </c:pt>
                <c:pt idx="70">
                  <c:v>3.4329199999999997</c:v>
                </c:pt>
                <c:pt idx="71">
                  <c:v>3.4431099999999999</c:v>
                </c:pt>
                <c:pt idx="72">
                  <c:v>3.4567199999999998</c:v>
                </c:pt>
                <c:pt idx="73">
                  <c:v>3.4590399999999999</c:v>
                </c:pt>
                <c:pt idx="74">
                  <c:v>3.4271400000000001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35.113199999999999</c:v>
                </c:pt>
                <c:pt idx="1">
                  <c:v>35.32</c:v>
                </c:pt>
                <c:pt idx="2">
                  <c:v>35.695799999999998</c:v>
                </c:pt>
                <c:pt idx="3">
                  <c:v>35.875399999999999</c:v>
                </c:pt>
                <c:pt idx="4">
                  <c:v>36.016399999999997</c:v>
                </c:pt>
                <c:pt idx="5">
                  <c:v>36.255700000000004</c:v>
                </c:pt>
                <c:pt idx="6">
                  <c:v>36.530699999999996</c:v>
                </c:pt>
                <c:pt idx="7">
                  <c:v>36.757300000000001</c:v>
                </c:pt>
                <c:pt idx="8">
                  <c:v>36.926700000000004</c:v>
                </c:pt>
                <c:pt idx="9">
                  <c:v>37.1023</c:v>
                </c:pt>
                <c:pt idx="10">
                  <c:v>37.2774</c:v>
                </c:pt>
                <c:pt idx="11">
                  <c:v>37.382300000000001</c:v>
                </c:pt>
                <c:pt idx="12">
                  <c:v>37.360900000000001</c:v>
                </c:pt>
                <c:pt idx="13">
                  <c:v>37.303799999999995</c:v>
                </c:pt>
                <c:pt idx="14">
                  <c:v>37.328499999999998</c:v>
                </c:pt>
                <c:pt idx="15">
                  <c:v>37.345399999999998</c:v>
                </c:pt>
                <c:pt idx="16">
                  <c:v>37.368000000000002</c:v>
                </c:pt>
                <c:pt idx="17">
                  <c:v>37.343199999999996</c:v>
                </c:pt>
                <c:pt idx="18">
                  <c:v>37.294400000000003</c:v>
                </c:pt>
                <c:pt idx="19">
                  <c:v>37.190400000000004</c:v>
                </c:pt>
                <c:pt idx="20">
                  <c:v>37.078299999999999</c:v>
                </c:pt>
                <c:pt idx="21">
                  <c:v>37.008699999999997</c:v>
                </c:pt>
                <c:pt idx="22">
                  <c:v>36.987400000000001</c:v>
                </c:pt>
                <c:pt idx="23">
                  <c:v>36.960999999999999</c:v>
                </c:pt>
                <c:pt idx="24">
                  <c:v>36.8399</c:v>
                </c:pt>
                <c:pt idx="25">
                  <c:v>36.685099999999998</c:v>
                </c:pt>
                <c:pt idx="26">
                  <c:v>36.494700000000002</c:v>
                </c:pt>
                <c:pt idx="27">
                  <c:v>36.204599999999999</c:v>
                </c:pt>
                <c:pt idx="28">
                  <c:v>35.912300000000002</c:v>
                </c:pt>
                <c:pt idx="29">
                  <c:v>35.7483</c:v>
                </c:pt>
                <c:pt idx="30">
                  <c:v>35.671799999999998</c:v>
                </c:pt>
                <c:pt idx="31">
                  <c:v>35.5991</c:v>
                </c:pt>
                <c:pt idx="32">
                  <c:v>35.421599999999998</c:v>
                </c:pt>
                <c:pt idx="33">
                  <c:v>35.235300000000002</c:v>
                </c:pt>
                <c:pt idx="34">
                  <c:v>34.993699999999997</c:v>
                </c:pt>
                <c:pt idx="35">
                  <c:v>34.7136</c:v>
                </c:pt>
                <c:pt idx="36">
                  <c:v>34.377299999999998</c:v>
                </c:pt>
                <c:pt idx="37">
                  <c:v>34.025399999999998</c:v>
                </c:pt>
                <c:pt idx="38">
                  <c:v>33.788899999999998</c:v>
                </c:pt>
                <c:pt idx="39">
                  <c:v>33.5244</c:v>
                </c:pt>
                <c:pt idx="40">
                  <c:v>33.275399999999998</c:v>
                </c:pt>
                <c:pt idx="41">
                  <c:v>33.103900000000003</c:v>
                </c:pt>
                <c:pt idx="42">
                  <c:v>32.886200000000002</c:v>
                </c:pt>
                <c:pt idx="43">
                  <c:v>32.703700000000005</c:v>
                </c:pt>
                <c:pt idx="44">
                  <c:v>32.595200000000006</c:v>
                </c:pt>
                <c:pt idx="45">
                  <c:v>32.482599999999998</c:v>
                </c:pt>
                <c:pt idx="46">
                  <c:v>32.394099999999995</c:v>
                </c:pt>
                <c:pt idx="47">
                  <c:v>32.321399999999997</c:v>
                </c:pt>
                <c:pt idx="48">
                  <c:v>32.0901</c:v>
                </c:pt>
                <c:pt idx="49">
                  <c:v>31.835699999999999</c:v>
                </c:pt>
                <c:pt idx="50">
                  <c:v>31.703199999999999</c:v>
                </c:pt>
                <c:pt idx="51">
                  <c:v>31.620100000000001</c:v>
                </c:pt>
                <c:pt idx="52">
                  <c:v>31.563400000000001</c:v>
                </c:pt>
                <c:pt idx="53">
                  <c:v>31.543500000000002</c:v>
                </c:pt>
                <c:pt idx="54">
                  <c:v>31.441700000000001</c:v>
                </c:pt>
                <c:pt idx="55">
                  <c:v>31.242900000000002</c:v>
                </c:pt>
                <c:pt idx="56">
                  <c:v>31.060300000000002</c:v>
                </c:pt>
                <c:pt idx="57">
                  <c:v>30.948999999999998</c:v>
                </c:pt>
                <c:pt idx="58">
                  <c:v>30.8568</c:v>
                </c:pt>
                <c:pt idx="59">
                  <c:v>30.786400000000004</c:v>
                </c:pt>
                <c:pt idx="60">
                  <c:v>30.764200000000002</c:v>
                </c:pt>
                <c:pt idx="61">
                  <c:v>30.8215</c:v>
                </c:pt>
                <c:pt idx="62">
                  <c:v>30.971500000000002</c:v>
                </c:pt>
                <c:pt idx="63">
                  <c:v>30.9573</c:v>
                </c:pt>
                <c:pt idx="64">
                  <c:v>30.9819</c:v>
                </c:pt>
                <c:pt idx="65">
                  <c:v>30.999399999999998</c:v>
                </c:pt>
                <c:pt idx="66">
                  <c:v>30.856499999999997</c:v>
                </c:pt>
                <c:pt idx="67">
                  <c:v>30.891300000000001</c:v>
                </c:pt>
                <c:pt idx="68">
                  <c:v>30.830600000000004</c:v>
                </c:pt>
                <c:pt idx="69">
                  <c:v>30.580500000000001</c:v>
                </c:pt>
                <c:pt idx="70">
                  <c:v>30.293599999999998</c:v>
                </c:pt>
                <c:pt idx="71">
                  <c:v>29.770299999999999</c:v>
                </c:pt>
                <c:pt idx="72">
                  <c:v>28.899599999999996</c:v>
                </c:pt>
                <c:pt idx="73">
                  <c:v>28.383599999999998</c:v>
                </c:pt>
                <c:pt idx="74">
                  <c:v>29.121000000000002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3.1207463513513507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32.318218918918923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3.3337175675675681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33.87195135135137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3.3337175675675681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33.87195135135137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0.21782688689093832</c:v>
                </c:pt>
                <c:pt idx="1">
                  <c:v>0.36024825238175878</c:v>
                </c:pt>
                <c:pt idx="2">
                  <c:v>0.4219248607273029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0.40765200000000001</c:v>
                </c:pt>
                <c:pt idx="2">
                  <c:v>0.81792200000000004</c:v>
                </c:pt>
                <c:pt idx="3">
                  <c:v>1.2258899999999999</c:v>
                </c:pt>
                <c:pt idx="4">
                  <c:v>1.6267100000000001</c:v>
                </c:pt>
                <c:pt idx="5">
                  <c:v>2.03159</c:v>
                </c:pt>
                <c:pt idx="6">
                  <c:v>2.43547</c:v>
                </c:pt>
                <c:pt idx="7">
                  <c:v>2.8464100000000001</c:v>
                </c:pt>
                <c:pt idx="8">
                  <c:v>3.2492000000000001</c:v>
                </c:pt>
                <c:pt idx="9">
                  <c:v>3.65828</c:v>
                </c:pt>
                <c:pt idx="10">
                  <c:v>4.0650899999999996</c:v>
                </c:pt>
                <c:pt idx="11">
                  <c:v>4.4734100000000003</c:v>
                </c:pt>
                <c:pt idx="12">
                  <c:v>4.8769900000000002</c:v>
                </c:pt>
                <c:pt idx="13">
                  <c:v>5.2829600000000001</c:v>
                </c:pt>
                <c:pt idx="14">
                  <c:v>5.6910600000000002</c:v>
                </c:pt>
                <c:pt idx="15">
                  <c:v>6.0956900000000003</c:v>
                </c:pt>
                <c:pt idx="16">
                  <c:v>6.4996900000000002</c:v>
                </c:pt>
                <c:pt idx="17">
                  <c:v>6.9067600000000002</c:v>
                </c:pt>
                <c:pt idx="18">
                  <c:v>7.3164400000000001</c:v>
                </c:pt>
                <c:pt idx="19">
                  <c:v>7.7184799999999996</c:v>
                </c:pt>
                <c:pt idx="20">
                  <c:v>8.1282800000000002</c:v>
                </c:pt>
                <c:pt idx="21">
                  <c:v>8.5312300000000008</c:v>
                </c:pt>
                <c:pt idx="22">
                  <c:v>8.9411400000000008</c:v>
                </c:pt>
                <c:pt idx="23">
                  <c:v>9.3449899999999992</c:v>
                </c:pt>
                <c:pt idx="24">
                  <c:v>9.7524999999999995</c:v>
                </c:pt>
                <c:pt idx="25">
                  <c:v>10.157299999999999</c:v>
                </c:pt>
                <c:pt idx="26">
                  <c:v>10.562799999999999</c:v>
                </c:pt>
                <c:pt idx="27">
                  <c:v>10.9756</c:v>
                </c:pt>
                <c:pt idx="28">
                  <c:v>11.378500000000001</c:v>
                </c:pt>
                <c:pt idx="29">
                  <c:v>11.7822</c:v>
                </c:pt>
                <c:pt idx="30">
                  <c:v>12.189399999999999</c:v>
                </c:pt>
                <c:pt idx="31">
                  <c:v>12.5976</c:v>
                </c:pt>
                <c:pt idx="32">
                  <c:v>13.0022</c:v>
                </c:pt>
                <c:pt idx="33">
                  <c:v>13.407500000000001</c:v>
                </c:pt>
                <c:pt idx="34">
                  <c:v>13.8132</c:v>
                </c:pt>
                <c:pt idx="35">
                  <c:v>14.222</c:v>
                </c:pt>
                <c:pt idx="36">
                  <c:v>14.629899999999999</c:v>
                </c:pt>
                <c:pt idx="37">
                  <c:v>15.0328</c:v>
                </c:pt>
                <c:pt idx="38">
                  <c:v>15.4358</c:v>
                </c:pt>
                <c:pt idx="39">
                  <c:v>15.8436</c:v>
                </c:pt>
                <c:pt idx="40">
                  <c:v>16.252500000000001</c:v>
                </c:pt>
                <c:pt idx="41">
                  <c:v>16.659600000000001</c:v>
                </c:pt>
                <c:pt idx="42">
                  <c:v>17.0654</c:v>
                </c:pt>
                <c:pt idx="43">
                  <c:v>17.4712</c:v>
                </c:pt>
                <c:pt idx="44">
                  <c:v>17.877600000000001</c:v>
                </c:pt>
                <c:pt idx="45">
                  <c:v>18.277999999999999</c:v>
                </c:pt>
                <c:pt idx="46">
                  <c:v>18.691099999999999</c:v>
                </c:pt>
                <c:pt idx="47">
                  <c:v>19.097899999999999</c:v>
                </c:pt>
                <c:pt idx="48">
                  <c:v>19.5029</c:v>
                </c:pt>
                <c:pt idx="49">
                  <c:v>19.907800000000002</c:v>
                </c:pt>
                <c:pt idx="50">
                  <c:v>20.314699999999998</c:v>
                </c:pt>
                <c:pt idx="51">
                  <c:v>20.718499999999999</c:v>
                </c:pt>
                <c:pt idx="52">
                  <c:v>21.128399999999999</c:v>
                </c:pt>
                <c:pt idx="53">
                  <c:v>21.5365</c:v>
                </c:pt>
                <c:pt idx="54">
                  <c:v>21.939299999999999</c:v>
                </c:pt>
                <c:pt idx="55">
                  <c:v>22.3462</c:v>
                </c:pt>
                <c:pt idx="56">
                  <c:v>22.7501</c:v>
                </c:pt>
                <c:pt idx="57">
                  <c:v>23.159099999999999</c:v>
                </c:pt>
                <c:pt idx="58">
                  <c:v>23.568000000000001</c:v>
                </c:pt>
                <c:pt idx="59">
                  <c:v>23.972799999999999</c:v>
                </c:pt>
                <c:pt idx="60">
                  <c:v>24.376000000000001</c:v>
                </c:pt>
                <c:pt idx="61">
                  <c:v>24.779699999999998</c:v>
                </c:pt>
                <c:pt idx="62">
                  <c:v>25.1935</c:v>
                </c:pt>
                <c:pt idx="63">
                  <c:v>25.596499999999999</c:v>
                </c:pt>
                <c:pt idx="64">
                  <c:v>26.003399999999999</c:v>
                </c:pt>
                <c:pt idx="65">
                  <c:v>26.407900000000001</c:v>
                </c:pt>
                <c:pt idx="66">
                  <c:v>26.8123</c:v>
                </c:pt>
                <c:pt idx="67">
                  <c:v>27.220099999999999</c:v>
                </c:pt>
                <c:pt idx="68">
                  <c:v>27.625</c:v>
                </c:pt>
                <c:pt idx="69">
                  <c:v>28.033999999999999</c:v>
                </c:pt>
                <c:pt idx="70">
                  <c:v>28.441299999999998</c:v>
                </c:pt>
                <c:pt idx="71">
                  <c:v>28.852900000000002</c:v>
                </c:pt>
                <c:pt idx="72">
                  <c:v>29.257200000000001</c:v>
                </c:pt>
                <c:pt idx="73">
                  <c:v>29.662600000000001</c:v>
                </c:pt>
                <c:pt idx="74">
                  <c:v>30.063500000000001</c:v>
                </c:pt>
                <c:pt idx="75">
                  <c:v>30.658999999999999</c:v>
                </c:pt>
                <c:pt idx="76">
                  <c:v>31.036000000000001</c:v>
                </c:pt>
                <c:pt idx="77">
                  <c:v>31.405999999999999</c:v>
                </c:pt>
                <c:pt idx="78">
                  <c:v>31.783200000000001</c:v>
                </c:pt>
                <c:pt idx="79">
                  <c:v>32.158999999999999</c:v>
                </c:pt>
                <c:pt idx="80">
                  <c:v>32.566000000000003</c:v>
                </c:pt>
                <c:pt idx="81">
                  <c:v>32.971699999999998</c:v>
                </c:pt>
                <c:pt idx="82">
                  <c:v>33.375799999999998</c:v>
                </c:pt>
                <c:pt idx="83">
                  <c:v>33.7819</c:v>
                </c:pt>
                <c:pt idx="84">
                  <c:v>34.1935</c:v>
                </c:pt>
                <c:pt idx="85">
                  <c:v>34.597700000000003</c:v>
                </c:pt>
                <c:pt idx="86">
                  <c:v>35.002400000000002</c:v>
                </c:pt>
                <c:pt idx="87">
                  <c:v>35.409300000000002</c:v>
                </c:pt>
                <c:pt idx="88">
                  <c:v>35.812399999999997</c:v>
                </c:pt>
                <c:pt idx="89">
                  <c:v>36.222099999999998</c:v>
                </c:pt>
                <c:pt idx="90">
                  <c:v>36.628100000000003</c:v>
                </c:pt>
                <c:pt idx="91">
                  <c:v>37.033900000000003</c:v>
                </c:pt>
                <c:pt idx="92">
                  <c:v>37.438000000000002</c:v>
                </c:pt>
                <c:pt idx="93">
                  <c:v>37.844900000000003</c:v>
                </c:pt>
                <c:pt idx="94">
                  <c:v>38.250700000000002</c:v>
                </c:pt>
                <c:pt idx="95">
                  <c:v>38.660600000000002</c:v>
                </c:pt>
                <c:pt idx="96">
                  <c:v>39.067599999999999</c:v>
                </c:pt>
                <c:pt idx="97">
                  <c:v>39.4724</c:v>
                </c:pt>
                <c:pt idx="98">
                  <c:v>39.878500000000003</c:v>
                </c:pt>
                <c:pt idx="99">
                  <c:v>40.286200000000001</c:v>
                </c:pt>
                <c:pt idx="100">
                  <c:v>40.6905</c:v>
                </c:pt>
                <c:pt idx="101">
                  <c:v>41.095999999999997</c:v>
                </c:pt>
                <c:pt idx="102">
                  <c:v>41.501899999999999</c:v>
                </c:pt>
                <c:pt idx="103">
                  <c:v>41.908900000000003</c:v>
                </c:pt>
                <c:pt idx="104">
                  <c:v>42.315800000000003</c:v>
                </c:pt>
                <c:pt idx="105">
                  <c:v>42.720700000000001</c:v>
                </c:pt>
                <c:pt idx="106">
                  <c:v>43.1297</c:v>
                </c:pt>
                <c:pt idx="107">
                  <c:v>43.533499999999997</c:v>
                </c:pt>
                <c:pt idx="108">
                  <c:v>43.938499999999998</c:v>
                </c:pt>
                <c:pt idx="109">
                  <c:v>44.342599999999997</c:v>
                </c:pt>
                <c:pt idx="110">
                  <c:v>44.753399999999999</c:v>
                </c:pt>
                <c:pt idx="111">
                  <c:v>45.158299999999997</c:v>
                </c:pt>
                <c:pt idx="112">
                  <c:v>45.564100000000003</c:v>
                </c:pt>
                <c:pt idx="113">
                  <c:v>45.97</c:v>
                </c:pt>
                <c:pt idx="114">
                  <c:v>46.374299999999998</c:v>
                </c:pt>
                <c:pt idx="115">
                  <c:v>46.7789</c:v>
                </c:pt>
                <c:pt idx="116">
                  <c:v>47.186799999999998</c:v>
                </c:pt>
                <c:pt idx="117">
                  <c:v>47.596699999999998</c:v>
                </c:pt>
                <c:pt idx="118">
                  <c:v>48.003599999999999</c:v>
                </c:pt>
                <c:pt idx="119">
                  <c:v>48.415599999999998</c:v>
                </c:pt>
                <c:pt idx="120">
                  <c:v>48.817900000000002</c:v>
                </c:pt>
                <c:pt idx="121">
                  <c:v>49.2226</c:v>
                </c:pt>
                <c:pt idx="122">
                  <c:v>49.629399999999997</c:v>
                </c:pt>
                <c:pt idx="123">
                  <c:v>50.030299999999997</c:v>
                </c:pt>
                <c:pt idx="124">
                  <c:v>50.448300000000003</c:v>
                </c:pt>
                <c:pt idx="125">
                  <c:v>50.845999999999997</c:v>
                </c:pt>
                <c:pt idx="126">
                  <c:v>51.252099999999999</c:v>
                </c:pt>
                <c:pt idx="127">
                  <c:v>51.660800000000002</c:v>
                </c:pt>
                <c:pt idx="128">
                  <c:v>52.064799999999998</c:v>
                </c:pt>
                <c:pt idx="129">
                  <c:v>52.467599999999997</c:v>
                </c:pt>
                <c:pt idx="130">
                  <c:v>52.876600000000003</c:v>
                </c:pt>
                <c:pt idx="131">
                  <c:v>53.283499999999997</c:v>
                </c:pt>
                <c:pt idx="132">
                  <c:v>53.693399999999997</c:v>
                </c:pt>
                <c:pt idx="133">
                  <c:v>54.0974</c:v>
                </c:pt>
                <c:pt idx="134">
                  <c:v>54.501600000000003</c:v>
                </c:pt>
                <c:pt idx="135">
                  <c:v>54.908299999999997</c:v>
                </c:pt>
                <c:pt idx="136">
                  <c:v>55.316000000000003</c:v>
                </c:pt>
                <c:pt idx="137">
                  <c:v>55.721899999999998</c:v>
                </c:pt>
                <c:pt idx="138">
                  <c:v>56.124299999999998</c:v>
                </c:pt>
                <c:pt idx="139">
                  <c:v>56.532899999999998</c:v>
                </c:pt>
                <c:pt idx="140">
                  <c:v>56.938800000000001</c:v>
                </c:pt>
                <c:pt idx="141">
                  <c:v>57.3446</c:v>
                </c:pt>
                <c:pt idx="142">
                  <c:v>57.749899999999997</c:v>
                </c:pt>
                <c:pt idx="143">
                  <c:v>58.159399999999998</c:v>
                </c:pt>
                <c:pt idx="144">
                  <c:v>58.567399999999999</c:v>
                </c:pt>
                <c:pt idx="145">
                  <c:v>58.970199999999998</c:v>
                </c:pt>
                <c:pt idx="146">
                  <c:v>59.377299999999998</c:v>
                </c:pt>
                <c:pt idx="147">
                  <c:v>59.783299999999997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2.1240200000000002</c:v>
                </c:pt>
                <c:pt idx="1">
                  <c:v>2.1851099999999999</c:v>
                </c:pt>
                <c:pt idx="2">
                  <c:v>2.2476099999999999</c:v>
                </c:pt>
                <c:pt idx="3">
                  <c:v>2.30837</c:v>
                </c:pt>
                <c:pt idx="4">
                  <c:v>2.3700099999999997</c:v>
                </c:pt>
                <c:pt idx="5">
                  <c:v>2.4338899999999999</c:v>
                </c:pt>
                <c:pt idx="6">
                  <c:v>2.4974499999999997</c:v>
                </c:pt>
                <c:pt idx="7">
                  <c:v>2.5609299999999999</c:v>
                </c:pt>
                <c:pt idx="8">
                  <c:v>2.6229200000000001</c:v>
                </c:pt>
                <c:pt idx="9">
                  <c:v>2.68248</c:v>
                </c:pt>
                <c:pt idx="10">
                  <c:v>2.7429300000000003</c:v>
                </c:pt>
                <c:pt idx="11">
                  <c:v>2.8046500000000001</c:v>
                </c:pt>
                <c:pt idx="12">
                  <c:v>2.8642000000000003</c:v>
                </c:pt>
                <c:pt idx="13">
                  <c:v>2.9186699999999997</c:v>
                </c:pt>
                <c:pt idx="14">
                  <c:v>2.9693199999999997</c:v>
                </c:pt>
                <c:pt idx="15">
                  <c:v>3.0188900000000003</c:v>
                </c:pt>
                <c:pt idx="16">
                  <c:v>3.0645699999999998</c:v>
                </c:pt>
                <c:pt idx="17">
                  <c:v>3.1055899999999999</c:v>
                </c:pt>
                <c:pt idx="18">
                  <c:v>3.1433400000000002</c:v>
                </c:pt>
                <c:pt idx="19">
                  <c:v>3.17509</c:v>
                </c:pt>
                <c:pt idx="20">
                  <c:v>3.2022899999999996</c:v>
                </c:pt>
                <c:pt idx="21">
                  <c:v>3.2278800000000003</c:v>
                </c:pt>
                <c:pt idx="22">
                  <c:v>3.2525300000000001</c:v>
                </c:pt>
                <c:pt idx="23">
                  <c:v>3.2785700000000002</c:v>
                </c:pt>
                <c:pt idx="24">
                  <c:v>3.2942900000000002</c:v>
                </c:pt>
                <c:pt idx="25">
                  <c:v>3.3069100000000002</c:v>
                </c:pt>
                <c:pt idx="26">
                  <c:v>3.3170799999999998</c:v>
                </c:pt>
                <c:pt idx="27">
                  <c:v>3.3207500000000003</c:v>
                </c:pt>
                <c:pt idx="28">
                  <c:v>3.32273</c:v>
                </c:pt>
                <c:pt idx="29">
                  <c:v>3.32463</c:v>
                </c:pt>
                <c:pt idx="30">
                  <c:v>3.3230700000000004</c:v>
                </c:pt>
                <c:pt idx="31">
                  <c:v>3.3194900000000001</c:v>
                </c:pt>
                <c:pt idx="32">
                  <c:v>3.3136999999999999</c:v>
                </c:pt>
                <c:pt idx="33">
                  <c:v>3.3075799999999997</c:v>
                </c:pt>
                <c:pt idx="34">
                  <c:v>3.2996099999999999</c:v>
                </c:pt>
                <c:pt idx="35">
                  <c:v>3.2892799999999998</c:v>
                </c:pt>
                <c:pt idx="36">
                  <c:v>3.2769199999999996</c:v>
                </c:pt>
                <c:pt idx="37">
                  <c:v>3.2680100000000003</c:v>
                </c:pt>
                <c:pt idx="38">
                  <c:v>3.2639200000000002</c:v>
                </c:pt>
                <c:pt idx="39">
                  <c:v>3.2637</c:v>
                </c:pt>
                <c:pt idx="40">
                  <c:v>3.2639</c:v>
                </c:pt>
                <c:pt idx="41">
                  <c:v>3.2667200000000003</c:v>
                </c:pt>
                <c:pt idx="42">
                  <c:v>3.2713700000000001</c:v>
                </c:pt>
                <c:pt idx="43">
                  <c:v>3.2754400000000001</c:v>
                </c:pt>
                <c:pt idx="44">
                  <c:v>3.2815400000000001</c:v>
                </c:pt>
                <c:pt idx="45">
                  <c:v>3.28945</c:v>
                </c:pt>
                <c:pt idx="46">
                  <c:v>3.2981199999999999</c:v>
                </c:pt>
                <c:pt idx="47">
                  <c:v>3.3036300000000001</c:v>
                </c:pt>
                <c:pt idx="48">
                  <c:v>3.3061499999999997</c:v>
                </c:pt>
                <c:pt idx="49">
                  <c:v>3.3085500000000003</c:v>
                </c:pt>
                <c:pt idx="50">
                  <c:v>3.3102300000000002</c:v>
                </c:pt>
                <c:pt idx="51">
                  <c:v>3.3130700000000002</c:v>
                </c:pt>
                <c:pt idx="52">
                  <c:v>3.3164300000000004</c:v>
                </c:pt>
                <c:pt idx="53">
                  <c:v>3.31976</c:v>
                </c:pt>
                <c:pt idx="54">
                  <c:v>3.3213999999999997</c:v>
                </c:pt>
                <c:pt idx="55">
                  <c:v>3.3224</c:v>
                </c:pt>
                <c:pt idx="56">
                  <c:v>3.3206500000000001</c:v>
                </c:pt>
                <c:pt idx="57">
                  <c:v>3.3190900000000001</c:v>
                </c:pt>
                <c:pt idx="58">
                  <c:v>3.3172699999999997</c:v>
                </c:pt>
                <c:pt idx="59">
                  <c:v>3.3153800000000002</c:v>
                </c:pt>
                <c:pt idx="60">
                  <c:v>3.3108900000000001</c:v>
                </c:pt>
                <c:pt idx="61">
                  <c:v>3.30227</c:v>
                </c:pt>
                <c:pt idx="62">
                  <c:v>3.2900600000000004</c:v>
                </c:pt>
                <c:pt idx="63">
                  <c:v>3.2759</c:v>
                </c:pt>
                <c:pt idx="64">
                  <c:v>3.2616200000000002</c:v>
                </c:pt>
                <c:pt idx="65">
                  <c:v>3.2482800000000003</c:v>
                </c:pt>
                <c:pt idx="66">
                  <c:v>3.23475</c:v>
                </c:pt>
                <c:pt idx="67">
                  <c:v>3.2224199999999996</c:v>
                </c:pt>
                <c:pt idx="68">
                  <c:v>3.2101500000000001</c:v>
                </c:pt>
                <c:pt idx="69">
                  <c:v>3.19937</c:v>
                </c:pt>
                <c:pt idx="70">
                  <c:v>3.1923300000000001</c:v>
                </c:pt>
                <c:pt idx="71">
                  <c:v>3.1851600000000002</c:v>
                </c:pt>
                <c:pt idx="72">
                  <c:v>3.1783999999999999</c:v>
                </c:pt>
                <c:pt idx="73">
                  <c:v>3.1701000000000001</c:v>
                </c:pt>
                <c:pt idx="74">
                  <c:v>3.1620900000000001</c:v>
                </c:pt>
                <c:pt idx="75">
                  <c:v>3.15469</c:v>
                </c:pt>
                <c:pt idx="76">
                  <c:v>3.1510600000000002</c:v>
                </c:pt>
                <c:pt idx="77">
                  <c:v>3.1510400000000001</c:v>
                </c:pt>
                <c:pt idx="78">
                  <c:v>3.15008</c:v>
                </c:pt>
                <c:pt idx="79">
                  <c:v>3.1471800000000001</c:v>
                </c:pt>
                <c:pt idx="80">
                  <c:v>3.1465300000000003</c:v>
                </c:pt>
                <c:pt idx="81">
                  <c:v>3.1468099999999999</c:v>
                </c:pt>
                <c:pt idx="82">
                  <c:v>3.1467700000000001</c:v>
                </c:pt>
                <c:pt idx="83">
                  <c:v>3.14649</c:v>
                </c:pt>
                <c:pt idx="84">
                  <c:v>3.1502699999999999</c:v>
                </c:pt>
                <c:pt idx="85">
                  <c:v>3.1596000000000002</c:v>
                </c:pt>
                <c:pt idx="86">
                  <c:v>3.1703199999999998</c:v>
                </c:pt>
                <c:pt idx="87">
                  <c:v>3.18004</c:v>
                </c:pt>
                <c:pt idx="88">
                  <c:v>3.1889699999999999</c:v>
                </c:pt>
                <c:pt idx="89">
                  <c:v>3.1978600000000004</c:v>
                </c:pt>
                <c:pt idx="90">
                  <c:v>3.2067000000000001</c:v>
                </c:pt>
                <c:pt idx="91">
                  <c:v>3.2140499999999999</c:v>
                </c:pt>
                <c:pt idx="92">
                  <c:v>3.21861</c:v>
                </c:pt>
                <c:pt idx="93">
                  <c:v>3.2220199999999997</c:v>
                </c:pt>
                <c:pt idx="94">
                  <c:v>3.2230699999999999</c:v>
                </c:pt>
                <c:pt idx="95">
                  <c:v>3.2224000000000004</c:v>
                </c:pt>
                <c:pt idx="96">
                  <c:v>3.2241</c:v>
                </c:pt>
                <c:pt idx="97">
                  <c:v>3.2289699999999999</c:v>
                </c:pt>
                <c:pt idx="98">
                  <c:v>3.2355200000000002</c:v>
                </c:pt>
                <c:pt idx="99">
                  <c:v>3.2451400000000001</c:v>
                </c:pt>
                <c:pt idx="100">
                  <c:v>3.2555000000000001</c:v>
                </c:pt>
                <c:pt idx="101">
                  <c:v>3.2680700000000003</c:v>
                </c:pt>
                <c:pt idx="102">
                  <c:v>3.2762799999999999</c:v>
                </c:pt>
                <c:pt idx="103">
                  <c:v>3.2824499999999999</c:v>
                </c:pt>
                <c:pt idx="104">
                  <c:v>3.28749</c:v>
                </c:pt>
                <c:pt idx="105">
                  <c:v>3.2953399999999999</c:v>
                </c:pt>
                <c:pt idx="106">
                  <c:v>3.3046100000000003</c:v>
                </c:pt>
                <c:pt idx="107">
                  <c:v>3.3148100000000005</c:v>
                </c:pt>
                <c:pt idx="108">
                  <c:v>3.3258799999999997</c:v>
                </c:pt>
                <c:pt idx="109">
                  <c:v>3.3375500000000002</c:v>
                </c:pt>
                <c:pt idx="110">
                  <c:v>3.3482000000000003</c:v>
                </c:pt>
                <c:pt idx="111">
                  <c:v>3.35968</c:v>
                </c:pt>
                <c:pt idx="112">
                  <c:v>3.3739799999999995</c:v>
                </c:pt>
                <c:pt idx="113">
                  <c:v>3.3868900000000002</c:v>
                </c:pt>
                <c:pt idx="114">
                  <c:v>3.3971099999999996</c:v>
                </c:pt>
                <c:pt idx="115">
                  <c:v>3.4079900000000003</c:v>
                </c:pt>
                <c:pt idx="116">
                  <c:v>3.4155699999999998</c:v>
                </c:pt>
                <c:pt idx="117">
                  <c:v>3.4239299999999999</c:v>
                </c:pt>
                <c:pt idx="118">
                  <c:v>3.4334500000000001</c:v>
                </c:pt>
                <c:pt idx="119">
                  <c:v>3.4412900000000004</c:v>
                </c:pt>
                <c:pt idx="120">
                  <c:v>3.4488400000000001</c:v>
                </c:pt>
                <c:pt idx="121">
                  <c:v>3.4578500000000001</c:v>
                </c:pt>
                <c:pt idx="122">
                  <c:v>3.4660600000000001</c:v>
                </c:pt>
                <c:pt idx="123">
                  <c:v>3.4719299999999995</c:v>
                </c:pt>
                <c:pt idx="124">
                  <c:v>3.4758099999999996</c:v>
                </c:pt>
                <c:pt idx="125">
                  <c:v>3.4777200000000001</c:v>
                </c:pt>
                <c:pt idx="126">
                  <c:v>3.4752999999999998</c:v>
                </c:pt>
                <c:pt idx="127">
                  <c:v>3.4740799999999998</c:v>
                </c:pt>
                <c:pt idx="128">
                  <c:v>3.4771299999999998</c:v>
                </c:pt>
                <c:pt idx="129">
                  <c:v>3.4828100000000002</c:v>
                </c:pt>
                <c:pt idx="130">
                  <c:v>3.4864299999999999</c:v>
                </c:pt>
                <c:pt idx="131">
                  <c:v>3.48813</c:v>
                </c:pt>
                <c:pt idx="132">
                  <c:v>3.4896500000000001</c:v>
                </c:pt>
                <c:pt idx="133">
                  <c:v>3.4894699999999998</c:v>
                </c:pt>
                <c:pt idx="134">
                  <c:v>3.4855900000000002</c:v>
                </c:pt>
                <c:pt idx="135">
                  <c:v>3.4778500000000001</c:v>
                </c:pt>
                <c:pt idx="136">
                  <c:v>3.4697</c:v>
                </c:pt>
                <c:pt idx="137">
                  <c:v>3.4584999999999999</c:v>
                </c:pt>
                <c:pt idx="138">
                  <c:v>3.4505599999999998</c:v>
                </c:pt>
                <c:pt idx="139">
                  <c:v>3.4457599999999999</c:v>
                </c:pt>
                <c:pt idx="140">
                  <c:v>3.4340999999999999</c:v>
                </c:pt>
                <c:pt idx="141">
                  <c:v>3.4332000000000003</c:v>
                </c:pt>
                <c:pt idx="142">
                  <c:v>3.4332500000000001</c:v>
                </c:pt>
                <c:pt idx="143">
                  <c:v>3.4329199999999997</c:v>
                </c:pt>
                <c:pt idx="144">
                  <c:v>3.4431099999999999</c:v>
                </c:pt>
                <c:pt idx="145">
                  <c:v>3.4567199999999998</c:v>
                </c:pt>
                <c:pt idx="146">
                  <c:v>3.4590399999999999</c:v>
                </c:pt>
                <c:pt idx="147">
                  <c:v>3.4271400000000001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0.40765200000000001</c:v>
                </c:pt>
                <c:pt idx="2">
                  <c:v>0.81792200000000004</c:v>
                </c:pt>
                <c:pt idx="3">
                  <c:v>1.2258899999999999</c:v>
                </c:pt>
                <c:pt idx="4">
                  <c:v>1.6267100000000001</c:v>
                </c:pt>
                <c:pt idx="5">
                  <c:v>2.03159</c:v>
                </c:pt>
                <c:pt idx="6">
                  <c:v>2.43547</c:v>
                </c:pt>
                <c:pt idx="7">
                  <c:v>2.8464100000000001</c:v>
                </c:pt>
                <c:pt idx="8">
                  <c:v>3.2492000000000001</c:v>
                </c:pt>
                <c:pt idx="9">
                  <c:v>3.65828</c:v>
                </c:pt>
                <c:pt idx="10">
                  <c:v>4.0650899999999996</c:v>
                </c:pt>
                <c:pt idx="11">
                  <c:v>4.4734100000000003</c:v>
                </c:pt>
                <c:pt idx="12">
                  <c:v>4.8769900000000002</c:v>
                </c:pt>
                <c:pt idx="13">
                  <c:v>5.2829600000000001</c:v>
                </c:pt>
                <c:pt idx="14">
                  <c:v>5.6910600000000002</c:v>
                </c:pt>
                <c:pt idx="15">
                  <c:v>6.0956900000000003</c:v>
                </c:pt>
                <c:pt idx="16">
                  <c:v>6.4996900000000002</c:v>
                </c:pt>
                <c:pt idx="17">
                  <c:v>6.9067600000000002</c:v>
                </c:pt>
                <c:pt idx="18">
                  <c:v>7.3164400000000001</c:v>
                </c:pt>
                <c:pt idx="19">
                  <c:v>7.7184799999999996</c:v>
                </c:pt>
                <c:pt idx="20">
                  <c:v>8.1282800000000002</c:v>
                </c:pt>
                <c:pt idx="21">
                  <c:v>8.5312300000000008</c:v>
                </c:pt>
                <c:pt idx="22">
                  <c:v>8.9411400000000008</c:v>
                </c:pt>
                <c:pt idx="23">
                  <c:v>9.3449899999999992</c:v>
                </c:pt>
                <c:pt idx="24">
                  <c:v>9.7524999999999995</c:v>
                </c:pt>
                <c:pt idx="25">
                  <c:v>10.157299999999999</c:v>
                </c:pt>
                <c:pt idx="26">
                  <c:v>10.562799999999999</c:v>
                </c:pt>
                <c:pt idx="27">
                  <c:v>10.9756</c:v>
                </c:pt>
                <c:pt idx="28">
                  <c:v>11.378500000000001</c:v>
                </c:pt>
                <c:pt idx="29">
                  <c:v>11.7822</c:v>
                </c:pt>
                <c:pt idx="30">
                  <c:v>12.189399999999999</c:v>
                </c:pt>
                <c:pt idx="31">
                  <c:v>12.5976</c:v>
                </c:pt>
                <c:pt idx="32">
                  <c:v>13.0022</c:v>
                </c:pt>
                <c:pt idx="33">
                  <c:v>13.407500000000001</c:v>
                </c:pt>
                <c:pt idx="34">
                  <c:v>13.8132</c:v>
                </c:pt>
                <c:pt idx="35">
                  <c:v>14.222</c:v>
                </c:pt>
                <c:pt idx="36">
                  <c:v>14.629899999999999</c:v>
                </c:pt>
                <c:pt idx="37">
                  <c:v>15.0328</c:v>
                </c:pt>
                <c:pt idx="38">
                  <c:v>15.4358</c:v>
                </c:pt>
                <c:pt idx="39">
                  <c:v>15.8436</c:v>
                </c:pt>
                <c:pt idx="40">
                  <c:v>16.252500000000001</c:v>
                </c:pt>
                <c:pt idx="41">
                  <c:v>16.659600000000001</c:v>
                </c:pt>
                <c:pt idx="42">
                  <c:v>17.0654</c:v>
                </c:pt>
                <c:pt idx="43">
                  <c:v>17.4712</c:v>
                </c:pt>
                <c:pt idx="44">
                  <c:v>17.877600000000001</c:v>
                </c:pt>
                <c:pt idx="45">
                  <c:v>18.277999999999999</c:v>
                </c:pt>
                <c:pt idx="46">
                  <c:v>18.691099999999999</c:v>
                </c:pt>
                <c:pt idx="47">
                  <c:v>19.097899999999999</c:v>
                </c:pt>
                <c:pt idx="48">
                  <c:v>19.5029</c:v>
                </c:pt>
                <c:pt idx="49">
                  <c:v>19.907800000000002</c:v>
                </c:pt>
                <c:pt idx="50">
                  <c:v>20.314699999999998</c:v>
                </c:pt>
                <c:pt idx="51">
                  <c:v>20.718499999999999</c:v>
                </c:pt>
                <c:pt idx="52">
                  <c:v>21.128399999999999</c:v>
                </c:pt>
                <c:pt idx="53">
                  <c:v>21.5365</c:v>
                </c:pt>
                <c:pt idx="54">
                  <c:v>21.939299999999999</c:v>
                </c:pt>
                <c:pt idx="55">
                  <c:v>22.3462</c:v>
                </c:pt>
                <c:pt idx="56">
                  <c:v>22.7501</c:v>
                </c:pt>
                <c:pt idx="57">
                  <c:v>23.159099999999999</c:v>
                </c:pt>
                <c:pt idx="58">
                  <c:v>23.568000000000001</c:v>
                </c:pt>
                <c:pt idx="59">
                  <c:v>23.972799999999999</c:v>
                </c:pt>
                <c:pt idx="60">
                  <c:v>24.376000000000001</c:v>
                </c:pt>
                <c:pt idx="61">
                  <c:v>24.779699999999998</c:v>
                </c:pt>
                <c:pt idx="62">
                  <c:v>25.1935</c:v>
                </c:pt>
                <c:pt idx="63">
                  <c:v>25.596499999999999</c:v>
                </c:pt>
                <c:pt idx="64">
                  <c:v>26.003399999999999</c:v>
                </c:pt>
                <c:pt idx="65">
                  <c:v>26.407900000000001</c:v>
                </c:pt>
                <c:pt idx="66">
                  <c:v>26.8123</c:v>
                </c:pt>
                <c:pt idx="67">
                  <c:v>27.220099999999999</c:v>
                </c:pt>
                <c:pt idx="68">
                  <c:v>27.625</c:v>
                </c:pt>
                <c:pt idx="69">
                  <c:v>28.033999999999999</c:v>
                </c:pt>
                <c:pt idx="70">
                  <c:v>28.441299999999998</c:v>
                </c:pt>
                <c:pt idx="71">
                  <c:v>28.852900000000002</c:v>
                </c:pt>
                <c:pt idx="72">
                  <c:v>29.257200000000001</c:v>
                </c:pt>
                <c:pt idx="73">
                  <c:v>29.662600000000001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2.1240200000000002</c:v>
                </c:pt>
                <c:pt idx="1">
                  <c:v>2.1851099999999999</c:v>
                </c:pt>
                <c:pt idx="2">
                  <c:v>2.2476099999999999</c:v>
                </c:pt>
                <c:pt idx="3">
                  <c:v>2.30837</c:v>
                </c:pt>
                <c:pt idx="4">
                  <c:v>2.3700099999999997</c:v>
                </c:pt>
                <c:pt idx="5">
                  <c:v>2.4338899999999999</c:v>
                </c:pt>
                <c:pt idx="6">
                  <c:v>2.4974499999999997</c:v>
                </c:pt>
                <c:pt idx="7">
                  <c:v>2.5609299999999999</c:v>
                </c:pt>
                <c:pt idx="8">
                  <c:v>2.6229200000000001</c:v>
                </c:pt>
                <c:pt idx="9">
                  <c:v>2.68248</c:v>
                </c:pt>
                <c:pt idx="10">
                  <c:v>2.7429300000000003</c:v>
                </c:pt>
                <c:pt idx="11">
                  <c:v>2.8046500000000001</c:v>
                </c:pt>
                <c:pt idx="12">
                  <c:v>2.8642000000000003</c:v>
                </c:pt>
                <c:pt idx="13">
                  <c:v>2.9186699999999997</c:v>
                </c:pt>
                <c:pt idx="14">
                  <c:v>2.9693199999999997</c:v>
                </c:pt>
                <c:pt idx="15">
                  <c:v>3.0188900000000003</c:v>
                </c:pt>
                <c:pt idx="16">
                  <c:v>3.0645699999999998</c:v>
                </c:pt>
                <c:pt idx="17">
                  <c:v>3.1055899999999999</c:v>
                </c:pt>
                <c:pt idx="18">
                  <c:v>3.1433400000000002</c:v>
                </c:pt>
                <c:pt idx="19">
                  <c:v>3.17509</c:v>
                </c:pt>
                <c:pt idx="20">
                  <c:v>3.2022899999999996</c:v>
                </c:pt>
                <c:pt idx="21">
                  <c:v>3.2278800000000003</c:v>
                </c:pt>
                <c:pt idx="22">
                  <c:v>3.2525300000000001</c:v>
                </c:pt>
                <c:pt idx="23">
                  <c:v>3.2785700000000002</c:v>
                </c:pt>
                <c:pt idx="24">
                  <c:v>3.2942900000000002</c:v>
                </c:pt>
                <c:pt idx="25">
                  <c:v>3.3069100000000002</c:v>
                </c:pt>
                <c:pt idx="26">
                  <c:v>3.3170799999999998</c:v>
                </c:pt>
                <c:pt idx="27">
                  <c:v>3.3207500000000003</c:v>
                </c:pt>
                <c:pt idx="28">
                  <c:v>3.32273</c:v>
                </c:pt>
                <c:pt idx="29">
                  <c:v>3.32463</c:v>
                </c:pt>
                <c:pt idx="30">
                  <c:v>3.3230700000000004</c:v>
                </c:pt>
                <c:pt idx="31">
                  <c:v>3.3194900000000001</c:v>
                </c:pt>
                <c:pt idx="32">
                  <c:v>3.3136999999999999</c:v>
                </c:pt>
                <c:pt idx="33">
                  <c:v>3.3075799999999997</c:v>
                </c:pt>
                <c:pt idx="34">
                  <c:v>3.2996099999999999</c:v>
                </c:pt>
                <c:pt idx="35">
                  <c:v>3.2892799999999998</c:v>
                </c:pt>
                <c:pt idx="36">
                  <c:v>3.2769199999999996</c:v>
                </c:pt>
                <c:pt idx="37">
                  <c:v>3.2680100000000003</c:v>
                </c:pt>
                <c:pt idx="38">
                  <c:v>3.2639200000000002</c:v>
                </c:pt>
                <c:pt idx="39">
                  <c:v>3.2637</c:v>
                </c:pt>
                <c:pt idx="40">
                  <c:v>3.2639</c:v>
                </c:pt>
                <c:pt idx="41">
                  <c:v>3.2667200000000003</c:v>
                </c:pt>
                <c:pt idx="42">
                  <c:v>3.2713700000000001</c:v>
                </c:pt>
                <c:pt idx="43">
                  <c:v>3.2754400000000001</c:v>
                </c:pt>
                <c:pt idx="44">
                  <c:v>3.2815400000000001</c:v>
                </c:pt>
                <c:pt idx="45">
                  <c:v>3.28945</c:v>
                </c:pt>
                <c:pt idx="46">
                  <c:v>3.2981199999999999</c:v>
                </c:pt>
                <c:pt idx="47">
                  <c:v>3.3036300000000001</c:v>
                </c:pt>
                <c:pt idx="48">
                  <c:v>3.3061499999999997</c:v>
                </c:pt>
                <c:pt idx="49">
                  <c:v>3.3085500000000003</c:v>
                </c:pt>
                <c:pt idx="50">
                  <c:v>3.3102300000000002</c:v>
                </c:pt>
                <c:pt idx="51">
                  <c:v>3.3130700000000002</c:v>
                </c:pt>
                <c:pt idx="52">
                  <c:v>3.3164300000000004</c:v>
                </c:pt>
                <c:pt idx="53">
                  <c:v>3.31976</c:v>
                </c:pt>
                <c:pt idx="54">
                  <c:v>3.3213999999999997</c:v>
                </c:pt>
                <c:pt idx="55">
                  <c:v>3.3224</c:v>
                </c:pt>
                <c:pt idx="56">
                  <c:v>3.3206500000000001</c:v>
                </c:pt>
                <c:pt idx="57">
                  <c:v>3.3190900000000001</c:v>
                </c:pt>
                <c:pt idx="58">
                  <c:v>3.3172699999999997</c:v>
                </c:pt>
                <c:pt idx="59">
                  <c:v>3.3153800000000002</c:v>
                </c:pt>
                <c:pt idx="60">
                  <c:v>3.3108900000000001</c:v>
                </c:pt>
                <c:pt idx="61">
                  <c:v>3.30227</c:v>
                </c:pt>
                <c:pt idx="62">
                  <c:v>3.2900600000000004</c:v>
                </c:pt>
                <c:pt idx="63">
                  <c:v>3.2759</c:v>
                </c:pt>
                <c:pt idx="64">
                  <c:v>3.2616200000000002</c:v>
                </c:pt>
                <c:pt idx="65">
                  <c:v>3.2482800000000003</c:v>
                </c:pt>
                <c:pt idx="66">
                  <c:v>3.23475</c:v>
                </c:pt>
                <c:pt idx="67">
                  <c:v>3.2224199999999996</c:v>
                </c:pt>
                <c:pt idx="68">
                  <c:v>3.2101500000000001</c:v>
                </c:pt>
                <c:pt idx="69">
                  <c:v>3.19937</c:v>
                </c:pt>
                <c:pt idx="70">
                  <c:v>3.1923300000000001</c:v>
                </c:pt>
                <c:pt idx="71">
                  <c:v>3.1851600000000002</c:v>
                </c:pt>
                <c:pt idx="72">
                  <c:v>3.1783999999999999</c:v>
                </c:pt>
                <c:pt idx="73">
                  <c:v>3.1701000000000001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29.662600000000001</c:v>
                </c:pt>
                <c:pt idx="1">
                  <c:v>30.063500000000001</c:v>
                </c:pt>
                <c:pt idx="2">
                  <c:v>30.658999999999999</c:v>
                </c:pt>
                <c:pt idx="3">
                  <c:v>31.036000000000001</c:v>
                </c:pt>
                <c:pt idx="4">
                  <c:v>31.405999999999999</c:v>
                </c:pt>
                <c:pt idx="5">
                  <c:v>31.783200000000001</c:v>
                </c:pt>
                <c:pt idx="6">
                  <c:v>32.158999999999999</c:v>
                </c:pt>
                <c:pt idx="7">
                  <c:v>32.566000000000003</c:v>
                </c:pt>
                <c:pt idx="8">
                  <c:v>32.971699999999998</c:v>
                </c:pt>
                <c:pt idx="9">
                  <c:v>33.375799999999998</c:v>
                </c:pt>
                <c:pt idx="10">
                  <c:v>33.7819</c:v>
                </c:pt>
                <c:pt idx="11">
                  <c:v>34.1935</c:v>
                </c:pt>
                <c:pt idx="12">
                  <c:v>34.597700000000003</c:v>
                </c:pt>
                <c:pt idx="13">
                  <c:v>35.002400000000002</c:v>
                </c:pt>
                <c:pt idx="14">
                  <c:v>35.409300000000002</c:v>
                </c:pt>
                <c:pt idx="15">
                  <c:v>35.812399999999997</c:v>
                </c:pt>
                <c:pt idx="16">
                  <c:v>36.222099999999998</c:v>
                </c:pt>
                <c:pt idx="17">
                  <c:v>36.628100000000003</c:v>
                </c:pt>
                <c:pt idx="18">
                  <c:v>37.033900000000003</c:v>
                </c:pt>
                <c:pt idx="19">
                  <c:v>37.438000000000002</c:v>
                </c:pt>
                <c:pt idx="20">
                  <c:v>37.844900000000003</c:v>
                </c:pt>
                <c:pt idx="21">
                  <c:v>38.250700000000002</c:v>
                </c:pt>
                <c:pt idx="22">
                  <c:v>38.660600000000002</c:v>
                </c:pt>
                <c:pt idx="23">
                  <c:v>39.067599999999999</c:v>
                </c:pt>
                <c:pt idx="24">
                  <c:v>39.4724</c:v>
                </c:pt>
                <c:pt idx="25">
                  <c:v>39.878500000000003</c:v>
                </c:pt>
                <c:pt idx="26">
                  <c:v>40.286200000000001</c:v>
                </c:pt>
                <c:pt idx="27">
                  <c:v>40.6905</c:v>
                </c:pt>
                <c:pt idx="28">
                  <c:v>41.095999999999997</c:v>
                </c:pt>
                <c:pt idx="29">
                  <c:v>41.501899999999999</c:v>
                </c:pt>
                <c:pt idx="30">
                  <c:v>41.908900000000003</c:v>
                </c:pt>
                <c:pt idx="31">
                  <c:v>42.315800000000003</c:v>
                </c:pt>
                <c:pt idx="32">
                  <c:v>42.720700000000001</c:v>
                </c:pt>
                <c:pt idx="33">
                  <c:v>43.1297</c:v>
                </c:pt>
                <c:pt idx="34">
                  <c:v>43.533499999999997</c:v>
                </c:pt>
                <c:pt idx="35">
                  <c:v>43.938499999999998</c:v>
                </c:pt>
                <c:pt idx="36">
                  <c:v>44.342599999999997</c:v>
                </c:pt>
                <c:pt idx="37">
                  <c:v>44.753399999999999</c:v>
                </c:pt>
                <c:pt idx="38">
                  <c:v>45.158299999999997</c:v>
                </c:pt>
                <c:pt idx="39">
                  <c:v>45.564100000000003</c:v>
                </c:pt>
                <c:pt idx="40">
                  <c:v>45.97</c:v>
                </c:pt>
                <c:pt idx="41">
                  <c:v>46.374299999999998</c:v>
                </c:pt>
                <c:pt idx="42">
                  <c:v>46.7789</c:v>
                </c:pt>
                <c:pt idx="43">
                  <c:v>47.186799999999998</c:v>
                </c:pt>
                <c:pt idx="44">
                  <c:v>47.596699999999998</c:v>
                </c:pt>
                <c:pt idx="45">
                  <c:v>48.003599999999999</c:v>
                </c:pt>
                <c:pt idx="46">
                  <c:v>48.415599999999998</c:v>
                </c:pt>
                <c:pt idx="47">
                  <c:v>48.817900000000002</c:v>
                </c:pt>
                <c:pt idx="48">
                  <c:v>49.2226</c:v>
                </c:pt>
                <c:pt idx="49">
                  <c:v>49.629399999999997</c:v>
                </c:pt>
                <c:pt idx="50">
                  <c:v>50.030299999999997</c:v>
                </c:pt>
                <c:pt idx="51">
                  <c:v>50.448300000000003</c:v>
                </c:pt>
                <c:pt idx="52">
                  <c:v>50.845999999999997</c:v>
                </c:pt>
                <c:pt idx="53">
                  <c:v>51.252099999999999</c:v>
                </c:pt>
                <c:pt idx="54">
                  <c:v>51.660800000000002</c:v>
                </c:pt>
                <c:pt idx="55">
                  <c:v>52.064799999999998</c:v>
                </c:pt>
                <c:pt idx="56">
                  <c:v>52.467599999999997</c:v>
                </c:pt>
                <c:pt idx="57">
                  <c:v>52.876600000000003</c:v>
                </c:pt>
                <c:pt idx="58">
                  <c:v>53.283499999999997</c:v>
                </c:pt>
                <c:pt idx="59">
                  <c:v>53.693399999999997</c:v>
                </c:pt>
                <c:pt idx="60">
                  <c:v>54.0974</c:v>
                </c:pt>
                <c:pt idx="61">
                  <c:v>54.501600000000003</c:v>
                </c:pt>
                <c:pt idx="62">
                  <c:v>54.908299999999997</c:v>
                </c:pt>
                <c:pt idx="63">
                  <c:v>55.316000000000003</c:v>
                </c:pt>
                <c:pt idx="64">
                  <c:v>55.721899999999998</c:v>
                </c:pt>
                <c:pt idx="65">
                  <c:v>56.124299999999998</c:v>
                </c:pt>
                <c:pt idx="66">
                  <c:v>56.532899999999998</c:v>
                </c:pt>
                <c:pt idx="67">
                  <c:v>56.938800000000001</c:v>
                </c:pt>
                <c:pt idx="68">
                  <c:v>57.3446</c:v>
                </c:pt>
                <c:pt idx="69">
                  <c:v>57.749899999999997</c:v>
                </c:pt>
                <c:pt idx="70">
                  <c:v>58.159399999999998</c:v>
                </c:pt>
                <c:pt idx="71">
                  <c:v>58.567399999999999</c:v>
                </c:pt>
                <c:pt idx="72">
                  <c:v>58.970199999999998</c:v>
                </c:pt>
                <c:pt idx="73">
                  <c:v>59.377299999999998</c:v>
                </c:pt>
                <c:pt idx="74">
                  <c:v>59.783299999999997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3.1701000000000001</c:v>
                </c:pt>
                <c:pt idx="1">
                  <c:v>3.1620900000000001</c:v>
                </c:pt>
                <c:pt idx="2">
                  <c:v>3.15469</c:v>
                </c:pt>
                <c:pt idx="3">
                  <c:v>3.1510600000000002</c:v>
                </c:pt>
                <c:pt idx="4">
                  <c:v>3.1510400000000001</c:v>
                </c:pt>
                <c:pt idx="5">
                  <c:v>3.15008</c:v>
                </c:pt>
                <c:pt idx="6">
                  <c:v>3.1471800000000001</c:v>
                </c:pt>
                <c:pt idx="7">
                  <c:v>3.1465300000000003</c:v>
                </c:pt>
                <c:pt idx="8">
                  <c:v>3.1468099999999999</c:v>
                </c:pt>
                <c:pt idx="9">
                  <c:v>3.1467700000000001</c:v>
                </c:pt>
                <c:pt idx="10">
                  <c:v>3.14649</c:v>
                </c:pt>
                <c:pt idx="11">
                  <c:v>3.1502699999999999</c:v>
                </c:pt>
                <c:pt idx="12">
                  <c:v>3.1596000000000002</c:v>
                </c:pt>
                <c:pt idx="13">
                  <c:v>3.1703199999999998</c:v>
                </c:pt>
                <c:pt idx="14">
                  <c:v>3.18004</c:v>
                </c:pt>
                <c:pt idx="15">
                  <c:v>3.1889699999999999</c:v>
                </c:pt>
                <c:pt idx="16">
                  <c:v>3.1978600000000004</c:v>
                </c:pt>
                <c:pt idx="17">
                  <c:v>3.2067000000000001</c:v>
                </c:pt>
                <c:pt idx="18">
                  <c:v>3.2140499999999999</c:v>
                </c:pt>
                <c:pt idx="19">
                  <c:v>3.21861</c:v>
                </c:pt>
                <c:pt idx="20">
                  <c:v>3.2220199999999997</c:v>
                </c:pt>
                <c:pt idx="21">
                  <c:v>3.2230699999999999</c:v>
                </c:pt>
                <c:pt idx="22">
                  <c:v>3.2224000000000004</c:v>
                </c:pt>
                <c:pt idx="23">
                  <c:v>3.2241</c:v>
                </c:pt>
                <c:pt idx="24">
                  <c:v>3.2289699999999999</c:v>
                </c:pt>
                <c:pt idx="25">
                  <c:v>3.2355200000000002</c:v>
                </c:pt>
                <c:pt idx="26">
                  <c:v>3.2451400000000001</c:v>
                </c:pt>
                <c:pt idx="27">
                  <c:v>3.2555000000000001</c:v>
                </c:pt>
                <c:pt idx="28">
                  <c:v>3.2680700000000003</c:v>
                </c:pt>
                <c:pt idx="29">
                  <c:v>3.2762799999999999</c:v>
                </c:pt>
                <c:pt idx="30">
                  <c:v>3.2824499999999999</c:v>
                </c:pt>
                <c:pt idx="31">
                  <c:v>3.28749</c:v>
                </c:pt>
                <c:pt idx="32">
                  <c:v>3.2953399999999999</c:v>
                </c:pt>
                <c:pt idx="33">
                  <c:v>3.3046100000000003</c:v>
                </c:pt>
                <c:pt idx="34">
                  <c:v>3.3148100000000005</c:v>
                </c:pt>
                <c:pt idx="35">
                  <c:v>3.3258799999999997</c:v>
                </c:pt>
                <c:pt idx="36">
                  <c:v>3.3375500000000002</c:v>
                </c:pt>
                <c:pt idx="37">
                  <c:v>3.3482000000000003</c:v>
                </c:pt>
                <c:pt idx="38">
                  <c:v>3.35968</c:v>
                </c:pt>
                <c:pt idx="39">
                  <c:v>3.3739799999999995</c:v>
                </c:pt>
                <c:pt idx="40">
                  <c:v>3.3868900000000002</c:v>
                </c:pt>
                <c:pt idx="41">
                  <c:v>3.3971099999999996</c:v>
                </c:pt>
                <c:pt idx="42">
                  <c:v>3.4079900000000003</c:v>
                </c:pt>
                <c:pt idx="43">
                  <c:v>3.4155699999999998</c:v>
                </c:pt>
                <c:pt idx="44">
                  <c:v>3.4239299999999999</c:v>
                </c:pt>
                <c:pt idx="45">
                  <c:v>3.4334500000000001</c:v>
                </c:pt>
                <c:pt idx="46">
                  <c:v>3.4412900000000004</c:v>
                </c:pt>
                <c:pt idx="47">
                  <c:v>3.4488400000000001</c:v>
                </c:pt>
                <c:pt idx="48">
                  <c:v>3.4578500000000001</c:v>
                </c:pt>
                <c:pt idx="49">
                  <c:v>3.4660600000000001</c:v>
                </c:pt>
                <c:pt idx="50">
                  <c:v>3.4719299999999995</c:v>
                </c:pt>
                <c:pt idx="51">
                  <c:v>3.4758099999999996</c:v>
                </c:pt>
                <c:pt idx="52">
                  <c:v>3.4777200000000001</c:v>
                </c:pt>
                <c:pt idx="53">
                  <c:v>3.4752999999999998</c:v>
                </c:pt>
                <c:pt idx="54">
                  <c:v>3.4740799999999998</c:v>
                </c:pt>
                <c:pt idx="55">
                  <c:v>3.4771299999999998</c:v>
                </c:pt>
                <c:pt idx="56">
                  <c:v>3.4828100000000002</c:v>
                </c:pt>
                <c:pt idx="57">
                  <c:v>3.4864299999999999</c:v>
                </c:pt>
                <c:pt idx="58">
                  <c:v>3.48813</c:v>
                </c:pt>
                <c:pt idx="59">
                  <c:v>3.4896500000000001</c:v>
                </c:pt>
                <c:pt idx="60">
                  <c:v>3.4894699999999998</c:v>
                </c:pt>
                <c:pt idx="61">
                  <c:v>3.4855900000000002</c:v>
                </c:pt>
                <c:pt idx="62">
                  <c:v>3.4778500000000001</c:v>
                </c:pt>
                <c:pt idx="63">
                  <c:v>3.4697</c:v>
                </c:pt>
                <c:pt idx="64">
                  <c:v>3.4584999999999999</c:v>
                </c:pt>
                <c:pt idx="65">
                  <c:v>3.4505599999999998</c:v>
                </c:pt>
                <c:pt idx="66">
                  <c:v>3.4457599999999999</c:v>
                </c:pt>
                <c:pt idx="67">
                  <c:v>3.4340999999999999</c:v>
                </c:pt>
                <c:pt idx="68">
                  <c:v>3.4332000000000003</c:v>
                </c:pt>
                <c:pt idx="69">
                  <c:v>3.4332500000000001</c:v>
                </c:pt>
                <c:pt idx="70">
                  <c:v>3.4329199999999997</c:v>
                </c:pt>
                <c:pt idx="71">
                  <c:v>3.4431099999999999</c:v>
                </c:pt>
                <c:pt idx="72">
                  <c:v>3.4567199999999998</c:v>
                </c:pt>
                <c:pt idx="73">
                  <c:v>3.4590399999999999</c:v>
                </c:pt>
                <c:pt idx="74">
                  <c:v>3.4271400000000001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14.945824999999999</c:v>
                </c:pt>
                <c:pt idx="1">
                  <c:v>44.837474999999998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3.1207463513513507</c:v>
                </c:pt>
                <c:pt idx="1">
                  <c:v>3.3337175675675681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0.40765200000000001</c:v>
                </c:pt>
                <c:pt idx="2">
                  <c:v>0.81792200000000004</c:v>
                </c:pt>
                <c:pt idx="3">
                  <c:v>1.2258899999999999</c:v>
                </c:pt>
                <c:pt idx="4">
                  <c:v>1.6267100000000001</c:v>
                </c:pt>
                <c:pt idx="5">
                  <c:v>2.03159</c:v>
                </c:pt>
                <c:pt idx="6">
                  <c:v>2.43547</c:v>
                </c:pt>
                <c:pt idx="7">
                  <c:v>2.8464100000000001</c:v>
                </c:pt>
                <c:pt idx="8">
                  <c:v>3.2492000000000001</c:v>
                </c:pt>
                <c:pt idx="9">
                  <c:v>3.65828</c:v>
                </c:pt>
                <c:pt idx="10">
                  <c:v>4.0650899999999996</c:v>
                </c:pt>
                <c:pt idx="11">
                  <c:v>4.4734100000000003</c:v>
                </c:pt>
                <c:pt idx="12">
                  <c:v>4.8769900000000002</c:v>
                </c:pt>
                <c:pt idx="13">
                  <c:v>5.2829600000000001</c:v>
                </c:pt>
                <c:pt idx="14">
                  <c:v>5.6910600000000002</c:v>
                </c:pt>
                <c:pt idx="15">
                  <c:v>6.0956900000000003</c:v>
                </c:pt>
                <c:pt idx="16">
                  <c:v>6.4996900000000002</c:v>
                </c:pt>
                <c:pt idx="17">
                  <c:v>6.9067600000000002</c:v>
                </c:pt>
                <c:pt idx="18">
                  <c:v>7.3164400000000001</c:v>
                </c:pt>
                <c:pt idx="19">
                  <c:v>7.7184799999999996</c:v>
                </c:pt>
                <c:pt idx="20">
                  <c:v>8.1282800000000002</c:v>
                </c:pt>
                <c:pt idx="21">
                  <c:v>8.5312300000000008</c:v>
                </c:pt>
                <c:pt idx="22">
                  <c:v>8.9411400000000008</c:v>
                </c:pt>
                <c:pt idx="23">
                  <c:v>9.3449899999999992</c:v>
                </c:pt>
                <c:pt idx="24">
                  <c:v>9.7524999999999995</c:v>
                </c:pt>
                <c:pt idx="25">
                  <c:v>10.157299999999999</c:v>
                </c:pt>
                <c:pt idx="26">
                  <c:v>10.562799999999999</c:v>
                </c:pt>
                <c:pt idx="27">
                  <c:v>10.9756</c:v>
                </c:pt>
                <c:pt idx="28">
                  <c:v>11.378500000000001</c:v>
                </c:pt>
                <c:pt idx="29">
                  <c:v>11.7822</c:v>
                </c:pt>
                <c:pt idx="30">
                  <c:v>12.189399999999999</c:v>
                </c:pt>
                <c:pt idx="31">
                  <c:v>12.5976</c:v>
                </c:pt>
                <c:pt idx="32">
                  <c:v>13.0022</c:v>
                </c:pt>
                <c:pt idx="33">
                  <c:v>13.407500000000001</c:v>
                </c:pt>
                <c:pt idx="34">
                  <c:v>13.8132</c:v>
                </c:pt>
                <c:pt idx="35">
                  <c:v>14.222</c:v>
                </c:pt>
                <c:pt idx="36">
                  <c:v>14.629899999999999</c:v>
                </c:pt>
                <c:pt idx="37">
                  <c:v>15.0328</c:v>
                </c:pt>
                <c:pt idx="38">
                  <c:v>15.4358</c:v>
                </c:pt>
                <c:pt idx="39">
                  <c:v>15.8436</c:v>
                </c:pt>
                <c:pt idx="40">
                  <c:v>16.252500000000001</c:v>
                </c:pt>
                <c:pt idx="41">
                  <c:v>16.659600000000001</c:v>
                </c:pt>
                <c:pt idx="42">
                  <c:v>17.0654</c:v>
                </c:pt>
                <c:pt idx="43">
                  <c:v>17.4712</c:v>
                </c:pt>
                <c:pt idx="44">
                  <c:v>17.877600000000001</c:v>
                </c:pt>
                <c:pt idx="45">
                  <c:v>18.277999999999999</c:v>
                </c:pt>
                <c:pt idx="46">
                  <c:v>18.691099999999999</c:v>
                </c:pt>
                <c:pt idx="47">
                  <c:v>19.097899999999999</c:v>
                </c:pt>
                <c:pt idx="48">
                  <c:v>19.5029</c:v>
                </c:pt>
                <c:pt idx="49">
                  <c:v>19.907800000000002</c:v>
                </c:pt>
                <c:pt idx="50">
                  <c:v>20.314699999999998</c:v>
                </c:pt>
                <c:pt idx="51">
                  <c:v>20.718499999999999</c:v>
                </c:pt>
                <c:pt idx="52">
                  <c:v>21.128399999999999</c:v>
                </c:pt>
                <c:pt idx="53">
                  <c:v>21.5365</c:v>
                </c:pt>
                <c:pt idx="54">
                  <c:v>21.939299999999999</c:v>
                </c:pt>
                <c:pt idx="55">
                  <c:v>22.3462</c:v>
                </c:pt>
                <c:pt idx="56">
                  <c:v>22.7501</c:v>
                </c:pt>
                <c:pt idx="57">
                  <c:v>23.159099999999999</c:v>
                </c:pt>
                <c:pt idx="58">
                  <c:v>23.568000000000001</c:v>
                </c:pt>
                <c:pt idx="59">
                  <c:v>23.972799999999999</c:v>
                </c:pt>
                <c:pt idx="60">
                  <c:v>24.376000000000001</c:v>
                </c:pt>
                <c:pt idx="61">
                  <c:v>24.779699999999998</c:v>
                </c:pt>
                <c:pt idx="62">
                  <c:v>25.1935</c:v>
                </c:pt>
                <c:pt idx="63">
                  <c:v>25.596499999999999</c:v>
                </c:pt>
                <c:pt idx="64">
                  <c:v>26.003399999999999</c:v>
                </c:pt>
                <c:pt idx="65">
                  <c:v>26.407900000000001</c:v>
                </c:pt>
                <c:pt idx="66">
                  <c:v>26.8123</c:v>
                </c:pt>
                <c:pt idx="67">
                  <c:v>27.220099999999999</c:v>
                </c:pt>
                <c:pt idx="68">
                  <c:v>27.625</c:v>
                </c:pt>
                <c:pt idx="69">
                  <c:v>28.033999999999999</c:v>
                </c:pt>
                <c:pt idx="70">
                  <c:v>28.441299999999998</c:v>
                </c:pt>
                <c:pt idx="71">
                  <c:v>28.852900000000002</c:v>
                </c:pt>
                <c:pt idx="72">
                  <c:v>29.257200000000001</c:v>
                </c:pt>
                <c:pt idx="73">
                  <c:v>29.662600000000001</c:v>
                </c:pt>
                <c:pt idx="74">
                  <c:v>30.063500000000001</c:v>
                </c:pt>
                <c:pt idx="75">
                  <c:v>30.658999999999999</c:v>
                </c:pt>
                <c:pt idx="76">
                  <c:v>31.036000000000001</c:v>
                </c:pt>
                <c:pt idx="77">
                  <c:v>31.405999999999999</c:v>
                </c:pt>
                <c:pt idx="78">
                  <c:v>31.783200000000001</c:v>
                </c:pt>
                <c:pt idx="79">
                  <c:v>32.158999999999999</c:v>
                </c:pt>
                <c:pt idx="80">
                  <c:v>32.566000000000003</c:v>
                </c:pt>
                <c:pt idx="81">
                  <c:v>32.971699999999998</c:v>
                </c:pt>
                <c:pt idx="82">
                  <c:v>33.375799999999998</c:v>
                </c:pt>
                <c:pt idx="83">
                  <c:v>33.7819</c:v>
                </c:pt>
                <c:pt idx="84">
                  <c:v>34.1935</c:v>
                </c:pt>
                <c:pt idx="85">
                  <c:v>34.597700000000003</c:v>
                </c:pt>
                <c:pt idx="86">
                  <c:v>35.002400000000002</c:v>
                </c:pt>
                <c:pt idx="87">
                  <c:v>35.409300000000002</c:v>
                </c:pt>
                <c:pt idx="88">
                  <c:v>35.812399999999997</c:v>
                </c:pt>
                <c:pt idx="89">
                  <c:v>36.222099999999998</c:v>
                </c:pt>
                <c:pt idx="90">
                  <c:v>36.628100000000003</c:v>
                </c:pt>
                <c:pt idx="91">
                  <c:v>37.033900000000003</c:v>
                </c:pt>
                <c:pt idx="92">
                  <c:v>37.438000000000002</c:v>
                </c:pt>
                <c:pt idx="93">
                  <c:v>37.844900000000003</c:v>
                </c:pt>
                <c:pt idx="94">
                  <c:v>38.250700000000002</c:v>
                </c:pt>
                <c:pt idx="95">
                  <c:v>38.660600000000002</c:v>
                </c:pt>
                <c:pt idx="96">
                  <c:v>39.067599999999999</c:v>
                </c:pt>
                <c:pt idx="97">
                  <c:v>39.4724</c:v>
                </c:pt>
                <c:pt idx="98">
                  <c:v>39.878500000000003</c:v>
                </c:pt>
                <c:pt idx="99">
                  <c:v>40.286200000000001</c:v>
                </c:pt>
                <c:pt idx="100">
                  <c:v>40.6905</c:v>
                </c:pt>
                <c:pt idx="101">
                  <c:v>41.095999999999997</c:v>
                </c:pt>
                <c:pt idx="102">
                  <c:v>41.501899999999999</c:v>
                </c:pt>
                <c:pt idx="103">
                  <c:v>41.908900000000003</c:v>
                </c:pt>
                <c:pt idx="104">
                  <c:v>42.315800000000003</c:v>
                </c:pt>
                <c:pt idx="105">
                  <c:v>42.720700000000001</c:v>
                </c:pt>
                <c:pt idx="106">
                  <c:v>43.1297</c:v>
                </c:pt>
                <c:pt idx="107">
                  <c:v>43.533499999999997</c:v>
                </c:pt>
                <c:pt idx="108">
                  <c:v>43.938499999999998</c:v>
                </c:pt>
                <c:pt idx="109">
                  <c:v>44.342599999999997</c:v>
                </c:pt>
                <c:pt idx="110">
                  <c:v>44.753399999999999</c:v>
                </c:pt>
                <c:pt idx="111">
                  <c:v>45.158299999999997</c:v>
                </c:pt>
                <c:pt idx="112">
                  <c:v>45.564100000000003</c:v>
                </c:pt>
                <c:pt idx="113">
                  <c:v>45.97</c:v>
                </c:pt>
                <c:pt idx="114">
                  <c:v>46.374299999999998</c:v>
                </c:pt>
                <c:pt idx="115">
                  <c:v>46.7789</c:v>
                </c:pt>
                <c:pt idx="116">
                  <c:v>47.186799999999998</c:v>
                </c:pt>
                <c:pt idx="117">
                  <c:v>47.596699999999998</c:v>
                </c:pt>
                <c:pt idx="118">
                  <c:v>48.003599999999999</c:v>
                </c:pt>
                <c:pt idx="119">
                  <c:v>48.415599999999998</c:v>
                </c:pt>
                <c:pt idx="120">
                  <c:v>48.817900000000002</c:v>
                </c:pt>
                <c:pt idx="121">
                  <c:v>49.2226</c:v>
                </c:pt>
                <c:pt idx="122">
                  <c:v>49.629399999999997</c:v>
                </c:pt>
                <c:pt idx="123">
                  <c:v>50.030299999999997</c:v>
                </c:pt>
                <c:pt idx="124">
                  <c:v>50.448300000000003</c:v>
                </c:pt>
                <c:pt idx="125">
                  <c:v>50.845999999999997</c:v>
                </c:pt>
                <c:pt idx="126">
                  <c:v>51.252099999999999</c:v>
                </c:pt>
                <c:pt idx="127">
                  <c:v>51.660800000000002</c:v>
                </c:pt>
                <c:pt idx="128">
                  <c:v>52.064799999999998</c:v>
                </c:pt>
                <c:pt idx="129">
                  <c:v>52.467599999999997</c:v>
                </c:pt>
                <c:pt idx="130">
                  <c:v>52.876600000000003</c:v>
                </c:pt>
                <c:pt idx="131">
                  <c:v>53.283499999999997</c:v>
                </c:pt>
                <c:pt idx="132">
                  <c:v>53.693399999999997</c:v>
                </c:pt>
                <c:pt idx="133">
                  <c:v>54.0974</c:v>
                </c:pt>
                <c:pt idx="134">
                  <c:v>54.501600000000003</c:v>
                </c:pt>
                <c:pt idx="135">
                  <c:v>54.908299999999997</c:v>
                </c:pt>
                <c:pt idx="136">
                  <c:v>55.316000000000003</c:v>
                </c:pt>
                <c:pt idx="137">
                  <c:v>55.721899999999998</c:v>
                </c:pt>
                <c:pt idx="138">
                  <c:v>56.124299999999998</c:v>
                </c:pt>
                <c:pt idx="139">
                  <c:v>56.532899999999998</c:v>
                </c:pt>
                <c:pt idx="140">
                  <c:v>56.938800000000001</c:v>
                </c:pt>
                <c:pt idx="141">
                  <c:v>57.3446</c:v>
                </c:pt>
                <c:pt idx="142">
                  <c:v>57.749899999999997</c:v>
                </c:pt>
                <c:pt idx="143">
                  <c:v>58.159399999999998</c:v>
                </c:pt>
                <c:pt idx="144">
                  <c:v>58.567399999999999</c:v>
                </c:pt>
                <c:pt idx="145">
                  <c:v>58.970199999999998</c:v>
                </c:pt>
                <c:pt idx="146">
                  <c:v>59.377299999999998</c:v>
                </c:pt>
                <c:pt idx="147">
                  <c:v>59.783299999999997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49.513800000000003</c:v>
                </c:pt>
                <c:pt idx="1">
                  <c:v>48.295200000000001</c:v>
                </c:pt>
                <c:pt idx="2">
                  <c:v>46.943300000000001</c:v>
                </c:pt>
                <c:pt idx="3">
                  <c:v>45.671499999999995</c:v>
                </c:pt>
                <c:pt idx="4">
                  <c:v>44.439099999999996</c:v>
                </c:pt>
                <c:pt idx="5">
                  <c:v>43.232799999999997</c:v>
                </c:pt>
                <c:pt idx="6">
                  <c:v>42.0625</c:v>
                </c:pt>
                <c:pt idx="7">
                  <c:v>40.860999999999997</c:v>
                </c:pt>
                <c:pt idx="8">
                  <c:v>39.742400000000004</c:v>
                </c:pt>
                <c:pt idx="9">
                  <c:v>38.632899999999999</c:v>
                </c:pt>
                <c:pt idx="10">
                  <c:v>37.490600000000001</c:v>
                </c:pt>
                <c:pt idx="11">
                  <c:v>36.3399</c:v>
                </c:pt>
                <c:pt idx="12">
                  <c:v>35.410899999999998</c:v>
                </c:pt>
                <c:pt idx="13">
                  <c:v>34.639900000000004</c:v>
                </c:pt>
                <c:pt idx="14">
                  <c:v>34.051900000000003</c:v>
                </c:pt>
                <c:pt idx="15">
                  <c:v>33.4923</c:v>
                </c:pt>
                <c:pt idx="16">
                  <c:v>32.994800000000005</c:v>
                </c:pt>
                <c:pt idx="17">
                  <c:v>32.442900000000002</c:v>
                </c:pt>
                <c:pt idx="18">
                  <c:v>31.760699999999996</c:v>
                </c:pt>
                <c:pt idx="19">
                  <c:v>31.154300000000003</c:v>
                </c:pt>
                <c:pt idx="20">
                  <c:v>30.531799999999997</c:v>
                </c:pt>
                <c:pt idx="21">
                  <c:v>29.902299999999997</c:v>
                </c:pt>
                <c:pt idx="22">
                  <c:v>29.242600000000003</c:v>
                </c:pt>
                <c:pt idx="23">
                  <c:v>28.607500000000002</c:v>
                </c:pt>
                <c:pt idx="24">
                  <c:v>28.0989</c:v>
                </c:pt>
                <c:pt idx="25">
                  <c:v>27.668300000000002</c:v>
                </c:pt>
                <c:pt idx="26">
                  <c:v>27.2484</c:v>
                </c:pt>
                <c:pt idx="27">
                  <c:v>26.917400000000001</c:v>
                </c:pt>
                <c:pt idx="28">
                  <c:v>26.635599999999997</c:v>
                </c:pt>
                <c:pt idx="29">
                  <c:v>26.365499999999997</c:v>
                </c:pt>
                <c:pt idx="30">
                  <c:v>26.174399999999999</c:v>
                </c:pt>
                <c:pt idx="31">
                  <c:v>25.9785</c:v>
                </c:pt>
                <c:pt idx="32">
                  <c:v>25.946200000000001</c:v>
                </c:pt>
                <c:pt idx="33">
                  <c:v>26.001000000000001</c:v>
                </c:pt>
                <c:pt idx="34">
                  <c:v>26.081500000000002</c:v>
                </c:pt>
                <c:pt idx="35">
                  <c:v>26.257399999999997</c:v>
                </c:pt>
                <c:pt idx="36">
                  <c:v>26.552199999999999</c:v>
                </c:pt>
                <c:pt idx="37">
                  <c:v>26.828299999999999</c:v>
                </c:pt>
                <c:pt idx="38">
                  <c:v>27.117200000000004</c:v>
                </c:pt>
                <c:pt idx="39">
                  <c:v>27.325399999999998</c:v>
                </c:pt>
                <c:pt idx="40">
                  <c:v>27.533800000000003</c:v>
                </c:pt>
                <c:pt idx="41">
                  <c:v>27.709299999999999</c:v>
                </c:pt>
                <c:pt idx="42">
                  <c:v>27.877800000000004</c:v>
                </c:pt>
                <c:pt idx="43">
                  <c:v>28.148499999999999</c:v>
                </c:pt>
                <c:pt idx="44">
                  <c:v>28.384500000000003</c:v>
                </c:pt>
                <c:pt idx="45">
                  <c:v>28.655900000000003</c:v>
                </c:pt>
                <c:pt idx="46">
                  <c:v>28.910599999999999</c:v>
                </c:pt>
                <c:pt idx="47">
                  <c:v>29.214200000000002</c:v>
                </c:pt>
                <c:pt idx="48">
                  <c:v>29.608800000000002</c:v>
                </c:pt>
                <c:pt idx="49">
                  <c:v>29.984899999999996</c:v>
                </c:pt>
                <c:pt idx="50">
                  <c:v>30.236699999999999</c:v>
                </c:pt>
                <c:pt idx="51">
                  <c:v>30.5533</c:v>
                </c:pt>
                <c:pt idx="52">
                  <c:v>30.853899999999999</c:v>
                </c:pt>
                <c:pt idx="53">
                  <c:v>31.1</c:v>
                </c:pt>
                <c:pt idx="54">
                  <c:v>31.246600000000001</c:v>
                </c:pt>
                <c:pt idx="55">
                  <c:v>31.326999999999998</c:v>
                </c:pt>
                <c:pt idx="56">
                  <c:v>31.497299999999999</c:v>
                </c:pt>
                <c:pt idx="57">
                  <c:v>31.639899999999997</c:v>
                </c:pt>
                <c:pt idx="58">
                  <c:v>31.752000000000002</c:v>
                </c:pt>
                <c:pt idx="59">
                  <c:v>31.881599999999999</c:v>
                </c:pt>
                <c:pt idx="60">
                  <c:v>32.050600000000003</c:v>
                </c:pt>
                <c:pt idx="61">
                  <c:v>32.2288</c:v>
                </c:pt>
                <c:pt idx="62">
                  <c:v>32.379000000000005</c:v>
                </c:pt>
                <c:pt idx="63">
                  <c:v>32.513599999999997</c:v>
                </c:pt>
                <c:pt idx="64">
                  <c:v>32.688499999999998</c:v>
                </c:pt>
                <c:pt idx="65">
                  <c:v>32.908000000000001</c:v>
                </c:pt>
                <c:pt idx="66">
                  <c:v>33.177199999999999</c:v>
                </c:pt>
                <c:pt idx="67">
                  <c:v>33.528300000000002</c:v>
                </c:pt>
                <c:pt idx="68">
                  <c:v>33.8947</c:v>
                </c:pt>
                <c:pt idx="69">
                  <c:v>34.231899999999996</c:v>
                </c:pt>
                <c:pt idx="70">
                  <c:v>34.4604</c:v>
                </c:pt>
                <c:pt idx="71">
                  <c:v>34.678100000000001</c:v>
                </c:pt>
                <c:pt idx="72">
                  <c:v>34.926200000000001</c:v>
                </c:pt>
                <c:pt idx="73">
                  <c:v>35.113199999999999</c:v>
                </c:pt>
                <c:pt idx="74">
                  <c:v>35.32</c:v>
                </c:pt>
                <c:pt idx="75">
                  <c:v>35.695799999999998</c:v>
                </c:pt>
                <c:pt idx="76">
                  <c:v>35.875399999999999</c:v>
                </c:pt>
                <c:pt idx="77">
                  <c:v>36.016399999999997</c:v>
                </c:pt>
                <c:pt idx="78">
                  <c:v>36.255700000000004</c:v>
                </c:pt>
                <c:pt idx="79">
                  <c:v>36.530699999999996</c:v>
                </c:pt>
                <c:pt idx="80">
                  <c:v>36.757300000000001</c:v>
                </c:pt>
                <c:pt idx="81">
                  <c:v>36.926700000000004</c:v>
                </c:pt>
                <c:pt idx="82">
                  <c:v>37.1023</c:v>
                </c:pt>
                <c:pt idx="83">
                  <c:v>37.2774</c:v>
                </c:pt>
                <c:pt idx="84">
                  <c:v>37.382300000000001</c:v>
                </c:pt>
                <c:pt idx="85">
                  <c:v>37.360900000000001</c:v>
                </c:pt>
                <c:pt idx="86">
                  <c:v>37.303799999999995</c:v>
                </c:pt>
                <c:pt idx="87">
                  <c:v>37.328499999999998</c:v>
                </c:pt>
                <c:pt idx="88">
                  <c:v>37.345399999999998</c:v>
                </c:pt>
                <c:pt idx="89">
                  <c:v>37.368000000000002</c:v>
                </c:pt>
                <c:pt idx="90">
                  <c:v>37.343199999999996</c:v>
                </c:pt>
                <c:pt idx="91">
                  <c:v>37.294400000000003</c:v>
                </c:pt>
                <c:pt idx="92">
                  <c:v>37.190400000000004</c:v>
                </c:pt>
                <c:pt idx="93">
                  <c:v>37.078299999999999</c:v>
                </c:pt>
                <c:pt idx="94">
                  <c:v>37.008699999999997</c:v>
                </c:pt>
                <c:pt idx="95">
                  <c:v>36.987400000000001</c:v>
                </c:pt>
                <c:pt idx="96">
                  <c:v>36.960999999999999</c:v>
                </c:pt>
                <c:pt idx="97">
                  <c:v>36.8399</c:v>
                </c:pt>
                <c:pt idx="98">
                  <c:v>36.685099999999998</c:v>
                </c:pt>
                <c:pt idx="99">
                  <c:v>36.494700000000002</c:v>
                </c:pt>
                <c:pt idx="100">
                  <c:v>36.204599999999999</c:v>
                </c:pt>
                <c:pt idx="101">
                  <c:v>35.912300000000002</c:v>
                </c:pt>
                <c:pt idx="102">
                  <c:v>35.7483</c:v>
                </c:pt>
                <c:pt idx="103">
                  <c:v>35.671799999999998</c:v>
                </c:pt>
                <c:pt idx="104">
                  <c:v>35.5991</c:v>
                </c:pt>
                <c:pt idx="105">
                  <c:v>35.421599999999998</c:v>
                </c:pt>
                <c:pt idx="106">
                  <c:v>35.235300000000002</c:v>
                </c:pt>
                <c:pt idx="107">
                  <c:v>34.993699999999997</c:v>
                </c:pt>
                <c:pt idx="108">
                  <c:v>34.7136</c:v>
                </c:pt>
                <c:pt idx="109">
                  <c:v>34.377299999999998</c:v>
                </c:pt>
                <c:pt idx="110">
                  <c:v>34.025399999999998</c:v>
                </c:pt>
                <c:pt idx="111">
                  <c:v>33.788899999999998</c:v>
                </c:pt>
                <c:pt idx="112">
                  <c:v>33.5244</c:v>
                </c:pt>
                <c:pt idx="113">
                  <c:v>33.275399999999998</c:v>
                </c:pt>
                <c:pt idx="114">
                  <c:v>33.103900000000003</c:v>
                </c:pt>
                <c:pt idx="115">
                  <c:v>32.886200000000002</c:v>
                </c:pt>
                <c:pt idx="116">
                  <c:v>32.703700000000005</c:v>
                </c:pt>
                <c:pt idx="117">
                  <c:v>32.595200000000006</c:v>
                </c:pt>
                <c:pt idx="118">
                  <c:v>32.482599999999998</c:v>
                </c:pt>
                <c:pt idx="119">
                  <c:v>32.394099999999995</c:v>
                </c:pt>
                <c:pt idx="120">
                  <c:v>32.321399999999997</c:v>
                </c:pt>
                <c:pt idx="121">
                  <c:v>32.0901</c:v>
                </c:pt>
                <c:pt idx="122">
                  <c:v>31.835699999999999</c:v>
                </c:pt>
                <c:pt idx="123">
                  <c:v>31.703199999999999</c:v>
                </c:pt>
                <c:pt idx="124">
                  <c:v>31.620100000000001</c:v>
                </c:pt>
                <c:pt idx="125">
                  <c:v>31.563400000000001</c:v>
                </c:pt>
                <c:pt idx="126">
                  <c:v>31.543500000000002</c:v>
                </c:pt>
                <c:pt idx="127">
                  <c:v>31.441700000000001</c:v>
                </c:pt>
                <c:pt idx="128">
                  <c:v>31.242900000000002</c:v>
                </c:pt>
                <c:pt idx="129">
                  <c:v>31.060300000000002</c:v>
                </c:pt>
                <c:pt idx="130">
                  <c:v>30.948999999999998</c:v>
                </c:pt>
                <c:pt idx="131">
                  <c:v>30.8568</c:v>
                </c:pt>
                <c:pt idx="132">
                  <c:v>30.786400000000004</c:v>
                </c:pt>
                <c:pt idx="133">
                  <c:v>30.764200000000002</c:v>
                </c:pt>
                <c:pt idx="134">
                  <c:v>30.8215</c:v>
                </c:pt>
                <c:pt idx="135">
                  <c:v>30.971500000000002</c:v>
                </c:pt>
                <c:pt idx="136">
                  <c:v>30.9573</c:v>
                </c:pt>
                <c:pt idx="137">
                  <c:v>30.9819</c:v>
                </c:pt>
                <c:pt idx="138">
                  <c:v>30.999399999999998</c:v>
                </c:pt>
                <c:pt idx="139">
                  <c:v>30.856499999999997</c:v>
                </c:pt>
                <c:pt idx="140">
                  <c:v>30.891300000000001</c:v>
                </c:pt>
                <c:pt idx="141">
                  <c:v>30.830600000000004</c:v>
                </c:pt>
                <c:pt idx="142">
                  <c:v>30.580500000000001</c:v>
                </c:pt>
                <c:pt idx="143">
                  <c:v>30.293599999999998</c:v>
                </c:pt>
                <c:pt idx="144">
                  <c:v>29.770299999999999</c:v>
                </c:pt>
                <c:pt idx="145">
                  <c:v>28.899599999999996</c:v>
                </c:pt>
                <c:pt idx="146">
                  <c:v>28.383599999999998</c:v>
                </c:pt>
                <c:pt idx="147">
                  <c:v>29.121000000000002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0.40765200000000001</c:v>
                </c:pt>
                <c:pt idx="2">
                  <c:v>0.81792200000000004</c:v>
                </c:pt>
                <c:pt idx="3">
                  <c:v>1.2258899999999999</c:v>
                </c:pt>
                <c:pt idx="4">
                  <c:v>1.6267100000000001</c:v>
                </c:pt>
                <c:pt idx="5">
                  <c:v>2.03159</c:v>
                </c:pt>
                <c:pt idx="6">
                  <c:v>2.43547</c:v>
                </c:pt>
                <c:pt idx="7">
                  <c:v>2.8464100000000001</c:v>
                </c:pt>
                <c:pt idx="8">
                  <c:v>3.2492000000000001</c:v>
                </c:pt>
                <c:pt idx="9">
                  <c:v>3.65828</c:v>
                </c:pt>
                <c:pt idx="10">
                  <c:v>4.0650899999999996</c:v>
                </c:pt>
                <c:pt idx="11">
                  <c:v>4.4734100000000003</c:v>
                </c:pt>
                <c:pt idx="12">
                  <c:v>4.8769900000000002</c:v>
                </c:pt>
                <c:pt idx="13">
                  <c:v>5.2829600000000001</c:v>
                </c:pt>
                <c:pt idx="14">
                  <c:v>5.6910600000000002</c:v>
                </c:pt>
                <c:pt idx="15">
                  <c:v>6.0956900000000003</c:v>
                </c:pt>
                <c:pt idx="16">
                  <c:v>6.4996900000000002</c:v>
                </c:pt>
                <c:pt idx="17">
                  <c:v>6.9067600000000002</c:v>
                </c:pt>
                <c:pt idx="18">
                  <c:v>7.3164400000000001</c:v>
                </c:pt>
                <c:pt idx="19">
                  <c:v>7.7184799999999996</c:v>
                </c:pt>
                <c:pt idx="20">
                  <c:v>8.1282800000000002</c:v>
                </c:pt>
                <c:pt idx="21">
                  <c:v>8.5312300000000008</c:v>
                </c:pt>
                <c:pt idx="22">
                  <c:v>8.9411400000000008</c:v>
                </c:pt>
                <c:pt idx="23">
                  <c:v>9.3449899999999992</c:v>
                </c:pt>
                <c:pt idx="24">
                  <c:v>9.7524999999999995</c:v>
                </c:pt>
                <c:pt idx="25">
                  <c:v>10.157299999999999</c:v>
                </c:pt>
                <c:pt idx="26">
                  <c:v>10.562799999999999</c:v>
                </c:pt>
                <c:pt idx="27">
                  <c:v>10.9756</c:v>
                </c:pt>
                <c:pt idx="28">
                  <c:v>11.378500000000001</c:v>
                </c:pt>
                <c:pt idx="29">
                  <c:v>11.7822</c:v>
                </c:pt>
                <c:pt idx="30">
                  <c:v>12.189399999999999</c:v>
                </c:pt>
                <c:pt idx="31">
                  <c:v>12.5976</c:v>
                </c:pt>
                <c:pt idx="32">
                  <c:v>13.0022</c:v>
                </c:pt>
                <c:pt idx="33">
                  <c:v>13.407500000000001</c:v>
                </c:pt>
                <c:pt idx="34">
                  <c:v>13.8132</c:v>
                </c:pt>
                <c:pt idx="35">
                  <c:v>14.222</c:v>
                </c:pt>
                <c:pt idx="36">
                  <c:v>14.629899999999999</c:v>
                </c:pt>
                <c:pt idx="37">
                  <c:v>15.0328</c:v>
                </c:pt>
                <c:pt idx="38">
                  <c:v>15.4358</c:v>
                </c:pt>
                <c:pt idx="39">
                  <c:v>15.8436</c:v>
                </c:pt>
                <c:pt idx="40">
                  <c:v>16.252500000000001</c:v>
                </c:pt>
                <c:pt idx="41">
                  <c:v>16.659600000000001</c:v>
                </c:pt>
                <c:pt idx="42">
                  <c:v>17.0654</c:v>
                </c:pt>
                <c:pt idx="43">
                  <c:v>17.4712</c:v>
                </c:pt>
                <c:pt idx="44">
                  <c:v>17.877600000000001</c:v>
                </c:pt>
                <c:pt idx="45">
                  <c:v>18.277999999999999</c:v>
                </c:pt>
                <c:pt idx="46">
                  <c:v>18.691099999999999</c:v>
                </c:pt>
                <c:pt idx="47">
                  <c:v>19.097899999999999</c:v>
                </c:pt>
                <c:pt idx="48">
                  <c:v>19.5029</c:v>
                </c:pt>
                <c:pt idx="49">
                  <c:v>19.907800000000002</c:v>
                </c:pt>
                <c:pt idx="50">
                  <c:v>20.314699999999998</c:v>
                </c:pt>
                <c:pt idx="51">
                  <c:v>20.718499999999999</c:v>
                </c:pt>
                <c:pt idx="52">
                  <c:v>21.128399999999999</c:v>
                </c:pt>
                <c:pt idx="53">
                  <c:v>21.5365</c:v>
                </c:pt>
                <c:pt idx="54">
                  <c:v>21.939299999999999</c:v>
                </c:pt>
                <c:pt idx="55">
                  <c:v>22.3462</c:v>
                </c:pt>
                <c:pt idx="56">
                  <c:v>22.7501</c:v>
                </c:pt>
                <c:pt idx="57">
                  <c:v>23.159099999999999</c:v>
                </c:pt>
                <c:pt idx="58">
                  <c:v>23.568000000000001</c:v>
                </c:pt>
                <c:pt idx="59">
                  <c:v>23.972799999999999</c:v>
                </c:pt>
                <c:pt idx="60">
                  <c:v>24.376000000000001</c:v>
                </c:pt>
                <c:pt idx="61">
                  <c:v>24.779699999999998</c:v>
                </c:pt>
                <c:pt idx="62">
                  <c:v>25.1935</c:v>
                </c:pt>
                <c:pt idx="63">
                  <c:v>25.596499999999999</c:v>
                </c:pt>
                <c:pt idx="64">
                  <c:v>26.003399999999999</c:v>
                </c:pt>
                <c:pt idx="65">
                  <c:v>26.407900000000001</c:v>
                </c:pt>
                <c:pt idx="66">
                  <c:v>26.8123</c:v>
                </c:pt>
                <c:pt idx="67">
                  <c:v>27.220099999999999</c:v>
                </c:pt>
                <c:pt idx="68">
                  <c:v>27.625</c:v>
                </c:pt>
                <c:pt idx="69">
                  <c:v>28.033999999999999</c:v>
                </c:pt>
                <c:pt idx="70">
                  <c:v>28.441299999999998</c:v>
                </c:pt>
                <c:pt idx="71">
                  <c:v>28.852900000000002</c:v>
                </c:pt>
                <c:pt idx="72">
                  <c:v>29.257200000000001</c:v>
                </c:pt>
                <c:pt idx="73">
                  <c:v>29.662600000000001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49.513800000000003</c:v>
                </c:pt>
                <c:pt idx="1">
                  <c:v>48.295200000000001</c:v>
                </c:pt>
                <c:pt idx="2">
                  <c:v>46.943300000000001</c:v>
                </c:pt>
                <c:pt idx="3">
                  <c:v>45.671499999999995</c:v>
                </c:pt>
                <c:pt idx="4">
                  <c:v>44.439099999999996</c:v>
                </c:pt>
                <c:pt idx="5">
                  <c:v>43.232799999999997</c:v>
                </c:pt>
                <c:pt idx="6">
                  <c:v>42.0625</c:v>
                </c:pt>
                <c:pt idx="7">
                  <c:v>40.860999999999997</c:v>
                </c:pt>
                <c:pt idx="8">
                  <c:v>39.742400000000004</c:v>
                </c:pt>
                <c:pt idx="9">
                  <c:v>38.632899999999999</c:v>
                </c:pt>
                <c:pt idx="10">
                  <c:v>37.490600000000001</c:v>
                </c:pt>
                <c:pt idx="11">
                  <c:v>36.3399</c:v>
                </c:pt>
                <c:pt idx="12">
                  <c:v>35.410899999999998</c:v>
                </c:pt>
                <c:pt idx="13">
                  <c:v>34.639900000000004</c:v>
                </c:pt>
                <c:pt idx="14">
                  <c:v>34.051900000000003</c:v>
                </c:pt>
                <c:pt idx="15">
                  <c:v>33.4923</c:v>
                </c:pt>
                <c:pt idx="16">
                  <c:v>32.994800000000005</c:v>
                </c:pt>
                <c:pt idx="17">
                  <c:v>32.442900000000002</c:v>
                </c:pt>
                <c:pt idx="18">
                  <c:v>31.760699999999996</c:v>
                </c:pt>
                <c:pt idx="19">
                  <c:v>31.154300000000003</c:v>
                </c:pt>
                <c:pt idx="20">
                  <c:v>30.531799999999997</c:v>
                </c:pt>
                <c:pt idx="21">
                  <c:v>29.902299999999997</c:v>
                </c:pt>
                <c:pt idx="22">
                  <c:v>29.242600000000003</c:v>
                </c:pt>
                <c:pt idx="23">
                  <c:v>28.607500000000002</c:v>
                </c:pt>
                <c:pt idx="24">
                  <c:v>28.0989</c:v>
                </c:pt>
                <c:pt idx="25">
                  <c:v>27.668300000000002</c:v>
                </c:pt>
                <c:pt idx="26">
                  <c:v>27.2484</c:v>
                </c:pt>
                <c:pt idx="27">
                  <c:v>26.917400000000001</c:v>
                </c:pt>
                <c:pt idx="28">
                  <c:v>26.635599999999997</c:v>
                </c:pt>
                <c:pt idx="29">
                  <c:v>26.365499999999997</c:v>
                </c:pt>
                <c:pt idx="30">
                  <c:v>26.174399999999999</c:v>
                </c:pt>
                <c:pt idx="31">
                  <c:v>25.9785</c:v>
                </c:pt>
                <c:pt idx="32">
                  <c:v>25.946200000000001</c:v>
                </c:pt>
                <c:pt idx="33">
                  <c:v>26.001000000000001</c:v>
                </c:pt>
                <c:pt idx="34">
                  <c:v>26.081500000000002</c:v>
                </c:pt>
                <c:pt idx="35">
                  <c:v>26.257399999999997</c:v>
                </c:pt>
                <c:pt idx="36">
                  <c:v>26.552199999999999</c:v>
                </c:pt>
                <c:pt idx="37">
                  <c:v>26.828299999999999</c:v>
                </c:pt>
                <c:pt idx="38">
                  <c:v>27.117200000000004</c:v>
                </c:pt>
                <c:pt idx="39">
                  <c:v>27.325399999999998</c:v>
                </c:pt>
                <c:pt idx="40">
                  <c:v>27.533800000000003</c:v>
                </c:pt>
                <c:pt idx="41">
                  <c:v>27.709299999999999</c:v>
                </c:pt>
                <c:pt idx="42">
                  <c:v>27.877800000000004</c:v>
                </c:pt>
                <c:pt idx="43">
                  <c:v>28.148499999999999</c:v>
                </c:pt>
                <c:pt idx="44">
                  <c:v>28.384500000000003</c:v>
                </c:pt>
                <c:pt idx="45">
                  <c:v>28.655900000000003</c:v>
                </c:pt>
                <c:pt idx="46">
                  <c:v>28.910599999999999</c:v>
                </c:pt>
                <c:pt idx="47">
                  <c:v>29.214200000000002</c:v>
                </c:pt>
                <c:pt idx="48">
                  <c:v>29.608800000000002</c:v>
                </c:pt>
                <c:pt idx="49">
                  <c:v>29.984899999999996</c:v>
                </c:pt>
                <c:pt idx="50">
                  <c:v>30.236699999999999</c:v>
                </c:pt>
                <c:pt idx="51">
                  <c:v>30.5533</c:v>
                </c:pt>
                <c:pt idx="52">
                  <c:v>30.853899999999999</c:v>
                </c:pt>
                <c:pt idx="53">
                  <c:v>31.1</c:v>
                </c:pt>
                <c:pt idx="54">
                  <c:v>31.246600000000001</c:v>
                </c:pt>
                <c:pt idx="55">
                  <c:v>31.326999999999998</c:v>
                </c:pt>
                <c:pt idx="56">
                  <c:v>31.497299999999999</c:v>
                </c:pt>
                <c:pt idx="57">
                  <c:v>31.639899999999997</c:v>
                </c:pt>
                <c:pt idx="58">
                  <c:v>31.752000000000002</c:v>
                </c:pt>
                <c:pt idx="59">
                  <c:v>31.881599999999999</c:v>
                </c:pt>
                <c:pt idx="60">
                  <c:v>32.050600000000003</c:v>
                </c:pt>
                <c:pt idx="61">
                  <c:v>32.2288</c:v>
                </c:pt>
                <c:pt idx="62">
                  <c:v>32.379000000000005</c:v>
                </c:pt>
                <c:pt idx="63">
                  <c:v>32.513599999999997</c:v>
                </c:pt>
                <c:pt idx="64">
                  <c:v>32.688499999999998</c:v>
                </c:pt>
                <c:pt idx="65">
                  <c:v>32.908000000000001</c:v>
                </c:pt>
                <c:pt idx="66">
                  <c:v>33.177199999999999</c:v>
                </c:pt>
                <c:pt idx="67">
                  <c:v>33.528300000000002</c:v>
                </c:pt>
                <c:pt idx="68">
                  <c:v>33.8947</c:v>
                </c:pt>
                <c:pt idx="69">
                  <c:v>34.231899999999996</c:v>
                </c:pt>
                <c:pt idx="70">
                  <c:v>34.4604</c:v>
                </c:pt>
                <c:pt idx="71">
                  <c:v>34.678100000000001</c:v>
                </c:pt>
                <c:pt idx="72">
                  <c:v>34.926200000000001</c:v>
                </c:pt>
                <c:pt idx="73">
                  <c:v>35.113199999999999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29.662600000000001</c:v>
                </c:pt>
                <c:pt idx="1">
                  <c:v>30.063500000000001</c:v>
                </c:pt>
                <c:pt idx="2">
                  <c:v>30.658999999999999</c:v>
                </c:pt>
                <c:pt idx="3">
                  <c:v>31.036000000000001</c:v>
                </c:pt>
                <c:pt idx="4">
                  <c:v>31.405999999999999</c:v>
                </c:pt>
                <c:pt idx="5">
                  <c:v>31.783200000000001</c:v>
                </c:pt>
                <c:pt idx="6">
                  <c:v>32.158999999999999</c:v>
                </c:pt>
                <c:pt idx="7">
                  <c:v>32.566000000000003</c:v>
                </c:pt>
                <c:pt idx="8">
                  <c:v>32.971699999999998</c:v>
                </c:pt>
                <c:pt idx="9">
                  <c:v>33.375799999999998</c:v>
                </c:pt>
                <c:pt idx="10">
                  <c:v>33.7819</c:v>
                </c:pt>
                <c:pt idx="11">
                  <c:v>34.1935</c:v>
                </c:pt>
                <c:pt idx="12">
                  <c:v>34.597700000000003</c:v>
                </c:pt>
                <c:pt idx="13">
                  <c:v>35.002400000000002</c:v>
                </c:pt>
                <c:pt idx="14">
                  <c:v>35.409300000000002</c:v>
                </c:pt>
                <c:pt idx="15">
                  <c:v>35.812399999999997</c:v>
                </c:pt>
                <c:pt idx="16">
                  <c:v>36.222099999999998</c:v>
                </c:pt>
                <c:pt idx="17">
                  <c:v>36.628100000000003</c:v>
                </c:pt>
                <c:pt idx="18">
                  <c:v>37.033900000000003</c:v>
                </c:pt>
                <c:pt idx="19">
                  <c:v>37.438000000000002</c:v>
                </c:pt>
                <c:pt idx="20">
                  <c:v>37.844900000000003</c:v>
                </c:pt>
                <c:pt idx="21">
                  <c:v>38.250700000000002</c:v>
                </c:pt>
                <c:pt idx="22">
                  <c:v>38.660600000000002</c:v>
                </c:pt>
                <c:pt idx="23">
                  <c:v>39.067599999999999</c:v>
                </c:pt>
                <c:pt idx="24">
                  <c:v>39.4724</c:v>
                </c:pt>
                <c:pt idx="25">
                  <c:v>39.878500000000003</c:v>
                </c:pt>
                <c:pt idx="26">
                  <c:v>40.286200000000001</c:v>
                </c:pt>
                <c:pt idx="27">
                  <c:v>40.6905</c:v>
                </c:pt>
                <c:pt idx="28">
                  <c:v>41.095999999999997</c:v>
                </c:pt>
                <c:pt idx="29">
                  <c:v>41.501899999999999</c:v>
                </c:pt>
                <c:pt idx="30">
                  <c:v>41.908900000000003</c:v>
                </c:pt>
                <c:pt idx="31">
                  <c:v>42.315800000000003</c:v>
                </c:pt>
                <c:pt idx="32">
                  <c:v>42.720700000000001</c:v>
                </c:pt>
                <c:pt idx="33">
                  <c:v>43.1297</c:v>
                </c:pt>
                <c:pt idx="34">
                  <c:v>43.533499999999997</c:v>
                </c:pt>
                <c:pt idx="35">
                  <c:v>43.938499999999998</c:v>
                </c:pt>
                <c:pt idx="36">
                  <c:v>44.342599999999997</c:v>
                </c:pt>
                <c:pt idx="37">
                  <c:v>44.753399999999999</c:v>
                </c:pt>
                <c:pt idx="38">
                  <c:v>45.158299999999997</c:v>
                </c:pt>
                <c:pt idx="39">
                  <c:v>45.564100000000003</c:v>
                </c:pt>
                <c:pt idx="40">
                  <c:v>45.97</c:v>
                </c:pt>
                <c:pt idx="41">
                  <c:v>46.374299999999998</c:v>
                </c:pt>
                <c:pt idx="42">
                  <c:v>46.7789</c:v>
                </c:pt>
                <c:pt idx="43">
                  <c:v>47.186799999999998</c:v>
                </c:pt>
                <c:pt idx="44">
                  <c:v>47.596699999999998</c:v>
                </c:pt>
                <c:pt idx="45">
                  <c:v>48.003599999999999</c:v>
                </c:pt>
                <c:pt idx="46">
                  <c:v>48.415599999999998</c:v>
                </c:pt>
                <c:pt idx="47">
                  <c:v>48.817900000000002</c:v>
                </c:pt>
                <c:pt idx="48">
                  <c:v>49.2226</c:v>
                </c:pt>
                <c:pt idx="49">
                  <c:v>49.629399999999997</c:v>
                </c:pt>
                <c:pt idx="50">
                  <c:v>50.030299999999997</c:v>
                </c:pt>
                <c:pt idx="51">
                  <c:v>50.448300000000003</c:v>
                </c:pt>
                <c:pt idx="52">
                  <c:v>50.845999999999997</c:v>
                </c:pt>
                <c:pt idx="53">
                  <c:v>51.252099999999999</c:v>
                </c:pt>
                <c:pt idx="54">
                  <c:v>51.660800000000002</c:v>
                </c:pt>
                <c:pt idx="55">
                  <c:v>52.064799999999998</c:v>
                </c:pt>
                <c:pt idx="56">
                  <c:v>52.467599999999997</c:v>
                </c:pt>
                <c:pt idx="57">
                  <c:v>52.876600000000003</c:v>
                </c:pt>
                <c:pt idx="58">
                  <c:v>53.283499999999997</c:v>
                </c:pt>
                <c:pt idx="59">
                  <c:v>53.693399999999997</c:v>
                </c:pt>
                <c:pt idx="60">
                  <c:v>54.0974</c:v>
                </c:pt>
                <c:pt idx="61">
                  <c:v>54.501600000000003</c:v>
                </c:pt>
                <c:pt idx="62">
                  <c:v>54.908299999999997</c:v>
                </c:pt>
                <c:pt idx="63">
                  <c:v>55.316000000000003</c:v>
                </c:pt>
                <c:pt idx="64">
                  <c:v>55.721899999999998</c:v>
                </c:pt>
                <c:pt idx="65">
                  <c:v>56.124299999999998</c:v>
                </c:pt>
                <c:pt idx="66">
                  <c:v>56.532899999999998</c:v>
                </c:pt>
                <c:pt idx="67">
                  <c:v>56.938800000000001</c:v>
                </c:pt>
                <c:pt idx="68">
                  <c:v>57.3446</c:v>
                </c:pt>
                <c:pt idx="69">
                  <c:v>57.749899999999997</c:v>
                </c:pt>
                <c:pt idx="70">
                  <c:v>58.159399999999998</c:v>
                </c:pt>
                <c:pt idx="71">
                  <c:v>58.567399999999999</c:v>
                </c:pt>
                <c:pt idx="72">
                  <c:v>58.970199999999998</c:v>
                </c:pt>
                <c:pt idx="73">
                  <c:v>59.377299999999998</c:v>
                </c:pt>
                <c:pt idx="74">
                  <c:v>59.783299999999997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35.113199999999999</c:v>
                </c:pt>
                <c:pt idx="1">
                  <c:v>35.32</c:v>
                </c:pt>
                <c:pt idx="2">
                  <c:v>35.695799999999998</c:v>
                </c:pt>
                <c:pt idx="3">
                  <c:v>35.875399999999999</c:v>
                </c:pt>
                <c:pt idx="4">
                  <c:v>36.016399999999997</c:v>
                </c:pt>
                <c:pt idx="5">
                  <c:v>36.255700000000004</c:v>
                </c:pt>
                <c:pt idx="6">
                  <c:v>36.530699999999996</c:v>
                </c:pt>
                <c:pt idx="7">
                  <c:v>36.757300000000001</c:v>
                </c:pt>
                <c:pt idx="8">
                  <c:v>36.926700000000004</c:v>
                </c:pt>
                <c:pt idx="9">
                  <c:v>37.1023</c:v>
                </c:pt>
                <c:pt idx="10">
                  <c:v>37.2774</c:v>
                </c:pt>
                <c:pt idx="11">
                  <c:v>37.382300000000001</c:v>
                </c:pt>
                <c:pt idx="12">
                  <c:v>37.360900000000001</c:v>
                </c:pt>
                <c:pt idx="13">
                  <c:v>37.303799999999995</c:v>
                </c:pt>
                <c:pt idx="14">
                  <c:v>37.328499999999998</c:v>
                </c:pt>
                <c:pt idx="15">
                  <c:v>37.345399999999998</c:v>
                </c:pt>
                <c:pt idx="16">
                  <c:v>37.368000000000002</c:v>
                </c:pt>
                <c:pt idx="17">
                  <c:v>37.343199999999996</c:v>
                </c:pt>
                <c:pt idx="18">
                  <c:v>37.294400000000003</c:v>
                </c:pt>
                <c:pt idx="19">
                  <c:v>37.190400000000004</c:v>
                </c:pt>
                <c:pt idx="20">
                  <c:v>37.078299999999999</c:v>
                </c:pt>
                <c:pt idx="21">
                  <c:v>37.008699999999997</c:v>
                </c:pt>
                <c:pt idx="22">
                  <c:v>36.987400000000001</c:v>
                </c:pt>
                <c:pt idx="23">
                  <c:v>36.960999999999999</c:v>
                </c:pt>
                <c:pt idx="24">
                  <c:v>36.8399</c:v>
                </c:pt>
                <c:pt idx="25">
                  <c:v>36.685099999999998</c:v>
                </c:pt>
                <c:pt idx="26">
                  <c:v>36.494700000000002</c:v>
                </c:pt>
                <c:pt idx="27">
                  <c:v>36.204599999999999</c:v>
                </c:pt>
                <c:pt idx="28">
                  <c:v>35.912300000000002</c:v>
                </c:pt>
                <c:pt idx="29">
                  <c:v>35.7483</c:v>
                </c:pt>
                <c:pt idx="30">
                  <c:v>35.671799999999998</c:v>
                </c:pt>
                <c:pt idx="31">
                  <c:v>35.5991</c:v>
                </c:pt>
                <c:pt idx="32">
                  <c:v>35.421599999999998</c:v>
                </c:pt>
                <c:pt idx="33">
                  <c:v>35.235300000000002</c:v>
                </c:pt>
                <c:pt idx="34">
                  <c:v>34.993699999999997</c:v>
                </c:pt>
                <c:pt idx="35">
                  <c:v>34.7136</c:v>
                </c:pt>
                <c:pt idx="36">
                  <c:v>34.377299999999998</c:v>
                </c:pt>
                <c:pt idx="37">
                  <c:v>34.025399999999998</c:v>
                </c:pt>
                <c:pt idx="38">
                  <c:v>33.788899999999998</c:v>
                </c:pt>
                <c:pt idx="39">
                  <c:v>33.5244</c:v>
                </c:pt>
                <c:pt idx="40">
                  <c:v>33.275399999999998</c:v>
                </c:pt>
                <c:pt idx="41">
                  <c:v>33.103900000000003</c:v>
                </c:pt>
                <c:pt idx="42">
                  <c:v>32.886200000000002</c:v>
                </c:pt>
                <c:pt idx="43">
                  <c:v>32.703700000000005</c:v>
                </c:pt>
                <c:pt idx="44">
                  <c:v>32.595200000000006</c:v>
                </c:pt>
                <c:pt idx="45">
                  <c:v>32.482599999999998</c:v>
                </c:pt>
                <c:pt idx="46">
                  <c:v>32.394099999999995</c:v>
                </c:pt>
                <c:pt idx="47">
                  <c:v>32.321399999999997</c:v>
                </c:pt>
                <c:pt idx="48">
                  <c:v>32.0901</c:v>
                </c:pt>
                <c:pt idx="49">
                  <c:v>31.835699999999999</c:v>
                </c:pt>
                <c:pt idx="50">
                  <c:v>31.703199999999999</c:v>
                </c:pt>
                <c:pt idx="51">
                  <c:v>31.620100000000001</c:v>
                </c:pt>
                <c:pt idx="52">
                  <c:v>31.563400000000001</c:v>
                </c:pt>
                <c:pt idx="53">
                  <c:v>31.543500000000002</c:v>
                </c:pt>
                <c:pt idx="54">
                  <c:v>31.441700000000001</c:v>
                </c:pt>
                <c:pt idx="55">
                  <c:v>31.242900000000002</c:v>
                </c:pt>
                <c:pt idx="56">
                  <c:v>31.060300000000002</c:v>
                </c:pt>
                <c:pt idx="57">
                  <c:v>30.948999999999998</c:v>
                </c:pt>
                <c:pt idx="58">
                  <c:v>30.8568</c:v>
                </c:pt>
                <c:pt idx="59">
                  <c:v>30.786400000000004</c:v>
                </c:pt>
                <c:pt idx="60">
                  <c:v>30.764200000000002</c:v>
                </c:pt>
                <c:pt idx="61">
                  <c:v>30.8215</c:v>
                </c:pt>
                <c:pt idx="62">
                  <c:v>30.971500000000002</c:v>
                </c:pt>
                <c:pt idx="63">
                  <c:v>30.9573</c:v>
                </c:pt>
                <c:pt idx="64">
                  <c:v>30.9819</c:v>
                </c:pt>
                <c:pt idx="65">
                  <c:v>30.999399999999998</c:v>
                </c:pt>
                <c:pt idx="66">
                  <c:v>30.856499999999997</c:v>
                </c:pt>
                <c:pt idx="67">
                  <c:v>30.891300000000001</c:v>
                </c:pt>
                <c:pt idx="68">
                  <c:v>30.830600000000004</c:v>
                </c:pt>
                <c:pt idx="69">
                  <c:v>30.580500000000001</c:v>
                </c:pt>
                <c:pt idx="70">
                  <c:v>30.293599999999998</c:v>
                </c:pt>
                <c:pt idx="71">
                  <c:v>29.770299999999999</c:v>
                </c:pt>
                <c:pt idx="72">
                  <c:v>28.899599999999996</c:v>
                </c:pt>
                <c:pt idx="73">
                  <c:v>28.383599999999998</c:v>
                </c:pt>
                <c:pt idx="74">
                  <c:v>29.121000000000002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14.945824999999999</c:v>
                </c:pt>
                <c:pt idx="1">
                  <c:v>44.837474999999998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32.318218918918923</c:v>
                </c:pt>
                <c:pt idx="1">
                  <c:v>33.87195135135137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42.042900000000003</c:v>
                </c:pt>
                <c:pt idx="1">
                  <c:v>33.816400000000002</c:v>
                </c:pt>
                <c:pt idx="2">
                  <c:v>28.019300000000001</c:v>
                </c:pt>
                <c:pt idx="3">
                  <c:v>32.674300000000002</c:v>
                </c:pt>
                <c:pt idx="4">
                  <c:v>54.283000000000001</c:v>
                </c:pt>
                <c:pt idx="5">
                  <c:v>70.498699999999999</c:v>
                </c:pt>
                <c:pt idx="6">
                  <c:v>17.834900000000001</c:v>
                </c:pt>
                <c:pt idx="7">
                  <c:v>61.492600000000003</c:v>
                </c:pt>
                <c:pt idx="8">
                  <c:v>17.515999999999998</c:v>
                </c:pt>
                <c:pt idx="9">
                  <c:v>23.741700000000002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41.570099999999996</c:v>
                </c:pt>
                <c:pt idx="1">
                  <c:v>30.720199999999998</c:v>
                </c:pt>
                <c:pt idx="2">
                  <c:v>40.362200000000001</c:v>
                </c:pt>
                <c:pt idx="3">
                  <c:v>38.716000000000001</c:v>
                </c:pt>
                <c:pt idx="4">
                  <c:v>67.323899999999995</c:v>
                </c:pt>
                <c:pt idx="5">
                  <c:v>78.672799999999995</c:v>
                </c:pt>
                <c:pt idx="6">
                  <c:v>19.695599999999999</c:v>
                </c:pt>
                <c:pt idx="7">
                  <c:v>72.653499999999994</c:v>
                </c:pt>
                <c:pt idx="8">
                  <c:v>18.256399999999999</c:v>
                </c:pt>
                <c:pt idx="9">
                  <c:v>20.5093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0.48232526540281562</c:v>
                </c:pt>
                <c:pt idx="1">
                  <c:v>0.32268468904892161</c:v>
                </c:pt>
                <c:pt idx="2">
                  <c:v>0.19499004554826285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6634</c:v>
                </c:pt>
                <c:pt idx="7">
                  <c:v>0</c:v>
                </c:pt>
                <c:pt idx="8">
                  <c:v>8010</c:v>
                </c:pt>
                <c:pt idx="9">
                  <c:v>0</c:v>
                </c:pt>
                <c:pt idx="10">
                  <c:v>0</c:v>
                </c:pt>
                <c:pt idx="11">
                  <c:v>11152</c:v>
                </c:pt>
                <c:pt idx="12">
                  <c:v>0</c:v>
                </c:pt>
                <c:pt idx="13">
                  <c:v>9168</c:v>
                </c:pt>
                <c:pt idx="14">
                  <c:v>0</c:v>
                </c:pt>
                <c:pt idx="15">
                  <c:v>0</c:v>
                </c:pt>
                <c:pt idx="16">
                  <c:v>14176</c:v>
                </c:pt>
                <c:pt idx="17">
                  <c:v>0</c:v>
                </c:pt>
                <c:pt idx="18">
                  <c:v>0</c:v>
                </c:pt>
                <c:pt idx="19">
                  <c:v>17431</c:v>
                </c:pt>
                <c:pt idx="20">
                  <c:v>0</c:v>
                </c:pt>
                <c:pt idx="21">
                  <c:v>22450</c:v>
                </c:pt>
                <c:pt idx="22">
                  <c:v>0</c:v>
                </c:pt>
                <c:pt idx="23">
                  <c:v>0</c:v>
                </c:pt>
                <c:pt idx="24">
                  <c:v>29959</c:v>
                </c:pt>
                <c:pt idx="25">
                  <c:v>0</c:v>
                </c:pt>
                <c:pt idx="26">
                  <c:v>36872</c:v>
                </c:pt>
                <c:pt idx="27">
                  <c:v>0</c:v>
                </c:pt>
                <c:pt idx="28">
                  <c:v>0</c:v>
                </c:pt>
                <c:pt idx="29">
                  <c:v>37698</c:v>
                </c:pt>
                <c:pt idx="30">
                  <c:v>0</c:v>
                </c:pt>
                <c:pt idx="31">
                  <c:v>39781</c:v>
                </c:pt>
                <c:pt idx="32">
                  <c:v>0</c:v>
                </c:pt>
                <c:pt idx="33">
                  <c:v>0</c:v>
                </c:pt>
                <c:pt idx="34">
                  <c:v>41141</c:v>
                </c:pt>
                <c:pt idx="35">
                  <c:v>0</c:v>
                </c:pt>
                <c:pt idx="36">
                  <c:v>0</c:v>
                </c:pt>
                <c:pt idx="37">
                  <c:v>46053</c:v>
                </c:pt>
                <c:pt idx="38">
                  <c:v>0</c:v>
                </c:pt>
                <c:pt idx="39">
                  <c:v>45410</c:v>
                </c:pt>
                <c:pt idx="40">
                  <c:v>0</c:v>
                </c:pt>
                <c:pt idx="41">
                  <c:v>0</c:v>
                </c:pt>
                <c:pt idx="42">
                  <c:v>48195</c:v>
                </c:pt>
                <c:pt idx="43">
                  <c:v>0</c:v>
                </c:pt>
                <c:pt idx="44">
                  <c:v>51124</c:v>
                </c:pt>
                <c:pt idx="45">
                  <c:v>0</c:v>
                </c:pt>
                <c:pt idx="46">
                  <c:v>0</c:v>
                </c:pt>
                <c:pt idx="47">
                  <c:v>50813</c:v>
                </c:pt>
                <c:pt idx="48">
                  <c:v>0</c:v>
                </c:pt>
                <c:pt idx="49">
                  <c:v>49354</c:v>
                </c:pt>
                <c:pt idx="50">
                  <c:v>0</c:v>
                </c:pt>
                <c:pt idx="51">
                  <c:v>0</c:v>
                </c:pt>
                <c:pt idx="52">
                  <c:v>48985</c:v>
                </c:pt>
                <c:pt idx="53">
                  <c:v>0</c:v>
                </c:pt>
                <c:pt idx="54">
                  <c:v>0</c:v>
                </c:pt>
                <c:pt idx="55">
                  <c:v>52981</c:v>
                </c:pt>
                <c:pt idx="56">
                  <c:v>0</c:v>
                </c:pt>
                <c:pt idx="57">
                  <c:v>51903</c:v>
                </c:pt>
                <c:pt idx="58">
                  <c:v>0</c:v>
                </c:pt>
                <c:pt idx="59">
                  <c:v>0</c:v>
                </c:pt>
                <c:pt idx="60">
                  <c:v>55735</c:v>
                </c:pt>
                <c:pt idx="61">
                  <c:v>0</c:v>
                </c:pt>
                <c:pt idx="62">
                  <c:v>60452</c:v>
                </c:pt>
                <c:pt idx="63">
                  <c:v>0</c:v>
                </c:pt>
                <c:pt idx="64">
                  <c:v>0</c:v>
                </c:pt>
                <c:pt idx="65">
                  <c:v>61777</c:v>
                </c:pt>
                <c:pt idx="66">
                  <c:v>0</c:v>
                </c:pt>
                <c:pt idx="67">
                  <c:v>60265</c:v>
                </c:pt>
                <c:pt idx="68">
                  <c:v>0</c:v>
                </c:pt>
                <c:pt idx="69">
                  <c:v>0</c:v>
                </c:pt>
                <c:pt idx="70">
                  <c:v>58697</c:v>
                </c:pt>
                <c:pt idx="71">
                  <c:v>0</c:v>
                </c:pt>
                <c:pt idx="72">
                  <c:v>0</c:v>
                </c:pt>
                <c:pt idx="73">
                  <c:v>65306</c:v>
                </c:pt>
                <c:pt idx="74">
                  <c:v>0</c:v>
                </c:pt>
                <c:pt idx="75">
                  <c:v>63041</c:v>
                </c:pt>
                <c:pt idx="76">
                  <c:v>0</c:v>
                </c:pt>
                <c:pt idx="77">
                  <c:v>0</c:v>
                </c:pt>
                <c:pt idx="78">
                  <c:v>58656</c:v>
                </c:pt>
                <c:pt idx="79">
                  <c:v>0</c:v>
                </c:pt>
                <c:pt idx="80">
                  <c:v>57788</c:v>
                </c:pt>
                <c:pt idx="81">
                  <c:v>0</c:v>
                </c:pt>
                <c:pt idx="82">
                  <c:v>0</c:v>
                </c:pt>
                <c:pt idx="83">
                  <c:v>54878</c:v>
                </c:pt>
                <c:pt idx="84">
                  <c:v>0</c:v>
                </c:pt>
                <c:pt idx="85">
                  <c:v>0</c:v>
                </c:pt>
                <c:pt idx="86">
                  <c:v>52594</c:v>
                </c:pt>
                <c:pt idx="87">
                  <c:v>0</c:v>
                </c:pt>
                <c:pt idx="88">
                  <c:v>48799</c:v>
                </c:pt>
                <c:pt idx="89">
                  <c:v>0</c:v>
                </c:pt>
                <c:pt idx="90">
                  <c:v>0</c:v>
                </c:pt>
                <c:pt idx="91">
                  <c:v>44871</c:v>
                </c:pt>
                <c:pt idx="92">
                  <c:v>0</c:v>
                </c:pt>
                <c:pt idx="93">
                  <c:v>41283</c:v>
                </c:pt>
                <c:pt idx="94">
                  <c:v>0</c:v>
                </c:pt>
                <c:pt idx="95">
                  <c:v>0</c:v>
                </c:pt>
                <c:pt idx="96">
                  <c:v>38681</c:v>
                </c:pt>
                <c:pt idx="97">
                  <c:v>0</c:v>
                </c:pt>
                <c:pt idx="98">
                  <c:v>38248</c:v>
                </c:pt>
                <c:pt idx="99">
                  <c:v>0</c:v>
                </c:pt>
                <c:pt idx="100">
                  <c:v>0</c:v>
                </c:pt>
                <c:pt idx="101">
                  <c:v>35466</c:v>
                </c:pt>
                <c:pt idx="102">
                  <c:v>0</c:v>
                </c:pt>
                <c:pt idx="103">
                  <c:v>0</c:v>
                </c:pt>
                <c:pt idx="104">
                  <c:v>30548</c:v>
                </c:pt>
                <c:pt idx="105">
                  <c:v>0</c:v>
                </c:pt>
                <c:pt idx="106">
                  <c:v>26969</c:v>
                </c:pt>
                <c:pt idx="107">
                  <c:v>0</c:v>
                </c:pt>
                <c:pt idx="108">
                  <c:v>0</c:v>
                </c:pt>
                <c:pt idx="109">
                  <c:v>24921</c:v>
                </c:pt>
                <c:pt idx="110">
                  <c:v>0</c:v>
                </c:pt>
                <c:pt idx="111">
                  <c:v>25694</c:v>
                </c:pt>
                <c:pt idx="112">
                  <c:v>0</c:v>
                </c:pt>
                <c:pt idx="113">
                  <c:v>0</c:v>
                </c:pt>
                <c:pt idx="114">
                  <c:v>22086</c:v>
                </c:pt>
                <c:pt idx="115">
                  <c:v>0</c:v>
                </c:pt>
                <c:pt idx="116">
                  <c:v>22440</c:v>
                </c:pt>
                <c:pt idx="117">
                  <c:v>0</c:v>
                </c:pt>
                <c:pt idx="118">
                  <c:v>0</c:v>
                </c:pt>
                <c:pt idx="119">
                  <c:v>18871</c:v>
                </c:pt>
                <c:pt idx="120">
                  <c:v>0</c:v>
                </c:pt>
                <c:pt idx="121">
                  <c:v>0</c:v>
                </c:pt>
                <c:pt idx="122">
                  <c:v>19681</c:v>
                </c:pt>
                <c:pt idx="123">
                  <c:v>0</c:v>
                </c:pt>
                <c:pt idx="124">
                  <c:v>17411</c:v>
                </c:pt>
                <c:pt idx="125">
                  <c:v>0</c:v>
                </c:pt>
                <c:pt idx="126">
                  <c:v>0</c:v>
                </c:pt>
                <c:pt idx="127">
                  <c:v>16808</c:v>
                </c:pt>
                <c:pt idx="128">
                  <c:v>0</c:v>
                </c:pt>
                <c:pt idx="129">
                  <c:v>14172</c:v>
                </c:pt>
                <c:pt idx="130">
                  <c:v>0</c:v>
                </c:pt>
                <c:pt idx="131">
                  <c:v>0</c:v>
                </c:pt>
                <c:pt idx="132">
                  <c:v>14673</c:v>
                </c:pt>
                <c:pt idx="133">
                  <c:v>0</c:v>
                </c:pt>
                <c:pt idx="134">
                  <c:v>14332</c:v>
                </c:pt>
                <c:pt idx="135">
                  <c:v>0</c:v>
                </c:pt>
                <c:pt idx="136">
                  <c:v>0</c:v>
                </c:pt>
                <c:pt idx="137">
                  <c:v>13866</c:v>
                </c:pt>
                <c:pt idx="138">
                  <c:v>0</c:v>
                </c:pt>
                <c:pt idx="139">
                  <c:v>0</c:v>
                </c:pt>
                <c:pt idx="140">
                  <c:v>10378</c:v>
                </c:pt>
                <c:pt idx="141">
                  <c:v>0</c:v>
                </c:pt>
                <c:pt idx="142">
                  <c:v>10289</c:v>
                </c:pt>
                <c:pt idx="143">
                  <c:v>0</c:v>
                </c:pt>
                <c:pt idx="144">
                  <c:v>0</c:v>
                </c:pt>
                <c:pt idx="145">
                  <c:v>10037</c:v>
                </c:pt>
                <c:pt idx="146">
                  <c:v>0</c:v>
                </c:pt>
                <c:pt idx="147">
                  <c:v>13865</c:v>
                </c:pt>
                <c:pt idx="148">
                  <c:v>0</c:v>
                </c:pt>
                <c:pt idx="149">
                  <c:v>0</c:v>
                </c:pt>
                <c:pt idx="150">
                  <c:v>16979</c:v>
                </c:pt>
                <c:pt idx="151">
                  <c:v>0</c:v>
                </c:pt>
                <c:pt idx="152">
                  <c:v>13698</c:v>
                </c:pt>
                <c:pt idx="153">
                  <c:v>0</c:v>
                </c:pt>
                <c:pt idx="154">
                  <c:v>0</c:v>
                </c:pt>
                <c:pt idx="155">
                  <c:v>12931</c:v>
                </c:pt>
                <c:pt idx="156">
                  <c:v>0</c:v>
                </c:pt>
                <c:pt idx="157">
                  <c:v>0</c:v>
                </c:pt>
                <c:pt idx="158">
                  <c:v>12181</c:v>
                </c:pt>
                <c:pt idx="159">
                  <c:v>0</c:v>
                </c:pt>
                <c:pt idx="160">
                  <c:v>10780</c:v>
                </c:pt>
                <c:pt idx="161">
                  <c:v>0</c:v>
                </c:pt>
                <c:pt idx="162">
                  <c:v>0</c:v>
                </c:pt>
                <c:pt idx="163">
                  <c:v>8173</c:v>
                </c:pt>
                <c:pt idx="164">
                  <c:v>0</c:v>
                </c:pt>
                <c:pt idx="165">
                  <c:v>7917</c:v>
                </c:pt>
                <c:pt idx="166">
                  <c:v>0</c:v>
                </c:pt>
                <c:pt idx="167">
                  <c:v>0</c:v>
                </c:pt>
                <c:pt idx="168">
                  <c:v>7573</c:v>
                </c:pt>
                <c:pt idx="169">
                  <c:v>0</c:v>
                </c:pt>
                <c:pt idx="170">
                  <c:v>0</c:v>
                </c:pt>
                <c:pt idx="171">
                  <c:v>3952</c:v>
                </c:pt>
                <c:pt idx="172">
                  <c:v>0</c:v>
                </c:pt>
                <c:pt idx="173">
                  <c:v>2449</c:v>
                </c:pt>
                <c:pt idx="174">
                  <c:v>0</c:v>
                </c:pt>
                <c:pt idx="175">
                  <c:v>0</c:v>
                </c:pt>
                <c:pt idx="176">
                  <c:v>884</c:v>
                </c:pt>
                <c:pt idx="177">
                  <c:v>0</c:v>
                </c:pt>
                <c:pt idx="178">
                  <c:v>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354</c:v>
                </c:pt>
                <c:pt idx="7">
                  <c:v>0</c:v>
                </c:pt>
                <c:pt idx="8">
                  <c:v>4942</c:v>
                </c:pt>
                <c:pt idx="9">
                  <c:v>0</c:v>
                </c:pt>
                <c:pt idx="10">
                  <c:v>0</c:v>
                </c:pt>
                <c:pt idx="11">
                  <c:v>6242</c:v>
                </c:pt>
                <c:pt idx="12">
                  <c:v>0</c:v>
                </c:pt>
                <c:pt idx="13">
                  <c:v>7845</c:v>
                </c:pt>
                <c:pt idx="14">
                  <c:v>0</c:v>
                </c:pt>
                <c:pt idx="15">
                  <c:v>0</c:v>
                </c:pt>
                <c:pt idx="16">
                  <c:v>21105</c:v>
                </c:pt>
                <c:pt idx="17">
                  <c:v>0</c:v>
                </c:pt>
                <c:pt idx="18">
                  <c:v>0</c:v>
                </c:pt>
                <c:pt idx="19">
                  <c:v>20483</c:v>
                </c:pt>
                <c:pt idx="20">
                  <c:v>0</c:v>
                </c:pt>
                <c:pt idx="21">
                  <c:v>21549</c:v>
                </c:pt>
                <c:pt idx="22">
                  <c:v>0</c:v>
                </c:pt>
                <c:pt idx="23">
                  <c:v>0</c:v>
                </c:pt>
                <c:pt idx="24">
                  <c:v>20482</c:v>
                </c:pt>
                <c:pt idx="25">
                  <c:v>0</c:v>
                </c:pt>
                <c:pt idx="26">
                  <c:v>21337</c:v>
                </c:pt>
                <c:pt idx="27">
                  <c:v>0</c:v>
                </c:pt>
                <c:pt idx="28">
                  <c:v>0</c:v>
                </c:pt>
                <c:pt idx="29">
                  <c:v>21826</c:v>
                </c:pt>
                <c:pt idx="30">
                  <c:v>0</c:v>
                </c:pt>
                <c:pt idx="31">
                  <c:v>17549</c:v>
                </c:pt>
                <c:pt idx="32">
                  <c:v>0</c:v>
                </c:pt>
                <c:pt idx="33">
                  <c:v>0</c:v>
                </c:pt>
                <c:pt idx="34">
                  <c:v>24080</c:v>
                </c:pt>
                <c:pt idx="35">
                  <c:v>0</c:v>
                </c:pt>
                <c:pt idx="36">
                  <c:v>0</c:v>
                </c:pt>
                <c:pt idx="37">
                  <c:v>29515</c:v>
                </c:pt>
                <c:pt idx="38">
                  <c:v>0</c:v>
                </c:pt>
                <c:pt idx="39">
                  <c:v>30376</c:v>
                </c:pt>
                <c:pt idx="40">
                  <c:v>0</c:v>
                </c:pt>
                <c:pt idx="41">
                  <c:v>0</c:v>
                </c:pt>
                <c:pt idx="42">
                  <c:v>31169</c:v>
                </c:pt>
                <c:pt idx="43">
                  <c:v>0</c:v>
                </c:pt>
                <c:pt idx="44">
                  <c:v>36422</c:v>
                </c:pt>
                <c:pt idx="45">
                  <c:v>0</c:v>
                </c:pt>
                <c:pt idx="46">
                  <c:v>0</c:v>
                </c:pt>
                <c:pt idx="47">
                  <c:v>35820</c:v>
                </c:pt>
                <c:pt idx="48">
                  <c:v>0</c:v>
                </c:pt>
                <c:pt idx="49">
                  <c:v>36660</c:v>
                </c:pt>
                <c:pt idx="50">
                  <c:v>0</c:v>
                </c:pt>
                <c:pt idx="51">
                  <c:v>0</c:v>
                </c:pt>
                <c:pt idx="52">
                  <c:v>42981</c:v>
                </c:pt>
                <c:pt idx="53">
                  <c:v>0</c:v>
                </c:pt>
                <c:pt idx="54">
                  <c:v>0</c:v>
                </c:pt>
                <c:pt idx="55">
                  <c:v>42317</c:v>
                </c:pt>
                <c:pt idx="56">
                  <c:v>0</c:v>
                </c:pt>
                <c:pt idx="57">
                  <c:v>46117</c:v>
                </c:pt>
                <c:pt idx="58">
                  <c:v>0</c:v>
                </c:pt>
                <c:pt idx="59">
                  <c:v>0</c:v>
                </c:pt>
                <c:pt idx="60">
                  <c:v>48762</c:v>
                </c:pt>
                <c:pt idx="61">
                  <c:v>0</c:v>
                </c:pt>
                <c:pt idx="62">
                  <c:v>52110</c:v>
                </c:pt>
                <c:pt idx="63">
                  <c:v>0</c:v>
                </c:pt>
                <c:pt idx="64">
                  <c:v>0</c:v>
                </c:pt>
                <c:pt idx="65">
                  <c:v>55680</c:v>
                </c:pt>
                <c:pt idx="66">
                  <c:v>0</c:v>
                </c:pt>
                <c:pt idx="67">
                  <c:v>58164</c:v>
                </c:pt>
                <c:pt idx="68">
                  <c:v>0</c:v>
                </c:pt>
                <c:pt idx="69">
                  <c:v>0</c:v>
                </c:pt>
                <c:pt idx="70">
                  <c:v>69199</c:v>
                </c:pt>
                <c:pt idx="71">
                  <c:v>0</c:v>
                </c:pt>
                <c:pt idx="72">
                  <c:v>0</c:v>
                </c:pt>
                <c:pt idx="73">
                  <c:v>71354</c:v>
                </c:pt>
                <c:pt idx="74">
                  <c:v>0</c:v>
                </c:pt>
                <c:pt idx="75">
                  <c:v>82332</c:v>
                </c:pt>
                <c:pt idx="76">
                  <c:v>0</c:v>
                </c:pt>
                <c:pt idx="77">
                  <c:v>0</c:v>
                </c:pt>
                <c:pt idx="78">
                  <c:v>80209</c:v>
                </c:pt>
                <c:pt idx="79">
                  <c:v>0</c:v>
                </c:pt>
                <c:pt idx="80">
                  <c:v>81362</c:v>
                </c:pt>
                <c:pt idx="81">
                  <c:v>0</c:v>
                </c:pt>
                <c:pt idx="82">
                  <c:v>0</c:v>
                </c:pt>
                <c:pt idx="83">
                  <c:v>84001</c:v>
                </c:pt>
                <c:pt idx="84">
                  <c:v>0</c:v>
                </c:pt>
                <c:pt idx="85">
                  <c:v>0</c:v>
                </c:pt>
                <c:pt idx="86">
                  <c:v>85642</c:v>
                </c:pt>
                <c:pt idx="87">
                  <c:v>0</c:v>
                </c:pt>
                <c:pt idx="88">
                  <c:v>78133</c:v>
                </c:pt>
                <c:pt idx="89">
                  <c:v>0</c:v>
                </c:pt>
                <c:pt idx="90">
                  <c:v>0</c:v>
                </c:pt>
                <c:pt idx="91">
                  <c:v>74771</c:v>
                </c:pt>
                <c:pt idx="92">
                  <c:v>0</c:v>
                </c:pt>
                <c:pt idx="93">
                  <c:v>76363</c:v>
                </c:pt>
                <c:pt idx="94">
                  <c:v>0</c:v>
                </c:pt>
                <c:pt idx="95">
                  <c:v>0</c:v>
                </c:pt>
                <c:pt idx="96">
                  <c:v>75006</c:v>
                </c:pt>
                <c:pt idx="97">
                  <c:v>0</c:v>
                </c:pt>
                <c:pt idx="98">
                  <c:v>70938</c:v>
                </c:pt>
                <c:pt idx="99">
                  <c:v>0</c:v>
                </c:pt>
                <c:pt idx="100">
                  <c:v>0</c:v>
                </c:pt>
                <c:pt idx="101">
                  <c:v>64767</c:v>
                </c:pt>
                <c:pt idx="102">
                  <c:v>0</c:v>
                </c:pt>
                <c:pt idx="103">
                  <c:v>0</c:v>
                </c:pt>
                <c:pt idx="104">
                  <c:v>60604</c:v>
                </c:pt>
                <c:pt idx="105">
                  <c:v>0</c:v>
                </c:pt>
                <c:pt idx="106">
                  <c:v>54350</c:v>
                </c:pt>
                <c:pt idx="107">
                  <c:v>0</c:v>
                </c:pt>
                <c:pt idx="108">
                  <c:v>0</c:v>
                </c:pt>
                <c:pt idx="109">
                  <c:v>46785</c:v>
                </c:pt>
                <c:pt idx="110">
                  <c:v>0</c:v>
                </c:pt>
                <c:pt idx="111">
                  <c:v>45445</c:v>
                </c:pt>
                <c:pt idx="112">
                  <c:v>0</c:v>
                </c:pt>
                <c:pt idx="113">
                  <c:v>0</c:v>
                </c:pt>
                <c:pt idx="114">
                  <c:v>39217</c:v>
                </c:pt>
                <c:pt idx="115">
                  <c:v>0</c:v>
                </c:pt>
                <c:pt idx="116">
                  <c:v>32577</c:v>
                </c:pt>
                <c:pt idx="117">
                  <c:v>0</c:v>
                </c:pt>
                <c:pt idx="118">
                  <c:v>0</c:v>
                </c:pt>
                <c:pt idx="119">
                  <c:v>31659</c:v>
                </c:pt>
                <c:pt idx="120">
                  <c:v>0</c:v>
                </c:pt>
                <c:pt idx="121">
                  <c:v>0</c:v>
                </c:pt>
                <c:pt idx="122">
                  <c:v>26311</c:v>
                </c:pt>
                <c:pt idx="123">
                  <c:v>0</c:v>
                </c:pt>
                <c:pt idx="124">
                  <c:v>23535</c:v>
                </c:pt>
                <c:pt idx="125">
                  <c:v>0</c:v>
                </c:pt>
                <c:pt idx="126">
                  <c:v>0</c:v>
                </c:pt>
                <c:pt idx="127">
                  <c:v>18828</c:v>
                </c:pt>
                <c:pt idx="128">
                  <c:v>0</c:v>
                </c:pt>
                <c:pt idx="129">
                  <c:v>16056</c:v>
                </c:pt>
                <c:pt idx="130">
                  <c:v>0</c:v>
                </c:pt>
                <c:pt idx="131">
                  <c:v>0</c:v>
                </c:pt>
                <c:pt idx="132">
                  <c:v>16706</c:v>
                </c:pt>
                <c:pt idx="133">
                  <c:v>0</c:v>
                </c:pt>
                <c:pt idx="134">
                  <c:v>19923</c:v>
                </c:pt>
                <c:pt idx="135">
                  <c:v>0</c:v>
                </c:pt>
                <c:pt idx="136">
                  <c:v>0</c:v>
                </c:pt>
                <c:pt idx="137">
                  <c:v>15785</c:v>
                </c:pt>
                <c:pt idx="138">
                  <c:v>0</c:v>
                </c:pt>
                <c:pt idx="139">
                  <c:v>0</c:v>
                </c:pt>
                <c:pt idx="140">
                  <c:v>16077</c:v>
                </c:pt>
                <c:pt idx="141">
                  <c:v>0</c:v>
                </c:pt>
                <c:pt idx="142">
                  <c:v>16828</c:v>
                </c:pt>
                <c:pt idx="143">
                  <c:v>0</c:v>
                </c:pt>
                <c:pt idx="144">
                  <c:v>0</c:v>
                </c:pt>
                <c:pt idx="145">
                  <c:v>16947</c:v>
                </c:pt>
                <c:pt idx="146">
                  <c:v>0</c:v>
                </c:pt>
                <c:pt idx="147">
                  <c:v>16749</c:v>
                </c:pt>
                <c:pt idx="148">
                  <c:v>0</c:v>
                </c:pt>
                <c:pt idx="149">
                  <c:v>0</c:v>
                </c:pt>
                <c:pt idx="150">
                  <c:v>17807</c:v>
                </c:pt>
                <c:pt idx="151">
                  <c:v>0</c:v>
                </c:pt>
                <c:pt idx="152">
                  <c:v>18106</c:v>
                </c:pt>
                <c:pt idx="153">
                  <c:v>0</c:v>
                </c:pt>
                <c:pt idx="154">
                  <c:v>0</c:v>
                </c:pt>
                <c:pt idx="155">
                  <c:v>16056</c:v>
                </c:pt>
                <c:pt idx="156">
                  <c:v>0</c:v>
                </c:pt>
                <c:pt idx="157">
                  <c:v>0</c:v>
                </c:pt>
                <c:pt idx="158">
                  <c:v>14399</c:v>
                </c:pt>
                <c:pt idx="159">
                  <c:v>0</c:v>
                </c:pt>
                <c:pt idx="160">
                  <c:v>11085</c:v>
                </c:pt>
                <c:pt idx="161">
                  <c:v>0</c:v>
                </c:pt>
                <c:pt idx="162">
                  <c:v>0</c:v>
                </c:pt>
                <c:pt idx="163">
                  <c:v>8989</c:v>
                </c:pt>
                <c:pt idx="164">
                  <c:v>0</c:v>
                </c:pt>
                <c:pt idx="165">
                  <c:v>7759</c:v>
                </c:pt>
                <c:pt idx="166">
                  <c:v>0</c:v>
                </c:pt>
                <c:pt idx="167">
                  <c:v>0</c:v>
                </c:pt>
                <c:pt idx="168">
                  <c:v>4652</c:v>
                </c:pt>
                <c:pt idx="169">
                  <c:v>0</c:v>
                </c:pt>
                <c:pt idx="170">
                  <c:v>0</c:v>
                </c:pt>
                <c:pt idx="171">
                  <c:v>2904</c:v>
                </c:pt>
                <c:pt idx="172">
                  <c:v>0</c:v>
                </c:pt>
                <c:pt idx="173">
                  <c:v>2306</c:v>
                </c:pt>
                <c:pt idx="174">
                  <c:v>0</c:v>
                </c:pt>
                <c:pt idx="175">
                  <c:v>0</c:v>
                </c:pt>
                <c:pt idx="176">
                  <c:v>961</c:v>
                </c:pt>
                <c:pt idx="177">
                  <c:v>0</c:v>
                </c:pt>
                <c:pt idx="178">
                  <c:v>1407</c:v>
                </c:pt>
                <c:pt idx="179">
                  <c:v>0</c:v>
                </c:pt>
                <c:pt idx="180">
                  <c:v>0</c:v>
                </c:pt>
                <c:pt idx="181">
                  <c:v>496</c:v>
                </c:pt>
                <c:pt idx="182">
                  <c:v>0</c:v>
                </c:pt>
                <c:pt idx="183">
                  <c:v>295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0.24707233265076875</c:v>
                </c:pt>
                <c:pt idx="1">
                  <c:v>0.33158550804194703</c:v>
                </c:pt>
                <c:pt idx="2">
                  <c:v>0.42134215930728419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0.51010806519995799</c:v>
                </c:pt>
                <c:pt idx="1">
                  <c:v>0.32395910759585383</c:v>
                </c:pt>
                <c:pt idx="2">
                  <c:v>0.16593282720418828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4.5162800000000001</c:v>
                </c:pt>
                <c:pt idx="1">
                  <c:v>12.4909575</c:v>
                </c:pt>
                <c:pt idx="2">
                  <c:v>23.363200000000003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0.40765200000000001</c:v>
                </c:pt>
                <c:pt idx="2">
                  <c:v>0.81792200000000004</c:v>
                </c:pt>
                <c:pt idx="3">
                  <c:v>1.2258899999999999</c:v>
                </c:pt>
                <c:pt idx="4">
                  <c:v>1.6267100000000001</c:v>
                </c:pt>
                <c:pt idx="5">
                  <c:v>2.03159</c:v>
                </c:pt>
                <c:pt idx="6">
                  <c:v>2.43547</c:v>
                </c:pt>
                <c:pt idx="7">
                  <c:v>2.8464100000000001</c:v>
                </c:pt>
                <c:pt idx="8">
                  <c:v>3.2492000000000001</c:v>
                </c:pt>
                <c:pt idx="9">
                  <c:v>3.65828</c:v>
                </c:pt>
                <c:pt idx="10">
                  <c:v>4.0650899999999996</c:v>
                </c:pt>
                <c:pt idx="11">
                  <c:v>4.4734100000000003</c:v>
                </c:pt>
                <c:pt idx="12">
                  <c:v>4.8769900000000002</c:v>
                </c:pt>
                <c:pt idx="13">
                  <c:v>5.2829600000000001</c:v>
                </c:pt>
                <c:pt idx="14">
                  <c:v>5.6910600000000002</c:v>
                </c:pt>
                <c:pt idx="15">
                  <c:v>6.0956900000000003</c:v>
                </c:pt>
                <c:pt idx="16">
                  <c:v>6.4996900000000002</c:v>
                </c:pt>
                <c:pt idx="17">
                  <c:v>6.9067600000000002</c:v>
                </c:pt>
                <c:pt idx="18">
                  <c:v>7.3164400000000001</c:v>
                </c:pt>
                <c:pt idx="19">
                  <c:v>7.7184799999999996</c:v>
                </c:pt>
                <c:pt idx="20">
                  <c:v>8.1282800000000002</c:v>
                </c:pt>
                <c:pt idx="21">
                  <c:v>8.5312300000000008</c:v>
                </c:pt>
                <c:pt idx="22">
                  <c:v>8.9411400000000008</c:v>
                </c:pt>
                <c:pt idx="23">
                  <c:v>9.3449899999999992</c:v>
                </c:pt>
                <c:pt idx="24">
                  <c:v>9.7524999999999995</c:v>
                </c:pt>
                <c:pt idx="25">
                  <c:v>10.157299999999999</c:v>
                </c:pt>
                <c:pt idx="26">
                  <c:v>10.562799999999999</c:v>
                </c:pt>
                <c:pt idx="27">
                  <c:v>10.9756</c:v>
                </c:pt>
                <c:pt idx="28">
                  <c:v>11.378500000000001</c:v>
                </c:pt>
                <c:pt idx="29">
                  <c:v>11.7822</c:v>
                </c:pt>
                <c:pt idx="30">
                  <c:v>12.189399999999999</c:v>
                </c:pt>
                <c:pt idx="31">
                  <c:v>12.5976</c:v>
                </c:pt>
                <c:pt idx="32">
                  <c:v>13.0022</c:v>
                </c:pt>
                <c:pt idx="33">
                  <c:v>13.407500000000001</c:v>
                </c:pt>
                <c:pt idx="34">
                  <c:v>13.8132</c:v>
                </c:pt>
                <c:pt idx="35">
                  <c:v>14.222</c:v>
                </c:pt>
                <c:pt idx="36">
                  <c:v>14.629899999999999</c:v>
                </c:pt>
                <c:pt idx="37">
                  <c:v>15.0328</c:v>
                </c:pt>
                <c:pt idx="38">
                  <c:v>15.4358</c:v>
                </c:pt>
                <c:pt idx="39">
                  <c:v>15.8436</c:v>
                </c:pt>
                <c:pt idx="40">
                  <c:v>16.252500000000001</c:v>
                </c:pt>
                <c:pt idx="41">
                  <c:v>16.659600000000001</c:v>
                </c:pt>
                <c:pt idx="42">
                  <c:v>17.0654</c:v>
                </c:pt>
                <c:pt idx="43">
                  <c:v>17.4712</c:v>
                </c:pt>
                <c:pt idx="44">
                  <c:v>17.877600000000001</c:v>
                </c:pt>
                <c:pt idx="45">
                  <c:v>18.277999999999999</c:v>
                </c:pt>
                <c:pt idx="46">
                  <c:v>18.691099999999999</c:v>
                </c:pt>
                <c:pt idx="47">
                  <c:v>19.097899999999999</c:v>
                </c:pt>
                <c:pt idx="48">
                  <c:v>19.5029</c:v>
                </c:pt>
                <c:pt idx="49">
                  <c:v>19.907800000000002</c:v>
                </c:pt>
                <c:pt idx="50">
                  <c:v>20.314699999999998</c:v>
                </c:pt>
                <c:pt idx="51">
                  <c:v>20.718499999999999</c:v>
                </c:pt>
                <c:pt idx="52">
                  <c:v>21.128399999999999</c:v>
                </c:pt>
                <c:pt idx="53">
                  <c:v>21.5365</c:v>
                </c:pt>
                <c:pt idx="54">
                  <c:v>21.939299999999999</c:v>
                </c:pt>
                <c:pt idx="55">
                  <c:v>22.3462</c:v>
                </c:pt>
                <c:pt idx="56">
                  <c:v>22.7501</c:v>
                </c:pt>
                <c:pt idx="57">
                  <c:v>23.159099999999999</c:v>
                </c:pt>
                <c:pt idx="58">
                  <c:v>23.568000000000001</c:v>
                </c:pt>
                <c:pt idx="59">
                  <c:v>23.972799999999999</c:v>
                </c:pt>
                <c:pt idx="60">
                  <c:v>24.376000000000001</c:v>
                </c:pt>
                <c:pt idx="61">
                  <c:v>24.779699999999998</c:v>
                </c:pt>
                <c:pt idx="62">
                  <c:v>25.1935</c:v>
                </c:pt>
                <c:pt idx="63">
                  <c:v>25.596499999999999</c:v>
                </c:pt>
                <c:pt idx="64">
                  <c:v>26.003399999999999</c:v>
                </c:pt>
                <c:pt idx="65">
                  <c:v>26.407900000000001</c:v>
                </c:pt>
                <c:pt idx="66">
                  <c:v>26.8123</c:v>
                </c:pt>
                <c:pt idx="67">
                  <c:v>27.220099999999999</c:v>
                </c:pt>
                <c:pt idx="68">
                  <c:v>27.625</c:v>
                </c:pt>
                <c:pt idx="69">
                  <c:v>28.033999999999999</c:v>
                </c:pt>
                <c:pt idx="70">
                  <c:v>28.441299999999998</c:v>
                </c:pt>
                <c:pt idx="71">
                  <c:v>28.852900000000002</c:v>
                </c:pt>
                <c:pt idx="72">
                  <c:v>29.257200000000001</c:v>
                </c:pt>
                <c:pt idx="73">
                  <c:v>29.662600000000001</c:v>
                </c:pt>
                <c:pt idx="74">
                  <c:v>30.063500000000001</c:v>
                </c:pt>
                <c:pt idx="75">
                  <c:v>30.658999999999999</c:v>
                </c:pt>
                <c:pt idx="76">
                  <c:v>31.036000000000001</c:v>
                </c:pt>
                <c:pt idx="77">
                  <c:v>31.405999999999999</c:v>
                </c:pt>
                <c:pt idx="78">
                  <c:v>31.783200000000001</c:v>
                </c:pt>
                <c:pt idx="79">
                  <c:v>32.158999999999999</c:v>
                </c:pt>
                <c:pt idx="80">
                  <c:v>32.566000000000003</c:v>
                </c:pt>
                <c:pt idx="81">
                  <c:v>32.971699999999998</c:v>
                </c:pt>
                <c:pt idx="82">
                  <c:v>33.375799999999998</c:v>
                </c:pt>
                <c:pt idx="83">
                  <c:v>33.7819</c:v>
                </c:pt>
                <c:pt idx="84">
                  <c:v>34.1935</c:v>
                </c:pt>
                <c:pt idx="85">
                  <c:v>34.597700000000003</c:v>
                </c:pt>
                <c:pt idx="86">
                  <c:v>35.002400000000002</c:v>
                </c:pt>
                <c:pt idx="87">
                  <c:v>35.409300000000002</c:v>
                </c:pt>
                <c:pt idx="88">
                  <c:v>35.812399999999997</c:v>
                </c:pt>
                <c:pt idx="89">
                  <c:v>36.222099999999998</c:v>
                </c:pt>
                <c:pt idx="90">
                  <c:v>36.628100000000003</c:v>
                </c:pt>
                <c:pt idx="91">
                  <c:v>37.033900000000003</c:v>
                </c:pt>
                <c:pt idx="92">
                  <c:v>37.438000000000002</c:v>
                </c:pt>
                <c:pt idx="93">
                  <c:v>37.844900000000003</c:v>
                </c:pt>
                <c:pt idx="94">
                  <c:v>38.250700000000002</c:v>
                </c:pt>
                <c:pt idx="95">
                  <c:v>38.660600000000002</c:v>
                </c:pt>
                <c:pt idx="96">
                  <c:v>39.067599999999999</c:v>
                </c:pt>
                <c:pt idx="97">
                  <c:v>39.4724</c:v>
                </c:pt>
                <c:pt idx="98">
                  <c:v>39.878500000000003</c:v>
                </c:pt>
                <c:pt idx="99">
                  <c:v>40.286200000000001</c:v>
                </c:pt>
                <c:pt idx="100">
                  <c:v>40.6905</c:v>
                </c:pt>
                <c:pt idx="101">
                  <c:v>41.095999999999997</c:v>
                </c:pt>
                <c:pt idx="102">
                  <c:v>41.501899999999999</c:v>
                </c:pt>
                <c:pt idx="103">
                  <c:v>41.908900000000003</c:v>
                </c:pt>
                <c:pt idx="104">
                  <c:v>42.315800000000003</c:v>
                </c:pt>
                <c:pt idx="105">
                  <c:v>42.720700000000001</c:v>
                </c:pt>
                <c:pt idx="106">
                  <c:v>43.1297</c:v>
                </c:pt>
                <c:pt idx="107">
                  <c:v>43.533499999999997</c:v>
                </c:pt>
                <c:pt idx="108">
                  <c:v>43.938499999999998</c:v>
                </c:pt>
                <c:pt idx="109">
                  <c:v>44.342599999999997</c:v>
                </c:pt>
                <c:pt idx="110">
                  <c:v>44.753399999999999</c:v>
                </c:pt>
                <c:pt idx="111">
                  <c:v>45.158299999999997</c:v>
                </c:pt>
                <c:pt idx="112">
                  <c:v>45.564100000000003</c:v>
                </c:pt>
                <c:pt idx="113">
                  <c:v>45.97</c:v>
                </c:pt>
                <c:pt idx="114">
                  <c:v>46.374299999999998</c:v>
                </c:pt>
                <c:pt idx="115">
                  <c:v>46.7789</c:v>
                </c:pt>
                <c:pt idx="116">
                  <c:v>47.186799999999998</c:v>
                </c:pt>
                <c:pt idx="117">
                  <c:v>47.596699999999998</c:v>
                </c:pt>
                <c:pt idx="118">
                  <c:v>48.003599999999999</c:v>
                </c:pt>
                <c:pt idx="119">
                  <c:v>48.415599999999998</c:v>
                </c:pt>
                <c:pt idx="120">
                  <c:v>48.817900000000002</c:v>
                </c:pt>
                <c:pt idx="121">
                  <c:v>49.2226</c:v>
                </c:pt>
                <c:pt idx="122">
                  <c:v>49.629399999999997</c:v>
                </c:pt>
                <c:pt idx="123">
                  <c:v>50.030299999999997</c:v>
                </c:pt>
                <c:pt idx="124">
                  <c:v>50.448300000000003</c:v>
                </c:pt>
                <c:pt idx="125">
                  <c:v>50.845999999999997</c:v>
                </c:pt>
                <c:pt idx="126">
                  <c:v>51.252099999999999</c:v>
                </c:pt>
                <c:pt idx="127">
                  <c:v>51.660800000000002</c:v>
                </c:pt>
                <c:pt idx="128">
                  <c:v>52.064799999999998</c:v>
                </c:pt>
                <c:pt idx="129">
                  <c:v>52.467599999999997</c:v>
                </c:pt>
                <c:pt idx="130">
                  <c:v>52.876600000000003</c:v>
                </c:pt>
                <c:pt idx="131">
                  <c:v>53.283499999999997</c:v>
                </c:pt>
                <c:pt idx="132">
                  <c:v>53.693399999999997</c:v>
                </c:pt>
                <c:pt idx="133">
                  <c:v>54.0974</c:v>
                </c:pt>
                <c:pt idx="134">
                  <c:v>54.501600000000003</c:v>
                </c:pt>
                <c:pt idx="135">
                  <c:v>54.908299999999997</c:v>
                </c:pt>
                <c:pt idx="136">
                  <c:v>55.316000000000003</c:v>
                </c:pt>
                <c:pt idx="137">
                  <c:v>55.721899999999998</c:v>
                </c:pt>
                <c:pt idx="138">
                  <c:v>56.124299999999998</c:v>
                </c:pt>
                <c:pt idx="139">
                  <c:v>56.532899999999998</c:v>
                </c:pt>
                <c:pt idx="140">
                  <c:v>56.938800000000001</c:v>
                </c:pt>
                <c:pt idx="141">
                  <c:v>57.3446</c:v>
                </c:pt>
                <c:pt idx="142">
                  <c:v>57.749899999999997</c:v>
                </c:pt>
                <c:pt idx="143">
                  <c:v>58.159399999999998</c:v>
                </c:pt>
                <c:pt idx="144">
                  <c:v>58.567399999999999</c:v>
                </c:pt>
                <c:pt idx="145">
                  <c:v>58.970199999999998</c:v>
                </c:pt>
                <c:pt idx="146">
                  <c:v>59.377299999999998</c:v>
                </c:pt>
                <c:pt idx="147">
                  <c:v>59.783299999999997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2.1240200000000002</c:v>
                </c:pt>
                <c:pt idx="1">
                  <c:v>2.1851099999999999</c:v>
                </c:pt>
                <c:pt idx="2">
                  <c:v>2.2476099999999999</c:v>
                </c:pt>
                <c:pt idx="3">
                  <c:v>2.30837</c:v>
                </c:pt>
                <c:pt idx="4">
                  <c:v>2.3700099999999997</c:v>
                </c:pt>
                <c:pt idx="5">
                  <c:v>2.4338899999999999</c:v>
                </c:pt>
                <c:pt idx="6">
                  <c:v>2.4974499999999997</c:v>
                </c:pt>
                <c:pt idx="7">
                  <c:v>2.5609299999999999</c:v>
                </c:pt>
                <c:pt idx="8">
                  <c:v>2.6229200000000001</c:v>
                </c:pt>
                <c:pt idx="9">
                  <c:v>2.68248</c:v>
                </c:pt>
                <c:pt idx="10">
                  <c:v>2.7429300000000003</c:v>
                </c:pt>
                <c:pt idx="11">
                  <c:v>2.8046500000000001</c:v>
                </c:pt>
                <c:pt idx="12">
                  <c:v>2.8642000000000003</c:v>
                </c:pt>
                <c:pt idx="13">
                  <c:v>2.9186699999999997</c:v>
                </c:pt>
                <c:pt idx="14">
                  <c:v>2.9693199999999997</c:v>
                </c:pt>
                <c:pt idx="15">
                  <c:v>3.0188900000000003</c:v>
                </c:pt>
                <c:pt idx="16">
                  <c:v>3.0645699999999998</c:v>
                </c:pt>
                <c:pt idx="17">
                  <c:v>3.1055899999999999</c:v>
                </c:pt>
                <c:pt idx="18">
                  <c:v>3.1433400000000002</c:v>
                </c:pt>
                <c:pt idx="19">
                  <c:v>3.17509</c:v>
                </c:pt>
                <c:pt idx="20">
                  <c:v>3.2022899999999996</c:v>
                </c:pt>
                <c:pt idx="21">
                  <c:v>3.2278800000000003</c:v>
                </c:pt>
                <c:pt idx="22">
                  <c:v>3.2525300000000001</c:v>
                </c:pt>
                <c:pt idx="23">
                  <c:v>3.2785700000000002</c:v>
                </c:pt>
                <c:pt idx="24">
                  <c:v>3.2942900000000002</c:v>
                </c:pt>
                <c:pt idx="25">
                  <c:v>3.3069100000000002</c:v>
                </c:pt>
                <c:pt idx="26">
                  <c:v>3.3170799999999998</c:v>
                </c:pt>
                <c:pt idx="27">
                  <c:v>3.3207500000000003</c:v>
                </c:pt>
                <c:pt idx="28">
                  <c:v>3.32273</c:v>
                </c:pt>
                <c:pt idx="29">
                  <c:v>3.32463</c:v>
                </c:pt>
                <c:pt idx="30">
                  <c:v>3.3230700000000004</c:v>
                </c:pt>
                <c:pt idx="31">
                  <c:v>3.3194900000000001</c:v>
                </c:pt>
                <c:pt idx="32">
                  <c:v>3.3136999999999999</c:v>
                </c:pt>
                <c:pt idx="33">
                  <c:v>3.3075799999999997</c:v>
                </c:pt>
                <c:pt idx="34">
                  <c:v>3.2996099999999999</c:v>
                </c:pt>
                <c:pt idx="35">
                  <c:v>3.2892799999999998</c:v>
                </c:pt>
                <c:pt idx="36">
                  <c:v>3.2769199999999996</c:v>
                </c:pt>
                <c:pt idx="37">
                  <c:v>3.2680100000000003</c:v>
                </c:pt>
                <c:pt idx="38">
                  <c:v>3.2639200000000002</c:v>
                </c:pt>
                <c:pt idx="39">
                  <c:v>3.2637</c:v>
                </c:pt>
                <c:pt idx="40">
                  <c:v>3.2639</c:v>
                </c:pt>
                <c:pt idx="41">
                  <c:v>3.2667200000000003</c:v>
                </c:pt>
                <c:pt idx="42">
                  <c:v>3.2713700000000001</c:v>
                </c:pt>
                <c:pt idx="43">
                  <c:v>3.2754400000000001</c:v>
                </c:pt>
                <c:pt idx="44">
                  <c:v>3.2815400000000001</c:v>
                </c:pt>
                <c:pt idx="45">
                  <c:v>3.28945</c:v>
                </c:pt>
                <c:pt idx="46">
                  <c:v>3.2981199999999999</c:v>
                </c:pt>
                <c:pt idx="47">
                  <c:v>3.3036300000000001</c:v>
                </c:pt>
                <c:pt idx="48">
                  <c:v>3.3061499999999997</c:v>
                </c:pt>
                <c:pt idx="49">
                  <c:v>3.3085500000000003</c:v>
                </c:pt>
                <c:pt idx="50">
                  <c:v>3.3102300000000002</c:v>
                </c:pt>
                <c:pt idx="51">
                  <c:v>3.3130700000000002</c:v>
                </c:pt>
                <c:pt idx="52">
                  <c:v>3.3164300000000004</c:v>
                </c:pt>
                <c:pt idx="53">
                  <c:v>3.31976</c:v>
                </c:pt>
                <c:pt idx="54">
                  <c:v>3.3213999999999997</c:v>
                </c:pt>
                <c:pt idx="55">
                  <c:v>3.3224</c:v>
                </c:pt>
                <c:pt idx="56">
                  <c:v>3.3206500000000001</c:v>
                </c:pt>
                <c:pt idx="57">
                  <c:v>3.3190900000000001</c:v>
                </c:pt>
                <c:pt idx="58">
                  <c:v>3.3172699999999997</c:v>
                </c:pt>
                <c:pt idx="59">
                  <c:v>3.3153800000000002</c:v>
                </c:pt>
                <c:pt idx="60">
                  <c:v>3.3108900000000001</c:v>
                </c:pt>
                <c:pt idx="61">
                  <c:v>3.30227</c:v>
                </c:pt>
                <c:pt idx="62">
                  <c:v>3.2900600000000004</c:v>
                </c:pt>
                <c:pt idx="63">
                  <c:v>3.2759</c:v>
                </c:pt>
                <c:pt idx="64">
                  <c:v>3.2616200000000002</c:v>
                </c:pt>
                <c:pt idx="65">
                  <c:v>3.2482800000000003</c:v>
                </c:pt>
                <c:pt idx="66">
                  <c:v>3.23475</c:v>
                </c:pt>
                <c:pt idx="67">
                  <c:v>3.2224199999999996</c:v>
                </c:pt>
                <c:pt idx="68">
                  <c:v>3.2101500000000001</c:v>
                </c:pt>
                <c:pt idx="69">
                  <c:v>3.19937</c:v>
                </c:pt>
                <c:pt idx="70">
                  <c:v>3.1923300000000001</c:v>
                </c:pt>
                <c:pt idx="71">
                  <c:v>3.1851600000000002</c:v>
                </c:pt>
                <c:pt idx="72">
                  <c:v>3.1783999999999999</c:v>
                </c:pt>
                <c:pt idx="73">
                  <c:v>3.1701000000000001</c:v>
                </c:pt>
                <c:pt idx="74">
                  <c:v>3.1620900000000001</c:v>
                </c:pt>
                <c:pt idx="75">
                  <c:v>3.15469</c:v>
                </c:pt>
                <c:pt idx="76">
                  <c:v>3.1510600000000002</c:v>
                </c:pt>
                <c:pt idx="77">
                  <c:v>3.1510400000000001</c:v>
                </c:pt>
                <c:pt idx="78">
                  <c:v>3.15008</c:v>
                </c:pt>
                <c:pt idx="79">
                  <c:v>3.1471800000000001</c:v>
                </c:pt>
                <c:pt idx="80">
                  <c:v>3.1465300000000003</c:v>
                </c:pt>
                <c:pt idx="81">
                  <c:v>3.1468099999999999</c:v>
                </c:pt>
                <c:pt idx="82">
                  <c:v>3.1467700000000001</c:v>
                </c:pt>
                <c:pt idx="83">
                  <c:v>3.14649</c:v>
                </c:pt>
                <c:pt idx="84">
                  <c:v>3.1502699999999999</c:v>
                </c:pt>
                <c:pt idx="85">
                  <c:v>3.1596000000000002</c:v>
                </c:pt>
                <c:pt idx="86">
                  <c:v>3.1703199999999998</c:v>
                </c:pt>
                <c:pt idx="87">
                  <c:v>3.18004</c:v>
                </c:pt>
                <c:pt idx="88">
                  <c:v>3.1889699999999999</c:v>
                </c:pt>
                <c:pt idx="89">
                  <c:v>3.1978600000000004</c:v>
                </c:pt>
                <c:pt idx="90">
                  <c:v>3.2067000000000001</c:v>
                </c:pt>
                <c:pt idx="91">
                  <c:v>3.2140499999999999</c:v>
                </c:pt>
                <c:pt idx="92">
                  <c:v>3.21861</c:v>
                </c:pt>
                <c:pt idx="93">
                  <c:v>3.2220199999999997</c:v>
                </c:pt>
                <c:pt idx="94">
                  <c:v>3.2230699999999999</c:v>
                </c:pt>
                <c:pt idx="95">
                  <c:v>3.2224000000000004</c:v>
                </c:pt>
                <c:pt idx="96">
                  <c:v>3.2241</c:v>
                </c:pt>
                <c:pt idx="97">
                  <c:v>3.2289699999999999</c:v>
                </c:pt>
                <c:pt idx="98">
                  <c:v>3.2355200000000002</c:v>
                </c:pt>
                <c:pt idx="99">
                  <c:v>3.2451400000000001</c:v>
                </c:pt>
                <c:pt idx="100">
                  <c:v>3.2555000000000001</c:v>
                </c:pt>
                <c:pt idx="101">
                  <c:v>3.2680700000000003</c:v>
                </c:pt>
                <c:pt idx="102">
                  <c:v>3.2762799999999999</c:v>
                </c:pt>
                <c:pt idx="103">
                  <c:v>3.2824499999999999</c:v>
                </c:pt>
                <c:pt idx="104">
                  <c:v>3.28749</c:v>
                </c:pt>
                <c:pt idx="105">
                  <c:v>3.2953399999999999</c:v>
                </c:pt>
                <c:pt idx="106">
                  <c:v>3.3046100000000003</c:v>
                </c:pt>
                <c:pt idx="107">
                  <c:v>3.3148100000000005</c:v>
                </c:pt>
                <c:pt idx="108">
                  <c:v>3.3258799999999997</c:v>
                </c:pt>
                <c:pt idx="109">
                  <c:v>3.3375500000000002</c:v>
                </c:pt>
                <c:pt idx="110">
                  <c:v>3.3482000000000003</c:v>
                </c:pt>
                <c:pt idx="111">
                  <c:v>3.35968</c:v>
                </c:pt>
                <c:pt idx="112">
                  <c:v>3.3739799999999995</c:v>
                </c:pt>
                <c:pt idx="113">
                  <c:v>3.3868900000000002</c:v>
                </c:pt>
                <c:pt idx="114">
                  <c:v>3.3971099999999996</c:v>
                </c:pt>
                <c:pt idx="115">
                  <c:v>3.4079900000000003</c:v>
                </c:pt>
                <c:pt idx="116">
                  <c:v>3.4155699999999998</c:v>
                </c:pt>
                <c:pt idx="117">
                  <c:v>3.4239299999999999</c:v>
                </c:pt>
                <c:pt idx="118">
                  <c:v>3.4334500000000001</c:v>
                </c:pt>
                <c:pt idx="119">
                  <c:v>3.4412900000000004</c:v>
                </c:pt>
                <c:pt idx="120">
                  <c:v>3.4488400000000001</c:v>
                </c:pt>
                <c:pt idx="121">
                  <c:v>3.4578500000000001</c:v>
                </c:pt>
                <c:pt idx="122">
                  <c:v>3.4660600000000001</c:v>
                </c:pt>
                <c:pt idx="123">
                  <c:v>3.4719299999999995</c:v>
                </c:pt>
                <c:pt idx="124">
                  <c:v>3.4758099999999996</c:v>
                </c:pt>
                <c:pt idx="125">
                  <c:v>3.4777200000000001</c:v>
                </c:pt>
                <c:pt idx="126">
                  <c:v>3.4752999999999998</c:v>
                </c:pt>
                <c:pt idx="127">
                  <c:v>3.4740799999999998</c:v>
                </c:pt>
                <c:pt idx="128">
                  <c:v>3.4771299999999998</c:v>
                </c:pt>
                <c:pt idx="129">
                  <c:v>3.4828100000000002</c:v>
                </c:pt>
                <c:pt idx="130">
                  <c:v>3.4864299999999999</c:v>
                </c:pt>
                <c:pt idx="131">
                  <c:v>3.48813</c:v>
                </c:pt>
                <c:pt idx="132">
                  <c:v>3.4896500000000001</c:v>
                </c:pt>
                <c:pt idx="133">
                  <c:v>3.4894699999999998</c:v>
                </c:pt>
                <c:pt idx="134">
                  <c:v>3.4855900000000002</c:v>
                </c:pt>
                <c:pt idx="135">
                  <c:v>3.4778500000000001</c:v>
                </c:pt>
                <c:pt idx="136">
                  <c:v>3.4697</c:v>
                </c:pt>
                <c:pt idx="137">
                  <c:v>3.4584999999999999</c:v>
                </c:pt>
                <c:pt idx="138">
                  <c:v>3.4505599999999998</c:v>
                </c:pt>
                <c:pt idx="139">
                  <c:v>3.4457599999999999</c:v>
                </c:pt>
                <c:pt idx="140">
                  <c:v>3.4340999999999999</c:v>
                </c:pt>
                <c:pt idx="141">
                  <c:v>3.4332000000000003</c:v>
                </c:pt>
                <c:pt idx="142">
                  <c:v>3.4332500000000001</c:v>
                </c:pt>
                <c:pt idx="143">
                  <c:v>3.4329199999999997</c:v>
                </c:pt>
                <c:pt idx="144">
                  <c:v>3.4431099999999999</c:v>
                </c:pt>
                <c:pt idx="145">
                  <c:v>3.4567199999999998</c:v>
                </c:pt>
                <c:pt idx="146">
                  <c:v>3.4590399999999999</c:v>
                </c:pt>
                <c:pt idx="147">
                  <c:v>3.4271400000000001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0.40765200000000001</c:v>
                </c:pt>
                <c:pt idx="2">
                  <c:v>0.81792200000000004</c:v>
                </c:pt>
                <c:pt idx="3">
                  <c:v>1.2258899999999999</c:v>
                </c:pt>
                <c:pt idx="4">
                  <c:v>1.6267100000000001</c:v>
                </c:pt>
                <c:pt idx="5">
                  <c:v>2.03159</c:v>
                </c:pt>
                <c:pt idx="6">
                  <c:v>2.43547</c:v>
                </c:pt>
                <c:pt idx="7">
                  <c:v>2.8464100000000001</c:v>
                </c:pt>
                <c:pt idx="8">
                  <c:v>3.2492000000000001</c:v>
                </c:pt>
                <c:pt idx="9">
                  <c:v>3.65828</c:v>
                </c:pt>
                <c:pt idx="10">
                  <c:v>4.0650899999999996</c:v>
                </c:pt>
                <c:pt idx="11">
                  <c:v>4.4734100000000003</c:v>
                </c:pt>
                <c:pt idx="12">
                  <c:v>4.8769900000000002</c:v>
                </c:pt>
                <c:pt idx="13">
                  <c:v>5.2829600000000001</c:v>
                </c:pt>
                <c:pt idx="14">
                  <c:v>5.6910600000000002</c:v>
                </c:pt>
                <c:pt idx="15">
                  <c:v>6.0956900000000003</c:v>
                </c:pt>
                <c:pt idx="16">
                  <c:v>6.4996900000000002</c:v>
                </c:pt>
                <c:pt idx="17">
                  <c:v>6.9067600000000002</c:v>
                </c:pt>
                <c:pt idx="18">
                  <c:v>7.3164400000000001</c:v>
                </c:pt>
                <c:pt idx="19">
                  <c:v>7.7184799999999996</c:v>
                </c:pt>
                <c:pt idx="20">
                  <c:v>8.1282800000000002</c:v>
                </c:pt>
                <c:pt idx="21">
                  <c:v>8.5312300000000008</c:v>
                </c:pt>
                <c:pt idx="22">
                  <c:v>8.9411400000000008</c:v>
                </c:pt>
                <c:pt idx="23">
                  <c:v>9.3449899999999992</c:v>
                </c:pt>
                <c:pt idx="24">
                  <c:v>9.7524999999999995</c:v>
                </c:pt>
                <c:pt idx="25">
                  <c:v>10.157299999999999</c:v>
                </c:pt>
                <c:pt idx="26">
                  <c:v>10.562799999999999</c:v>
                </c:pt>
                <c:pt idx="27">
                  <c:v>10.9756</c:v>
                </c:pt>
                <c:pt idx="28">
                  <c:v>11.378500000000001</c:v>
                </c:pt>
                <c:pt idx="29">
                  <c:v>11.7822</c:v>
                </c:pt>
                <c:pt idx="30">
                  <c:v>12.189399999999999</c:v>
                </c:pt>
                <c:pt idx="31">
                  <c:v>12.5976</c:v>
                </c:pt>
                <c:pt idx="32">
                  <c:v>13.0022</c:v>
                </c:pt>
                <c:pt idx="33">
                  <c:v>13.407500000000001</c:v>
                </c:pt>
                <c:pt idx="34">
                  <c:v>13.8132</c:v>
                </c:pt>
                <c:pt idx="35">
                  <c:v>14.222</c:v>
                </c:pt>
                <c:pt idx="36">
                  <c:v>14.629899999999999</c:v>
                </c:pt>
                <c:pt idx="37">
                  <c:v>15.0328</c:v>
                </c:pt>
                <c:pt idx="38">
                  <c:v>15.4358</c:v>
                </c:pt>
                <c:pt idx="39">
                  <c:v>15.8436</c:v>
                </c:pt>
                <c:pt idx="40">
                  <c:v>16.252500000000001</c:v>
                </c:pt>
                <c:pt idx="41">
                  <c:v>16.659600000000001</c:v>
                </c:pt>
                <c:pt idx="42">
                  <c:v>17.0654</c:v>
                </c:pt>
                <c:pt idx="43">
                  <c:v>17.4712</c:v>
                </c:pt>
                <c:pt idx="44">
                  <c:v>17.877600000000001</c:v>
                </c:pt>
                <c:pt idx="45">
                  <c:v>18.277999999999999</c:v>
                </c:pt>
                <c:pt idx="46">
                  <c:v>18.691099999999999</c:v>
                </c:pt>
                <c:pt idx="47">
                  <c:v>19.097899999999999</c:v>
                </c:pt>
                <c:pt idx="48">
                  <c:v>19.5029</c:v>
                </c:pt>
                <c:pt idx="49">
                  <c:v>19.907800000000002</c:v>
                </c:pt>
                <c:pt idx="50">
                  <c:v>20.314699999999998</c:v>
                </c:pt>
                <c:pt idx="51">
                  <c:v>20.718499999999999</c:v>
                </c:pt>
                <c:pt idx="52">
                  <c:v>21.128399999999999</c:v>
                </c:pt>
                <c:pt idx="53">
                  <c:v>21.5365</c:v>
                </c:pt>
                <c:pt idx="54">
                  <c:v>21.939299999999999</c:v>
                </c:pt>
                <c:pt idx="55">
                  <c:v>22.3462</c:v>
                </c:pt>
                <c:pt idx="56">
                  <c:v>22.7501</c:v>
                </c:pt>
                <c:pt idx="57">
                  <c:v>23.159099999999999</c:v>
                </c:pt>
                <c:pt idx="58">
                  <c:v>23.568000000000001</c:v>
                </c:pt>
                <c:pt idx="59">
                  <c:v>23.972799999999999</c:v>
                </c:pt>
                <c:pt idx="60">
                  <c:v>24.376000000000001</c:v>
                </c:pt>
                <c:pt idx="61">
                  <c:v>24.779699999999998</c:v>
                </c:pt>
                <c:pt idx="62">
                  <c:v>25.1935</c:v>
                </c:pt>
                <c:pt idx="63">
                  <c:v>25.596499999999999</c:v>
                </c:pt>
                <c:pt idx="64">
                  <c:v>26.003399999999999</c:v>
                </c:pt>
                <c:pt idx="65">
                  <c:v>26.407900000000001</c:v>
                </c:pt>
                <c:pt idx="66">
                  <c:v>26.8123</c:v>
                </c:pt>
                <c:pt idx="67">
                  <c:v>27.220099999999999</c:v>
                </c:pt>
                <c:pt idx="68">
                  <c:v>27.625</c:v>
                </c:pt>
                <c:pt idx="69">
                  <c:v>28.033999999999999</c:v>
                </c:pt>
                <c:pt idx="70">
                  <c:v>28.441299999999998</c:v>
                </c:pt>
                <c:pt idx="71">
                  <c:v>28.852900000000002</c:v>
                </c:pt>
                <c:pt idx="72">
                  <c:v>29.257200000000001</c:v>
                </c:pt>
                <c:pt idx="73">
                  <c:v>29.662600000000001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2.1240200000000002</c:v>
                </c:pt>
                <c:pt idx="1">
                  <c:v>2.1851099999999999</c:v>
                </c:pt>
                <c:pt idx="2">
                  <c:v>2.2476099999999999</c:v>
                </c:pt>
                <c:pt idx="3">
                  <c:v>2.30837</c:v>
                </c:pt>
                <c:pt idx="4">
                  <c:v>2.3700099999999997</c:v>
                </c:pt>
                <c:pt idx="5">
                  <c:v>2.4338899999999999</c:v>
                </c:pt>
                <c:pt idx="6">
                  <c:v>2.4974499999999997</c:v>
                </c:pt>
                <c:pt idx="7">
                  <c:v>2.5609299999999999</c:v>
                </c:pt>
                <c:pt idx="8">
                  <c:v>2.6229200000000001</c:v>
                </c:pt>
                <c:pt idx="9">
                  <c:v>2.68248</c:v>
                </c:pt>
                <c:pt idx="10">
                  <c:v>2.7429300000000003</c:v>
                </c:pt>
                <c:pt idx="11">
                  <c:v>2.8046500000000001</c:v>
                </c:pt>
                <c:pt idx="12">
                  <c:v>2.8642000000000003</c:v>
                </c:pt>
                <c:pt idx="13">
                  <c:v>2.9186699999999997</c:v>
                </c:pt>
                <c:pt idx="14">
                  <c:v>2.9693199999999997</c:v>
                </c:pt>
                <c:pt idx="15">
                  <c:v>3.0188900000000003</c:v>
                </c:pt>
                <c:pt idx="16">
                  <c:v>3.0645699999999998</c:v>
                </c:pt>
                <c:pt idx="17">
                  <c:v>3.1055899999999999</c:v>
                </c:pt>
                <c:pt idx="18">
                  <c:v>3.1433400000000002</c:v>
                </c:pt>
                <c:pt idx="19">
                  <c:v>3.17509</c:v>
                </c:pt>
                <c:pt idx="20">
                  <c:v>3.2022899999999996</c:v>
                </c:pt>
                <c:pt idx="21">
                  <c:v>3.2278800000000003</c:v>
                </c:pt>
                <c:pt idx="22">
                  <c:v>3.2525300000000001</c:v>
                </c:pt>
                <c:pt idx="23">
                  <c:v>3.2785700000000002</c:v>
                </c:pt>
                <c:pt idx="24">
                  <c:v>3.2942900000000002</c:v>
                </c:pt>
                <c:pt idx="25">
                  <c:v>3.3069100000000002</c:v>
                </c:pt>
                <c:pt idx="26">
                  <c:v>3.3170799999999998</c:v>
                </c:pt>
                <c:pt idx="27">
                  <c:v>3.3207500000000003</c:v>
                </c:pt>
                <c:pt idx="28">
                  <c:v>3.32273</c:v>
                </c:pt>
                <c:pt idx="29">
                  <c:v>3.32463</c:v>
                </c:pt>
                <c:pt idx="30">
                  <c:v>3.3230700000000004</c:v>
                </c:pt>
                <c:pt idx="31">
                  <c:v>3.3194900000000001</c:v>
                </c:pt>
                <c:pt idx="32">
                  <c:v>3.3136999999999999</c:v>
                </c:pt>
                <c:pt idx="33">
                  <c:v>3.3075799999999997</c:v>
                </c:pt>
                <c:pt idx="34">
                  <c:v>3.2996099999999999</c:v>
                </c:pt>
                <c:pt idx="35">
                  <c:v>3.2892799999999998</c:v>
                </c:pt>
                <c:pt idx="36">
                  <c:v>3.2769199999999996</c:v>
                </c:pt>
                <c:pt idx="37">
                  <c:v>3.2680100000000003</c:v>
                </c:pt>
                <c:pt idx="38">
                  <c:v>3.2639200000000002</c:v>
                </c:pt>
                <c:pt idx="39">
                  <c:v>3.2637</c:v>
                </c:pt>
                <c:pt idx="40">
                  <c:v>3.2639</c:v>
                </c:pt>
                <c:pt idx="41">
                  <c:v>3.2667200000000003</c:v>
                </c:pt>
                <c:pt idx="42">
                  <c:v>3.2713700000000001</c:v>
                </c:pt>
                <c:pt idx="43">
                  <c:v>3.2754400000000001</c:v>
                </c:pt>
                <c:pt idx="44">
                  <c:v>3.2815400000000001</c:v>
                </c:pt>
                <c:pt idx="45">
                  <c:v>3.28945</c:v>
                </c:pt>
                <c:pt idx="46">
                  <c:v>3.2981199999999999</c:v>
                </c:pt>
                <c:pt idx="47">
                  <c:v>3.3036300000000001</c:v>
                </c:pt>
                <c:pt idx="48">
                  <c:v>3.3061499999999997</c:v>
                </c:pt>
                <c:pt idx="49">
                  <c:v>3.3085500000000003</c:v>
                </c:pt>
                <c:pt idx="50">
                  <c:v>3.3102300000000002</c:v>
                </c:pt>
                <c:pt idx="51">
                  <c:v>3.3130700000000002</c:v>
                </c:pt>
                <c:pt idx="52">
                  <c:v>3.3164300000000004</c:v>
                </c:pt>
                <c:pt idx="53">
                  <c:v>3.31976</c:v>
                </c:pt>
                <c:pt idx="54">
                  <c:v>3.3213999999999997</c:v>
                </c:pt>
                <c:pt idx="55">
                  <c:v>3.3224</c:v>
                </c:pt>
                <c:pt idx="56">
                  <c:v>3.3206500000000001</c:v>
                </c:pt>
                <c:pt idx="57">
                  <c:v>3.3190900000000001</c:v>
                </c:pt>
                <c:pt idx="58">
                  <c:v>3.3172699999999997</c:v>
                </c:pt>
                <c:pt idx="59">
                  <c:v>3.3153800000000002</c:v>
                </c:pt>
                <c:pt idx="60">
                  <c:v>3.3108900000000001</c:v>
                </c:pt>
                <c:pt idx="61">
                  <c:v>3.30227</c:v>
                </c:pt>
                <c:pt idx="62">
                  <c:v>3.2900600000000004</c:v>
                </c:pt>
                <c:pt idx="63">
                  <c:v>3.2759</c:v>
                </c:pt>
                <c:pt idx="64">
                  <c:v>3.2616200000000002</c:v>
                </c:pt>
                <c:pt idx="65">
                  <c:v>3.2482800000000003</c:v>
                </c:pt>
                <c:pt idx="66">
                  <c:v>3.23475</c:v>
                </c:pt>
                <c:pt idx="67">
                  <c:v>3.2224199999999996</c:v>
                </c:pt>
                <c:pt idx="68">
                  <c:v>3.2101500000000001</c:v>
                </c:pt>
                <c:pt idx="69">
                  <c:v>3.19937</c:v>
                </c:pt>
                <c:pt idx="70">
                  <c:v>3.1923300000000001</c:v>
                </c:pt>
                <c:pt idx="71">
                  <c:v>3.1851600000000002</c:v>
                </c:pt>
                <c:pt idx="72">
                  <c:v>3.1783999999999999</c:v>
                </c:pt>
                <c:pt idx="73">
                  <c:v>3.1701000000000001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29.662600000000001</c:v>
                </c:pt>
                <c:pt idx="1">
                  <c:v>30.063500000000001</c:v>
                </c:pt>
                <c:pt idx="2">
                  <c:v>30.658999999999999</c:v>
                </c:pt>
                <c:pt idx="3">
                  <c:v>31.036000000000001</c:v>
                </c:pt>
                <c:pt idx="4">
                  <c:v>31.405999999999999</c:v>
                </c:pt>
                <c:pt idx="5">
                  <c:v>31.783200000000001</c:v>
                </c:pt>
                <c:pt idx="6">
                  <c:v>32.158999999999999</c:v>
                </c:pt>
                <c:pt idx="7">
                  <c:v>32.566000000000003</c:v>
                </c:pt>
                <c:pt idx="8">
                  <c:v>32.971699999999998</c:v>
                </c:pt>
                <c:pt idx="9">
                  <c:v>33.375799999999998</c:v>
                </c:pt>
                <c:pt idx="10">
                  <c:v>33.7819</c:v>
                </c:pt>
                <c:pt idx="11">
                  <c:v>34.1935</c:v>
                </c:pt>
                <c:pt idx="12">
                  <c:v>34.597700000000003</c:v>
                </c:pt>
                <c:pt idx="13">
                  <c:v>35.002400000000002</c:v>
                </c:pt>
                <c:pt idx="14">
                  <c:v>35.409300000000002</c:v>
                </c:pt>
                <c:pt idx="15">
                  <c:v>35.812399999999997</c:v>
                </c:pt>
                <c:pt idx="16">
                  <c:v>36.222099999999998</c:v>
                </c:pt>
                <c:pt idx="17">
                  <c:v>36.628100000000003</c:v>
                </c:pt>
                <c:pt idx="18">
                  <c:v>37.033900000000003</c:v>
                </c:pt>
                <c:pt idx="19">
                  <c:v>37.438000000000002</c:v>
                </c:pt>
                <c:pt idx="20">
                  <c:v>37.844900000000003</c:v>
                </c:pt>
                <c:pt idx="21">
                  <c:v>38.250700000000002</c:v>
                </c:pt>
                <c:pt idx="22">
                  <c:v>38.660600000000002</c:v>
                </c:pt>
                <c:pt idx="23">
                  <c:v>39.067599999999999</c:v>
                </c:pt>
                <c:pt idx="24">
                  <c:v>39.4724</c:v>
                </c:pt>
                <c:pt idx="25">
                  <c:v>39.878500000000003</c:v>
                </c:pt>
                <c:pt idx="26">
                  <c:v>40.286200000000001</c:v>
                </c:pt>
                <c:pt idx="27">
                  <c:v>40.6905</c:v>
                </c:pt>
                <c:pt idx="28">
                  <c:v>41.095999999999997</c:v>
                </c:pt>
                <c:pt idx="29">
                  <c:v>41.501899999999999</c:v>
                </c:pt>
                <c:pt idx="30">
                  <c:v>41.908900000000003</c:v>
                </c:pt>
                <c:pt idx="31">
                  <c:v>42.315800000000003</c:v>
                </c:pt>
                <c:pt idx="32">
                  <c:v>42.720700000000001</c:v>
                </c:pt>
                <c:pt idx="33">
                  <c:v>43.1297</c:v>
                </c:pt>
                <c:pt idx="34">
                  <c:v>43.533499999999997</c:v>
                </c:pt>
                <c:pt idx="35">
                  <c:v>43.938499999999998</c:v>
                </c:pt>
                <c:pt idx="36">
                  <c:v>44.342599999999997</c:v>
                </c:pt>
                <c:pt idx="37">
                  <c:v>44.753399999999999</c:v>
                </c:pt>
                <c:pt idx="38">
                  <c:v>45.158299999999997</c:v>
                </c:pt>
                <c:pt idx="39">
                  <c:v>45.564100000000003</c:v>
                </c:pt>
                <c:pt idx="40">
                  <c:v>45.97</c:v>
                </c:pt>
                <c:pt idx="41">
                  <c:v>46.374299999999998</c:v>
                </c:pt>
                <c:pt idx="42">
                  <c:v>46.7789</c:v>
                </c:pt>
                <c:pt idx="43">
                  <c:v>47.186799999999998</c:v>
                </c:pt>
                <c:pt idx="44">
                  <c:v>47.596699999999998</c:v>
                </c:pt>
                <c:pt idx="45">
                  <c:v>48.003599999999999</c:v>
                </c:pt>
                <c:pt idx="46">
                  <c:v>48.415599999999998</c:v>
                </c:pt>
                <c:pt idx="47">
                  <c:v>48.817900000000002</c:v>
                </c:pt>
                <c:pt idx="48">
                  <c:v>49.2226</c:v>
                </c:pt>
                <c:pt idx="49">
                  <c:v>49.629399999999997</c:v>
                </c:pt>
                <c:pt idx="50">
                  <c:v>50.030299999999997</c:v>
                </c:pt>
                <c:pt idx="51">
                  <c:v>50.448300000000003</c:v>
                </c:pt>
                <c:pt idx="52">
                  <c:v>50.845999999999997</c:v>
                </c:pt>
                <c:pt idx="53">
                  <c:v>51.252099999999999</c:v>
                </c:pt>
                <c:pt idx="54">
                  <c:v>51.660800000000002</c:v>
                </c:pt>
                <c:pt idx="55">
                  <c:v>52.064799999999998</c:v>
                </c:pt>
                <c:pt idx="56">
                  <c:v>52.467599999999997</c:v>
                </c:pt>
                <c:pt idx="57">
                  <c:v>52.876600000000003</c:v>
                </c:pt>
                <c:pt idx="58">
                  <c:v>53.283499999999997</c:v>
                </c:pt>
                <c:pt idx="59">
                  <c:v>53.693399999999997</c:v>
                </c:pt>
                <c:pt idx="60">
                  <c:v>54.0974</c:v>
                </c:pt>
                <c:pt idx="61">
                  <c:v>54.501600000000003</c:v>
                </c:pt>
                <c:pt idx="62">
                  <c:v>54.908299999999997</c:v>
                </c:pt>
                <c:pt idx="63">
                  <c:v>55.316000000000003</c:v>
                </c:pt>
                <c:pt idx="64">
                  <c:v>55.721899999999998</c:v>
                </c:pt>
                <c:pt idx="65">
                  <c:v>56.124299999999998</c:v>
                </c:pt>
                <c:pt idx="66">
                  <c:v>56.532899999999998</c:v>
                </c:pt>
                <c:pt idx="67">
                  <c:v>56.938800000000001</c:v>
                </c:pt>
                <c:pt idx="68">
                  <c:v>57.3446</c:v>
                </c:pt>
                <c:pt idx="69">
                  <c:v>57.749899999999997</c:v>
                </c:pt>
                <c:pt idx="70">
                  <c:v>58.159399999999998</c:v>
                </c:pt>
                <c:pt idx="71">
                  <c:v>58.567399999999999</c:v>
                </c:pt>
                <c:pt idx="72">
                  <c:v>58.970199999999998</c:v>
                </c:pt>
                <c:pt idx="73">
                  <c:v>59.377299999999998</c:v>
                </c:pt>
                <c:pt idx="74">
                  <c:v>59.783299999999997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3.1701000000000001</c:v>
                </c:pt>
                <c:pt idx="1">
                  <c:v>3.1620900000000001</c:v>
                </c:pt>
                <c:pt idx="2">
                  <c:v>3.15469</c:v>
                </c:pt>
                <c:pt idx="3">
                  <c:v>3.1510600000000002</c:v>
                </c:pt>
                <c:pt idx="4">
                  <c:v>3.1510400000000001</c:v>
                </c:pt>
                <c:pt idx="5">
                  <c:v>3.15008</c:v>
                </c:pt>
                <c:pt idx="6">
                  <c:v>3.1471800000000001</c:v>
                </c:pt>
                <c:pt idx="7">
                  <c:v>3.1465300000000003</c:v>
                </c:pt>
                <c:pt idx="8">
                  <c:v>3.1468099999999999</c:v>
                </c:pt>
                <c:pt idx="9">
                  <c:v>3.1467700000000001</c:v>
                </c:pt>
                <c:pt idx="10">
                  <c:v>3.14649</c:v>
                </c:pt>
                <c:pt idx="11">
                  <c:v>3.1502699999999999</c:v>
                </c:pt>
                <c:pt idx="12">
                  <c:v>3.1596000000000002</c:v>
                </c:pt>
                <c:pt idx="13">
                  <c:v>3.1703199999999998</c:v>
                </c:pt>
                <c:pt idx="14">
                  <c:v>3.18004</c:v>
                </c:pt>
                <c:pt idx="15">
                  <c:v>3.1889699999999999</c:v>
                </c:pt>
                <c:pt idx="16">
                  <c:v>3.1978600000000004</c:v>
                </c:pt>
                <c:pt idx="17">
                  <c:v>3.2067000000000001</c:v>
                </c:pt>
                <c:pt idx="18">
                  <c:v>3.2140499999999999</c:v>
                </c:pt>
                <c:pt idx="19">
                  <c:v>3.21861</c:v>
                </c:pt>
                <c:pt idx="20">
                  <c:v>3.2220199999999997</c:v>
                </c:pt>
                <c:pt idx="21">
                  <c:v>3.2230699999999999</c:v>
                </c:pt>
                <c:pt idx="22">
                  <c:v>3.2224000000000004</c:v>
                </c:pt>
                <c:pt idx="23">
                  <c:v>3.2241</c:v>
                </c:pt>
                <c:pt idx="24">
                  <c:v>3.2289699999999999</c:v>
                </c:pt>
                <c:pt idx="25">
                  <c:v>3.2355200000000002</c:v>
                </c:pt>
                <c:pt idx="26">
                  <c:v>3.2451400000000001</c:v>
                </c:pt>
                <c:pt idx="27">
                  <c:v>3.2555000000000001</c:v>
                </c:pt>
                <c:pt idx="28">
                  <c:v>3.2680700000000003</c:v>
                </c:pt>
                <c:pt idx="29">
                  <c:v>3.2762799999999999</c:v>
                </c:pt>
                <c:pt idx="30">
                  <c:v>3.2824499999999999</c:v>
                </c:pt>
                <c:pt idx="31">
                  <c:v>3.28749</c:v>
                </c:pt>
                <c:pt idx="32">
                  <c:v>3.2953399999999999</c:v>
                </c:pt>
                <c:pt idx="33">
                  <c:v>3.3046100000000003</c:v>
                </c:pt>
                <c:pt idx="34">
                  <c:v>3.3148100000000005</c:v>
                </c:pt>
                <c:pt idx="35">
                  <c:v>3.3258799999999997</c:v>
                </c:pt>
                <c:pt idx="36">
                  <c:v>3.3375500000000002</c:v>
                </c:pt>
                <c:pt idx="37">
                  <c:v>3.3482000000000003</c:v>
                </c:pt>
                <c:pt idx="38">
                  <c:v>3.35968</c:v>
                </c:pt>
                <c:pt idx="39">
                  <c:v>3.3739799999999995</c:v>
                </c:pt>
                <c:pt idx="40">
                  <c:v>3.3868900000000002</c:v>
                </c:pt>
                <c:pt idx="41">
                  <c:v>3.3971099999999996</c:v>
                </c:pt>
                <c:pt idx="42">
                  <c:v>3.4079900000000003</c:v>
                </c:pt>
                <c:pt idx="43">
                  <c:v>3.4155699999999998</c:v>
                </c:pt>
                <c:pt idx="44">
                  <c:v>3.4239299999999999</c:v>
                </c:pt>
                <c:pt idx="45">
                  <c:v>3.4334500000000001</c:v>
                </c:pt>
                <c:pt idx="46">
                  <c:v>3.4412900000000004</c:v>
                </c:pt>
                <c:pt idx="47">
                  <c:v>3.4488400000000001</c:v>
                </c:pt>
                <c:pt idx="48">
                  <c:v>3.4578500000000001</c:v>
                </c:pt>
                <c:pt idx="49">
                  <c:v>3.4660600000000001</c:v>
                </c:pt>
                <c:pt idx="50">
                  <c:v>3.4719299999999995</c:v>
                </c:pt>
                <c:pt idx="51">
                  <c:v>3.4758099999999996</c:v>
                </c:pt>
                <c:pt idx="52">
                  <c:v>3.4777200000000001</c:v>
                </c:pt>
                <c:pt idx="53">
                  <c:v>3.4752999999999998</c:v>
                </c:pt>
                <c:pt idx="54">
                  <c:v>3.4740799999999998</c:v>
                </c:pt>
                <c:pt idx="55">
                  <c:v>3.4771299999999998</c:v>
                </c:pt>
                <c:pt idx="56">
                  <c:v>3.4828100000000002</c:v>
                </c:pt>
                <c:pt idx="57">
                  <c:v>3.4864299999999999</c:v>
                </c:pt>
                <c:pt idx="58">
                  <c:v>3.48813</c:v>
                </c:pt>
                <c:pt idx="59">
                  <c:v>3.4896500000000001</c:v>
                </c:pt>
                <c:pt idx="60">
                  <c:v>3.4894699999999998</c:v>
                </c:pt>
                <c:pt idx="61">
                  <c:v>3.4855900000000002</c:v>
                </c:pt>
                <c:pt idx="62">
                  <c:v>3.4778500000000001</c:v>
                </c:pt>
                <c:pt idx="63">
                  <c:v>3.4697</c:v>
                </c:pt>
                <c:pt idx="64">
                  <c:v>3.4584999999999999</c:v>
                </c:pt>
                <c:pt idx="65">
                  <c:v>3.4505599999999998</c:v>
                </c:pt>
                <c:pt idx="66">
                  <c:v>3.4457599999999999</c:v>
                </c:pt>
                <c:pt idx="67">
                  <c:v>3.4340999999999999</c:v>
                </c:pt>
                <c:pt idx="68">
                  <c:v>3.4332000000000003</c:v>
                </c:pt>
                <c:pt idx="69">
                  <c:v>3.4332500000000001</c:v>
                </c:pt>
                <c:pt idx="70">
                  <c:v>3.4329199999999997</c:v>
                </c:pt>
                <c:pt idx="71">
                  <c:v>3.4431099999999999</c:v>
                </c:pt>
                <c:pt idx="72">
                  <c:v>3.4567199999999998</c:v>
                </c:pt>
                <c:pt idx="73">
                  <c:v>3.4590399999999999</c:v>
                </c:pt>
                <c:pt idx="74">
                  <c:v>3.4271400000000001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14.945824999999999</c:v>
                </c:pt>
                <c:pt idx="1">
                  <c:v>44.837474999999998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3.1207463513513507</c:v>
                </c:pt>
                <c:pt idx="1">
                  <c:v>3.3337175675675681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0.40765200000000001</c:v>
                </c:pt>
                <c:pt idx="2">
                  <c:v>0.81792200000000004</c:v>
                </c:pt>
                <c:pt idx="3">
                  <c:v>1.2258899999999999</c:v>
                </c:pt>
                <c:pt idx="4">
                  <c:v>1.6267100000000001</c:v>
                </c:pt>
                <c:pt idx="5">
                  <c:v>2.03159</c:v>
                </c:pt>
                <c:pt idx="6">
                  <c:v>2.43547</c:v>
                </c:pt>
                <c:pt idx="7">
                  <c:v>2.8464100000000001</c:v>
                </c:pt>
                <c:pt idx="8">
                  <c:v>3.2492000000000001</c:v>
                </c:pt>
                <c:pt idx="9">
                  <c:v>3.65828</c:v>
                </c:pt>
                <c:pt idx="10">
                  <c:v>4.0650899999999996</c:v>
                </c:pt>
                <c:pt idx="11">
                  <c:v>4.4734100000000003</c:v>
                </c:pt>
                <c:pt idx="12">
                  <c:v>4.8769900000000002</c:v>
                </c:pt>
                <c:pt idx="13">
                  <c:v>5.2829600000000001</c:v>
                </c:pt>
                <c:pt idx="14">
                  <c:v>5.6910600000000002</c:v>
                </c:pt>
                <c:pt idx="15">
                  <c:v>6.0956900000000003</c:v>
                </c:pt>
                <c:pt idx="16">
                  <c:v>6.4996900000000002</c:v>
                </c:pt>
                <c:pt idx="17">
                  <c:v>6.9067600000000002</c:v>
                </c:pt>
                <c:pt idx="18">
                  <c:v>7.3164400000000001</c:v>
                </c:pt>
                <c:pt idx="19">
                  <c:v>7.7184799999999996</c:v>
                </c:pt>
                <c:pt idx="20">
                  <c:v>8.1282800000000002</c:v>
                </c:pt>
                <c:pt idx="21">
                  <c:v>8.5312300000000008</c:v>
                </c:pt>
                <c:pt idx="22">
                  <c:v>8.9411400000000008</c:v>
                </c:pt>
                <c:pt idx="23">
                  <c:v>9.3449899999999992</c:v>
                </c:pt>
                <c:pt idx="24">
                  <c:v>9.7524999999999995</c:v>
                </c:pt>
                <c:pt idx="25">
                  <c:v>10.157299999999999</c:v>
                </c:pt>
                <c:pt idx="26">
                  <c:v>10.562799999999999</c:v>
                </c:pt>
                <c:pt idx="27">
                  <c:v>10.9756</c:v>
                </c:pt>
                <c:pt idx="28">
                  <c:v>11.378500000000001</c:v>
                </c:pt>
                <c:pt idx="29">
                  <c:v>11.7822</c:v>
                </c:pt>
                <c:pt idx="30">
                  <c:v>12.189399999999999</c:v>
                </c:pt>
                <c:pt idx="31">
                  <c:v>12.5976</c:v>
                </c:pt>
                <c:pt idx="32">
                  <c:v>13.0022</c:v>
                </c:pt>
                <c:pt idx="33">
                  <c:v>13.407500000000001</c:v>
                </c:pt>
                <c:pt idx="34">
                  <c:v>13.8132</c:v>
                </c:pt>
                <c:pt idx="35">
                  <c:v>14.222</c:v>
                </c:pt>
                <c:pt idx="36">
                  <c:v>14.629899999999999</c:v>
                </c:pt>
                <c:pt idx="37">
                  <c:v>15.0328</c:v>
                </c:pt>
                <c:pt idx="38">
                  <c:v>15.4358</c:v>
                </c:pt>
                <c:pt idx="39">
                  <c:v>15.8436</c:v>
                </c:pt>
                <c:pt idx="40">
                  <c:v>16.252500000000001</c:v>
                </c:pt>
                <c:pt idx="41">
                  <c:v>16.659600000000001</c:v>
                </c:pt>
                <c:pt idx="42">
                  <c:v>17.0654</c:v>
                </c:pt>
                <c:pt idx="43">
                  <c:v>17.4712</c:v>
                </c:pt>
                <c:pt idx="44">
                  <c:v>17.877600000000001</c:v>
                </c:pt>
                <c:pt idx="45">
                  <c:v>18.277999999999999</c:v>
                </c:pt>
                <c:pt idx="46">
                  <c:v>18.691099999999999</c:v>
                </c:pt>
                <c:pt idx="47">
                  <c:v>19.097899999999999</c:v>
                </c:pt>
                <c:pt idx="48">
                  <c:v>19.5029</c:v>
                </c:pt>
                <c:pt idx="49">
                  <c:v>19.907800000000002</c:v>
                </c:pt>
                <c:pt idx="50">
                  <c:v>20.314699999999998</c:v>
                </c:pt>
                <c:pt idx="51">
                  <c:v>20.718499999999999</c:v>
                </c:pt>
                <c:pt idx="52">
                  <c:v>21.128399999999999</c:v>
                </c:pt>
                <c:pt idx="53">
                  <c:v>21.5365</c:v>
                </c:pt>
                <c:pt idx="54">
                  <c:v>21.939299999999999</c:v>
                </c:pt>
                <c:pt idx="55">
                  <c:v>22.3462</c:v>
                </c:pt>
                <c:pt idx="56">
                  <c:v>22.7501</c:v>
                </c:pt>
                <c:pt idx="57">
                  <c:v>23.159099999999999</c:v>
                </c:pt>
                <c:pt idx="58">
                  <c:v>23.568000000000001</c:v>
                </c:pt>
                <c:pt idx="59">
                  <c:v>23.972799999999999</c:v>
                </c:pt>
                <c:pt idx="60">
                  <c:v>24.376000000000001</c:v>
                </c:pt>
                <c:pt idx="61">
                  <c:v>24.779699999999998</c:v>
                </c:pt>
                <c:pt idx="62">
                  <c:v>25.1935</c:v>
                </c:pt>
                <c:pt idx="63">
                  <c:v>25.596499999999999</c:v>
                </c:pt>
                <c:pt idx="64">
                  <c:v>26.003399999999999</c:v>
                </c:pt>
                <c:pt idx="65">
                  <c:v>26.407900000000001</c:v>
                </c:pt>
                <c:pt idx="66">
                  <c:v>26.8123</c:v>
                </c:pt>
                <c:pt idx="67">
                  <c:v>27.220099999999999</c:v>
                </c:pt>
                <c:pt idx="68">
                  <c:v>27.625</c:v>
                </c:pt>
                <c:pt idx="69">
                  <c:v>28.033999999999999</c:v>
                </c:pt>
                <c:pt idx="70">
                  <c:v>28.441299999999998</c:v>
                </c:pt>
                <c:pt idx="71">
                  <c:v>28.852900000000002</c:v>
                </c:pt>
                <c:pt idx="72">
                  <c:v>29.257200000000001</c:v>
                </c:pt>
                <c:pt idx="73">
                  <c:v>29.662600000000001</c:v>
                </c:pt>
                <c:pt idx="74">
                  <c:v>30.063500000000001</c:v>
                </c:pt>
                <c:pt idx="75">
                  <c:v>30.658999999999999</c:v>
                </c:pt>
                <c:pt idx="76">
                  <c:v>31.036000000000001</c:v>
                </c:pt>
                <c:pt idx="77">
                  <c:v>31.405999999999999</c:v>
                </c:pt>
                <c:pt idx="78">
                  <c:v>31.783200000000001</c:v>
                </c:pt>
                <c:pt idx="79">
                  <c:v>32.158999999999999</c:v>
                </c:pt>
                <c:pt idx="80">
                  <c:v>32.566000000000003</c:v>
                </c:pt>
                <c:pt idx="81">
                  <c:v>32.971699999999998</c:v>
                </c:pt>
                <c:pt idx="82">
                  <c:v>33.375799999999998</c:v>
                </c:pt>
                <c:pt idx="83">
                  <c:v>33.7819</c:v>
                </c:pt>
                <c:pt idx="84">
                  <c:v>34.1935</c:v>
                </c:pt>
                <c:pt idx="85">
                  <c:v>34.597700000000003</c:v>
                </c:pt>
                <c:pt idx="86">
                  <c:v>35.002400000000002</c:v>
                </c:pt>
                <c:pt idx="87">
                  <c:v>35.409300000000002</c:v>
                </c:pt>
                <c:pt idx="88">
                  <c:v>35.812399999999997</c:v>
                </c:pt>
                <c:pt idx="89">
                  <c:v>36.222099999999998</c:v>
                </c:pt>
                <c:pt idx="90">
                  <c:v>36.628100000000003</c:v>
                </c:pt>
                <c:pt idx="91">
                  <c:v>37.033900000000003</c:v>
                </c:pt>
                <c:pt idx="92">
                  <c:v>37.438000000000002</c:v>
                </c:pt>
                <c:pt idx="93">
                  <c:v>37.844900000000003</c:v>
                </c:pt>
                <c:pt idx="94">
                  <c:v>38.250700000000002</c:v>
                </c:pt>
                <c:pt idx="95">
                  <c:v>38.660600000000002</c:v>
                </c:pt>
                <c:pt idx="96">
                  <c:v>39.067599999999999</c:v>
                </c:pt>
                <c:pt idx="97">
                  <c:v>39.4724</c:v>
                </c:pt>
                <c:pt idx="98">
                  <c:v>39.878500000000003</c:v>
                </c:pt>
                <c:pt idx="99">
                  <c:v>40.286200000000001</c:v>
                </c:pt>
                <c:pt idx="100">
                  <c:v>40.6905</c:v>
                </c:pt>
                <c:pt idx="101">
                  <c:v>41.095999999999997</c:v>
                </c:pt>
                <c:pt idx="102">
                  <c:v>41.501899999999999</c:v>
                </c:pt>
                <c:pt idx="103">
                  <c:v>41.908900000000003</c:v>
                </c:pt>
                <c:pt idx="104">
                  <c:v>42.315800000000003</c:v>
                </c:pt>
                <c:pt idx="105">
                  <c:v>42.720700000000001</c:v>
                </c:pt>
                <c:pt idx="106">
                  <c:v>43.1297</c:v>
                </c:pt>
                <c:pt idx="107">
                  <c:v>43.533499999999997</c:v>
                </c:pt>
                <c:pt idx="108">
                  <c:v>43.938499999999998</c:v>
                </c:pt>
                <c:pt idx="109">
                  <c:v>44.342599999999997</c:v>
                </c:pt>
                <c:pt idx="110">
                  <c:v>44.753399999999999</c:v>
                </c:pt>
                <c:pt idx="111">
                  <c:v>45.158299999999997</c:v>
                </c:pt>
                <c:pt idx="112">
                  <c:v>45.564100000000003</c:v>
                </c:pt>
                <c:pt idx="113">
                  <c:v>45.97</c:v>
                </c:pt>
                <c:pt idx="114">
                  <c:v>46.374299999999998</c:v>
                </c:pt>
                <c:pt idx="115">
                  <c:v>46.7789</c:v>
                </c:pt>
                <c:pt idx="116">
                  <c:v>47.186799999999998</c:v>
                </c:pt>
                <c:pt idx="117">
                  <c:v>47.596699999999998</c:v>
                </c:pt>
                <c:pt idx="118">
                  <c:v>48.003599999999999</c:v>
                </c:pt>
                <c:pt idx="119">
                  <c:v>48.415599999999998</c:v>
                </c:pt>
                <c:pt idx="120">
                  <c:v>48.817900000000002</c:v>
                </c:pt>
                <c:pt idx="121">
                  <c:v>49.2226</c:v>
                </c:pt>
                <c:pt idx="122">
                  <c:v>49.629399999999997</c:v>
                </c:pt>
                <c:pt idx="123">
                  <c:v>50.030299999999997</c:v>
                </c:pt>
                <c:pt idx="124">
                  <c:v>50.448300000000003</c:v>
                </c:pt>
                <c:pt idx="125">
                  <c:v>50.845999999999997</c:v>
                </c:pt>
                <c:pt idx="126">
                  <c:v>51.252099999999999</c:v>
                </c:pt>
                <c:pt idx="127">
                  <c:v>51.660800000000002</c:v>
                </c:pt>
                <c:pt idx="128">
                  <c:v>52.064799999999998</c:v>
                </c:pt>
                <c:pt idx="129">
                  <c:v>52.467599999999997</c:v>
                </c:pt>
                <c:pt idx="130">
                  <c:v>52.876600000000003</c:v>
                </c:pt>
                <c:pt idx="131">
                  <c:v>53.283499999999997</c:v>
                </c:pt>
                <c:pt idx="132">
                  <c:v>53.693399999999997</c:v>
                </c:pt>
                <c:pt idx="133">
                  <c:v>54.0974</c:v>
                </c:pt>
                <c:pt idx="134">
                  <c:v>54.501600000000003</c:v>
                </c:pt>
                <c:pt idx="135">
                  <c:v>54.908299999999997</c:v>
                </c:pt>
                <c:pt idx="136">
                  <c:v>55.316000000000003</c:v>
                </c:pt>
                <c:pt idx="137">
                  <c:v>55.721899999999998</c:v>
                </c:pt>
                <c:pt idx="138">
                  <c:v>56.124299999999998</c:v>
                </c:pt>
                <c:pt idx="139">
                  <c:v>56.532899999999998</c:v>
                </c:pt>
                <c:pt idx="140">
                  <c:v>56.938800000000001</c:v>
                </c:pt>
                <c:pt idx="141">
                  <c:v>57.3446</c:v>
                </c:pt>
                <c:pt idx="142">
                  <c:v>57.749899999999997</c:v>
                </c:pt>
                <c:pt idx="143">
                  <c:v>58.159399999999998</c:v>
                </c:pt>
                <c:pt idx="144">
                  <c:v>58.567399999999999</c:v>
                </c:pt>
                <c:pt idx="145">
                  <c:v>58.970199999999998</c:v>
                </c:pt>
                <c:pt idx="146">
                  <c:v>59.377299999999998</c:v>
                </c:pt>
                <c:pt idx="147">
                  <c:v>59.783299999999997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49.513800000000003</c:v>
                </c:pt>
                <c:pt idx="1">
                  <c:v>48.295200000000001</c:v>
                </c:pt>
                <c:pt idx="2">
                  <c:v>46.943300000000001</c:v>
                </c:pt>
                <c:pt idx="3">
                  <c:v>45.671499999999995</c:v>
                </c:pt>
                <c:pt idx="4">
                  <c:v>44.439099999999996</c:v>
                </c:pt>
                <c:pt idx="5">
                  <c:v>43.232799999999997</c:v>
                </c:pt>
                <c:pt idx="6">
                  <c:v>42.0625</c:v>
                </c:pt>
                <c:pt idx="7">
                  <c:v>40.860999999999997</c:v>
                </c:pt>
                <c:pt idx="8">
                  <c:v>39.742400000000004</c:v>
                </c:pt>
                <c:pt idx="9">
                  <c:v>38.632899999999999</c:v>
                </c:pt>
                <c:pt idx="10">
                  <c:v>37.490600000000001</c:v>
                </c:pt>
                <c:pt idx="11">
                  <c:v>36.3399</c:v>
                </c:pt>
                <c:pt idx="12">
                  <c:v>35.410899999999998</c:v>
                </c:pt>
                <c:pt idx="13">
                  <c:v>34.639900000000004</c:v>
                </c:pt>
                <c:pt idx="14">
                  <c:v>34.051900000000003</c:v>
                </c:pt>
                <c:pt idx="15">
                  <c:v>33.4923</c:v>
                </c:pt>
                <c:pt idx="16">
                  <c:v>32.994800000000005</c:v>
                </c:pt>
                <c:pt idx="17">
                  <c:v>32.442900000000002</c:v>
                </c:pt>
                <c:pt idx="18">
                  <c:v>31.760699999999996</c:v>
                </c:pt>
                <c:pt idx="19">
                  <c:v>31.154300000000003</c:v>
                </c:pt>
                <c:pt idx="20">
                  <c:v>30.531799999999997</c:v>
                </c:pt>
                <c:pt idx="21">
                  <c:v>29.902299999999997</c:v>
                </c:pt>
                <c:pt idx="22">
                  <c:v>29.242600000000003</c:v>
                </c:pt>
                <c:pt idx="23">
                  <c:v>28.607500000000002</c:v>
                </c:pt>
                <c:pt idx="24">
                  <c:v>28.0989</c:v>
                </c:pt>
                <c:pt idx="25">
                  <c:v>27.668300000000002</c:v>
                </c:pt>
                <c:pt idx="26">
                  <c:v>27.2484</c:v>
                </c:pt>
                <c:pt idx="27">
                  <c:v>26.917400000000001</c:v>
                </c:pt>
                <c:pt idx="28">
                  <c:v>26.635599999999997</c:v>
                </c:pt>
                <c:pt idx="29">
                  <c:v>26.365499999999997</c:v>
                </c:pt>
                <c:pt idx="30">
                  <c:v>26.174399999999999</c:v>
                </c:pt>
                <c:pt idx="31">
                  <c:v>25.9785</c:v>
                </c:pt>
                <c:pt idx="32">
                  <c:v>25.946200000000001</c:v>
                </c:pt>
                <c:pt idx="33">
                  <c:v>26.001000000000001</c:v>
                </c:pt>
                <c:pt idx="34">
                  <c:v>26.081500000000002</c:v>
                </c:pt>
                <c:pt idx="35">
                  <c:v>26.257399999999997</c:v>
                </c:pt>
                <c:pt idx="36">
                  <c:v>26.552199999999999</c:v>
                </c:pt>
                <c:pt idx="37">
                  <c:v>26.828299999999999</c:v>
                </c:pt>
                <c:pt idx="38">
                  <c:v>27.117200000000004</c:v>
                </c:pt>
                <c:pt idx="39">
                  <c:v>27.325399999999998</c:v>
                </c:pt>
                <c:pt idx="40">
                  <c:v>27.533800000000003</c:v>
                </c:pt>
                <c:pt idx="41">
                  <c:v>27.709299999999999</c:v>
                </c:pt>
                <c:pt idx="42">
                  <c:v>27.877800000000004</c:v>
                </c:pt>
                <c:pt idx="43">
                  <c:v>28.148499999999999</c:v>
                </c:pt>
                <c:pt idx="44">
                  <c:v>28.384500000000003</c:v>
                </c:pt>
                <c:pt idx="45">
                  <c:v>28.655900000000003</c:v>
                </c:pt>
                <c:pt idx="46">
                  <c:v>28.910599999999999</c:v>
                </c:pt>
                <c:pt idx="47">
                  <c:v>29.214200000000002</c:v>
                </c:pt>
                <c:pt idx="48">
                  <c:v>29.608800000000002</c:v>
                </c:pt>
                <c:pt idx="49">
                  <c:v>29.984899999999996</c:v>
                </c:pt>
                <c:pt idx="50">
                  <c:v>30.236699999999999</c:v>
                </c:pt>
                <c:pt idx="51">
                  <c:v>30.5533</c:v>
                </c:pt>
                <c:pt idx="52">
                  <c:v>30.853899999999999</c:v>
                </c:pt>
                <c:pt idx="53">
                  <c:v>31.1</c:v>
                </c:pt>
                <c:pt idx="54">
                  <c:v>31.246600000000001</c:v>
                </c:pt>
                <c:pt idx="55">
                  <c:v>31.326999999999998</c:v>
                </c:pt>
                <c:pt idx="56">
                  <c:v>31.497299999999999</c:v>
                </c:pt>
                <c:pt idx="57">
                  <c:v>31.639899999999997</c:v>
                </c:pt>
                <c:pt idx="58">
                  <c:v>31.752000000000002</c:v>
                </c:pt>
                <c:pt idx="59">
                  <c:v>31.881599999999999</c:v>
                </c:pt>
                <c:pt idx="60">
                  <c:v>32.050600000000003</c:v>
                </c:pt>
                <c:pt idx="61">
                  <c:v>32.2288</c:v>
                </c:pt>
                <c:pt idx="62">
                  <c:v>32.379000000000005</c:v>
                </c:pt>
                <c:pt idx="63">
                  <c:v>32.513599999999997</c:v>
                </c:pt>
                <c:pt idx="64">
                  <c:v>32.688499999999998</c:v>
                </c:pt>
                <c:pt idx="65">
                  <c:v>32.908000000000001</c:v>
                </c:pt>
                <c:pt idx="66">
                  <c:v>33.177199999999999</c:v>
                </c:pt>
                <c:pt idx="67">
                  <c:v>33.528300000000002</c:v>
                </c:pt>
                <c:pt idx="68">
                  <c:v>33.8947</c:v>
                </c:pt>
                <c:pt idx="69">
                  <c:v>34.231899999999996</c:v>
                </c:pt>
                <c:pt idx="70">
                  <c:v>34.4604</c:v>
                </c:pt>
                <c:pt idx="71">
                  <c:v>34.678100000000001</c:v>
                </c:pt>
                <c:pt idx="72">
                  <c:v>34.926200000000001</c:v>
                </c:pt>
                <c:pt idx="73">
                  <c:v>35.113199999999999</c:v>
                </c:pt>
                <c:pt idx="74">
                  <c:v>35.32</c:v>
                </c:pt>
                <c:pt idx="75">
                  <c:v>35.695799999999998</c:v>
                </c:pt>
                <c:pt idx="76">
                  <c:v>35.875399999999999</c:v>
                </c:pt>
                <c:pt idx="77">
                  <c:v>36.016399999999997</c:v>
                </c:pt>
                <c:pt idx="78">
                  <c:v>36.255700000000004</c:v>
                </c:pt>
                <c:pt idx="79">
                  <c:v>36.530699999999996</c:v>
                </c:pt>
                <c:pt idx="80">
                  <c:v>36.757300000000001</c:v>
                </c:pt>
                <c:pt idx="81">
                  <c:v>36.926700000000004</c:v>
                </c:pt>
                <c:pt idx="82">
                  <c:v>37.1023</c:v>
                </c:pt>
                <c:pt idx="83">
                  <c:v>37.2774</c:v>
                </c:pt>
                <c:pt idx="84">
                  <c:v>37.382300000000001</c:v>
                </c:pt>
                <c:pt idx="85">
                  <c:v>37.360900000000001</c:v>
                </c:pt>
                <c:pt idx="86">
                  <c:v>37.303799999999995</c:v>
                </c:pt>
                <c:pt idx="87">
                  <c:v>37.328499999999998</c:v>
                </c:pt>
                <c:pt idx="88">
                  <c:v>37.345399999999998</c:v>
                </c:pt>
                <c:pt idx="89">
                  <c:v>37.368000000000002</c:v>
                </c:pt>
                <c:pt idx="90">
                  <c:v>37.343199999999996</c:v>
                </c:pt>
                <c:pt idx="91">
                  <c:v>37.294400000000003</c:v>
                </c:pt>
                <c:pt idx="92">
                  <c:v>37.190400000000004</c:v>
                </c:pt>
                <c:pt idx="93">
                  <c:v>37.078299999999999</c:v>
                </c:pt>
                <c:pt idx="94">
                  <c:v>37.008699999999997</c:v>
                </c:pt>
                <c:pt idx="95">
                  <c:v>36.987400000000001</c:v>
                </c:pt>
                <c:pt idx="96">
                  <c:v>36.960999999999999</c:v>
                </c:pt>
                <c:pt idx="97">
                  <c:v>36.8399</c:v>
                </c:pt>
                <c:pt idx="98">
                  <c:v>36.685099999999998</c:v>
                </c:pt>
                <c:pt idx="99">
                  <c:v>36.494700000000002</c:v>
                </c:pt>
                <c:pt idx="100">
                  <c:v>36.204599999999999</c:v>
                </c:pt>
                <c:pt idx="101">
                  <c:v>35.912300000000002</c:v>
                </c:pt>
                <c:pt idx="102">
                  <c:v>35.7483</c:v>
                </c:pt>
                <c:pt idx="103">
                  <c:v>35.671799999999998</c:v>
                </c:pt>
                <c:pt idx="104">
                  <c:v>35.5991</c:v>
                </c:pt>
                <c:pt idx="105">
                  <c:v>35.421599999999998</c:v>
                </c:pt>
                <c:pt idx="106">
                  <c:v>35.235300000000002</c:v>
                </c:pt>
                <c:pt idx="107">
                  <c:v>34.993699999999997</c:v>
                </c:pt>
                <c:pt idx="108">
                  <c:v>34.7136</c:v>
                </c:pt>
                <c:pt idx="109">
                  <c:v>34.377299999999998</c:v>
                </c:pt>
                <c:pt idx="110">
                  <c:v>34.025399999999998</c:v>
                </c:pt>
                <c:pt idx="111">
                  <c:v>33.788899999999998</c:v>
                </c:pt>
                <c:pt idx="112">
                  <c:v>33.5244</c:v>
                </c:pt>
                <c:pt idx="113">
                  <c:v>33.275399999999998</c:v>
                </c:pt>
                <c:pt idx="114">
                  <c:v>33.103900000000003</c:v>
                </c:pt>
                <c:pt idx="115">
                  <c:v>32.886200000000002</c:v>
                </c:pt>
                <c:pt idx="116">
                  <c:v>32.703700000000005</c:v>
                </c:pt>
                <c:pt idx="117">
                  <c:v>32.595200000000006</c:v>
                </c:pt>
                <c:pt idx="118">
                  <c:v>32.482599999999998</c:v>
                </c:pt>
                <c:pt idx="119">
                  <c:v>32.394099999999995</c:v>
                </c:pt>
                <c:pt idx="120">
                  <c:v>32.321399999999997</c:v>
                </c:pt>
                <c:pt idx="121">
                  <c:v>32.0901</c:v>
                </c:pt>
                <c:pt idx="122">
                  <c:v>31.835699999999999</c:v>
                </c:pt>
                <c:pt idx="123">
                  <c:v>31.703199999999999</c:v>
                </c:pt>
                <c:pt idx="124">
                  <c:v>31.620100000000001</c:v>
                </c:pt>
                <c:pt idx="125">
                  <c:v>31.563400000000001</c:v>
                </c:pt>
                <c:pt idx="126">
                  <c:v>31.543500000000002</c:v>
                </c:pt>
                <c:pt idx="127">
                  <c:v>31.441700000000001</c:v>
                </c:pt>
                <c:pt idx="128">
                  <c:v>31.242900000000002</c:v>
                </c:pt>
                <c:pt idx="129">
                  <c:v>31.060300000000002</c:v>
                </c:pt>
                <c:pt idx="130">
                  <c:v>30.948999999999998</c:v>
                </c:pt>
                <c:pt idx="131">
                  <c:v>30.8568</c:v>
                </c:pt>
                <c:pt idx="132">
                  <c:v>30.786400000000004</c:v>
                </c:pt>
                <c:pt idx="133">
                  <c:v>30.764200000000002</c:v>
                </c:pt>
                <c:pt idx="134">
                  <c:v>30.8215</c:v>
                </c:pt>
                <c:pt idx="135">
                  <c:v>30.971500000000002</c:v>
                </c:pt>
                <c:pt idx="136">
                  <c:v>30.9573</c:v>
                </c:pt>
                <c:pt idx="137">
                  <c:v>30.9819</c:v>
                </c:pt>
                <c:pt idx="138">
                  <c:v>30.999399999999998</c:v>
                </c:pt>
                <c:pt idx="139">
                  <c:v>30.856499999999997</c:v>
                </c:pt>
                <c:pt idx="140">
                  <c:v>30.891300000000001</c:v>
                </c:pt>
                <c:pt idx="141">
                  <c:v>30.830600000000004</c:v>
                </c:pt>
                <c:pt idx="142">
                  <c:v>30.580500000000001</c:v>
                </c:pt>
                <c:pt idx="143">
                  <c:v>30.293599999999998</c:v>
                </c:pt>
                <c:pt idx="144">
                  <c:v>29.770299999999999</c:v>
                </c:pt>
                <c:pt idx="145">
                  <c:v>28.899599999999996</c:v>
                </c:pt>
                <c:pt idx="146">
                  <c:v>28.383599999999998</c:v>
                </c:pt>
                <c:pt idx="147">
                  <c:v>29.121000000000002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0.40765200000000001</c:v>
                </c:pt>
                <c:pt idx="2">
                  <c:v>0.81792200000000004</c:v>
                </c:pt>
                <c:pt idx="3">
                  <c:v>1.2258899999999999</c:v>
                </c:pt>
                <c:pt idx="4">
                  <c:v>1.6267100000000001</c:v>
                </c:pt>
                <c:pt idx="5">
                  <c:v>2.03159</c:v>
                </c:pt>
                <c:pt idx="6">
                  <c:v>2.43547</c:v>
                </c:pt>
                <c:pt idx="7">
                  <c:v>2.8464100000000001</c:v>
                </c:pt>
                <c:pt idx="8">
                  <c:v>3.2492000000000001</c:v>
                </c:pt>
                <c:pt idx="9">
                  <c:v>3.65828</c:v>
                </c:pt>
                <c:pt idx="10">
                  <c:v>4.0650899999999996</c:v>
                </c:pt>
                <c:pt idx="11">
                  <c:v>4.4734100000000003</c:v>
                </c:pt>
                <c:pt idx="12">
                  <c:v>4.8769900000000002</c:v>
                </c:pt>
                <c:pt idx="13">
                  <c:v>5.2829600000000001</c:v>
                </c:pt>
                <c:pt idx="14">
                  <c:v>5.6910600000000002</c:v>
                </c:pt>
                <c:pt idx="15">
                  <c:v>6.0956900000000003</c:v>
                </c:pt>
                <c:pt idx="16">
                  <c:v>6.4996900000000002</c:v>
                </c:pt>
                <c:pt idx="17">
                  <c:v>6.9067600000000002</c:v>
                </c:pt>
                <c:pt idx="18">
                  <c:v>7.3164400000000001</c:v>
                </c:pt>
                <c:pt idx="19">
                  <c:v>7.7184799999999996</c:v>
                </c:pt>
                <c:pt idx="20">
                  <c:v>8.1282800000000002</c:v>
                </c:pt>
                <c:pt idx="21">
                  <c:v>8.5312300000000008</c:v>
                </c:pt>
                <c:pt idx="22">
                  <c:v>8.9411400000000008</c:v>
                </c:pt>
                <c:pt idx="23">
                  <c:v>9.3449899999999992</c:v>
                </c:pt>
                <c:pt idx="24">
                  <c:v>9.7524999999999995</c:v>
                </c:pt>
                <c:pt idx="25">
                  <c:v>10.157299999999999</c:v>
                </c:pt>
                <c:pt idx="26">
                  <c:v>10.562799999999999</c:v>
                </c:pt>
                <c:pt idx="27">
                  <c:v>10.9756</c:v>
                </c:pt>
                <c:pt idx="28">
                  <c:v>11.378500000000001</c:v>
                </c:pt>
                <c:pt idx="29">
                  <c:v>11.7822</c:v>
                </c:pt>
                <c:pt idx="30">
                  <c:v>12.189399999999999</c:v>
                </c:pt>
                <c:pt idx="31">
                  <c:v>12.5976</c:v>
                </c:pt>
                <c:pt idx="32">
                  <c:v>13.0022</c:v>
                </c:pt>
                <c:pt idx="33">
                  <c:v>13.407500000000001</c:v>
                </c:pt>
                <c:pt idx="34">
                  <c:v>13.8132</c:v>
                </c:pt>
                <c:pt idx="35">
                  <c:v>14.222</c:v>
                </c:pt>
                <c:pt idx="36">
                  <c:v>14.629899999999999</c:v>
                </c:pt>
                <c:pt idx="37">
                  <c:v>15.0328</c:v>
                </c:pt>
                <c:pt idx="38">
                  <c:v>15.4358</c:v>
                </c:pt>
                <c:pt idx="39">
                  <c:v>15.8436</c:v>
                </c:pt>
                <c:pt idx="40">
                  <c:v>16.252500000000001</c:v>
                </c:pt>
                <c:pt idx="41">
                  <c:v>16.659600000000001</c:v>
                </c:pt>
                <c:pt idx="42">
                  <c:v>17.0654</c:v>
                </c:pt>
                <c:pt idx="43">
                  <c:v>17.4712</c:v>
                </c:pt>
                <c:pt idx="44">
                  <c:v>17.877600000000001</c:v>
                </c:pt>
                <c:pt idx="45">
                  <c:v>18.277999999999999</c:v>
                </c:pt>
                <c:pt idx="46">
                  <c:v>18.691099999999999</c:v>
                </c:pt>
                <c:pt idx="47">
                  <c:v>19.097899999999999</c:v>
                </c:pt>
                <c:pt idx="48">
                  <c:v>19.5029</c:v>
                </c:pt>
                <c:pt idx="49">
                  <c:v>19.907800000000002</c:v>
                </c:pt>
                <c:pt idx="50">
                  <c:v>20.314699999999998</c:v>
                </c:pt>
                <c:pt idx="51">
                  <c:v>20.718499999999999</c:v>
                </c:pt>
                <c:pt idx="52">
                  <c:v>21.128399999999999</c:v>
                </c:pt>
                <c:pt idx="53">
                  <c:v>21.5365</c:v>
                </c:pt>
                <c:pt idx="54">
                  <c:v>21.939299999999999</c:v>
                </c:pt>
                <c:pt idx="55">
                  <c:v>22.3462</c:v>
                </c:pt>
                <c:pt idx="56">
                  <c:v>22.7501</c:v>
                </c:pt>
                <c:pt idx="57">
                  <c:v>23.159099999999999</c:v>
                </c:pt>
                <c:pt idx="58">
                  <c:v>23.568000000000001</c:v>
                </c:pt>
                <c:pt idx="59">
                  <c:v>23.972799999999999</c:v>
                </c:pt>
                <c:pt idx="60">
                  <c:v>24.376000000000001</c:v>
                </c:pt>
                <c:pt idx="61">
                  <c:v>24.779699999999998</c:v>
                </c:pt>
                <c:pt idx="62">
                  <c:v>25.1935</c:v>
                </c:pt>
                <c:pt idx="63">
                  <c:v>25.596499999999999</c:v>
                </c:pt>
                <c:pt idx="64">
                  <c:v>26.003399999999999</c:v>
                </c:pt>
                <c:pt idx="65">
                  <c:v>26.407900000000001</c:v>
                </c:pt>
                <c:pt idx="66">
                  <c:v>26.8123</c:v>
                </c:pt>
                <c:pt idx="67">
                  <c:v>27.220099999999999</c:v>
                </c:pt>
                <c:pt idx="68">
                  <c:v>27.625</c:v>
                </c:pt>
                <c:pt idx="69">
                  <c:v>28.033999999999999</c:v>
                </c:pt>
                <c:pt idx="70">
                  <c:v>28.441299999999998</c:v>
                </c:pt>
                <c:pt idx="71">
                  <c:v>28.852900000000002</c:v>
                </c:pt>
                <c:pt idx="72">
                  <c:v>29.257200000000001</c:v>
                </c:pt>
                <c:pt idx="73">
                  <c:v>29.662600000000001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49.513800000000003</c:v>
                </c:pt>
                <c:pt idx="1">
                  <c:v>48.295200000000001</c:v>
                </c:pt>
                <c:pt idx="2">
                  <c:v>46.943300000000001</c:v>
                </c:pt>
                <c:pt idx="3">
                  <c:v>45.671499999999995</c:v>
                </c:pt>
                <c:pt idx="4">
                  <c:v>44.439099999999996</c:v>
                </c:pt>
                <c:pt idx="5">
                  <c:v>43.232799999999997</c:v>
                </c:pt>
                <c:pt idx="6">
                  <c:v>42.0625</c:v>
                </c:pt>
                <c:pt idx="7">
                  <c:v>40.860999999999997</c:v>
                </c:pt>
                <c:pt idx="8">
                  <c:v>39.742400000000004</c:v>
                </c:pt>
                <c:pt idx="9">
                  <c:v>38.632899999999999</c:v>
                </c:pt>
                <c:pt idx="10">
                  <c:v>37.490600000000001</c:v>
                </c:pt>
                <c:pt idx="11">
                  <c:v>36.3399</c:v>
                </c:pt>
                <c:pt idx="12">
                  <c:v>35.410899999999998</c:v>
                </c:pt>
                <c:pt idx="13">
                  <c:v>34.639900000000004</c:v>
                </c:pt>
                <c:pt idx="14">
                  <c:v>34.051900000000003</c:v>
                </c:pt>
                <c:pt idx="15">
                  <c:v>33.4923</c:v>
                </c:pt>
                <c:pt idx="16">
                  <c:v>32.994800000000005</c:v>
                </c:pt>
                <c:pt idx="17">
                  <c:v>32.442900000000002</c:v>
                </c:pt>
                <c:pt idx="18">
                  <c:v>31.760699999999996</c:v>
                </c:pt>
                <c:pt idx="19">
                  <c:v>31.154300000000003</c:v>
                </c:pt>
                <c:pt idx="20">
                  <c:v>30.531799999999997</c:v>
                </c:pt>
                <c:pt idx="21">
                  <c:v>29.902299999999997</c:v>
                </c:pt>
                <c:pt idx="22">
                  <c:v>29.242600000000003</c:v>
                </c:pt>
                <c:pt idx="23">
                  <c:v>28.607500000000002</c:v>
                </c:pt>
                <c:pt idx="24">
                  <c:v>28.0989</c:v>
                </c:pt>
                <c:pt idx="25">
                  <c:v>27.668300000000002</c:v>
                </c:pt>
                <c:pt idx="26">
                  <c:v>27.2484</c:v>
                </c:pt>
                <c:pt idx="27">
                  <c:v>26.917400000000001</c:v>
                </c:pt>
                <c:pt idx="28">
                  <c:v>26.635599999999997</c:v>
                </c:pt>
                <c:pt idx="29">
                  <c:v>26.365499999999997</c:v>
                </c:pt>
                <c:pt idx="30">
                  <c:v>26.174399999999999</c:v>
                </c:pt>
                <c:pt idx="31">
                  <c:v>25.9785</c:v>
                </c:pt>
                <c:pt idx="32">
                  <c:v>25.946200000000001</c:v>
                </c:pt>
                <c:pt idx="33">
                  <c:v>26.001000000000001</c:v>
                </c:pt>
                <c:pt idx="34">
                  <c:v>26.081500000000002</c:v>
                </c:pt>
                <c:pt idx="35">
                  <c:v>26.257399999999997</c:v>
                </c:pt>
                <c:pt idx="36">
                  <c:v>26.552199999999999</c:v>
                </c:pt>
                <c:pt idx="37">
                  <c:v>26.828299999999999</c:v>
                </c:pt>
                <c:pt idx="38">
                  <c:v>27.117200000000004</c:v>
                </c:pt>
                <c:pt idx="39">
                  <c:v>27.325399999999998</c:v>
                </c:pt>
                <c:pt idx="40">
                  <c:v>27.533800000000003</c:v>
                </c:pt>
                <c:pt idx="41">
                  <c:v>27.709299999999999</c:v>
                </c:pt>
                <c:pt idx="42">
                  <c:v>27.877800000000004</c:v>
                </c:pt>
                <c:pt idx="43">
                  <c:v>28.148499999999999</c:v>
                </c:pt>
                <c:pt idx="44">
                  <c:v>28.384500000000003</c:v>
                </c:pt>
                <c:pt idx="45">
                  <c:v>28.655900000000003</c:v>
                </c:pt>
                <c:pt idx="46">
                  <c:v>28.910599999999999</c:v>
                </c:pt>
                <c:pt idx="47">
                  <c:v>29.214200000000002</c:v>
                </c:pt>
                <c:pt idx="48">
                  <c:v>29.608800000000002</c:v>
                </c:pt>
                <c:pt idx="49">
                  <c:v>29.984899999999996</c:v>
                </c:pt>
                <c:pt idx="50">
                  <c:v>30.236699999999999</c:v>
                </c:pt>
                <c:pt idx="51">
                  <c:v>30.5533</c:v>
                </c:pt>
                <c:pt idx="52">
                  <c:v>30.853899999999999</c:v>
                </c:pt>
                <c:pt idx="53">
                  <c:v>31.1</c:v>
                </c:pt>
                <c:pt idx="54">
                  <c:v>31.246600000000001</c:v>
                </c:pt>
                <c:pt idx="55">
                  <c:v>31.326999999999998</c:v>
                </c:pt>
                <c:pt idx="56">
                  <c:v>31.497299999999999</c:v>
                </c:pt>
                <c:pt idx="57">
                  <c:v>31.639899999999997</c:v>
                </c:pt>
                <c:pt idx="58">
                  <c:v>31.752000000000002</c:v>
                </c:pt>
                <c:pt idx="59">
                  <c:v>31.881599999999999</c:v>
                </c:pt>
                <c:pt idx="60">
                  <c:v>32.050600000000003</c:v>
                </c:pt>
                <c:pt idx="61">
                  <c:v>32.2288</c:v>
                </c:pt>
                <c:pt idx="62">
                  <c:v>32.379000000000005</c:v>
                </c:pt>
                <c:pt idx="63">
                  <c:v>32.513599999999997</c:v>
                </c:pt>
                <c:pt idx="64">
                  <c:v>32.688499999999998</c:v>
                </c:pt>
                <c:pt idx="65">
                  <c:v>32.908000000000001</c:v>
                </c:pt>
                <c:pt idx="66">
                  <c:v>33.177199999999999</c:v>
                </c:pt>
                <c:pt idx="67">
                  <c:v>33.528300000000002</c:v>
                </c:pt>
                <c:pt idx="68">
                  <c:v>33.8947</c:v>
                </c:pt>
                <c:pt idx="69">
                  <c:v>34.231899999999996</c:v>
                </c:pt>
                <c:pt idx="70">
                  <c:v>34.4604</c:v>
                </c:pt>
                <c:pt idx="71">
                  <c:v>34.678100000000001</c:v>
                </c:pt>
                <c:pt idx="72">
                  <c:v>34.926200000000001</c:v>
                </c:pt>
                <c:pt idx="73">
                  <c:v>35.113199999999999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29.662600000000001</c:v>
                </c:pt>
                <c:pt idx="1">
                  <c:v>30.063500000000001</c:v>
                </c:pt>
                <c:pt idx="2">
                  <c:v>30.658999999999999</c:v>
                </c:pt>
                <c:pt idx="3">
                  <c:v>31.036000000000001</c:v>
                </c:pt>
                <c:pt idx="4">
                  <c:v>31.405999999999999</c:v>
                </c:pt>
                <c:pt idx="5">
                  <c:v>31.783200000000001</c:v>
                </c:pt>
                <c:pt idx="6">
                  <c:v>32.158999999999999</c:v>
                </c:pt>
                <c:pt idx="7">
                  <c:v>32.566000000000003</c:v>
                </c:pt>
                <c:pt idx="8">
                  <c:v>32.971699999999998</c:v>
                </c:pt>
                <c:pt idx="9">
                  <c:v>33.375799999999998</c:v>
                </c:pt>
                <c:pt idx="10">
                  <c:v>33.7819</c:v>
                </c:pt>
                <c:pt idx="11">
                  <c:v>34.1935</c:v>
                </c:pt>
                <c:pt idx="12">
                  <c:v>34.597700000000003</c:v>
                </c:pt>
                <c:pt idx="13">
                  <c:v>35.002400000000002</c:v>
                </c:pt>
                <c:pt idx="14">
                  <c:v>35.409300000000002</c:v>
                </c:pt>
                <c:pt idx="15">
                  <c:v>35.812399999999997</c:v>
                </c:pt>
                <c:pt idx="16">
                  <c:v>36.222099999999998</c:v>
                </c:pt>
                <c:pt idx="17">
                  <c:v>36.628100000000003</c:v>
                </c:pt>
                <c:pt idx="18">
                  <c:v>37.033900000000003</c:v>
                </c:pt>
                <c:pt idx="19">
                  <c:v>37.438000000000002</c:v>
                </c:pt>
                <c:pt idx="20">
                  <c:v>37.844900000000003</c:v>
                </c:pt>
                <c:pt idx="21">
                  <c:v>38.250700000000002</c:v>
                </c:pt>
                <c:pt idx="22">
                  <c:v>38.660600000000002</c:v>
                </c:pt>
                <c:pt idx="23">
                  <c:v>39.067599999999999</c:v>
                </c:pt>
                <c:pt idx="24">
                  <c:v>39.4724</c:v>
                </c:pt>
                <c:pt idx="25">
                  <c:v>39.878500000000003</c:v>
                </c:pt>
                <c:pt idx="26">
                  <c:v>40.286200000000001</c:v>
                </c:pt>
                <c:pt idx="27">
                  <c:v>40.6905</c:v>
                </c:pt>
                <c:pt idx="28">
                  <c:v>41.095999999999997</c:v>
                </c:pt>
                <c:pt idx="29">
                  <c:v>41.501899999999999</c:v>
                </c:pt>
                <c:pt idx="30">
                  <c:v>41.908900000000003</c:v>
                </c:pt>
                <c:pt idx="31">
                  <c:v>42.315800000000003</c:v>
                </c:pt>
                <c:pt idx="32">
                  <c:v>42.720700000000001</c:v>
                </c:pt>
                <c:pt idx="33">
                  <c:v>43.1297</c:v>
                </c:pt>
                <c:pt idx="34">
                  <c:v>43.533499999999997</c:v>
                </c:pt>
                <c:pt idx="35">
                  <c:v>43.938499999999998</c:v>
                </c:pt>
                <c:pt idx="36">
                  <c:v>44.342599999999997</c:v>
                </c:pt>
                <c:pt idx="37">
                  <c:v>44.753399999999999</c:v>
                </c:pt>
                <c:pt idx="38">
                  <c:v>45.158299999999997</c:v>
                </c:pt>
                <c:pt idx="39">
                  <c:v>45.564100000000003</c:v>
                </c:pt>
                <c:pt idx="40">
                  <c:v>45.97</c:v>
                </c:pt>
                <c:pt idx="41">
                  <c:v>46.374299999999998</c:v>
                </c:pt>
                <c:pt idx="42">
                  <c:v>46.7789</c:v>
                </c:pt>
                <c:pt idx="43">
                  <c:v>47.186799999999998</c:v>
                </c:pt>
                <c:pt idx="44">
                  <c:v>47.596699999999998</c:v>
                </c:pt>
                <c:pt idx="45">
                  <c:v>48.003599999999999</c:v>
                </c:pt>
                <c:pt idx="46">
                  <c:v>48.415599999999998</c:v>
                </c:pt>
                <c:pt idx="47">
                  <c:v>48.817900000000002</c:v>
                </c:pt>
                <c:pt idx="48">
                  <c:v>49.2226</c:v>
                </c:pt>
                <c:pt idx="49">
                  <c:v>49.629399999999997</c:v>
                </c:pt>
                <c:pt idx="50">
                  <c:v>50.030299999999997</c:v>
                </c:pt>
                <c:pt idx="51">
                  <c:v>50.448300000000003</c:v>
                </c:pt>
                <c:pt idx="52">
                  <c:v>50.845999999999997</c:v>
                </c:pt>
                <c:pt idx="53">
                  <c:v>51.252099999999999</c:v>
                </c:pt>
                <c:pt idx="54">
                  <c:v>51.660800000000002</c:v>
                </c:pt>
                <c:pt idx="55">
                  <c:v>52.064799999999998</c:v>
                </c:pt>
                <c:pt idx="56">
                  <c:v>52.467599999999997</c:v>
                </c:pt>
                <c:pt idx="57">
                  <c:v>52.876600000000003</c:v>
                </c:pt>
                <c:pt idx="58">
                  <c:v>53.283499999999997</c:v>
                </c:pt>
                <c:pt idx="59">
                  <c:v>53.693399999999997</c:v>
                </c:pt>
                <c:pt idx="60">
                  <c:v>54.0974</c:v>
                </c:pt>
                <c:pt idx="61">
                  <c:v>54.501600000000003</c:v>
                </c:pt>
                <c:pt idx="62">
                  <c:v>54.908299999999997</c:v>
                </c:pt>
                <c:pt idx="63">
                  <c:v>55.316000000000003</c:v>
                </c:pt>
                <c:pt idx="64">
                  <c:v>55.721899999999998</c:v>
                </c:pt>
                <c:pt idx="65">
                  <c:v>56.124299999999998</c:v>
                </c:pt>
                <c:pt idx="66">
                  <c:v>56.532899999999998</c:v>
                </c:pt>
                <c:pt idx="67">
                  <c:v>56.938800000000001</c:v>
                </c:pt>
                <c:pt idx="68">
                  <c:v>57.3446</c:v>
                </c:pt>
                <c:pt idx="69">
                  <c:v>57.749899999999997</c:v>
                </c:pt>
                <c:pt idx="70">
                  <c:v>58.159399999999998</c:v>
                </c:pt>
                <c:pt idx="71">
                  <c:v>58.567399999999999</c:v>
                </c:pt>
                <c:pt idx="72">
                  <c:v>58.970199999999998</c:v>
                </c:pt>
                <c:pt idx="73">
                  <c:v>59.377299999999998</c:v>
                </c:pt>
                <c:pt idx="74">
                  <c:v>59.783299999999997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35.113199999999999</c:v>
                </c:pt>
                <c:pt idx="1">
                  <c:v>35.32</c:v>
                </c:pt>
                <c:pt idx="2">
                  <c:v>35.695799999999998</c:v>
                </c:pt>
                <c:pt idx="3">
                  <c:v>35.875399999999999</c:v>
                </c:pt>
                <c:pt idx="4">
                  <c:v>36.016399999999997</c:v>
                </c:pt>
                <c:pt idx="5">
                  <c:v>36.255700000000004</c:v>
                </c:pt>
                <c:pt idx="6">
                  <c:v>36.530699999999996</c:v>
                </c:pt>
                <c:pt idx="7">
                  <c:v>36.757300000000001</c:v>
                </c:pt>
                <c:pt idx="8">
                  <c:v>36.926700000000004</c:v>
                </c:pt>
                <c:pt idx="9">
                  <c:v>37.1023</c:v>
                </c:pt>
                <c:pt idx="10">
                  <c:v>37.2774</c:v>
                </c:pt>
                <c:pt idx="11">
                  <c:v>37.382300000000001</c:v>
                </c:pt>
                <c:pt idx="12">
                  <c:v>37.360900000000001</c:v>
                </c:pt>
                <c:pt idx="13">
                  <c:v>37.303799999999995</c:v>
                </c:pt>
                <c:pt idx="14">
                  <c:v>37.328499999999998</c:v>
                </c:pt>
                <c:pt idx="15">
                  <c:v>37.345399999999998</c:v>
                </c:pt>
                <c:pt idx="16">
                  <c:v>37.368000000000002</c:v>
                </c:pt>
                <c:pt idx="17">
                  <c:v>37.343199999999996</c:v>
                </c:pt>
                <c:pt idx="18">
                  <c:v>37.294400000000003</c:v>
                </c:pt>
                <c:pt idx="19">
                  <c:v>37.190400000000004</c:v>
                </c:pt>
                <c:pt idx="20">
                  <c:v>37.078299999999999</c:v>
                </c:pt>
                <c:pt idx="21">
                  <c:v>37.008699999999997</c:v>
                </c:pt>
                <c:pt idx="22">
                  <c:v>36.987400000000001</c:v>
                </c:pt>
                <c:pt idx="23">
                  <c:v>36.960999999999999</c:v>
                </c:pt>
                <c:pt idx="24">
                  <c:v>36.8399</c:v>
                </c:pt>
                <c:pt idx="25">
                  <c:v>36.685099999999998</c:v>
                </c:pt>
                <c:pt idx="26">
                  <c:v>36.494700000000002</c:v>
                </c:pt>
                <c:pt idx="27">
                  <c:v>36.204599999999999</c:v>
                </c:pt>
                <c:pt idx="28">
                  <c:v>35.912300000000002</c:v>
                </c:pt>
                <c:pt idx="29">
                  <c:v>35.7483</c:v>
                </c:pt>
                <c:pt idx="30">
                  <c:v>35.671799999999998</c:v>
                </c:pt>
                <c:pt idx="31">
                  <c:v>35.5991</c:v>
                </c:pt>
                <c:pt idx="32">
                  <c:v>35.421599999999998</c:v>
                </c:pt>
                <c:pt idx="33">
                  <c:v>35.235300000000002</c:v>
                </c:pt>
                <c:pt idx="34">
                  <c:v>34.993699999999997</c:v>
                </c:pt>
                <c:pt idx="35">
                  <c:v>34.7136</c:v>
                </c:pt>
                <c:pt idx="36">
                  <c:v>34.377299999999998</c:v>
                </c:pt>
                <c:pt idx="37">
                  <c:v>34.025399999999998</c:v>
                </c:pt>
                <c:pt idx="38">
                  <c:v>33.788899999999998</c:v>
                </c:pt>
                <c:pt idx="39">
                  <c:v>33.5244</c:v>
                </c:pt>
                <c:pt idx="40">
                  <c:v>33.275399999999998</c:v>
                </c:pt>
                <c:pt idx="41">
                  <c:v>33.103900000000003</c:v>
                </c:pt>
                <c:pt idx="42">
                  <c:v>32.886200000000002</c:v>
                </c:pt>
                <c:pt idx="43">
                  <c:v>32.703700000000005</c:v>
                </c:pt>
                <c:pt idx="44">
                  <c:v>32.595200000000006</c:v>
                </c:pt>
                <c:pt idx="45">
                  <c:v>32.482599999999998</c:v>
                </c:pt>
                <c:pt idx="46">
                  <c:v>32.394099999999995</c:v>
                </c:pt>
                <c:pt idx="47">
                  <c:v>32.321399999999997</c:v>
                </c:pt>
                <c:pt idx="48">
                  <c:v>32.0901</c:v>
                </c:pt>
                <c:pt idx="49">
                  <c:v>31.835699999999999</c:v>
                </c:pt>
                <c:pt idx="50">
                  <c:v>31.703199999999999</c:v>
                </c:pt>
                <c:pt idx="51">
                  <c:v>31.620100000000001</c:v>
                </c:pt>
                <c:pt idx="52">
                  <c:v>31.563400000000001</c:v>
                </c:pt>
                <c:pt idx="53">
                  <c:v>31.543500000000002</c:v>
                </c:pt>
                <c:pt idx="54">
                  <c:v>31.441700000000001</c:v>
                </c:pt>
                <c:pt idx="55">
                  <c:v>31.242900000000002</c:v>
                </c:pt>
                <c:pt idx="56">
                  <c:v>31.060300000000002</c:v>
                </c:pt>
                <c:pt idx="57">
                  <c:v>30.948999999999998</c:v>
                </c:pt>
                <c:pt idx="58">
                  <c:v>30.8568</c:v>
                </c:pt>
                <c:pt idx="59">
                  <c:v>30.786400000000004</c:v>
                </c:pt>
                <c:pt idx="60">
                  <c:v>30.764200000000002</c:v>
                </c:pt>
                <c:pt idx="61">
                  <c:v>30.8215</c:v>
                </c:pt>
                <c:pt idx="62">
                  <c:v>30.971500000000002</c:v>
                </c:pt>
                <c:pt idx="63">
                  <c:v>30.9573</c:v>
                </c:pt>
                <c:pt idx="64">
                  <c:v>30.9819</c:v>
                </c:pt>
                <c:pt idx="65">
                  <c:v>30.999399999999998</c:v>
                </c:pt>
                <c:pt idx="66">
                  <c:v>30.856499999999997</c:v>
                </c:pt>
                <c:pt idx="67">
                  <c:v>30.891300000000001</c:v>
                </c:pt>
                <c:pt idx="68">
                  <c:v>30.830600000000004</c:v>
                </c:pt>
                <c:pt idx="69">
                  <c:v>30.580500000000001</c:v>
                </c:pt>
                <c:pt idx="70">
                  <c:v>30.293599999999998</c:v>
                </c:pt>
                <c:pt idx="71">
                  <c:v>29.770299999999999</c:v>
                </c:pt>
                <c:pt idx="72">
                  <c:v>28.899599999999996</c:v>
                </c:pt>
                <c:pt idx="73">
                  <c:v>28.383599999999998</c:v>
                </c:pt>
                <c:pt idx="74">
                  <c:v>29.121000000000002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14.945824999999999</c:v>
                </c:pt>
                <c:pt idx="1">
                  <c:v>44.837474999999998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32.318218918918923</c:v>
                </c:pt>
                <c:pt idx="1">
                  <c:v>33.87195135135137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2.1240200000000002</c:v>
                </c:pt>
                <c:pt idx="1">
                  <c:v>2.1851099999999999</c:v>
                </c:pt>
                <c:pt idx="2">
                  <c:v>2.2476099999999999</c:v>
                </c:pt>
                <c:pt idx="3">
                  <c:v>2.30837</c:v>
                </c:pt>
                <c:pt idx="4">
                  <c:v>2.3700099999999997</c:v>
                </c:pt>
                <c:pt idx="5">
                  <c:v>2.4338899999999999</c:v>
                </c:pt>
                <c:pt idx="6">
                  <c:v>2.4974499999999997</c:v>
                </c:pt>
                <c:pt idx="7">
                  <c:v>2.5609299999999999</c:v>
                </c:pt>
                <c:pt idx="8">
                  <c:v>2.6229200000000001</c:v>
                </c:pt>
                <c:pt idx="9">
                  <c:v>2.68248</c:v>
                </c:pt>
                <c:pt idx="10">
                  <c:v>2.7429300000000003</c:v>
                </c:pt>
                <c:pt idx="11">
                  <c:v>2.8046500000000001</c:v>
                </c:pt>
                <c:pt idx="12">
                  <c:v>2.8642000000000003</c:v>
                </c:pt>
                <c:pt idx="13">
                  <c:v>2.9186699999999997</c:v>
                </c:pt>
                <c:pt idx="14">
                  <c:v>2.9693199999999997</c:v>
                </c:pt>
                <c:pt idx="15">
                  <c:v>3.0188900000000003</c:v>
                </c:pt>
                <c:pt idx="16">
                  <c:v>3.0645699999999998</c:v>
                </c:pt>
                <c:pt idx="17">
                  <c:v>3.1055899999999999</c:v>
                </c:pt>
                <c:pt idx="18">
                  <c:v>3.1433400000000002</c:v>
                </c:pt>
                <c:pt idx="19">
                  <c:v>3.17509</c:v>
                </c:pt>
                <c:pt idx="20">
                  <c:v>3.2022899999999996</c:v>
                </c:pt>
                <c:pt idx="21">
                  <c:v>3.2278800000000003</c:v>
                </c:pt>
                <c:pt idx="22">
                  <c:v>3.2525300000000001</c:v>
                </c:pt>
                <c:pt idx="23">
                  <c:v>3.2785700000000002</c:v>
                </c:pt>
                <c:pt idx="24">
                  <c:v>3.2942900000000002</c:v>
                </c:pt>
                <c:pt idx="25">
                  <c:v>3.3069100000000002</c:v>
                </c:pt>
                <c:pt idx="26">
                  <c:v>3.3170799999999998</c:v>
                </c:pt>
                <c:pt idx="27">
                  <c:v>3.3207500000000003</c:v>
                </c:pt>
                <c:pt idx="28">
                  <c:v>3.32273</c:v>
                </c:pt>
                <c:pt idx="29">
                  <c:v>3.32463</c:v>
                </c:pt>
                <c:pt idx="30">
                  <c:v>3.3230700000000004</c:v>
                </c:pt>
                <c:pt idx="31">
                  <c:v>3.3194900000000001</c:v>
                </c:pt>
                <c:pt idx="32">
                  <c:v>3.3136999999999999</c:v>
                </c:pt>
                <c:pt idx="33">
                  <c:v>3.3075799999999997</c:v>
                </c:pt>
                <c:pt idx="34">
                  <c:v>3.2996099999999999</c:v>
                </c:pt>
                <c:pt idx="35">
                  <c:v>3.2892799999999998</c:v>
                </c:pt>
                <c:pt idx="36">
                  <c:v>3.2769199999999996</c:v>
                </c:pt>
                <c:pt idx="37">
                  <c:v>3.2680100000000003</c:v>
                </c:pt>
                <c:pt idx="38">
                  <c:v>3.2639200000000002</c:v>
                </c:pt>
                <c:pt idx="39">
                  <c:v>3.2637</c:v>
                </c:pt>
                <c:pt idx="40">
                  <c:v>3.2639</c:v>
                </c:pt>
                <c:pt idx="41">
                  <c:v>3.2667200000000003</c:v>
                </c:pt>
                <c:pt idx="42">
                  <c:v>3.2713700000000001</c:v>
                </c:pt>
                <c:pt idx="43">
                  <c:v>3.2754400000000001</c:v>
                </c:pt>
                <c:pt idx="44">
                  <c:v>3.2815400000000001</c:v>
                </c:pt>
                <c:pt idx="45">
                  <c:v>3.28945</c:v>
                </c:pt>
                <c:pt idx="46">
                  <c:v>3.2981199999999999</c:v>
                </c:pt>
                <c:pt idx="47">
                  <c:v>3.3036300000000001</c:v>
                </c:pt>
                <c:pt idx="48">
                  <c:v>3.3061499999999997</c:v>
                </c:pt>
                <c:pt idx="49">
                  <c:v>3.3085500000000003</c:v>
                </c:pt>
                <c:pt idx="50">
                  <c:v>3.3102300000000002</c:v>
                </c:pt>
                <c:pt idx="51">
                  <c:v>3.3130700000000002</c:v>
                </c:pt>
                <c:pt idx="52">
                  <c:v>3.3164300000000004</c:v>
                </c:pt>
                <c:pt idx="53">
                  <c:v>3.31976</c:v>
                </c:pt>
                <c:pt idx="54">
                  <c:v>3.3213999999999997</c:v>
                </c:pt>
                <c:pt idx="55">
                  <c:v>3.3224</c:v>
                </c:pt>
                <c:pt idx="56">
                  <c:v>3.3206500000000001</c:v>
                </c:pt>
                <c:pt idx="57">
                  <c:v>3.3190900000000001</c:v>
                </c:pt>
                <c:pt idx="58">
                  <c:v>3.3172699999999997</c:v>
                </c:pt>
                <c:pt idx="59">
                  <c:v>3.3153800000000002</c:v>
                </c:pt>
                <c:pt idx="60">
                  <c:v>3.3108900000000001</c:v>
                </c:pt>
                <c:pt idx="61">
                  <c:v>3.30227</c:v>
                </c:pt>
                <c:pt idx="62">
                  <c:v>3.2900600000000004</c:v>
                </c:pt>
                <c:pt idx="63">
                  <c:v>3.2759</c:v>
                </c:pt>
                <c:pt idx="64">
                  <c:v>3.2616200000000002</c:v>
                </c:pt>
                <c:pt idx="65">
                  <c:v>3.2482800000000003</c:v>
                </c:pt>
                <c:pt idx="66">
                  <c:v>3.23475</c:v>
                </c:pt>
                <c:pt idx="67">
                  <c:v>3.2224199999999996</c:v>
                </c:pt>
                <c:pt idx="68">
                  <c:v>3.2101500000000001</c:v>
                </c:pt>
                <c:pt idx="69">
                  <c:v>3.19937</c:v>
                </c:pt>
                <c:pt idx="70">
                  <c:v>3.1923300000000001</c:v>
                </c:pt>
                <c:pt idx="71">
                  <c:v>3.1851600000000002</c:v>
                </c:pt>
                <c:pt idx="72">
                  <c:v>3.1783999999999999</c:v>
                </c:pt>
                <c:pt idx="73">
                  <c:v>3.1701000000000001</c:v>
                </c:pt>
                <c:pt idx="74">
                  <c:v>3.1620900000000001</c:v>
                </c:pt>
                <c:pt idx="75">
                  <c:v>3.15469</c:v>
                </c:pt>
                <c:pt idx="76">
                  <c:v>3.1510600000000002</c:v>
                </c:pt>
                <c:pt idx="77">
                  <c:v>3.1510400000000001</c:v>
                </c:pt>
                <c:pt idx="78">
                  <c:v>3.15008</c:v>
                </c:pt>
                <c:pt idx="79">
                  <c:v>3.1471800000000001</c:v>
                </c:pt>
                <c:pt idx="80">
                  <c:v>3.1465300000000003</c:v>
                </c:pt>
                <c:pt idx="81">
                  <c:v>3.1468099999999999</c:v>
                </c:pt>
                <c:pt idx="82">
                  <c:v>3.1467700000000001</c:v>
                </c:pt>
                <c:pt idx="83">
                  <c:v>3.14649</c:v>
                </c:pt>
                <c:pt idx="84">
                  <c:v>3.1502699999999999</c:v>
                </c:pt>
                <c:pt idx="85">
                  <c:v>3.1596000000000002</c:v>
                </c:pt>
                <c:pt idx="86">
                  <c:v>3.1703199999999998</c:v>
                </c:pt>
                <c:pt idx="87">
                  <c:v>3.18004</c:v>
                </c:pt>
                <c:pt idx="88">
                  <c:v>3.1889699999999999</c:v>
                </c:pt>
                <c:pt idx="89">
                  <c:v>3.1978600000000004</c:v>
                </c:pt>
                <c:pt idx="90">
                  <c:v>3.2067000000000001</c:v>
                </c:pt>
                <c:pt idx="91">
                  <c:v>3.2140499999999999</c:v>
                </c:pt>
                <c:pt idx="92">
                  <c:v>3.21861</c:v>
                </c:pt>
                <c:pt idx="93">
                  <c:v>3.2220199999999997</c:v>
                </c:pt>
                <c:pt idx="94">
                  <c:v>3.2230699999999999</c:v>
                </c:pt>
                <c:pt idx="95">
                  <c:v>3.2224000000000004</c:v>
                </c:pt>
                <c:pt idx="96">
                  <c:v>3.2241</c:v>
                </c:pt>
                <c:pt idx="97">
                  <c:v>3.2289699999999999</c:v>
                </c:pt>
                <c:pt idx="98">
                  <c:v>3.2355200000000002</c:v>
                </c:pt>
                <c:pt idx="99">
                  <c:v>3.2451400000000001</c:v>
                </c:pt>
                <c:pt idx="100">
                  <c:v>3.2555000000000001</c:v>
                </c:pt>
                <c:pt idx="101">
                  <c:v>3.2680700000000003</c:v>
                </c:pt>
                <c:pt idx="102">
                  <c:v>3.2762799999999999</c:v>
                </c:pt>
                <c:pt idx="103">
                  <c:v>3.2824499999999999</c:v>
                </c:pt>
                <c:pt idx="104">
                  <c:v>3.28749</c:v>
                </c:pt>
                <c:pt idx="105">
                  <c:v>3.2953399999999999</c:v>
                </c:pt>
                <c:pt idx="106">
                  <c:v>3.3046100000000003</c:v>
                </c:pt>
                <c:pt idx="107">
                  <c:v>3.3148100000000005</c:v>
                </c:pt>
                <c:pt idx="108">
                  <c:v>3.3258799999999997</c:v>
                </c:pt>
                <c:pt idx="109">
                  <c:v>3.3375500000000002</c:v>
                </c:pt>
                <c:pt idx="110">
                  <c:v>3.3482000000000003</c:v>
                </c:pt>
                <c:pt idx="111">
                  <c:v>3.35968</c:v>
                </c:pt>
                <c:pt idx="112">
                  <c:v>3.3739799999999995</c:v>
                </c:pt>
                <c:pt idx="113">
                  <c:v>3.3868900000000002</c:v>
                </c:pt>
                <c:pt idx="114">
                  <c:v>3.3971099999999996</c:v>
                </c:pt>
                <c:pt idx="115">
                  <c:v>3.4079900000000003</c:v>
                </c:pt>
                <c:pt idx="116">
                  <c:v>3.4155699999999998</c:v>
                </c:pt>
                <c:pt idx="117">
                  <c:v>3.4239299999999999</c:v>
                </c:pt>
                <c:pt idx="118">
                  <c:v>3.4334500000000001</c:v>
                </c:pt>
                <c:pt idx="119">
                  <c:v>3.4412900000000004</c:v>
                </c:pt>
                <c:pt idx="120">
                  <c:v>3.4488400000000001</c:v>
                </c:pt>
                <c:pt idx="121">
                  <c:v>3.4578500000000001</c:v>
                </c:pt>
                <c:pt idx="122">
                  <c:v>3.4660600000000001</c:v>
                </c:pt>
                <c:pt idx="123">
                  <c:v>3.4719299999999995</c:v>
                </c:pt>
                <c:pt idx="124">
                  <c:v>3.4758099999999996</c:v>
                </c:pt>
                <c:pt idx="125">
                  <c:v>3.4777200000000001</c:v>
                </c:pt>
                <c:pt idx="126">
                  <c:v>3.4752999999999998</c:v>
                </c:pt>
                <c:pt idx="127">
                  <c:v>3.4740799999999998</c:v>
                </c:pt>
                <c:pt idx="128">
                  <c:v>3.4771299999999998</c:v>
                </c:pt>
                <c:pt idx="129">
                  <c:v>3.4828100000000002</c:v>
                </c:pt>
                <c:pt idx="130">
                  <c:v>3.4864299999999999</c:v>
                </c:pt>
                <c:pt idx="131">
                  <c:v>3.48813</c:v>
                </c:pt>
                <c:pt idx="132">
                  <c:v>3.4896500000000001</c:v>
                </c:pt>
                <c:pt idx="133">
                  <c:v>3.4894699999999998</c:v>
                </c:pt>
                <c:pt idx="134">
                  <c:v>3.4855900000000002</c:v>
                </c:pt>
                <c:pt idx="135">
                  <c:v>3.4778500000000001</c:v>
                </c:pt>
                <c:pt idx="136">
                  <c:v>3.4697</c:v>
                </c:pt>
                <c:pt idx="137">
                  <c:v>3.4584999999999999</c:v>
                </c:pt>
                <c:pt idx="138">
                  <c:v>3.4505599999999998</c:v>
                </c:pt>
                <c:pt idx="139">
                  <c:v>3.4457599999999999</c:v>
                </c:pt>
                <c:pt idx="140">
                  <c:v>3.4340999999999999</c:v>
                </c:pt>
                <c:pt idx="141">
                  <c:v>3.4332000000000003</c:v>
                </c:pt>
                <c:pt idx="142">
                  <c:v>3.4332500000000001</c:v>
                </c:pt>
                <c:pt idx="143">
                  <c:v>3.4329199999999997</c:v>
                </c:pt>
                <c:pt idx="144">
                  <c:v>3.4431099999999999</c:v>
                </c:pt>
                <c:pt idx="145">
                  <c:v>3.4567199999999998</c:v>
                </c:pt>
                <c:pt idx="146">
                  <c:v>3.4590399999999999</c:v>
                </c:pt>
                <c:pt idx="147">
                  <c:v>3.4271400000000001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49.513800000000003</c:v>
                </c:pt>
                <c:pt idx="1">
                  <c:v>48.295200000000001</c:v>
                </c:pt>
                <c:pt idx="2">
                  <c:v>46.943300000000001</c:v>
                </c:pt>
                <c:pt idx="3">
                  <c:v>45.671499999999995</c:v>
                </c:pt>
                <c:pt idx="4">
                  <c:v>44.439099999999996</c:v>
                </c:pt>
                <c:pt idx="5">
                  <c:v>43.232799999999997</c:v>
                </c:pt>
                <c:pt idx="6">
                  <c:v>42.0625</c:v>
                </c:pt>
                <c:pt idx="7">
                  <c:v>40.860999999999997</c:v>
                </c:pt>
                <c:pt idx="8">
                  <c:v>39.742400000000004</c:v>
                </c:pt>
                <c:pt idx="9">
                  <c:v>38.632899999999999</c:v>
                </c:pt>
                <c:pt idx="10">
                  <c:v>37.490600000000001</c:v>
                </c:pt>
                <c:pt idx="11">
                  <c:v>36.3399</c:v>
                </c:pt>
                <c:pt idx="12">
                  <c:v>35.410899999999998</c:v>
                </c:pt>
                <c:pt idx="13">
                  <c:v>34.639900000000004</c:v>
                </c:pt>
                <c:pt idx="14">
                  <c:v>34.051900000000003</c:v>
                </c:pt>
                <c:pt idx="15">
                  <c:v>33.4923</c:v>
                </c:pt>
                <c:pt idx="16">
                  <c:v>32.994800000000005</c:v>
                </c:pt>
                <c:pt idx="17">
                  <c:v>32.442900000000002</c:v>
                </c:pt>
                <c:pt idx="18">
                  <c:v>31.760699999999996</c:v>
                </c:pt>
                <c:pt idx="19">
                  <c:v>31.154300000000003</c:v>
                </c:pt>
                <c:pt idx="20">
                  <c:v>30.531799999999997</c:v>
                </c:pt>
                <c:pt idx="21">
                  <c:v>29.902299999999997</c:v>
                </c:pt>
                <c:pt idx="22">
                  <c:v>29.242600000000003</c:v>
                </c:pt>
                <c:pt idx="23">
                  <c:v>28.607500000000002</c:v>
                </c:pt>
                <c:pt idx="24">
                  <c:v>28.0989</c:v>
                </c:pt>
                <c:pt idx="25">
                  <c:v>27.668300000000002</c:v>
                </c:pt>
                <c:pt idx="26">
                  <c:v>27.2484</c:v>
                </c:pt>
                <c:pt idx="27">
                  <c:v>26.917400000000001</c:v>
                </c:pt>
                <c:pt idx="28">
                  <c:v>26.635599999999997</c:v>
                </c:pt>
                <c:pt idx="29">
                  <c:v>26.365499999999997</c:v>
                </c:pt>
                <c:pt idx="30">
                  <c:v>26.174399999999999</c:v>
                </c:pt>
                <c:pt idx="31">
                  <c:v>25.9785</c:v>
                </c:pt>
                <c:pt idx="32">
                  <c:v>25.946200000000001</c:v>
                </c:pt>
                <c:pt idx="33">
                  <c:v>26.001000000000001</c:v>
                </c:pt>
                <c:pt idx="34">
                  <c:v>26.081500000000002</c:v>
                </c:pt>
                <c:pt idx="35">
                  <c:v>26.257399999999997</c:v>
                </c:pt>
                <c:pt idx="36">
                  <c:v>26.552199999999999</c:v>
                </c:pt>
                <c:pt idx="37">
                  <c:v>26.828299999999999</c:v>
                </c:pt>
                <c:pt idx="38">
                  <c:v>27.117200000000004</c:v>
                </c:pt>
                <c:pt idx="39">
                  <c:v>27.325399999999998</c:v>
                </c:pt>
                <c:pt idx="40">
                  <c:v>27.533800000000003</c:v>
                </c:pt>
                <c:pt idx="41">
                  <c:v>27.709299999999999</c:v>
                </c:pt>
                <c:pt idx="42">
                  <c:v>27.877800000000004</c:v>
                </c:pt>
                <c:pt idx="43">
                  <c:v>28.148499999999999</c:v>
                </c:pt>
                <c:pt idx="44">
                  <c:v>28.384500000000003</c:v>
                </c:pt>
                <c:pt idx="45">
                  <c:v>28.655900000000003</c:v>
                </c:pt>
                <c:pt idx="46">
                  <c:v>28.910599999999999</c:v>
                </c:pt>
                <c:pt idx="47">
                  <c:v>29.214200000000002</c:v>
                </c:pt>
                <c:pt idx="48">
                  <c:v>29.608800000000002</c:v>
                </c:pt>
                <c:pt idx="49">
                  <c:v>29.984899999999996</c:v>
                </c:pt>
                <c:pt idx="50">
                  <c:v>30.236699999999999</c:v>
                </c:pt>
                <c:pt idx="51">
                  <c:v>30.5533</c:v>
                </c:pt>
                <c:pt idx="52">
                  <c:v>30.853899999999999</c:v>
                </c:pt>
                <c:pt idx="53">
                  <c:v>31.1</c:v>
                </c:pt>
                <c:pt idx="54">
                  <c:v>31.246600000000001</c:v>
                </c:pt>
                <c:pt idx="55">
                  <c:v>31.326999999999998</c:v>
                </c:pt>
                <c:pt idx="56">
                  <c:v>31.497299999999999</c:v>
                </c:pt>
                <c:pt idx="57">
                  <c:v>31.639899999999997</c:v>
                </c:pt>
                <c:pt idx="58">
                  <c:v>31.752000000000002</c:v>
                </c:pt>
                <c:pt idx="59">
                  <c:v>31.881599999999999</c:v>
                </c:pt>
                <c:pt idx="60">
                  <c:v>32.050600000000003</c:v>
                </c:pt>
                <c:pt idx="61">
                  <c:v>32.2288</c:v>
                </c:pt>
                <c:pt idx="62">
                  <c:v>32.379000000000005</c:v>
                </c:pt>
                <c:pt idx="63">
                  <c:v>32.513599999999997</c:v>
                </c:pt>
                <c:pt idx="64">
                  <c:v>32.688499999999998</c:v>
                </c:pt>
                <c:pt idx="65">
                  <c:v>32.908000000000001</c:v>
                </c:pt>
                <c:pt idx="66">
                  <c:v>33.177199999999999</c:v>
                </c:pt>
                <c:pt idx="67">
                  <c:v>33.528300000000002</c:v>
                </c:pt>
                <c:pt idx="68">
                  <c:v>33.8947</c:v>
                </c:pt>
                <c:pt idx="69">
                  <c:v>34.231899999999996</c:v>
                </c:pt>
                <c:pt idx="70">
                  <c:v>34.4604</c:v>
                </c:pt>
                <c:pt idx="71">
                  <c:v>34.678100000000001</c:v>
                </c:pt>
                <c:pt idx="72">
                  <c:v>34.926200000000001</c:v>
                </c:pt>
                <c:pt idx="73">
                  <c:v>35.113199999999999</c:v>
                </c:pt>
                <c:pt idx="74">
                  <c:v>35.32</c:v>
                </c:pt>
                <c:pt idx="75">
                  <c:v>35.695799999999998</c:v>
                </c:pt>
                <c:pt idx="76">
                  <c:v>35.875399999999999</c:v>
                </c:pt>
                <c:pt idx="77">
                  <c:v>36.016399999999997</c:v>
                </c:pt>
                <c:pt idx="78">
                  <c:v>36.255700000000004</c:v>
                </c:pt>
                <c:pt idx="79">
                  <c:v>36.530699999999996</c:v>
                </c:pt>
                <c:pt idx="80">
                  <c:v>36.757300000000001</c:v>
                </c:pt>
                <c:pt idx="81">
                  <c:v>36.926700000000004</c:v>
                </c:pt>
                <c:pt idx="82">
                  <c:v>37.1023</c:v>
                </c:pt>
                <c:pt idx="83">
                  <c:v>37.2774</c:v>
                </c:pt>
                <c:pt idx="84">
                  <c:v>37.382300000000001</c:v>
                </c:pt>
                <c:pt idx="85">
                  <c:v>37.360900000000001</c:v>
                </c:pt>
                <c:pt idx="86">
                  <c:v>37.303799999999995</c:v>
                </c:pt>
                <c:pt idx="87">
                  <c:v>37.328499999999998</c:v>
                </c:pt>
                <c:pt idx="88">
                  <c:v>37.345399999999998</c:v>
                </c:pt>
                <c:pt idx="89">
                  <c:v>37.368000000000002</c:v>
                </c:pt>
                <c:pt idx="90">
                  <c:v>37.343199999999996</c:v>
                </c:pt>
                <c:pt idx="91">
                  <c:v>37.294400000000003</c:v>
                </c:pt>
                <c:pt idx="92">
                  <c:v>37.190400000000004</c:v>
                </c:pt>
                <c:pt idx="93">
                  <c:v>37.078299999999999</c:v>
                </c:pt>
                <c:pt idx="94">
                  <c:v>37.008699999999997</c:v>
                </c:pt>
                <c:pt idx="95">
                  <c:v>36.987400000000001</c:v>
                </c:pt>
                <c:pt idx="96">
                  <c:v>36.960999999999999</c:v>
                </c:pt>
                <c:pt idx="97">
                  <c:v>36.8399</c:v>
                </c:pt>
                <c:pt idx="98">
                  <c:v>36.685099999999998</c:v>
                </c:pt>
                <c:pt idx="99">
                  <c:v>36.494700000000002</c:v>
                </c:pt>
                <c:pt idx="100">
                  <c:v>36.204599999999999</c:v>
                </c:pt>
                <c:pt idx="101">
                  <c:v>35.912300000000002</c:v>
                </c:pt>
                <c:pt idx="102">
                  <c:v>35.7483</c:v>
                </c:pt>
                <c:pt idx="103">
                  <c:v>35.671799999999998</c:v>
                </c:pt>
                <c:pt idx="104">
                  <c:v>35.5991</c:v>
                </c:pt>
                <c:pt idx="105">
                  <c:v>35.421599999999998</c:v>
                </c:pt>
                <c:pt idx="106">
                  <c:v>35.235300000000002</c:v>
                </c:pt>
                <c:pt idx="107">
                  <c:v>34.993699999999997</c:v>
                </c:pt>
                <c:pt idx="108">
                  <c:v>34.7136</c:v>
                </c:pt>
                <c:pt idx="109">
                  <c:v>34.377299999999998</c:v>
                </c:pt>
                <c:pt idx="110">
                  <c:v>34.025399999999998</c:v>
                </c:pt>
                <c:pt idx="111">
                  <c:v>33.788899999999998</c:v>
                </c:pt>
                <c:pt idx="112">
                  <c:v>33.5244</c:v>
                </c:pt>
                <c:pt idx="113">
                  <c:v>33.275399999999998</c:v>
                </c:pt>
                <c:pt idx="114">
                  <c:v>33.103900000000003</c:v>
                </c:pt>
                <c:pt idx="115">
                  <c:v>32.886200000000002</c:v>
                </c:pt>
                <c:pt idx="116">
                  <c:v>32.703700000000005</c:v>
                </c:pt>
                <c:pt idx="117">
                  <c:v>32.595200000000006</c:v>
                </c:pt>
                <c:pt idx="118">
                  <c:v>32.482599999999998</c:v>
                </c:pt>
                <c:pt idx="119">
                  <c:v>32.394099999999995</c:v>
                </c:pt>
                <c:pt idx="120">
                  <c:v>32.321399999999997</c:v>
                </c:pt>
                <c:pt idx="121">
                  <c:v>32.0901</c:v>
                </c:pt>
                <c:pt idx="122">
                  <c:v>31.835699999999999</c:v>
                </c:pt>
                <c:pt idx="123">
                  <c:v>31.703199999999999</c:v>
                </c:pt>
                <c:pt idx="124">
                  <c:v>31.620100000000001</c:v>
                </c:pt>
                <c:pt idx="125">
                  <c:v>31.563400000000001</c:v>
                </c:pt>
                <c:pt idx="126">
                  <c:v>31.543500000000002</c:v>
                </c:pt>
                <c:pt idx="127">
                  <c:v>31.441700000000001</c:v>
                </c:pt>
                <c:pt idx="128">
                  <c:v>31.242900000000002</c:v>
                </c:pt>
                <c:pt idx="129">
                  <c:v>31.060300000000002</c:v>
                </c:pt>
                <c:pt idx="130">
                  <c:v>30.948999999999998</c:v>
                </c:pt>
                <c:pt idx="131">
                  <c:v>30.8568</c:v>
                </c:pt>
                <c:pt idx="132">
                  <c:v>30.786400000000004</c:v>
                </c:pt>
                <c:pt idx="133">
                  <c:v>30.764200000000002</c:v>
                </c:pt>
                <c:pt idx="134">
                  <c:v>30.8215</c:v>
                </c:pt>
                <c:pt idx="135">
                  <c:v>30.971500000000002</c:v>
                </c:pt>
                <c:pt idx="136">
                  <c:v>30.9573</c:v>
                </c:pt>
                <c:pt idx="137">
                  <c:v>30.9819</c:v>
                </c:pt>
                <c:pt idx="138">
                  <c:v>30.999399999999998</c:v>
                </c:pt>
                <c:pt idx="139">
                  <c:v>30.856499999999997</c:v>
                </c:pt>
                <c:pt idx="140">
                  <c:v>30.891300000000001</c:v>
                </c:pt>
                <c:pt idx="141">
                  <c:v>30.830600000000004</c:v>
                </c:pt>
                <c:pt idx="142">
                  <c:v>30.580500000000001</c:v>
                </c:pt>
                <c:pt idx="143">
                  <c:v>30.293599999999998</c:v>
                </c:pt>
                <c:pt idx="144">
                  <c:v>29.770299999999999</c:v>
                </c:pt>
                <c:pt idx="145">
                  <c:v>28.899599999999996</c:v>
                </c:pt>
                <c:pt idx="146">
                  <c:v>28.383599999999998</c:v>
                </c:pt>
                <c:pt idx="147">
                  <c:v>29.121000000000002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2.1240200000000002</c:v>
                </c:pt>
                <c:pt idx="1">
                  <c:v>2.1851099999999999</c:v>
                </c:pt>
                <c:pt idx="2">
                  <c:v>2.2476099999999999</c:v>
                </c:pt>
                <c:pt idx="3">
                  <c:v>2.30837</c:v>
                </c:pt>
                <c:pt idx="4">
                  <c:v>2.3700099999999997</c:v>
                </c:pt>
                <c:pt idx="5">
                  <c:v>2.4338899999999999</c:v>
                </c:pt>
                <c:pt idx="6">
                  <c:v>2.4974499999999997</c:v>
                </c:pt>
                <c:pt idx="7">
                  <c:v>2.5609299999999999</c:v>
                </c:pt>
                <c:pt idx="8">
                  <c:v>2.6229200000000001</c:v>
                </c:pt>
                <c:pt idx="9">
                  <c:v>2.68248</c:v>
                </c:pt>
                <c:pt idx="10">
                  <c:v>2.7429300000000003</c:v>
                </c:pt>
                <c:pt idx="11">
                  <c:v>2.8046500000000001</c:v>
                </c:pt>
                <c:pt idx="12">
                  <c:v>2.8642000000000003</c:v>
                </c:pt>
                <c:pt idx="13">
                  <c:v>2.9186699999999997</c:v>
                </c:pt>
                <c:pt idx="14">
                  <c:v>2.9693199999999997</c:v>
                </c:pt>
                <c:pt idx="15">
                  <c:v>3.0188900000000003</c:v>
                </c:pt>
                <c:pt idx="16">
                  <c:v>3.0645699999999998</c:v>
                </c:pt>
                <c:pt idx="17">
                  <c:v>3.1055899999999999</c:v>
                </c:pt>
                <c:pt idx="18">
                  <c:v>3.1433400000000002</c:v>
                </c:pt>
                <c:pt idx="19">
                  <c:v>3.17509</c:v>
                </c:pt>
                <c:pt idx="20">
                  <c:v>3.2022899999999996</c:v>
                </c:pt>
                <c:pt idx="21">
                  <c:v>3.2278800000000003</c:v>
                </c:pt>
                <c:pt idx="22">
                  <c:v>3.2525300000000001</c:v>
                </c:pt>
                <c:pt idx="23">
                  <c:v>3.2785700000000002</c:v>
                </c:pt>
                <c:pt idx="24">
                  <c:v>3.2942900000000002</c:v>
                </c:pt>
                <c:pt idx="25">
                  <c:v>3.3069100000000002</c:v>
                </c:pt>
                <c:pt idx="26">
                  <c:v>3.3170799999999998</c:v>
                </c:pt>
                <c:pt idx="27">
                  <c:v>3.3207500000000003</c:v>
                </c:pt>
                <c:pt idx="28">
                  <c:v>3.32273</c:v>
                </c:pt>
                <c:pt idx="29">
                  <c:v>3.32463</c:v>
                </c:pt>
                <c:pt idx="30">
                  <c:v>3.3230700000000004</c:v>
                </c:pt>
                <c:pt idx="31">
                  <c:v>3.3194900000000001</c:v>
                </c:pt>
                <c:pt idx="32">
                  <c:v>3.3136999999999999</c:v>
                </c:pt>
                <c:pt idx="33">
                  <c:v>3.3075799999999997</c:v>
                </c:pt>
                <c:pt idx="34">
                  <c:v>3.2996099999999999</c:v>
                </c:pt>
                <c:pt idx="35">
                  <c:v>3.2892799999999998</c:v>
                </c:pt>
                <c:pt idx="36">
                  <c:v>3.2769199999999996</c:v>
                </c:pt>
                <c:pt idx="37">
                  <c:v>3.2680100000000003</c:v>
                </c:pt>
                <c:pt idx="38">
                  <c:v>3.2639200000000002</c:v>
                </c:pt>
                <c:pt idx="39">
                  <c:v>3.2637</c:v>
                </c:pt>
                <c:pt idx="40">
                  <c:v>3.2639</c:v>
                </c:pt>
                <c:pt idx="41">
                  <c:v>3.2667200000000003</c:v>
                </c:pt>
                <c:pt idx="42">
                  <c:v>3.2713700000000001</c:v>
                </c:pt>
                <c:pt idx="43">
                  <c:v>3.2754400000000001</c:v>
                </c:pt>
                <c:pt idx="44">
                  <c:v>3.2815400000000001</c:v>
                </c:pt>
                <c:pt idx="45">
                  <c:v>3.28945</c:v>
                </c:pt>
                <c:pt idx="46">
                  <c:v>3.2981199999999999</c:v>
                </c:pt>
                <c:pt idx="47">
                  <c:v>3.3036300000000001</c:v>
                </c:pt>
                <c:pt idx="48">
                  <c:v>3.3061499999999997</c:v>
                </c:pt>
                <c:pt idx="49">
                  <c:v>3.3085500000000003</c:v>
                </c:pt>
                <c:pt idx="50">
                  <c:v>3.3102300000000002</c:v>
                </c:pt>
                <c:pt idx="51">
                  <c:v>3.3130700000000002</c:v>
                </c:pt>
                <c:pt idx="52">
                  <c:v>3.3164300000000004</c:v>
                </c:pt>
                <c:pt idx="53">
                  <c:v>3.31976</c:v>
                </c:pt>
                <c:pt idx="54">
                  <c:v>3.3213999999999997</c:v>
                </c:pt>
                <c:pt idx="55">
                  <c:v>3.3224</c:v>
                </c:pt>
                <c:pt idx="56">
                  <c:v>3.3206500000000001</c:v>
                </c:pt>
                <c:pt idx="57">
                  <c:v>3.3190900000000001</c:v>
                </c:pt>
                <c:pt idx="58">
                  <c:v>3.3172699999999997</c:v>
                </c:pt>
                <c:pt idx="59">
                  <c:v>3.3153800000000002</c:v>
                </c:pt>
                <c:pt idx="60">
                  <c:v>3.3108900000000001</c:v>
                </c:pt>
                <c:pt idx="61">
                  <c:v>3.30227</c:v>
                </c:pt>
                <c:pt idx="62">
                  <c:v>3.2900600000000004</c:v>
                </c:pt>
                <c:pt idx="63">
                  <c:v>3.2759</c:v>
                </c:pt>
                <c:pt idx="64">
                  <c:v>3.2616200000000002</c:v>
                </c:pt>
                <c:pt idx="65">
                  <c:v>3.2482800000000003</c:v>
                </c:pt>
                <c:pt idx="66">
                  <c:v>3.23475</c:v>
                </c:pt>
                <c:pt idx="67">
                  <c:v>3.2224199999999996</c:v>
                </c:pt>
                <c:pt idx="68">
                  <c:v>3.2101500000000001</c:v>
                </c:pt>
                <c:pt idx="69">
                  <c:v>3.19937</c:v>
                </c:pt>
                <c:pt idx="70">
                  <c:v>3.1923300000000001</c:v>
                </c:pt>
                <c:pt idx="71">
                  <c:v>3.1851600000000002</c:v>
                </c:pt>
                <c:pt idx="72">
                  <c:v>3.1783999999999999</c:v>
                </c:pt>
                <c:pt idx="73">
                  <c:v>3.1701000000000001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49.513800000000003</c:v>
                </c:pt>
                <c:pt idx="1">
                  <c:v>48.295200000000001</c:v>
                </c:pt>
                <c:pt idx="2">
                  <c:v>46.943300000000001</c:v>
                </c:pt>
                <c:pt idx="3">
                  <c:v>45.671499999999995</c:v>
                </c:pt>
                <c:pt idx="4">
                  <c:v>44.439099999999996</c:v>
                </c:pt>
                <c:pt idx="5">
                  <c:v>43.232799999999997</c:v>
                </c:pt>
                <c:pt idx="6">
                  <c:v>42.0625</c:v>
                </c:pt>
                <c:pt idx="7">
                  <c:v>40.860999999999997</c:v>
                </c:pt>
                <c:pt idx="8">
                  <c:v>39.742400000000004</c:v>
                </c:pt>
                <c:pt idx="9">
                  <c:v>38.632899999999999</c:v>
                </c:pt>
                <c:pt idx="10">
                  <c:v>37.490600000000001</c:v>
                </c:pt>
                <c:pt idx="11">
                  <c:v>36.3399</c:v>
                </c:pt>
                <c:pt idx="12">
                  <c:v>35.410899999999998</c:v>
                </c:pt>
                <c:pt idx="13">
                  <c:v>34.639900000000004</c:v>
                </c:pt>
                <c:pt idx="14">
                  <c:v>34.051900000000003</c:v>
                </c:pt>
                <c:pt idx="15">
                  <c:v>33.4923</c:v>
                </c:pt>
                <c:pt idx="16">
                  <c:v>32.994800000000005</c:v>
                </c:pt>
                <c:pt idx="17">
                  <c:v>32.442900000000002</c:v>
                </c:pt>
                <c:pt idx="18">
                  <c:v>31.760699999999996</c:v>
                </c:pt>
                <c:pt idx="19">
                  <c:v>31.154300000000003</c:v>
                </c:pt>
                <c:pt idx="20">
                  <c:v>30.531799999999997</c:v>
                </c:pt>
                <c:pt idx="21">
                  <c:v>29.902299999999997</c:v>
                </c:pt>
                <c:pt idx="22">
                  <c:v>29.242600000000003</c:v>
                </c:pt>
                <c:pt idx="23">
                  <c:v>28.607500000000002</c:v>
                </c:pt>
                <c:pt idx="24">
                  <c:v>28.0989</c:v>
                </c:pt>
                <c:pt idx="25">
                  <c:v>27.668300000000002</c:v>
                </c:pt>
                <c:pt idx="26">
                  <c:v>27.2484</c:v>
                </c:pt>
                <c:pt idx="27">
                  <c:v>26.917400000000001</c:v>
                </c:pt>
                <c:pt idx="28">
                  <c:v>26.635599999999997</c:v>
                </c:pt>
                <c:pt idx="29">
                  <c:v>26.365499999999997</c:v>
                </c:pt>
                <c:pt idx="30">
                  <c:v>26.174399999999999</c:v>
                </c:pt>
                <c:pt idx="31">
                  <c:v>25.9785</c:v>
                </c:pt>
                <c:pt idx="32">
                  <c:v>25.946200000000001</c:v>
                </c:pt>
                <c:pt idx="33">
                  <c:v>26.001000000000001</c:v>
                </c:pt>
                <c:pt idx="34">
                  <c:v>26.081500000000002</c:v>
                </c:pt>
                <c:pt idx="35">
                  <c:v>26.257399999999997</c:v>
                </c:pt>
                <c:pt idx="36">
                  <c:v>26.552199999999999</c:v>
                </c:pt>
                <c:pt idx="37">
                  <c:v>26.828299999999999</c:v>
                </c:pt>
                <c:pt idx="38">
                  <c:v>27.117200000000004</c:v>
                </c:pt>
                <c:pt idx="39">
                  <c:v>27.325399999999998</c:v>
                </c:pt>
                <c:pt idx="40">
                  <c:v>27.533800000000003</c:v>
                </c:pt>
                <c:pt idx="41">
                  <c:v>27.709299999999999</c:v>
                </c:pt>
                <c:pt idx="42">
                  <c:v>27.877800000000004</c:v>
                </c:pt>
                <c:pt idx="43">
                  <c:v>28.148499999999999</c:v>
                </c:pt>
                <c:pt idx="44">
                  <c:v>28.384500000000003</c:v>
                </c:pt>
                <c:pt idx="45">
                  <c:v>28.655900000000003</c:v>
                </c:pt>
                <c:pt idx="46">
                  <c:v>28.910599999999999</c:v>
                </c:pt>
                <c:pt idx="47">
                  <c:v>29.214200000000002</c:v>
                </c:pt>
                <c:pt idx="48">
                  <c:v>29.608800000000002</c:v>
                </c:pt>
                <c:pt idx="49">
                  <c:v>29.984899999999996</c:v>
                </c:pt>
                <c:pt idx="50">
                  <c:v>30.236699999999999</c:v>
                </c:pt>
                <c:pt idx="51">
                  <c:v>30.5533</c:v>
                </c:pt>
                <c:pt idx="52">
                  <c:v>30.853899999999999</c:v>
                </c:pt>
                <c:pt idx="53">
                  <c:v>31.1</c:v>
                </c:pt>
                <c:pt idx="54">
                  <c:v>31.246600000000001</c:v>
                </c:pt>
                <c:pt idx="55">
                  <c:v>31.326999999999998</c:v>
                </c:pt>
                <c:pt idx="56">
                  <c:v>31.497299999999999</c:v>
                </c:pt>
                <c:pt idx="57">
                  <c:v>31.639899999999997</c:v>
                </c:pt>
                <c:pt idx="58">
                  <c:v>31.752000000000002</c:v>
                </c:pt>
                <c:pt idx="59">
                  <c:v>31.881599999999999</c:v>
                </c:pt>
                <c:pt idx="60">
                  <c:v>32.050600000000003</c:v>
                </c:pt>
                <c:pt idx="61">
                  <c:v>32.2288</c:v>
                </c:pt>
                <c:pt idx="62">
                  <c:v>32.379000000000005</c:v>
                </c:pt>
                <c:pt idx="63">
                  <c:v>32.513599999999997</c:v>
                </c:pt>
                <c:pt idx="64">
                  <c:v>32.688499999999998</c:v>
                </c:pt>
                <c:pt idx="65">
                  <c:v>32.908000000000001</c:v>
                </c:pt>
                <c:pt idx="66">
                  <c:v>33.177199999999999</c:v>
                </c:pt>
                <c:pt idx="67">
                  <c:v>33.528300000000002</c:v>
                </c:pt>
                <c:pt idx="68">
                  <c:v>33.8947</c:v>
                </c:pt>
                <c:pt idx="69">
                  <c:v>34.231899999999996</c:v>
                </c:pt>
                <c:pt idx="70">
                  <c:v>34.4604</c:v>
                </c:pt>
                <c:pt idx="71">
                  <c:v>34.678100000000001</c:v>
                </c:pt>
                <c:pt idx="72">
                  <c:v>34.926200000000001</c:v>
                </c:pt>
                <c:pt idx="73">
                  <c:v>35.113199999999999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3.1701000000000001</c:v>
                </c:pt>
                <c:pt idx="1">
                  <c:v>3.1620900000000001</c:v>
                </c:pt>
                <c:pt idx="2">
                  <c:v>3.15469</c:v>
                </c:pt>
                <c:pt idx="3">
                  <c:v>3.1510600000000002</c:v>
                </c:pt>
                <c:pt idx="4">
                  <c:v>3.1510400000000001</c:v>
                </c:pt>
                <c:pt idx="5">
                  <c:v>3.15008</c:v>
                </c:pt>
                <c:pt idx="6">
                  <c:v>3.1471800000000001</c:v>
                </c:pt>
                <c:pt idx="7">
                  <c:v>3.1465300000000003</c:v>
                </c:pt>
                <c:pt idx="8">
                  <c:v>3.1468099999999999</c:v>
                </c:pt>
                <c:pt idx="9">
                  <c:v>3.1467700000000001</c:v>
                </c:pt>
                <c:pt idx="10">
                  <c:v>3.14649</c:v>
                </c:pt>
                <c:pt idx="11">
                  <c:v>3.1502699999999999</c:v>
                </c:pt>
                <c:pt idx="12">
                  <c:v>3.1596000000000002</c:v>
                </c:pt>
                <c:pt idx="13">
                  <c:v>3.1703199999999998</c:v>
                </c:pt>
                <c:pt idx="14">
                  <c:v>3.18004</c:v>
                </c:pt>
                <c:pt idx="15">
                  <c:v>3.1889699999999999</c:v>
                </c:pt>
                <c:pt idx="16">
                  <c:v>3.1978600000000004</c:v>
                </c:pt>
                <c:pt idx="17">
                  <c:v>3.2067000000000001</c:v>
                </c:pt>
                <c:pt idx="18">
                  <c:v>3.2140499999999999</c:v>
                </c:pt>
                <c:pt idx="19">
                  <c:v>3.21861</c:v>
                </c:pt>
                <c:pt idx="20">
                  <c:v>3.2220199999999997</c:v>
                </c:pt>
                <c:pt idx="21">
                  <c:v>3.2230699999999999</c:v>
                </c:pt>
                <c:pt idx="22">
                  <c:v>3.2224000000000004</c:v>
                </c:pt>
                <c:pt idx="23">
                  <c:v>3.2241</c:v>
                </c:pt>
                <c:pt idx="24">
                  <c:v>3.2289699999999999</c:v>
                </c:pt>
                <c:pt idx="25">
                  <c:v>3.2355200000000002</c:v>
                </c:pt>
                <c:pt idx="26">
                  <c:v>3.2451400000000001</c:v>
                </c:pt>
                <c:pt idx="27">
                  <c:v>3.2555000000000001</c:v>
                </c:pt>
                <c:pt idx="28">
                  <c:v>3.2680700000000003</c:v>
                </c:pt>
                <c:pt idx="29">
                  <c:v>3.2762799999999999</c:v>
                </c:pt>
                <c:pt idx="30">
                  <c:v>3.2824499999999999</c:v>
                </c:pt>
                <c:pt idx="31">
                  <c:v>3.28749</c:v>
                </c:pt>
                <c:pt idx="32">
                  <c:v>3.2953399999999999</c:v>
                </c:pt>
                <c:pt idx="33">
                  <c:v>3.3046100000000003</c:v>
                </c:pt>
                <c:pt idx="34">
                  <c:v>3.3148100000000005</c:v>
                </c:pt>
                <c:pt idx="35">
                  <c:v>3.3258799999999997</c:v>
                </c:pt>
                <c:pt idx="36">
                  <c:v>3.3375500000000002</c:v>
                </c:pt>
                <c:pt idx="37">
                  <c:v>3.3482000000000003</c:v>
                </c:pt>
                <c:pt idx="38">
                  <c:v>3.35968</c:v>
                </c:pt>
                <c:pt idx="39">
                  <c:v>3.3739799999999995</c:v>
                </c:pt>
                <c:pt idx="40">
                  <c:v>3.3868900000000002</c:v>
                </c:pt>
                <c:pt idx="41">
                  <c:v>3.3971099999999996</c:v>
                </c:pt>
                <c:pt idx="42">
                  <c:v>3.4079900000000003</c:v>
                </c:pt>
                <c:pt idx="43">
                  <c:v>3.4155699999999998</c:v>
                </c:pt>
                <c:pt idx="44">
                  <c:v>3.4239299999999999</c:v>
                </c:pt>
                <c:pt idx="45">
                  <c:v>3.4334500000000001</c:v>
                </c:pt>
                <c:pt idx="46">
                  <c:v>3.4412900000000004</c:v>
                </c:pt>
                <c:pt idx="47">
                  <c:v>3.4488400000000001</c:v>
                </c:pt>
                <c:pt idx="48">
                  <c:v>3.4578500000000001</c:v>
                </c:pt>
                <c:pt idx="49">
                  <c:v>3.4660600000000001</c:v>
                </c:pt>
                <c:pt idx="50">
                  <c:v>3.4719299999999995</c:v>
                </c:pt>
                <c:pt idx="51">
                  <c:v>3.4758099999999996</c:v>
                </c:pt>
                <c:pt idx="52">
                  <c:v>3.4777200000000001</c:v>
                </c:pt>
                <c:pt idx="53">
                  <c:v>3.4752999999999998</c:v>
                </c:pt>
                <c:pt idx="54">
                  <c:v>3.4740799999999998</c:v>
                </c:pt>
                <c:pt idx="55">
                  <c:v>3.4771299999999998</c:v>
                </c:pt>
                <c:pt idx="56">
                  <c:v>3.4828100000000002</c:v>
                </c:pt>
                <c:pt idx="57">
                  <c:v>3.4864299999999999</c:v>
                </c:pt>
                <c:pt idx="58">
                  <c:v>3.48813</c:v>
                </c:pt>
                <c:pt idx="59">
                  <c:v>3.4896500000000001</c:v>
                </c:pt>
                <c:pt idx="60">
                  <c:v>3.4894699999999998</c:v>
                </c:pt>
                <c:pt idx="61">
                  <c:v>3.4855900000000002</c:v>
                </c:pt>
                <c:pt idx="62">
                  <c:v>3.4778500000000001</c:v>
                </c:pt>
                <c:pt idx="63">
                  <c:v>3.4697</c:v>
                </c:pt>
                <c:pt idx="64">
                  <c:v>3.4584999999999999</c:v>
                </c:pt>
                <c:pt idx="65">
                  <c:v>3.4505599999999998</c:v>
                </c:pt>
                <c:pt idx="66">
                  <c:v>3.4457599999999999</c:v>
                </c:pt>
                <c:pt idx="67">
                  <c:v>3.4340999999999999</c:v>
                </c:pt>
                <c:pt idx="68">
                  <c:v>3.4332000000000003</c:v>
                </c:pt>
                <c:pt idx="69">
                  <c:v>3.4332500000000001</c:v>
                </c:pt>
                <c:pt idx="70">
                  <c:v>3.4329199999999997</c:v>
                </c:pt>
                <c:pt idx="71">
                  <c:v>3.4431099999999999</c:v>
                </c:pt>
                <c:pt idx="72">
                  <c:v>3.4567199999999998</c:v>
                </c:pt>
                <c:pt idx="73">
                  <c:v>3.4590399999999999</c:v>
                </c:pt>
                <c:pt idx="74">
                  <c:v>3.4271400000000001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35.113199999999999</c:v>
                </c:pt>
                <c:pt idx="1">
                  <c:v>35.32</c:v>
                </c:pt>
                <c:pt idx="2">
                  <c:v>35.695799999999998</c:v>
                </c:pt>
                <c:pt idx="3">
                  <c:v>35.875399999999999</c:v>
                </c:pt>
                <c:pt idx="4">
                  <c:v>36.016399999999997</c:v>
                </c:pt>
                <c:pt idx="5">
                  <c:v>36.255700000000004</c:v>
                </c:pt>
                <c:pt idx="6">
                  <c:v>36.530699999999996</c:v>
                </c:pt>
                <c:pt idx="7">
                  <c:v>36.757300000000001</c:v>
                </c:pt>
                <c:pt idx="8">
                  <c:v>36.926700000000004</c:v>
                </c:pt>
                <c:pt idx="9">
                  <c:v>37.1023</c:v>
                </c:pt>
                <c:pt idx="10">
                  <c:v>37.2774</c:v>
                </c:pt>
                <c:pt idx="11">
                  <c:v>37.382300000000001</c:v>
                </c:pt>
                <c:pt idx="12">
                  <c:v>37.360900000000001</c:v>
                </c:pt>
                <c:pt idx="13">
                  <c:v>37.303799999999995</c:v>
                </c:pt>
                <c:pt idx="14">
                  <c:v>37.328499999999998</c:v>
                </c:pt>
                <c:pt idx="15">
                  <c:v>37.345399999999998</c:v>
                </c:pt>
                <c:pt idx="16">
                  <c:v>37.368000000000002</c:v>
                </c:pt>
                <c:pt idx="17">
                  <c:v>37.343199999999996</c:v>
                </c:pt>
                <c:pt idx="18">
                  <c:v>37.294400000000003</c:v>
                </c:pt>
                <c:pt idx="19">
                  <c:v>37.190400000000004</c:v>
                </c:pt>
                <c:pt idx="20">
                  <c:v>37.078299999999999</c:v>
                </c:pt>
                <c:pt idx="21">
                  <c:v>37.008699999999997</c:v>
                </c:pt>
                <c:pt idx="22">
                  <c:v>36.987400000000001</c:v>
                </c:pt>
                <c:pt idx="23">
                  <c:v>36.960999999999999</c:v>
                </c:pt>
                <c:pt idx="24">
                  <c:v>36.8399</c:v>
                </c:pt>
                <c:pt idx="25">
                  <c:v>36.685099999999998</c:v>
                </c:pt>
                <c:pt idx="26">
                  <c:v>36.494700000000002</c:v>
                </c:pt>
                <c:pt idx="27">
                  <c:v>36.204599999999999</c:v>
                </c:pt>
                <c:pt idx="28">
                  <c:v>35.912300000000002</c:v>
                </c:pt>
                <c:pt idx="29">
                  <c:v>35.7483</c:v>
                </c:pt>
                <c:pt idx="30">
                  <c:v>35.671799999999998</c:v>
                </c:pt>
                <c:pt idx="31">
                  <c:v>35.5991</c:v>
                </c:pt>
                <c:pt idx="32">
                  <c:v>35.421599999999998</c:v>
                </c:pt>
                <c:pt idx="33">
                  <c:v>35.235300000000002</c:v>
                </c:pt>
                <c:pt idx="34">
                  <c:v>34.993699999999997</c:v>
                </c:pt>
                <c:pt idx="35">
                  <c:v>34.7136</c:v>
                </c:pt>
                <c:pt idx="36">
                  <c:v>34.377299999999998</c:v>
                </c:pt>
                <c:pt idx="37">
                  <c:v>34.025399999999998</c:v>
                </c:pt>
                <c:pt idx="38">
                  <c:v>33.788899999999998</c:v>
                </c:pt>
                <c:pt idx="39">
                  <c:v>33.5244</c:v>
                </c:pt>
                <c:pt idx="40">
                  <c:v>33.275399999999998</c:v>
                </c:pt>
                <c:pt idx="41">
                  <c:v>33.103900000000003</c:v>
                </c:pt>
                <c:pt idx="42">
                  <c:v>32.886200000000002</c:v>
                </c:pt>
                <c:pt idx="43">
                  <c:v>32.703700000000005</c:v>
                </c:pt>
                <c:pt idx="44">
                  <c:v>32.595200000000006</c:v>
                </c:pt>
                <c:pt idx="45">
                  <c:v>32.482599999999998</c:v>
                </c:pt>
                <c:pt idx="46">
                  <c:v>32.394099999999995</c:v>
                </c:pt>
                <c:pt idx="47">
                  <c:v>32.321399999999997</c:v>
                </c:pt>
                <c:pt idx="48">
                  <c:v>32.0901</c:v>
                </c:pt>
                <c:pt idx="49">
                  <c:v>31.835699999999999</c:v>
                </c:pt>
                <c:pt idx="50">
                  <c:v>31.703199999999999</c:v>
                </c:pt>
                <c:pt idx="51">
                  <c:v>31.620100000000001</c:v>
                </c:pt>
                <c:pt idx="52">
                  <c:v>31.563400000000001</c:v>
                </c:pt>
                <c:pt idx="53">
                  <c:v>31.543500000000002</c:v>
                </c:pt>
                <c:pt idx="54">
                  <c:v>31.441700000000001</c:v>
                </c:pt>
                <c:pt idx="55">
                  <c:v>31.242900000000002</c:v>
                </c:pt>
                <c:pt idx="56">
                  <c:v>31.060300000000002</c:v>
                </c:pt>
                <c:pt idx="57">
                  <c:v>30.948999999999998</c:v>
                </c:pt>
                <c:pt idx="58">
                  <c:v>30.8568</c:v>
                </c:pt>
                <c:pt idx="59">
                  <c:v>30.786400000000004</c:v>
                </c:pt>
                <c:pt idx="60">
                  <c:v>30.764200000000002</c:v>
                </c:pt>
                <c:pt idx="61">
                  <c:v>30.8215</c:v>
                </c:pt>
                <c:pt idx="62">
                  <c:v>30.971500000000002</c:v>
                </c:pt>
                <c:pt idx="63">
                  <c:v>30.9573</c:v>
                </c:pt>
                <c:pt idx="64">
                  <c:v>30.9819</c:v>
                </c:pt>
                <c:pt idx="65">
                  <c:v>30.999399999999998</c:v>
                </c:pt>
                <c:pt idx="66">
                  <c:v>30.856499999999997</c:v>
                </c:pt>
                <c:pt idx="67">
                  <c:v>30.891300000000001</c:v>
                </c:pt>
                <c:pt idx="68">
                  <c:v>30.830600000000004</c:v>
                </c:pt>
                <c:pt idx="69">
                  <c:v>30.580500000000001</c:v>
                </c:pt>
                <c:pt idx="70">
                  <c:v>30.293599999999998</c:v>
                </c:pt>
                <c:pt idx="71">
                  <c:v>29.770299999999999</c:v>
                </c:pt>
                <c:pt idx="72">
                  <c:v>28.899599999999996</c:v>
                </c:pt>
                <c:pt idx="73">
                  <c:v>28.383599999999998</c:v>
                </c:pt>
                <c:pt idx="74">
                  <c:v>29.121000000000002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2.1240200000000002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49.513800000000003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3.1207463513513507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32.318218918918923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3.3337175675675681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33.87195135135137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3.3337175675675681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33.87195135135137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topLeftCell="A2" zoomScaleNormal="100" workbookViewId="0">
      <selection activeCell="C5" sqref="C5:F5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9.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518</v>
      </c>
      <c r="D5" s="191"/>
      <c r="E5" s="191"/>
      <c r="F5" s="192"/>
      <c r="G5" s="48" t="str">
        <f>lang!B27</f>
        <v>编号</v>
      </c>
      <c r="H5" s="190">
        <v>1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519</v>
      </c>
      <c r="D6" s="145"/>
      <c r="E6" s="145"/>
      <c r="F6" s="146"/>
      <c r="G6" s="49" t="str">
        <f>lang!B28</f>
        <v xml:space="preserve"> 日期</v>
      </c>
      <c r="H6" s="129">
        <f>FH_info!A2</f>
        <v>43606.378668981481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30</v>
      </c>
      <c r="D7" s="148"/>
      <c r="E7" s="148"/>
      <c r="F7" s="149"/>
      <c r="G7" s="50" t="str">
        <f>lang!B29</f>
        <v>误差率（%）</v>
      </c>
      <c r="H7" s="132">
        <f>M!B17*1</f>
        <v>17.206299999999999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41.8536</v>
      </c>
      <c r="O8" s="59">
        <f>M!C5*1</f>
        <v>7.3283100000000001</v>
      </c>
      <c r="P8" s="59">
        <f>M!D5*1</f>
        <v>17.509399999999999</v>
      </c>
      <c r="Q8" s="59">
        <f>M!E5*1</f>
        <v>20</v>
      </c>
      <c r="R8" s="59">
        <f>M!F5*1</f>
        <v>15.0891</v>
      </c>
      <c r="S8" s="59">
        <f>M!G5*1</f>
        <v>50</v>
      </c>
      <c r="T8" s="59">
        <f>M!H5*1</f>
        <v>48.419499999999999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32.121200000000002</v>
      </c>
      <c r="O9" s="59">
        <f>M!C6*1</f>
        <v>2.1381100000000002</v>
      </c>
      <c r="P9" s="59">
        <f>M!D6*1</f>
        <v>6.6563800000000004</v>
      </c>
      <c r="Q9" s="59">
        <f>M!E6*1</f>
        <v>20</v>
      </c>
      <c r="R9" s="59">
        <f>M!F6*1</f>
        <v>27.939499999999999</v>
      </c>
      <c r="S9" s="59">
        <f>M!G6*1</f>
        <v>40</v>
      </c>
      <c r="T9" s="59">
        <f>M!H6*1</f>
        <v>37.207599999999999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15.0891</v>
      </c>
      <c r="D10" s="99">
        <f>N8</f>
        <v>41.8536</v>
      </c>
      <c r="E10" s="100">
        <f>T8</f>
        <v>48.419499999999999</v>
      </c>
      <c r="F10" s="91">
        <f>P8</f>
        <v>17.509399999999999</v>
      </c>
      <c r="G10" s="81" t="str">
        <f>CONCATENATE(M9,"
(20 ~ 40)")</f>
        <v>压力
(20 ~ 40)</v>
      </c>
      <c r="H10" s="98">
        <f>R9</f>
        <v>27.939499999999999</v>
      </c>
      <c r="I10" s="108">
        <f>N9</f>
        <v>32.121200000000002</v>
      </c>
      <c r="J10" s="98">
        <f>T9</f>
        <v>37.207599999999999</v>
      </c>
      <c r="K10" s="92">
        <f>P9</f>
        <v>6.6563800000000004</v>
      </c>
      <c r="L10" s="6"/>
      <c r="M10" s="27" t="str">
        <f>lang!B16</f>
        <v>焦虑</v>
      </c>
      <c r="N10" s="59">
        <f>M!B7*1</f>
        <v>28.8004</v>
      </c>
      <c r="O10" s="59">
        <f>M!C7*1</f>
        <v>11.676600000000001</v>
      </c>
      <c r="P10" s="59">
        <f>M!D7*1</f>
        <v>40.542999999999999</v>
      </c>
      <c r="Q10" s="59">
        <f>M!E7*1</f>
        <v>15</v>
      </c>
      <c r="R10" s="59">
        <f>M!F7*1</f>
        <v>7.6363200000000004</v>
      </c>
      <c r="S10" s="59">
        <f>M!G7*1</f>
        <v>40</v>
      </c>
      <c r="T10" s="59">
        <f>M!H7*1</f>
        <v>55.626300000000001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7.6363200000000004</v>
      </c>
      <c r="D11" s="102">
        <f>N10</f>
        <v>28.8004</v>
      </c>
      <c r="E11" s="103">
        <f>T10</f>
        <v>55.626300000000001</v>
      </c>
      <c r="F11" s="94">
        <f>P10</f>
        <v>40.542999999999999</v>
      </c>
      <c r="G11" s="52" t="str">
        <f>CONCATENATE(M11,"
(20 ~ 50)")</f>
        <v>可疑
(20 ~ 50)</v>
      </c>
      <c r="H11" s="101">
        <f>R11</f>
        <v>25.15</v>
      </c>
      <c r="I11" s="104">
        <f>N11</f>
        <v>34.296500000000002</v>
      </c>
      <c r="J11" s="101">
        <f>T11</f>
        <v>42.467100000000002</v>
      </c>
      <c r="K11" s="95">
        <f>P11</f>
        <v>13.849399999999999</v>
      </c>
      <c r="L11" s="4"/>
      <c r="M11" s="27" t="str">
        <f>lang!B17</f>
        <v>可疑</v>
      </c>
      <c r="N11" s="59">
        <f>M!B8*1</f>
        <v>34.296500000000002</v>
      </c>
      <c r="O11" s="59">
        <f>M!C8*1</f>
        <v>4.74986</v>
      </c>
      <c r="P11" s="59">
        <f>M!D8*1</f>
        <v>13.849399999999999</v>
      </c>
      <c r="Q11" s="59">
        <f>M!E8*1</f>
        <v>20</v>
      </c>
      <c r="R11" s="59">
        <f>M!F8*1</f>
        <v>25.15</v>
      </c>
      <c r="S11" s="59">
        <f>M!G8*1</f>
        <v>50</v>
      </c>
      <c r="T11" s="59">
        <f>M!H8*1</f>
        <v>42.467100000000002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40.668999999999997</v>
      </c>
      <c r="D12" s="104">
        <f>N12</f>
        <v>63.8172</v>
      </c>
      <c r="E12" s="101">
        <f>T12</f>
        <v>76.789500000000004</v>
      </c>
      <c r="F12" s="93">
        <f>P12</f>
        <v>13.498699999999999</v>
      </c>
      <c r="G12" s="52" t="str">
        <f>CONCATENATE(M13,"
(40 ~ 100)")</f>
        <v>自信
(40 ~ 100)</v>
      </c>
      <c r="H12" s="101">
        <f>R13</f>
        <v>57.945</v>
      </c>
      <c r="I12" s="104">
        <f>N13</f>
        <v>76.395700000000005</v>
      </c>
      <c r="J12" s="101">
        <f>T13</f>
        <v>81.441599999999994</v>
      </c>
      <c r="K12" s="95">
        <f>P13</f>
        <v>7.8964699999999999</v>
      </c>
      <c r="L12" s="4"/>
      <c r="M12" s="27" t="str">
        <f>lang!B18</f>
        <v>平衡</v>
      </c>
      <c r="N12" s="59">
        <f>M!B9*1</f>
        <v>63.8172</v>
      </c>
      <c r="O12" s="59">
        <f>M!C9*1</f>
        <v>8.6145200000000006</v>
      </c>
      <c r="P12" s="59">
        <f>M!D9*1</f>
        <v>13.498699999999999</v>
      </c>
      <c r="Q12" s="59">
        <f>M!E9*1</f>
        <v>50</v>
      </c>
      <c r="R12" s="59">
        <f>M!F9*1</f>
        <v>40.668999999999997</v>
      </c>
      <c r="S12" s="59">
        <f>M!G9*1</f>
        <v>100</v>
      </c>
      <c r="T12" s="59">
        <f>M!H9*1</f>
        <v>76.789500000000004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7.5983700000000001</v>
      </c>
      <c r="D13" s="102">
        <f>N14</f>
        <v>19.180800000000001</v>
      </c>
      <c r="E13" s="103">
        <f>T14</f>
        <v>22.093499999999999</v>
      </c>
      <c r="F13" s="94">
        <f>P14</f>
        <v>16.346599999999999</v>
      </c>
      <c r="G13" s="52" t="str">
        <f>CONCATENATE(M15,"
(50 ~ 100)")</f>
        <v>自我调节
(50 ~ 100)</v>
      </c>
      <c r="H13" s="101">
        <f>R15</f>
        <v>51.6905</v>
      </c>
      <c r="I13" s="104">
        <f>N15</f>
        <v>70.671899999999994</v>
      </c>
      <c r="J13" s="101">
        <f>T15</f>
        <v>78.0989</v>
      </c>
      <c r="K13" s="95">
        <f>P15</f>
        <v>9.7590400000000006</v>
      </c>
      <c r="L13" s="4"/>
      <c r="M13" s="27" t="str">
        <f>lang!B19</f>
        <v>自信</v>
      </c>
      <c r="N13" s="59">
        <f>M!B10*1</f>
        <v>76.395700000000005</v>
      </c>
      <c r="O13" s="59">
        <f>M!C10*1</f>
        <v>6.0325600000000001</v>
      </c>
      <c r="P13" s="59">
        <f>M!D10*1</f>
        <v>7.8964699999999999</v>
      </c>
      <c r="Q13" s="59">
        <f>M!E10*1</f>
        <v>40</v>
      </c>
      <c r="R13" s="59">
        <f>M!F10*1</f>
        <v>57.945</v>
      </c>
      <c r="S13" s="59">
        <f>M!G10*1</f>
        <v>100</v>
      </c>
      <c r="T13" s="59">
        <f>M!H10*1</f>
        <v>81.441599999999994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13.361599999999999</v>
      </c>
      <c r="D14" s="106">
        <f>N16</f>
        <v>18.008400000000002</v>
      </c>
      <c r="E14" s="107">
        <f>T16</f>
        <v>25.674199999999999</v>
      </c>
      <c r="F14" s="96">
        <f>P16</f>
        <v>12.5349</v>
      </c>
      <c r="G14" s="112" t="str">
        <f>CONCATENATE(M17,"
(10 ~ 50)")</f>
        <v>神经质
(10 ~ 50)</v>
      </c>
      <c r="H14" s="105">
        <f>R17</f>
        <v>2.0159699999999998</v>
      </c>
      <c r="I14" s="106">
        <f>N17</f>
        <v>22.573399999999999</v>
      </c>
      <c r="J14" s="107">
        <f>T17</f>
        <v>28.654199999999999</v>
      </c>
      <c r="K14" s="97">
        <f>P17</f>
        <v>33.469000000000001</v>
      </c>
      <c r="M14" s="27" t="str">
        <f>lang!B20</f>
        <v>活力</v>
      </c>
      <c r="N14" s="59">
        <f>M!B11*1</f>
        <v>19.180800000000001</v>
      </c>
      <c r="O14" s="59">
        <f>M!C11*1</f>
        <v>3.1354000000000002</v>
      </c>
      <c r="P14" s="59">
        <f>M!D11*1</f>
        <v>16.346599999999999</v>
      </c>
      <c r="Q14" s="59">
        <f>M!E11*1</f>
        <v>10</v>
      </c>
      <c r="R14" s="59">
        <f>M!F11*1</f>
        <v>7.5983700000000001</v>
      </c>
      <c r="S14" s="59">
        <f>M!G11*1</f>
        <v>50</v>
      </c>
      <c r="T14" s="59">
        <f>M!H11*1</f>
        <v>22.093499999999999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70.671899999999994</v>
      </c>
      <c r="O15" s="59">
        <f>M!C12*1</f>
        <v>6.8968999999999996</v>
      </c>
      <c r="P15" s="59">
        <f>M!D12*1</f>
        <v>9.7590400000000006</v>
      </c>
      <c r="Q15" s="59">
        <f>M!E12*1</f>
        <v>50</v>
      </c>
      <c r="R15" s="59">
        <f>M!F12*1</f>
        <v>51.6905</v>
      </c>
      <c r="S15" s="59">
        <f>M!G12*1</f>
        <v>100</v>
      </c>
      <c r="T15" s="59">
        <f>M!H12*1</f>
        <v>78.0989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18.008400000000002</v>
      </c>
      <c r="O16" s="59">
        <f>M!C13*1</f>
        <v>2.2573400000000001</v>
      </c>
      <c r="P16" s="59">
        <f>M!D13*1</f>
        <v>12.5349</v>
      </c>
      <c r="Q16" s="59">
        <f>M!E13*1</f>
        <v>10</v>
      </c>
      <c r="R16" s="59">
        <f>M!F13*1</f>
        <v>13.361599999999999</v>
      </c>
      <c r="S16" s="59">
        <f>M!G13*1</f>
        <v>25</v>
      </c>
      <c r="T16" s="59">
        <f>M!H13*1</f>
        <v>25.674199999999999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22.573399999999999</v>
      </c>
      <c r="O17" s="59">
        <f>M!C14*1</f>
        <v>7.55511</v>
      </c>
      <c r="P17" s="59">
        <f>M!D14*1</f>
        <v>33.469000000000001</v>
      </c>
      <c r="Q17" s="59">
        <f>M!E14*1</f>
        <v>10</v>
      </c>
      <c r="R17" s="59">
        <f>M!F14*1</f>
        <v>2.0159699999999998</v>
      </c>
      <c r="S17" s="59">
        <f>M!G14*1</f>
        <v>50</v>
      </c>
      <c r="T17" s="59">
        <f>M!H14*1</f>
        <v>28.654199999999999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57.516399999999997</v>
      </c>
      <c r="O18" s="22">
        <f>N18/(N18+N19+N20)</f>
        <v>0.51319459764635766</v>
      </c>
      <c r="P18" s="65">
        <f>SUM(P12:P15)/4</f>
        <v>11.8752025</v>
      </c>
      <c r="Q18" s="22">
        <f>P18/(P18+P19+P20)</f>
        <v>0.21782688689093832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34.267924999999998</v>
      </c>
      <c r="O19" s="22">
        <f>N19/(N18+N19+N20)</f>
        <v>0.30575825299480774</v>
      </c>
      <c r="P19" s="18">
        <f>SUM(P8:P11)/4</f>
        <v>19.639544999999998</v>
      </c>
      <c r="Q19" s="22">
        <f>P19/(P18+P19+P20)</f>
        <v>0.36024825238175878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20.290900000000001</v>
      </c>
      <c r="O20" s="22">
        <f>N20/(N18+N19+N20)</f>
        <v>0.18104714935883467</v>
      </c>
      <c r="P20" s="18">
        <f>(P16+P17)/2</f>
        <v>23.001950000000001</v>
      </c>
      <c r="Q20" s="22">
        <f>P20/(P18+P19+P20)</f>
        <v>0.4219248607273029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-5.7597972972972533E-3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1.5390232561747024</v>
      </c>
      <c r="D25" s="44" t="str">
        <f>lang!B11</f>
        <v>频率方差</v>
      </c>
      <c r="E25" s="182">
        <f ca="1">FH!L3</f>
        <v>0.67651554126974978</v>
      </c>
      <c r="F25" s="183"/>
      <c r="G25" s="174" t="str">
        <f>lang!B12</f>
        <v>生理变化率</v>
      </c>
      <c r="H25" s="175"/>
      <c r="I25" s="62" t="str">
        <f ca="1">CONCATENATE(info!M7,"-",info!M8)</f>
        <v>25.9-49.5</v>
      </c>
      <c r="J25" s="42" t="str">
        <f>lang!B13</f>
        <v>千卡l/分钟</v>
      </c>
      <c r="K25" s="41" t="str">
        <f ca="1">CONCATENATE(info!M5,"-",info!M6)</f>
        <v>2.1-3.5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38.280900000000003</v>
      </c>
      <c r="F28" s="121"/>
      <c r="G28" s="135" t="str">
        <f>lang!B33</f>
        <v>稳定性</v>
      </c>
      <c r="H28" s="136"/>
      <c r="I28" s="137"/>
      <c r="J28" s="138">
        <f>M!B19*100</f>
        <v>62.435399999999994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43606.378668981481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-0.47280000000000655</v>
      </c>
      <c r="O7" s="59">
        <f t="shared" ref="O7:T7" si="2">AG7-X7</f>
        <v>-6.5975499999999991</v>
      </c>
      <c r="P7" s="59">
        <f t="shared" si="2"/>
        <v>-15.618569999999998</v>
      </c>
      <c r="Q7" s="59">
        <f t="shared" si="2"/>
        <v>0</v>
      </c>
      <c r="R7" s="59">
        <f t="shared" si="2"/>
        <v>21.255800000000001</v>
      </c>
      <c r="S7" s="59">
        <f t="shared" si="2"/>
        <v>0</v>
      </c>
      <c r="T7" s="59">
        <f t="shared" si="2"/>
        <v>0.38989999999999725</v>
      </c>
      <c r="U7" s="14"/>
      <c r="V7" s="27" t="str">
        <f>M7</f>
        <v>攻击性</v>
      </c>
      <c r="W7" s="59">
        <f>'M1'!B5*1</f>
        <v>42.042900000000003</v>
      </c>
      <c r="X7" s="59">
        <f>'M1'!C5*1</f>
        <v>9.3272999999999993</v>
      </c>
      <c r="Y7" s="59">
        <f>'M1'!D5*1</f>
        <v>22.185199999999998</v>
      </c>
      <c r="Z7" s="59">
        <f>'M1'!E5*1</f>
        <v>20</v>
      </c>
      <c r="AA7" s="59">
        <f>'M1'!F5*1</f>
        <v>15.0891</v>
      </c>
      <c r="AB7" s="59">
        <f>'M1'!G5*1</f>
        <v>50</v>
      </c>
      <c r="AC7" s="59">
        <f>'M1'!H5*1</f>
        <v>48.029600000000002</v>
      </c>
      <c r="AE7" s="27" t="str">
        <f>V7</f>
        <v>攻击性</v>
      </c>
      <c r="AF7" s="59">
        <f>'M2'!B5*1</f>
        <v>41.570099999999996</v>
      </c>
      <c r="AG7" s="59">
        <f>'M2'!C5*1</f>
        <v>2.7297500000000001</v>
      </c>
      <c r="AH7" s="59">
        <f>'M2'!D5*1</f>
        <v>6.56663</v>
      </c>
      <c r="AI7" s="59">
        <f>'M2'!E5*1</f>
        <v>20</v>
      </c>
      <c r="AJ7" s="59">
        <f>'M2'!F5*1</f>
        <v>36.344900000000003</v>
      </c>
      <c r="AK7" s="59">
        <f>'M2'!G5*1</f>
        <v>50</v>
      </c>
      <c r="AL7" s="59">
        <f>'M2'!H5*1</f>
        <v>48.419499999999999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-3.0962000000000032</v>
      </c>
      <c r="O8" s="59">
        <f t="shared" ref="O8:O16" si="5">AG8-X8</f>
        <v>-1.0090200000000003</v>
      </c>
      <c r="P8" s="59">
        <f t="shared" ref="P8:P16" si="6">AH8-Y8</f>
        <v>-2.6033200000000001</v>
      </c>
      <c r="Q8" s="59">
        <f t="shared" ref="Q8:Q16" si="7">AI8-Z8</f>
        <v>0</v>
      </c>
      <c r="R8" s="59">
        <f t="shared" ref="R8:R16" si="8">AJ8-AA8</f>
        <v>1.0884</v>
      </c>
      <c r="S8" s="59">
        <f t="shared" ref="S8:S16" si="9">AK8-AB8</f>
        <v>0</v>
      </c>
      <c r="T8" s="59">
        <f t="shared" ref="T8:T16" si="10">AL8-AC8</f>
        <v>-3.340600000000002</v>
      </c>
      <c r="U8" s="15"/>
      <c r="V8" s="27" t="str">
        <f t="shared" ref="V8:V16" si="11">M8</f>
        <v>压力</v>
      </c>
      <c r="W8" s="59">
        <f>'M1'!B6*1</f>
        <v>33.816400000000002</v>
      </c>
      <c r="X8" s="59">
        <f>'M1'!C6*1</f>
        <v>2.2856900000000002</v>
      </c>
      <c r="Y8" s="59">
        <f>'M1'!D6*1</f>
        <v>6.7591200000000002</v>
      </c>
      <c r="Z8" s="59">
        <f>'M1'!E6*1</f>
        <v>20</v>
      </c>
      <c r="AA8" s="59">
        <f>'M1'!F6*1</f>
        <v>27.939499999999999</v>
      </c>
      <c r="AB8" s="59">
        <f>'M1'!G6*1</f>
        <v>40</v>
      </c>
      <c r="AC8" s="59">
        <f>'M1'!H6*1</f>
        <v>37.207599999999999</v>
      </c>
      <c r="AE8" s="27" t="str">
        <f t="shared" ref="AE8:AE16" si="12">V8</f>
        <v>压力</v>
      </c>
      <c r="AF8" s="59">
        <f>'M2'!B6*1</f>
        <v>30.720199999999998</v>
      </c>
      <c r="AG8" s="59">
        <f>'M2'!C6*1</f>
        <v>1.27667</v>
      </c>
      <c r="AH8" s="59">
        <f>'M2'!D6*1</f>
        <v>4.1558000000000002</v>
      </c>
      <c r="AI8" s="59">
        <f>'M2'!E6*1</f>
        <v>20</v>
      </c>
      <c r="AJ8" s="59">
        <f>'M2'!F6*1</f>
        <v>29.027899999999999</v>
      </c>
      <c r="AK8" s="59">
        <f>'M2'!G6*1</f>
        <v>40</v>
      </c>
      <c r="AL8" s="59">
        <f>'M2'!H6*1</f>
        <v>33.866999999999997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21.255800000000001</v>
      </c>
      <c r="D9" s="78">
        <f>N7</f>
        <v>-0.47280000000000655</v>
      </c>
      <c r="E9" s="79">
        <f>T7</f>
        <v>0.38989999999999725</v>
      </c>
      <c r="F9" s="79">
        <f>P7</f>
        <v>-15.618569999999998</v>
      </c>
      <c r="G9" s="80" t="str">
        <f>CONCATENATE(M8,"
(20 ~ 40)")</f>
        <v>压力
(20 ~ 40)</v>
      </c>
      <c r="H9" s="77">
        <f>R8</f>
        <v>1.0884</v>
      </c>
      <c r="I9" s="81">
        <f>N8</f>
        <v>-3.0962000000000032</v>
      </c>
      <c r="J9" s="77">
        <f>T8</f>
        <v>-3.340600000000002</v>
      </c>
      <c r="K9" s="82">
        <f>P8</f>
        <v>-2.6033200000000001</v>
      </c>
      <c r="L9" s="6"/>
      <c r="M9" s="27" t="str">
        <f>lang!B16</f>
        <v>焦虑</v>
      </c>
      <c r="N9" s="59">
        <f t="shared" si="4"/>
        <v>12.3429</v>
      </c>
      <c r="O9" s="59">
        <f t="shared" si="5"/>
        <v>3.2894899999999989</v>
      </c>
      <c r="P9" s="59">
        <f t="shared" si="6"/>
        <v>-0.96210000000000306</v>
      </c>
      <c r="Q9" s="59">
        <f t="shared" si="7"/>
        <v>0</v>
      </c>
      <c r="R9" s="59">
        <f t="shared" si="8"/>
        <v>13.659279999999999</v>
      </c>
      <c r="S9" s="59">
        <f t="shared" si="9"/>
        <v>0</v>
      </c>
      <c r="T9" s="59">
        <f t="shared" si="10"/>
        <v>11.194299999999998</v>
      </c>
      <c r="U9" s="14"/>
      <c r="V9" s="27" t="str">
        <f t="shared" si="11"/>
        <v>焦虑</v>
      </c>
      <c r="W9" s="59">
        <f>'M1'!B7*1</f>
        <v>28.019300000000001</v>
      </c>
      <c r="X9" s="59">
        <f>'M1'!C7*1</f>
        <v>8.3488100000000003</v>
      </c>
      <c r="Y9" s="59">
        <f>'M1'!D7*1</f>
        <v>29.796700000000001</v>
      </c>
      <c r="Z9" s="59">
        <f>'M1'!E7*1</f>
        <v>15</v>
      </c>
      <c r="AA9" s="59">
        <f>'M1'!F7*1</f>
        <v>7.6363200000000004</v>
      </c>
      <c r="AB9" s="59">
        <f>'M1'!G7*1</f>
        <v>40</v>
      </c>
      <c r="AC9" s="59">
        <f>'M1'!H7*1</f>
        <v>44.432000000000002</v>
      </c>
      <c r="AE9" s="27" t="str">
        <f t="shared" si="12"/>
        <v>焦虑</v>
      </c>
      <c r="AF9" s="59">
        <f>'M2'!B7*1</f>
        <v>40.362200000000001</v>
      </c>
      <c r="AG9" s="59">
        <f>'M2'!C7*1</f>
        <v>11.638299999999999</v>
      </c>
      <c r="AH9" s="59">
        <f>'M2'!D7*1</f>
        <v>28.834599999999998</v>
      </c>
      <c r="AI9" s="59">
        <f>'M2'!E7*1</f>
        <v>15</v>
      </c>
      <c r="AJ9" s="59">
        <f>'M2'!F7*1</f>
        <v>21.2956</v>
      </c>
      <c r="AK9" s="59">
        <f>'M2'!G7*1</f>
        <v>40</v>
      </c>
      <c r="AL9" s="59">
        <f>'M2'!H7*1</f>
        <v>55.626300000000001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13.659279999999999</v>
      </c>
      <c r="D10" s="51">
        <f>N9</f>
        <v>12.3429</v>
      </c>
      <c r="E10" s="53">
        <f>T9</f>
        <v>11.194299999999998</v>
      </c>
      <c r="F10" s="53">
        <f>P9</f>
        <v>-0.96210000000000306</v>
      </c>
      <c r="G10" s="73" t="str">
        <f>CONCATENATE(M10,"
(20 ~ 50)")</f>
        <v>可疑
(20 ~ 50)</v>
      </c>
      <c r="H10" s="24">
        <f>R10</f>
        <v>5.4588999999999999</v>
      </c>
      <c r="I10" s="52">
        <f>N10</f>
        <v>6.0416999999999987</v>
      </c>
      <c r="J10" s="24">
        <f>T10</f>
        <v>3.4763000000000019</v>
      </c>
      <c r="K10" s="25">
        <f>P10</f>
        <v>-1.7910000000000004</v>
      </c>
      <c r="L10" s="4"/>
      <c r="M10" s="27" t="str">
        <f>lang!B17</f>
        <v>可疑</v>
      </c>
      <c r="N10" s="59">
        <f t="shared" si="4"/>
        <v>6.0416999999999987</v>
      </c>
      <c r="O10" s="59">
        <f t="shared" si="5"/>
        <v>4.3530000000000069E-2</v>
      </c>
      <c r="P10" s="59">
        <f t="shared" si="6"/>
        <v>-1.7910000000000004</v>
      </c>
      <c r="Q10" s="59">
        <f t="shared" si="7"/>
        <v>0</v>
      </c>
      <c r="R10" s="59">
        <f t="shared" si="8"/>
        <v>5.4588999999999999</v>
      </c>
      <c r="S10" s="59">
        <f t="shared" si="9"/>
        <v>0</v>
      </c>
      <c r="T10" s="59">
        <f t="shared" si="10"/>
        <v>3.4763000000000019</v>
      </c>
      <c r="U10" s="14"/>
      <c r="V10" s="27" t="str">
        <f t="shared" si="11"/>
        <v>可疑</v>
      </c>
      <c r="W10" s="59">
        <f>'M1'!B8*1</f>
        <v>32.674300000000002</v>
      </c>
      <c r="X10" s="59">
        <f>'M1'!C8*1</f>
        <v>3.98556</v>
      </c>
      <c r="Y10" s="59">
        <f>'M1'!D8*1</f>
        <v>12.197800000000001</v>
      </c>
      <c r="Z10" s="59">
        <f>'M1'!E8*1</f>
        <v>20</v>
      </c>
      <c r="AA10" s="59">
        <f>'M1'!F8*1</f>
        <v>25.15</v>
      </c>
      <c r="AB10" s="59">
        <f>'M1'!G8*1</f>
        <v>50</v>
      </c>
      <c r="AC10" s="59">
        <f>'M1'!H8*1</f>
        <v>38.9908</v>
      </c>
      <c r="AE10" s="27" t="str">
        <f t="shared" si="12"/>
        <v>可疑</v>
      </c>
      <c r="AF10" s="59">
        <f>'M2'!B8*1</f>
        <v>38.716000000000001</v>
      </c>
      <c r="AG10" s="59">
        <f>'M2'!C8*1</f>
        <v>4.0290900000000001</v>
      </c>
      <c r="AH10" s="59">
        <f>'M2'!D8*1</f>
        <v>10.4068</v>
      </c>
      <c r="AI10" s="59">
        <f>'M2'!E8*1</f>
        <v>20</v>
      </c>
      <c r="AJ10" s="59">
        <f>'M2'!F8*1</f>
        <v>30.608899999999998</v>
      </c>
      <c r="AK10" s="59">
        <f>'M2'!G8*1</f>
        <v>50</v>
      </c>
      <c r="AL10" s="59">
        <f>'M2'!H8*1</f>
        <v>42.467100000000002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11.067800000000005</v>
      </c>
      <c r="D11" s="52">
        <f>N11</f>
        <v>13.040899999999993</v>
      </c>
      <c r="E11" s="24">
        <f>T11</f>
        <v>4.8046999999999969</v>
      </c>
      <c r="F11" s="24">
        <f>P11</f>
        <v>-7.1693399999999992</v>
      </c>
      <c r="G11" s="73" t="str">
        <f>CONCATENATE(M12,"
(40 ~ 100)")</f>
        <v>自信
(40 ~ 100)</v>
      </c>
      <c r="H11" s="24">
        <f>R12</f>
        <v>13.927200000000006</v>
      </c>
      <c r="I11" s="52">
        <f>N12</f>
        <v>8.1740999999999957</v>
      </c>
      <c r="J11" s="24">
        <f>T12</f>
        <v>4.4388000000000005</v>
      </c>
      <c r="K11" s="25">
        <f>P12</f>
        <v>-6.4956600000000009</v>
      </c>
      <c r="L11" s="4"/>
      <c r="M11" s="27" t="str">
        <f>lang!B18</f>
        <v>平衡</v>
      </c>
      <c r="N11" s="59">
        <f t="shared" si="4"/>
        <v>13.040899999999993</v>
      </c>
      <c r="O11" s="59">
        <f t="shared" si="5"/>
        <v>-2.9717899999999995</v>
      </c>
      <c r="P11" s="59">
        <f t="shared" si="6"/>
        <v>-7.1693399999999992</v>
      </c>
      <c r="Q11" s="59">
        <f t="shared" si="7"/>
        <v>0</v>
      </c>
      <c r="R11" s="59">
        <f t="shared" si="8"/>
        <v>11.067800000000005</v>
      </c>
      <c r="S11" s="59">
        <f t="shared" si="9"/>
        <v>0</v>
      </c>
      <c r="T11" s="59">
        <f t="shared" si="10"/>
        <v>4.8046999999999969</v>
      </c>
      <c r="U11" s="14"/>
      <c r="V11" s="27" t="str">
        <f t="shared" si="11"/>
        <v>平衡</v>
      </c>
      <c r="W11" s="59">
        <f>'M1'!B9*1</f>
        <v>54.283000000000001</v>
      </c>
      <c r="X11" s="59">
        <f>'M1'!C9*1</f>
        <v>7.7209899999999996</v>
      </c>
      <c r="Y11" s="59">
        <f>'M1'!D9*1</f>
        <v>14.223599999999999</v>
      </c>
      <c r="Z11" s="59">
        <f>'M1'!E9*1</f>
        <v>50</v>
      </c>
      <c r="AA11" s="59">
        <f>'M1'!F9*1</f>
        <v>40.668999999999997</v>
      </c>
      <c r="AB11" s="59">
        <f>'M1'!G9*1</f>
        <v>100</v>
      </c>
      <c r="AC11" s="59">
        <f>'M1'!H9*1</f>
        <v>71.984800000000007</v>
      </c>
      <c r="AE11" s="27" t="str">
        <f t="shared" si="12"/>
        <v>平衡</v>
      </c>
      <c r="AF11" s="59">
        <f>'M2'!B9*1</f>
        <v>67.323899999999995</v>
      </c>
      <c r="AG11" s="59">
        <f>'M2'!C9*1</f>
        <v>4.7492000000000001</v>
      </c>
      <c r="AH11" s="59">
        <f>'M2'!D9*1</f>
        <v>7.0542600000000002</v>
      </c>
      <c r="AI11" s="59">
        <f>'M2'!E9*1</f>
        <v>50</v>
      </c>
      <c r="AJ11" s="59">
        <f>'M2'!F9*1</f>
        <v>51.736800000000002</v>
      </c>
      <c r="AK11" s="59">
        <f>'M2'!G9*1</f>
        <v>100</v>
      </c>
      <c r="AL11" s="59">
        <f>'M2'!H9*1</f>
        <v>76.789500000000004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9.4135300000000015</v>
      </c>
      <c r="D12" s="51">
        <f>N13</f>
        <v>1.8606999999999978</v>
      </c>
      <c r="E12" s="53">
        <f>T13</f>
        <v>1.4878999999999998</v>
      </c>
      <c r="F12" s="53">
        <f>P13</f>
        <v>-14.697590000000002</v>
      </c>
      <c r="G12" s="73" t="str">
        <f>CONCATENATE(M14,"
(50 ~ 100)")</f>
        <v>自我调节
(50 ~ 100)</v>
      </c>
      <c r="H12" s="24">
        <f>R14</f>
        <v>12.592500000000001</v>
      </c>
      <c r="I12" s="52">
        <f>N14</f>
        <v>11.160899999999991</v>
      </c>
      <c r="J12" s="24">
        <f>T14</f>
        <v>3.7685000000000031</v>
      </c>
      <c r="K12" s="25">
        <f>P14</f>
        <v>-6.4305099999999999</v>
      </c>
      <c r="L12" s="4"/>
      <c r="M12" s="27" t="str">
        <f>lang!B19</f>
        <v>自信</v>
      </c>
      <c r="N12" s="59">
        <f t="shared" si="4"/>
        <v>8.1740999999999957</v>
      </c>
      <c r="O12" s="59">
        <f t="shared" si="5"/>
        <v>-4.4374099999999999</v>
      </c>
      <c r="P12" s="59">
        <f t="shared" si="6"/>
        <v>-6.4956600000000009</v>
      </c>
      <c r="Q12" s="59">
        <f t="shared" si="7"/>
        <v>0</v>
      </c>
      <c r="R12" s="59">
        <f t="shared" si="8"/>
        <v>13.927200000000006</v>
      </c>
      <c r="S12" s="59">
        <f t="shared" si="9"/>
        <v>0</v>
      </c>
      <c r="T12" s="59">
        <f t="shared" si="10"/>
        <v>4.4388000000000005</v>
      </c>
      <c r="U12" s="15"/>
      <c r="V12" s="27" t="str">
        <f t="shared" si="11"/>
        <v>自信</v>
      </c>
      <c r="W12" s="59">
        <f>'M1'!B10*1</f>
        <v>70.498699999999999</v>
      </c>
      <c r="X12" s="59">
        <f>'M1'!C10*1</f>
        <v>5.8036599999999998</v>
      </c>
      <c r="Y12" s="59">
        <f>'M1'!D10*1</f>
        <v>8.2322900000000008</v>
      </c>
      <c r="Z12" s="59">
        <f>'M1'!E10*1</f>
        <v>40</v>
      </c>
      <c r="AA12" s="59">
        <f>'M1'!F10*1</f>
        <v>57.945</v>
      </c>
      <c r="AB12" s="59">
        <f>'M1'!G10*1</f>
        <v>100</v>
      </c>
      <c r="AC12" s="59">
        <f>'M1'!H10*1</f>
        <v>77.002799999999993</v>
      </c>
      <c r="AE12" s="27" t="str">
        <f t="shared" si="12"/>
        <v>自信</v>
      </c>
      <c r="AF12" s="59">
        <f>'M2'!B10*1</f>
        <v>78.672799999999995</v>
      </c>
      <c r="AG12" s="59">
        <f>'M2'!C10*1</f>
        <v>1.36625</v>
      </c>
      <c r="AH12" s="59">
        <f>'M2'!D10*1</f>
        <v>1.7366299999999999</v>
      </c>
      <c r="AI12" s="59">
        <f>'M2'!E10*1</f>
        <v>40</v>
      </c>
      <c r="AJ12" s="59">
        <f>'M2'!F10*1</f>
        <v>71.872200000000007</v>
      </c>
      <c r="AK12" s="59">
        <f>'M2'!G10*1</f>
        <v>100</v>
      </c>
      <c r="AL12" s="59">
        <f>'M2'!H10*1</f>
        <v>81.441599999999994</v>
      </c>
    </row>
    <row r="13" spans="2:38" ht="25.5" customHeight="1" thickBot="1">
      <c r="B13" s="72" t="str">
        <f>CONCATENATE(M15,"
(10 ~ 25)")</f>
        <v>抑郁
(10 ~ 25)</v>
      </c>
      <c r="C13" s="54">
        <f>R15</f>
        <v>2.2738000000000014</v>
      </c>
      <c r="D13" s="55">
        <f>N15</f>
        <v>0.74040000000000106</v>
      </c>
      <c r="E13" s="56">
        <f>T15</f>
        <v>1.7681000000000004</v>
      </c>
      <c r="F13" s="56">
        <f>P15</f>
        <v>-2.3202999999999996</v>
      </c>
      <c r="G13" s="74" t="str">
        <f>CONCATENATE(M16,"
(10 ~ 50)")</f>
        <v>神经质
(10 ~ 50)</v>
      </c>
      <c r="H13" s="54">
        <f>R16</f>
        <v>-0.15934000000000026</v>
      </c>
      <c r="I13" s="55">
        <f>N16</f>
        <v>-3.2324000000000019</v>
      </c>
      <c r="J13" s="56">
        <f>T16</f>
        <v>-0.47510000000000119</v>
      </c>
      <c r="K13" s="57">
        <f>P16</f>
        <v>3.9761000000000024</v>
      </c>
      <c r="M13" s="27" t="str">
        <f>lang!B20</f>
        <v>活力</v>
      </c>
      <c r="N13" s="59">
        <f t="shared" si="4"/>
        <v>1.8606999999999978</v>
      </c>
      <c r="O13" s="59">
        <f t="shared" si="5"/>
        <v>-2.5149900000000001</v>
      </c>
      <c r="P13" s="59">
        <f t="shared" si="6"/>
        <v>-14.697590000000002</v>
      </c>
      <c r="Q13" s="59">
        <f t="shared" si="7"/>
        <v>0</v>
      </c>
      <c r="R13" s="59">
        <f t="shared" si="8"/>
        <v>9.4135300000000015</v>
      </c>
      <c r="S13" s="59">
        <f t="shared" si="9"/>
        <v>0</v>
      </c>
      <c r="T13" s="59">
        <f t="shared" si="10"/>
        <v>1.4878999999999998</v>
      </c>
      <c r="U13" s="14"/>
      <c r="V13" s="27" t="str">
        <f t="shared" si="11"/>
        <v>活力</v>
      </c>
      <c r="W13" s="59">
        <f>'M1'!B11*1</f>
        <v>17.834900000000001</v>
      </c>
      <c r="X13" s="59">
        <f>'M1'!C11*1</f>
        <v>3.6402600000000001</v>
      </c>
      <c r="Y13" s="59">
        <f>'M1'!D11*1</f>
        <v>20.410900000000002</v>
      </c>
      <c r="Z13" s="59">
        <f>'M1'!E11*1</f>
        <v>10</v>
      </c>
      <c r="AA13" s="59">
        <f>'M1'!F11*1</f>
        <v>7.5983700000000001</v>
      </c>
      <c r="AB13" s="59">
        <f>'M1'!G11*1</f>
        <v>50</v>
      </c>
      <c r="AC13" s="59">
        <f>'M1'!H11*1</f>
        <v>20.605599999999999</v>
      </c>
      <c r="AE13" s="27" t="str">
        <f t="shared" si="12"/>
        <v>活力</v>
      </c>
      <c r="AF13" s="59">
        <f>'M2'!B11*1</f>
        <v>19.695599999999999</v>
      </c>
      <c r="AG13" s="59">
        <f>'M2'!C11*1</f>
        <v>1.12527</v>
      </c>
      <c r="AH13" s="59">
        <f>'M2'!D11*1</f>
        <v>5.7133099999999999</v>
      </c>
      <c r="AI13" s="59">
        <f>'M2'!E11*1</f>
        <v>10</v>
      </c>
      <c r="AJ13" s="59">
        <f>'M2'!F11*1</f>
        <v>17.011900000000001</v>
      </c>
      <c r="AK13" s="59">
        <f>'M2'!G11*1</f>
        <v>50</v>
      </c>
      <c r="AL13" s="59">
        <f>'M2'!H11*1</f>
        <v>22.093499999999999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11.160899999999991</v>
      </c>
      <c r="O14" s="59">
        <f t="shared" si="5"/>
        <v>-3.5568599999999995</v>
      </c>
      <c r="P14" s="59">
        <f t="shared" si="6"/>
        <v>-6.4305099999999999</v>
      </c>
      <c r="Q14" s="59">
        <f t="shared" si="7"/>
        <v>0</v>
      </c>
      <c r="R14" s="59">
        <f t="shared" si="8"/>
        <v>12.592500000000001</v>
      </c>
      <c r="S14" s="59">
        <f t="shared" si="9"/>
        <v>0</v>
      </c>
      <c r="T14" s="59">
        <f t="shared" si="10"/>
        <v>3.7685000000000031</v>
      </c>
      <c r="U14" s="14"/>
      <c r="V14" s="27" t="str">
        <f t="shared" si="11"/>
        <v>自我调节</v>
      </c>
      <c r="W14" s="59">
        <f>'M1'!B12*1</f>
        <v>61.492600000000003</v>
      </c>
      <c r="X14" s="59">
        <f>'M1'!C12*1</f>
        <v>6.1439899999999996</v>
      </c>
      <c r="Y14" s="59">
        <f>'M1'!D12*1</f>
        <v>9.9914299999999994</v>
      </c>
      <c r="Z14" s="59">
        <f>'M1'!E12*1</f>
        <v>50</v>
      </c>
      <c r="AA14" s="59">
        <f>'M1'!F12*1</f>
        <v>51.6905</v>
      </c>
      <c r="AB14" s="59">
        <f>'M1'!G12*1</f>
        <v>100</v>
      </c>
      <c r="AC14" s="59">
        <f>'M1'!H12*1</f>
        <v>74.330399999999997</v>
      </c>
      <c r="AE14" s="27" t="str">
        <f t="shared" si="12"/>
        <v>自我调节</v>
      </c>
      <c r="AF14" s="59">
        <f>'M2'!B12*1</f>
        <v>72.653499999999994</v>
      </c>
      <c r="AG14" s="59">
        <f>'M2'!C12*1</f>
        <v>2.5871300000000002</v>
      </c>
      <c r="AH14" s="59">
        <f>'M2'!D12*1</f>
        <v>3.5609199999999999</v>
      </c>
      <c r="AI14" s="59">
        <f>'M2'!E12*1</f>
        <v>50</v>
      </c>
      <c r="AJ14" s="59">
        <f>'M2'!F12*1</f>
        <v>64.283000000000001</v>
      </c>
      <c r="AK14" s="59">
        <f>'M2'!G12*1</f>
        <v>100</v>
      </c>
      <c r="AL14" s="59">
        <f>'M2'!H12*1</f>
        <v>78.0989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0.74040000000000106</v>
      </c>
      <c r="O15" s="59">
        <f t="shared" si="5"/>
        <v>-0.32323999999999975</v>
      </c>
      <c r="P15" s="59">
        <f t="shared" si="6"/>
        <v>-2.3202999999999996</v>
      </c>
      <c r="Q15" s="59">
        <f t="shared" si="7"/>
        <v>0</v>
      </c>
      <c r="R15" s="59">
        <f t="shared" si="8"/>
        <v>2.2738000000000014</v>
      </c>
      <c r="S15" s="59">
        <f t="shared" si="9"/>
        <v>0</v>
      </c>
      <c r="T15" s="59">
        <f t="shared" si="10"/>
        <v>1.7681000000000004</v>
      </c>
      <c r="U15" s="14"/>
      <c r="V15" s="27" t="str">
        <f t="shared" si="11"/>
        <v>抑郁</v>
      </c>
      <c r="W15" s="59">
        <f>'M1'!B13*1</f>
        <v>17.515999999999998</v>
      </c>
      <c r="X15" s="59">
        <f>'M1'!C13*1</f>
        <v>2.3741699999999999</v>
      </c>
      <c r="Y15" s="59">
        <f>'M1'!D13*1</f>
        <v>13.5543</v>
      </c>
      <c r="Z15" s="59">
        <f>'M1'!E13*1</f>
        <v>10</v>
      </c>
      <c r="AA15" s="59">
        <f>'M1'!F13*1</f>
        <v>13.361599999999999</v>
      </c>
      <c r="AB15" s="59">
        <f>'M1'!G13*1</f>
        <v>25</v>
      </c>
      <c r="AC15" s="59">
        <f>'M1'!H13*1</f>
        <v>23.906099999999999</v>
      </c>
      <c r="AE15" s="27" t="str">
        <f t="shared" si="12"/>
        <v>抑郁</v>
      </c>
      <c r="AF15" s="59">
        <f>'M2'!B13*1</f>
        <v>18.256399999999999</v>
      </c>
      <c r="AG15" s="59">
        <f>'M2'!C13*1</f>
        <v>2.0509300000000001</v>
      </c>
      <c r="AH15" s="59">
        <f>'M2'!D13*1</f>
        <v>11.234</v>
      </c>
      <c r="AI15" s="59">
        <f>'M2'!E13*1</f>
        <v>10</v>
      </c>
      <c r="AJ15" s="59">
        <f>'M2'!F13*1</f>
        <v>15.635400000000001</v>
      </c>
      <c r="AK15" s="59">
        <f>'M2'!G13*1</f>
        <v>25</v>
      </c>
      <c r="AL15" s="59">
        <f>'M2'!H13*1</f>
        <v>25.674199999999999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-3.2324000000000019</v>
      </c>
      <c r="O16" s="59">
        <f t="shared" si="5"/>
        <v>-0.20327000000000073</v>
      </c>
      <c r="P16" s="59">
        <f t="shared" si="6"/>
        <v>3.9761000000000024</v>
      </c>
      <c r="Q16" s="59">
        <f t="shared" si="7"/>
        <v>0</v>
      </c>
      <c r="R16" s="59">
        <f t="shared" si="8"/>
        <v>-0.15934000000000026</v>
      </c>
      <c r="S16" s="59">
        <f t="shared" si="9"/>
        <v>0</v>
      </c>
      <c r="T16" s="59">
        <f t="shared" si="10"/>
        <v>-0.47510000000000119</v>
      </c>
      <c r="U16" s="15"/>
      <c r="V16" s="27" t="str">
        <f t="shared" si="11"/>
        <v>神经质</v>
      </c>
      <c r="W16" s="59">
        <f>'M1'!B14*1</f>
        <v>23.741700000000002</v>
      </c>
      <c r="X16" s="59">
        <f>'M1'!C14*1</f>
        <v>7.4825100000000004</v>
      </c>
      <c r="Y16" s="59">
        <f>'M1'!D14*1</f>
        <v>31.516300000000001</v>
      </c>
      <c r="Z16" s="59">
        <f>'M1'!E14*1</f>
        <v>10</v>
      </c>
      <c r="AA16" s="59">
        <f>'M1'!F14*1</f>
        <v>2.1753100000000001</v>
      </c>
      <c r="AB16" s="59">
        <f>'M1'!G14*1</f>
        <v>50</v>
      </c>
      <c r="AC16" s="59">
        <f>'M1'!H14*1</f>
        <v>28.654199999999999</v>
      </c>
      <c r="AE16" s="27" t="str">
        <f t="shared" si="12"/>
        <v>神经质</v>
      </c>
      <c r="AF16" s="59">
        <f>'M2'!B14*1</f>
        <v>20.5093</v>
      </c>
      <c r="AG16" s="59">
        <f>'M2'!C14*1</f>
        <v>7.2792399999999997</v>
      </c>
      <c r="AH16" s="59">
        <f>'M2'!D14*1</f>
        <v>35.492400000000004</v>
      </c>
      <c r="AI16" s="59">
        <f>'M2'!E14*1</f>
        <v>10</v>
      </c>
      <c r="AJ16" s="59">
        <f>'M2'!F14*1</f>
        <v>2.0159699999999998</v>
      </c>
      <c r="AK16" s="59">
        <f>'M2'!G14*1</f>
        <v>50</v>
      </c>
      <c r="AL16" s="59">
        <f>'M2'!H14*1</f>
        <v>28.179099999999998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8.5591499999999954</v>
      </c>
      <c r="O17" s="22">
        <f>N17/(N17+N18+N19)</f>
        <v>0.77690034991218171</v>
      </c>
      <c r="P17" s="65">
        <f>SUM(P11:P14)/4</f>
        <v>-8.6982750000000006</v>
      </c>
      <c r="Q17" s="22">
        <f>P17/(P17+P18+P19)</f>
        <v>0.6632754116792795</v>
      </c>
      <c r="R17" s="14"/>
      <c r="S17" s="14"/>
      <c r="T17" s="14"/>
      <c r="U17" s="14"/>
      <c r="V17" s="21" t="str">
        <f>M17</f>
        <v>Positive</v>
      </c>
      <c r="W17" s="65">
        <f>SUM(W11:W14)/4</f>
        <v>51.027300000000004</v>
      </c>
      <c r="X17" s="22">
        <f>W17/(W17+W18+W19)</f>
        <v>0.48232526540281562</v>
      </c>
      <c r="Y17" s="65">
        <f>SUM(Y11:Y14)/4</f>
        <v>13.214555000000001</v>
      </c>
      <c r="Z17" s="22">
        <f>Y17/(Y17+Y18+Y19)</f>
        <v>0.24707233265076875</v>
      </c>
      <c r="AA17" s="14"/>
      <c r="AB17" s="14"/>
      <c r="AC17" s="14"/>
      <c r="AE17" s="21" t="str">
        <f>V17</f>
        <v>Positive</v>
      </c>
      <c r="AF17" s="65">
        <f>SUM(AF11:AF14)/4</f>
        <v>59.586449999999999</v>
      </c>
      <c r="AG17" s="22">
        <f>AF17/(AF17+AF18+AF19)</f>
        <v>0.51010806519995799</v>
      </c>
      <c r="AH17" s="65">
        <f>SUM(AH11:AH14)/4</f>
        <v>4.5162800000000001</v>
      </c>
      <c r="AI17" s="22">
        <f>AH17/(AH17+AH18+AH19)</f>
        <v>0.11187096993932749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3.7038999999999973</v>
      </c>
      <c r="O18" s="22">
        <f>N18/(N17+N18+N19)</f>
        <v>0.33619707634983959</v>
      </c>
      <c r="P18" s="18">
        <f>SUM(P7:P10)/4</f>
        <v>-5.2437475000000004</v>
      </c>
      <c r="Q18" s="22">
        <f>P18/(P17+P18+P19)</f>
        <v>0.39985500364206611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34.138225000000006</v>
      </c>
      <c r="X18" s="22">
        <f>W18/(W17+W18+W19)</f>
        <v>0.32268468904892161</v>
      </c>
      <c r="Y18" s="18">
        <f>SUM(Y7:Y10)/4</f>
        <v>17.734704999999998</v>
      </c>
      <c r="Z18" s="22">
        <f>Y18/(Y17+Y18+Y19)</f>
        <v>0.33158550804194703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37.842125000000003</v>
      </c>
      <c r="AG18" s="22">
        <f>AF18/(AF17+AF18+AF19)</f>
        <v>0.32395910759585383</v>
      </c>
      <c r="AH18" s="18">
        <f>SUM(AH7:AH10)/4</f>
        <v>12.4909575</v>
      </c>
      <c r="AI18" s="22">
        <f>AH18/(AH17+AH18+AH19)</f>
        <v>0.30940852449270578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-1.2460000000000004</v>
      </c>
      <c r="O19" s="22">
        <f>N19/(N17+N18+N19)</f>
        <v>-0.11309742626202125</v>
      </c>
      <c r="P19" s="18">
        <f>(P15+P16)/2</f>
        <v>0.82790000000000141</v>
      </c>
      <c r="Q19" s="22">
        <f>P19/(P17+P18+P19)</f>
        <v>-6.3130415321345473E-2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20.62885</v>
      </c>
      <c r="X19" s="22">
        <f>W19/(W17+W18+W19)</f>
        <v>0.19499004554826285</v>
      </c>
      <c r="Y19" s="18">
        <f>(Y15+Y16)/2</f>
        <v>22.535299999999999</v>
      </c>
      <c r="Z19" s="22">
        <f>Y19/(Y17+Y18+Y19)</f>
        <v>0.42134215930728419</v>
      </c>
      <c r="AA19" s="14"/>
      <c r="AB19" s="14"/>
      <c r="AC19" s="14"/>
      <c r="AE19" s="21" t="str">
        <f t="shared" si="14"/>
        <v>Physiological</v>
      </c>
      <c r="AF19" s="18">
        <f>(AF15+AF16)/2</f>
        <v>19.382849999999998</v>
      </c>
      <c r="AG19" s="22">
        <f>AF19/(AF17+AF18+AF19)</f>
        <v>0.16593282720418828</v>
      </c>
      <c r="AH19" s="18">
        <f>(AH15+AH16)/2</f>
        <v>23.363200000000003</v>
      </c>
      <c r="AI19" s="22">
        <f>AH19/(AH17+AH18+AH19)</f>
        <v>0.57872050556796661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1.45/1.62</v>
      </c>
      <c r="D24" s="44" t="str">
        <f>lang!B11</f>
        <v>频率方差</v>
      </c>
      <c r="E24" s="182" t="str">
        <f ca="1">CONCATENATE(ROUND('FH1'!L3,2),"/",ROUND('FH2'!L3,2))</f>
        <v>0.7/0.65</v>
      </c>
      <c r="F24" s="183"/>
      <c r="G24" s="174" t="str">
        <f>lang!B12</f>
        <v>生理变化率</v>
      </c>
      <c r="H24" s="175"/>
      <c r="I24" s="62" t="str">
        <f ca="1">CONCATENATE(info!M7,"-",info!M8)</f>
        <v>25.9-49.5</v>
      </c>
      <c r="J24" s="42" t="str">
        <f>lang!B13</f>
        <v>千卡l/分钟</v>
      </c>
      <c r="K24" s="41" t="str">
        <f ca="1">CONCATENATE(info!M5,"-",info!M6)</f>
        <v>2.1-3.5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-4.1244999999999976</v>
      </c>
      <c r="F27" s="121"/>
      <c r="G27" s="135" t="str">
        <f>lang!B33</f>
        <v>稳定性</v>
      </c>
      <c r="H27" s="136"/>
      <c r="I27" s="137"/>
      <c r="J27" s="138">
        <f>dM!B19*100</f>
        <v>4.0590999999999937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-0.92458198958860405</v>
      </c>
      <c r="C2">
        <f t="array" aca="1" ref="C2" ca="1">CORREL(FT_E02,FT_PH02)</f>
        <v>-0.92840703677267689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2.1240200000000002</v>
      </c>
      <c r="G2" s="61">
        <f>IF(FT!B2&lt;&gt;"",FT!B2*100,"")</f>
        <v>49.513800000000003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2.1851099999999999</v>
      </c>
      <c r="G3" s="61">
        <f>IF(FT!B3&lt;&gt;"",FT!B3*100,"")</f>
        <v>48.295200000000001</v>
      </c>
      <c r="H3" s="61">
        <f t="shared" ref="H3:H66" si="1">(IF(F3&lt;&gt;"",1,""))</f>
        <v>1</v>
      </c>
      <c r="I3" t="str">
        <f>IF(FT!B3&lt;&gt;"",FT!E3,"")</f>
        <v>1 [0.407652]</v>
      </c>
      <c r="J3">
        <f>IF(FT!B3&lt;&gt;"",FT!C3,"")</f>
        <v>0.40765200000000001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0.32318218918918923</v>
      </c>
      <c r="V3">
        <f ca="1">AVERAGE(OFFSET(FT!B2,info!$L$3/2,0,info!$L$3/2,1))</f>
        <v>0.3387195135135137</v>
      </c>
      <c r="W3">
        <f ca="1">AVERAGE(OFFSET(FT!A2,0,0,info!$L$3/2,1))</f>
        <v>0.31207463513513506</v>
      </c>
      <c r="X3">
        <f ca="1">AVERAGE(OFFSET(FT!A2,info!$L$3/2,0,info!$L$3/2,1))</f>
        <v>0.33337175675675679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2.2476099999999999</v>
      </c>
      <c r="G4" s="61">
        <f>IF(FT!B4&lt;&gt;"",FT!B4*100,"")</f>
        <v>46.943300000000001</v>
      </c>
      <c r="H4" s="61">
        <f t="shared" si="1"/>
        <v>1</v>
      </c>
      <c r="I4" t="str">
        <f>IF(FT!B4&lt;&gt;"",FT!E4,"")</f>
        <v>1 [0.817922]</v>
      </c>
      <c r="J4">
        <f>IF(FT!B4&lt;&gt;"",FT!C4,"")</f>
        <v>0.81792200000000004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14.945824999999999</v>
      </c>
      <c r="V4">
        <f>U4*3</f>
        <v>44.837474999999998</v>
      </c>
      <c r="W4">
        <f>U4</f>
        <v>14.945824999999999</v>
      </c>
      <c r="X4">
        <f>V4</f>
        <v>44.837474999999998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2.30837</v>
      </c>
      <c r="G5" s="61">
        <f>IF(FT!B5&lt;&gt;"",FT!B5*100,"")</f>
        <v>45.671499999999995</v>
      </c>
      <c r="H5" s="61">
        <f t="shared" si="1"/>
        <v>1</v>
      </c>
      <c r="I5" t="str">
        <f>IF(FT!B5&lt;&gt;"",FT!E5,"")</f>
        <v>1 [1.225887]</v>
      </c>
      <c r="J5">
        <f>IF(FT!B5&lt;&gt;"",FT!C5,"")</f>
        <v>1.2258899999999999</v>
      </c>
      <c r="K5" t="s">
        <v>53</v>
      </c>
      <c r="L5" s="63">
        <f ca="1">MIN(FT_E)</f>
        <v>2.1240200000000002</v>
      </c>
      <c r="M5" s="63">
        <f ca="1">ROUND(L5,1)</f>
        <v>2.1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32.318218918918923</v>
      </c>
      <c r="V5">
        <f ca="1">V3*100</f>
        <v>33.87195135135137</v>
      </c>
      <c r="W5">
        <f ca="1">W3*10</f>
        <v>3.1207463513513507</v>
      </c>
      <c r="X5">
        <f ca="1">X3*10</f>
        <v>3.3337175675675681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2.3700099999999997</v>
      </c>
      <c r="G6" s="61">
        <f>IF(FT!B6&lt;&gt;"",FT!B6*100,"")</f>
        <v>44.439099999999996</v>
      </c>
      <c r="H6" s="61">
        <f t="shared" si="1"/>
        <v>1</v>
      </c>
      <c r="I6" t="str">
        <f>IF(FT!B6&lt;&gt;"",FT!E6,"")</f>
        <v>1 [1.626705]</v>
      </c>
      <c r="J6">
        <f>IF(FT!B6&lt;&gt;"",FT!C6,"")</f>
        <v>1.6267100000000001</v>
      </c>
      <c r="K6" t="s">
        <v>54</v>
      </c>
      <c r="L6" s="63">
        <f ca="1">MAX(FT_E)</f>
        <v>3.4896500000000001</v>
      </c>
      <c r="M6" s="63">
        <f ca="1">ROUND(L6,1)</f>
        <v>3.5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2.4338899999999999</v>
      </c>
      <c r="G7" s="61">
        <f>IF(FT!B7&lt;&gt;"",FT!B7*100,"")</f>
        <v>43.232799999999997</v>
      </c>
      <c r="H7" s="61">
        <f t="shared" si="1"/>
        <v>1</v>
      </c>
      <c r="I7" t="str">
        <f>IF(FT!B7&lt;&gt;"",FT!E7,"")</f>
        <v>1 [2.031589]</v>
      </c>
      <c r="J7">
        <f>IF(FT!B7&lt;&gt;"",FT!C7,"")</f>
        <v>2.03159</v>
      </c>
      <c r="K7" t="s">
        <v>55</v>
      </c>
      <c r="L7" s="63">
        <f ca="1">MIN(FT_PH)</f>
        <v>25.946200000000001</v>
      </c>
      <c r="M7" s="63">
        <f ca="1">ROUND(L7,1)</f>
        <v>25.9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6980</v>
      </c>
      <c r="D8" s="61">
        <f>FH!B8*1</f>
        <v>6980</v>
      </c>
      <c r="E8">
        <f t="shared" si="3"/>
        <v>6</v>
      </c>
      <c r="F8" s="61">
        <f>IF(FT!A8&lt;&gt;"",FT!A8*10,"")</f>
        <v>2.4974499999999997</v>
      </c>
      <c r="G8" s="61">
        <f>IF(FT!B8&lt;&gt;"",FT!B8*100,"")</f>
        <v>42.0625</v>
      </c>
      <c r="H8" s="61">
        <f t="shared" si="1"/>
        <v>1</v>
      </c>
      <c r="I8" t="str">
        <f>IF(FT!B8&lt;&gt;"",FT!E8,"")</f>
        <v>1 [2.435471]</v>
      </c>
      <c r="J8">
        <f>IF(FT!B8&lt;&gt;"",FT!C8,"")</f>
        <v>2.43547</v>
      </c>
      <c r="K8" t="s">
        <v>56</v>
      </c>
      <c r="L8" s="63">
        <f ca="1">MAX(FT_PH)</f>
        <v>49.513800000000003</v>
      </c>
      <c r="M8" s="63">
        <f ca="1">ROUND(L8,1)</f>
        <v>49.5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2.5609299999999999</v>
      </c>
      <c r="G9" s="61">
        <f>IF(FT!B9&lt;&gt;"",FT!B9*100,"")</f>
        <v>40.860999999999997</v>
      </c>
      <c r="H9" s="61">
        <f t="shared" si="1"/>
        <v>1</v>
      </c>
      <c r="I9" t="str">
        <f>IF(FT!B9&lt;&gt;"",FT!E9,"")</f>
        <v>1 [2.846405]</v>
      </c>
      <c r="J9">
        <f>IF(FT!B9&lt;&gt;"",FT!C9,"")</f>
        <v>2.8464100000000001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12859</v>
      </c>
      <c r="D10" s="61">
        <f>FH!B10*1</f>
        <v>12859</v>
      </c>
      <c r="E10">
        <f t="shared" si="3"/>
        <v>8</v>
      </c>
      <c r="F10" s="61">
        <f>IF(FT!A10&lt;&gt;"",FT!A10*10,"")</f>
        <v>2.6229200000000001</v>
      </c>
      <c r="G10" s="61">
        <f>IF(FT!B10&lt;&gt;"",FT!B10*100,"")</f>
        <v>39.742400000000004</v>
      </c>
      <c r="H10" s="61">
        <f t="shared" si="1"/>
        <v>1</v>
      </c>
      <c r="I10" t="str">
        <f>IF(FT!B10&lt;&gt;"",FT!E10,"")</f>
        <v>1 [3.249203]</v>
      </c>
      <c r="J10">
        <f>IF(FT!B10&lt;&gt;"",FT!C10,"")</f>
        <v>3.2492000000000001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2.68248</v>
      </c>
      <c r="G11" s="61">
        <f>IF(FT!B11&lt;&gt;"",FT!B11*100,"")</f>
        <v>38.632899999999999</v>
      </c>
      <c r="H11" s="61">
        <f t="shared" si="1"/>
        <v>1</v>
      </c>
      <c r="I11" t="str">
        <f>IF(FT!B11&lt;&gt;"",FT!E11,"")</f>
        <v>1 [3.658283]</v>
      </c>
      <c r="J11">
        <f>IF(FT!B11&lt;&gt;"",FT!C11,"")</f>
        <v>3.65828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2.7429300000000003</v>
      </c>
      <c r="G12" s="61">
        <f>IF(FT!B12&lt;&gt;"",FT!B12*100,"")</f>
        <v>37.490600000000001</v>
      </c>
      <c r="H12" s="61">
        <f t="shared" si="1"/>
        <v>1</v>
      </c>
      <c r="I12" t="str">
        <f>IF(FT!B12&lt;&gt;"",FT!E12,"")</f>
        <v>1 [4.065095]</v>
      </c>
      <c r="J12">
        <f>IF(FT!B12&lt;&gt;"",FT!C12,"")</f>
        <v>4.0650899999999996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16945</v>
      </c>
      <c r="D13" s="61">
        <f>FH!B13*1</f>
        <v>16945</v>
      </c>
      <c r="E13">
        <f t="shared" si="3"/>
        <v>11</v>
      </c>
      <c r="F13" s="61">
        <f>IF(FT!A13&lt;&gt;"",FT!A13*10,"")</f>
        <v>2.8046500000000001</v>
      </c>
      <c r="G13" s="61">
        <f>IF(FT!B13&lt;&gt;"",FT!B13*100,"")</f>
        <v>36.3399</v>
      </c>
      <c r="H13" s="61">
        <f t="shared" si="1"/>
        <v>1</v>
      </c>
      <c r="I13" t="str">
        <f>IF(FT!B13&lt;&gt;"",FT!E13,"")</f>
        <v>1 [4.473406]</v>
      </c>
      <c r="J13">
        <f>IF(FT!B13&lt;&gt;"",FT!C13,"")</f>
        <v>4.4734100000000003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2.8642000000000003</v>
      </c>
      <c r="G14" s="61">
        <f>IF(FT!B14&lt;&gt;"",FT!B14*100,"")</f>
        <v>35.410899999999998</v>
      </c>
      <c r="H14" s="61">
        <f t="shared" si="1"/>
        <v>1</v>
      </c>
      <c r="I14" t="str">
        <f>IF(FT!B14&lt;&gt;"",FT!E14,"")</f>
        <v>1 [4.876991]</v>
      </c>
      <c r="J14">
        <f>IF(FT!B14&lt;&gt;"",FT!C14,"")</f>
        <v>4.8769900000000002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16866</v>
      </c>
      <c r="D15" s="61">
        <f>FH!B15*1</f>
        <v>16866</v>
      </c>
      <c r="E15">
        <f t="shared" si="3"/>
        <v>13</v>
      </c>
      <c r="F15" s="61">
        <f>IF(FT!A15&lt;&gt;"",FT!A15*10,"")</f>
        <v>2.9186699999999997</v>
      </c>
      <c r="G15" s="61">
        <f>IF(FT!B15&lt;&gt;"",FT!B15*100,"")</f>
        <v>34.639900000000004</v>
      </c>
      <c r="H15" s="61">
        <f t="shared" si="1"/>
        <v>1</v>
      </c>
      <c r="I15" t="str">
        <f>IF(FT!B15&lt;&gt;"",FT!E15,"")</f>
        <v>1 [5.282958]</v>
      </c>
      <c r="J15">
        <f>IF(FT!B15&lt;&gt;"",FT!C15,"")</f>
        <v>5.2829600000000001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2.9693199999999997</v>
      </c>
      <c r="G16" s="61">
        <f>IF(FT!B16&lt;&gt;"",FT!B16*100,"")</f>
        <v>34.051900000000003</v>
      </c>
      <c r="H16" s="61">
        <f t="shared" si="1"/>
        <v>1</v>
      </c>
      <c r="I16" t="str">
        <f>IF(FT!B16&lt;&gt;"",FT!E16,"")</f>
        <v>1 [5.691056]</v>
      </c>
      <c r="J16">
        <f>IF(FT!B16&lt;&gt;"",FT!C16,"")</f>
        <v>5.6910600000000002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3.0188900000000003</v>
      </c>
      <c r="G17" s="61">
        <f>IF(FT!B17&lt;&gt;"",FT!B17*100,"")</f>
        <v>33.4923</v>
      </c>
      <c r="H17" s="61">
        <f t="shared" si="1"/>
        <v>1</v>
      </c>
      <c r="I17" t="str">
        <f>IF(FT!B17&lt;&gt;"",FT!E17,"")</f>
        <v>1 [6.095690]</v>
      </c>
      <c r="J17">
        <f>IF(FT!B17&lt;&gt;"",FT!C17,"")</f>
        <v>6.0956900000000003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34866</v>
      </c>
      <c r="D18" s="61">
        <f>FH!B18*1</f>
        <v>34866</v>
      </c>
      <c r="E18">
        <f t="shared" si="3"/>
        <v>16</v>
      </c>
      <c r="F18" s="61">
        <f>IF(FT!A18&lt;&gt;"",FT!A18*10,"")</f>
        <v>3.0645699999999998</v>
      </c>
      <c r="G18" s="61">
        <f>IF(FT!B18&lt;&gt;"",FT!B18*100,"")</f>
        <v>32.994800000000005</v>
      </c>
      <c r="H18" s="61">
        <f t="shared" si="1"/>
        <v>1</v>
      </c>
      <c r="I18" t="str">
        <f>IF(FT!B18&lt;&gt;"",FT!E18,"")</f>
        <v>1 [6.499691]</v>
      </c>
      <c r="J18">
        <f>IF(FT!B18&lt;&gt;"",FT!C18,"")</f>
        <v>6.4996900000000002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3.1055899999999999</v>
      </c>
      <c r="G19" s="61">
        <f>IF(FT!B19&lt;&gt;"",FT!B19*100,"")</f>
        <v>32.442900000000002</v>
      </c>
      <c r="H19" s="61">
        <f t="shared" si="1"/>
        <v>1</v>
      </c>
      <c r="I19" t="str">
        <f>IF(FT!B19&lt;&gt;"",FT!E19,"")</f>
        <v>1 [6.906763]</v>
      </c>
      <c r="J19">
        <f>IF(FT!B19&lt;&gt;"",FT!C19,"")</f>
        <v>6.9067600000000002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3.1433400000000002</v>
      </c>
      <c r="G20" s="61">
        <f>IF(FT!B20&lt;&gt;"",FT!B20*100,"")</f>
        <v>31.760699999999996</v>
      </c>
      <c r="H20" s="61">
        <f t="shared" si="1"/>
        <v>1</v>
      </c>
      <c r="I20" t="str">
        <f>IF(FT!B20&lt;&gt;"",FT!E20,"")</f>
        <v>1 [7.316442]</v>
      </c>
      <c r="J20">
        <f>IF(FT!B20&lt;&gt;"",FT!C20,"")</f>
        <v>7.3164400000000001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37267</v>
      </c>
      <c r="D21" s="61">
        <f>FH!B21*1</f>
        <v>37267</v>
      </c>
      <c r="E21">
        <f t="shared" si="3"/>
        <v>19</v>
      </c>
      <c r="F21" s="61">
        <f>IF(FT!A21&lt;&gt;"",FT!A21*10,"")</f>
        <v>3.17509</v>
      </c>
      <c r="G21" s="61">
        <f>IF(FT!B21&lt;&gt;"",FT!B21*100,"")</f>
        <v>31.154300000000003</v>
      </c>
      <c r="H21" s="61">
        <f t="shared" si="1"/>
        <v>1</v>
      </c>
      <c r="I21" t="str">
        <f>IF(FT!B21&lt;&gt;"",FT!E21,"")</f>
        <v>1 [7.718479]</v>
      </c>
      <c r="J21">
        <f>IF(FT!B21&lt;&gt;"",FT!C21,"")</f>
        <v>7.7184799999999996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3.2022899999999996</v>
      </c>
      <c r="G22" s="61">
        <f>IF(FT!B22&lt;&gt;"",FT!B22*100,"")</f>
        <v>30.531799999999997</v>
      </c>
      <c r="H22" s="61">
        <f t="shared" si="1"/>
        <v>1</v>
      </c>
      <c r="I22" t="str">
        <f>IF(FT!B22&lt;&gt;"",FT!E22,"")</f>
        <v>1 [8.128276]</v>
      </c>
      <c r="J22">
        <f>IF(FT!B22&lt;&gt;"",FT!C22,"")</f>
        <v>8.1282800000000002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43438</v>
      </c>
      <c r="D23" s="61">
        <f>FH!B23*1</f>
        <v>43438</v>
      </c>
      <c r="E23">
        <f t="shared" si="3"/>
        <v>21</v>
      </c>
      <c r="F23" s="61">
        <f>IF(FT!A23&lt;&gt;"",FT!A23*10,"")</f>
        <v>3.2278800000000003</v>
      </c>
      <c r="G23" s="61">
        <f>IF(FT!B23&lt;&gt;"",FT!B23*100,"")</f>
        <v>29.902299999999997</v>
      </c>
      <c r="H23" s="61">
        <f t="shared" si="1"/>
        <v>1</v>
      </c>
      <c r="I23" t="str">
        <f>IF(FT!B23&lt;&gt;"",FT!E23,"")</f>
        <v>1 [8.531232]</v>
      </c>
      <c r="J23">
        <f>IF(FT!B23&lt;&gt;"",FT!C23,"")</f>
        <v>8.5312300000000008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3.2525300000000001</v>
      </c>
      <c r="G24" s="61">
        <f>IF(FT!B24&lt;&gt;"",FT!B24*100,"")</f>
        <v>29.242600000000003</v>
      </c>
      <c r="H24" s="61">
        <f t="shared" si="1"/>
        <v>1</v>
      </c>
      <c r="I24" t="str">
        <f>IF(FT!B24&lt;&gt;"",FT!E24,"")</f>
        <v>1 [8.941145]</v>
      </c>
      <c r="J24">
        <f>IF(FT!B24&lt;&gt;"",FT!C24,"")</f>
        <v>8.9411400000000008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3.2785700000000002</v>
      </c>
      <c r="G25" s="61">
        <f>IF(FT!B25&lt;&gt;"",FT!B25*100,"")</f>
        <v>28.607500000000002</v>
      </c>
      <c r="H25" s="61">
        <f t="shared" si="1"/>
        <v>1</v>
      </c>
      <c r="I25" t="str">
        <f>IF(FT!B25&lt;&gt;"",FT!E25,"")</f>
        <v>1 [9.344988]</v>
      </c>
      <c r="J25">
        <f>IF(FT!B25&lt;&gt;"",FT!C25,"")</f>
        <v>9.3449899999999992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49630</v>
      </c>
      <c r="D26" s="61">
        <f>FH!B26*1</f>
        <v>49630</v>
      </c>
      <c r="E26">
        <f t="shared" si="3"/>
        <v>24</v>
      </c>
      <c r="F26" s="61">
        <f>IF(FT!A26&lt;&gt;"",FT!A26*10,"")</f>
        <v>3.2942900000000002</v>
      </c>
      <c r="G26" s="61">
        <f>IF(FT!B26&lt;&gt;"",FT!B26*100,"")</f>
        <v>28.0989</v>
      </c>
      <c r="H26" s="61">
        <f t="shared" si="1"/>
        <v>1</v>
      </c>
      <c r="I26" t="str">
        <f>IF(FT!B26&lt;&gt;"",FT!E26,"")</f>
        <v>1 [9.752504]</v>
      </c>
      <c r="J26">
        <f>IF(FT!B26&lt;&gt;"",FT!C26,"")</f>
        <v>9.7524999999999995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3.3069100000000002</v>
      </c>
      <c r="G27" s="61">
        <f>IF(FT!B27&lt;&gt;"",FT!B27*100,"")</f>
        <v>27.668300000000002</v>
      </c>
      <c r="H27" s="61">
        <f t="shared" si="1"/>
        <v>1</v>
      </c>
      <c r="I27" t="str">
        <f>IF(FT!B27&lt;&gt;"",FT!E27,"")</f>
        <v>1 [10.157271]</v>
      </c>
      <c r="J27">
        <f>IF(FT!B27&lt;&gt;"",FT!C27,"")</f>
        <v>10.157299999999999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56920</v>
      </c>
      <c r="D28" s="61">
        <f>FH!B28*1</f>
        <v>56920</v>
      </c>
      <c r="E28">
        <f t="shared" si="3"/>
        <v>26</v>
      </c>
      <c r="F28" s="61">
        <f>IF(FT!A28&lt;&gt;"",FT!A28*10,"")</f>
        <v>3.3170799999999998</v>
      </c>
      <c r="G28" s="61">
        <f>IF(FT!B28&lt;&gt;"",FT!B28*100,"")</f>
        <v>27.2484</v>
      </c>
      <c r="H28" s="61">
        <f t="shared" si="1"/>
        <v>1</v>
      </c>
      <c r="I28" t="str">
        <f>IF(FT!B28&lt;&gt;"",FT!E28,"")</f>
        <v>1 [10.562757]</v>
      </c>
      <c r="J28">
        <f>IF(FT!B28&lt;&gt;"",FT!C28,"")</f>
        <v>10.562799999999999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3.3207500000000003</v>
      </c>
      <c r="G29" s="61">
        <f>IF(FT!B29&lt;&gt;"",FT!B29*100,"")</f>
        <v>26.917400000000001</v>
      </c>
      <c r="H29" s="61">
        <f t="shared" si="1"/>
        <v>1</v>
      </c>
      <c r="I29" t="str">
        <f>IF(FT!B29&lt;&gt;"",FT!E29,"")</f>
        <v>1 [10.975620]</v>
      </c>
      <c r="J29">
        <f>IF(FT!B29&lt;&gt;"",FT!C29,"")</f>
        <v>10.9756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3.32273</v>
      </c>
      <c r="G30" s="61">
        <f>IF(FT!B30&lt;&gt;"",FT!B30*100,"")</f>
        <v>26.635599999999997</v>
      </c>
      <c r="H30" s="61">
        <f t="shared" si="1"/>
        <v>1</v>
      </c>
      <c r="I30" t="str">
        <f>IF(FT!B30&lt;&gt;"",FT!E30,"")</f>
        <v>1 [11.378522]</v>
      </c>
      <c r="J30">
        <f>IF(FT!B30&lt;&gt;"",FT!C30,"")</f>
        <v>11.378500000000001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58641</v>
      </c>
      <c r="D31" s="61">
        <f>FH!B31*1</f>
        <v>58641</v>
      </c>
      <c r="E31">
        <f t="shared" si="3"/>
        <v>29</v>
      </c>
      <c r="F31" s="61">
        <f>IF(FT!A31&lt;&gt;"",FT!A31*10,"")</f>
        <v>3.32463</v>
      </c>
      <c r="G31" s="61">
        <f>IF(FT!B31&lt;&gt;"",FT!B31*100,"")</f>
        <v>26.365499999999997</v>
      </c>
      <c r="H31" s="61">
        <f t="shared" si="1"/>
        <v>1</v>
      </c>
      <c r="I31" t="str">
        <f>IF(FT!B31&lt;&gt;"",FT!E31,"")</f>
        <v>1 [11.782156]</v>
      </c>
      <c r="J31">
        <f>IF(FT!B31&lt;&gt;"",FT!C31,"")</f>
        <v>11.7822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3.3230700000000004</v>
      </c>
      <c r="G32" s="61">
        <f>IF(FT!B32&lt;&gt;"",FT!B32*100,"")</f>
        <v>26.174399999999999</v>
      </c>
      <c r="H32" s="61">
        <f t="shared" si="1"/>
        <v>1</v>
      </c>
      <c r="I32" t="str">
        <f>IF(FT!B32&lt;&gt;"",FT!E32,"")</f>
        <v>1 [12.189404]</v>
      </c>
      <c r="J32">
        <f>IF(FT!B32&lt;&gt;"",FT!C32,"")</f>
        <v>12.189399999999999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56768</v>
      </c>
      <c r="D33" s="61">
        <f>FH!B33*1</f>
        <v>56768</v>
      </c>
      <c r="E33">
        <f t="shared" si="3"/>
        <v>31</v>
      </c>
      <c r="F33" s="61">
        <f>IF(FT!A33&lt;&gt;"",FT!A33*10,"")</f>
        <v>3.3194900000000001</v>
      </c>
      <c r="G33" s="61">
        <f>IF(FT!B33&lt;&gt;"",FT!B33*100,"")</f>
        <v>25.9785</v>
      </c>
      <c r="H33" s="61">
        <f t="shared" si="1"/>
        <v>1</v>
      </c>
      <c r="I33" t="str">
        <f>IF(FT!B33&lt;&gt;"",FT!E33,"")</f>
        <v>1 [12.597579]</v>
      </c>
      <c r="J33">
        <f>IF(FT!B33&lt;&gt;"",FT!C33,"")</f>
        <v>12.5976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3.3136999999999999</v>
      </c>
      <c r="G34" s="61">
        <f>IF(FT!B34&lt;&gt;"",FT!B34*100,"")</f>
        <v>25.946200000000001</v>
      </c>
      <c r="H34" s="61">
        <f t="shared" si="1"/>
        <v>1</v>
      </c>
      <c r="I34" t="str">
        <f>IF(FT!B34&lt;&gt;"",FT!E34,"")</f>
        <v>1 [13.002225]</v>
      </c>
      <c r="J34">
        <f>IF(FT!B34&lt;&gt;"",FT!C34,"")</f>
        <v>13.0022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3.3075799999999997</v>
      </c>
      <c r="G35" s="61">
        <f>IF(FT!B35&lt;&gt;"",FT!B35*100,"")</f>
        <v>26.001000000000001</v>
      </c>
      <c r="H35" s="61">
        <f t="shared" si="1"/>
        <v>1</v>
      </c>
      <c r="I35" t="str">
        <f>IF(FT!B35&lt;&gt;"",FT!E35,"")</f>
        <v>1 [13.407522]</v>
      </c>
      <c r="J35">
        <f>IF(FT!B35&lt;&gt;"",FT!C35,"")</f>
        <v>13.407500000000001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64799</v>
      </c>
      <c r="D36" s="61">
        <f>FH!B36*1</f>
        <v>64799</v>
      </c>
      <c r="E36">
        <f t="shared" si="3"/>
        <v>34</v>
      </c>
      <c r="F36" s="61">
        <f>IF(FT!A36&lt;&gt;"",FT!A36*10,"")</f>
        <v>3.2996099999999999</v>
      </c>
      <c r="G36" s="61">
        <f>IF(FT!B36&lt;&gt;"",FT!B36*100,"")</f>
        <v>26.081500000000002</v>
      </c>
      <c r="H36" s="61">
        <f t="shared" si="1"/>
        <v>1</v>
      </c>
      <c r="I36" t="str">
        <f>IF(FT!B36&lt;&gt;"",FT!E36,"")</f>
        <v>1 [13.813180]</v>
      </c>
      <c r="J36">
        <f>IF(FT!B36&lt;&gt;"",FT!C36,"")</f>
        <v>13.8132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3.2892799999999998</v>
      </c>
      <c r="G37" s="61">
        <f>IF(FT!B37&lt;&gt;"",FT!B37*100,"")</f>
        <v>26.257399999999997</v>
      </c>
      <c r="H37" s="61">
        <f t="shared" si="1"/>
        <v>1</v>
      </c>
      <c r="I37" t="str">
        <f>IF(FT!B37&lt;&gt;"",FT!E37,"")</f>
        <v>1 [14.221991]</v>
      </c>
      <c r="J37">
        <f>IF(FT!B37&lt;&gt;"",FT!C37,"")</f>
        <v>14.222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3.2769199999999996</v>
      </c>
      <c r="G38" s="61">
        <f>IF(FT!B38&lt;&gt;"",FT!B38*100,"")</f>
        <v>26.552199999999999</v>
      </c>
      <c r="H38" s="61">
        <f t="shared" si="1"/>
        <v>1</v>
      </c>
      <c r="I38" t="str">
        <f>IF(FT!B38&lt;&gt;"",FT!E38,"")</f>
        <v>1 [14.629945]</v>
      </c>
      <c r="J38">
        <f>IF(FT!B38&lt;&gt;"",FT!C38,"")</f>
        <v>14.629899999999999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75404</v>
      </c>
      <c r="D39" s="61">
        <f>FH!B39*1</f>
        <v>75404</v>
      </c>
      <c r="E39">
        <f t="shared" si="3"/>
        <v>37</v>
      </c>
      <c r="F39" s="61">
        <f>IF(FT!A39&lt;&gt;"",FT!A39*10,"")</f>
        <v>3.2680100000000003</v>
      </c>
      <c r="G39" s="61">
        <f>IF(FT!B39&lt;&gt;"",FT!B39*100,"")</f>
        <v>26.828299999999999</v>
      </c>
      <c r="H39" s="61">
        <f t="shared" si="1"/>
        <v>1</v>
      </c>
      <c r="I39" t="str">
        <f>IF(FT!B39&lt;&gt;"",FT!E39,"")</f>
        <v>1 [15.032822]</v>
      </c>
      <c r="J39">
        <f>IF(FT!B39&lt;&gt;"",FT!C39,"")</f>
        <v>15.0328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3.2639200000000002</v>
      </c>
      <c r="G40" s="61">
        <f>IF(FT!B40&lt;&gt;"",FT!B40*100,"")</f>
        <v>27.117200000000004</v>
      </c>
      <c r="H40" s="61">
        <f t="shared" si="1"/>
        <v>1</v>
      </c>
      <c r="I40" t="str">
        <f>IF(FT!B40&lt;&gt;"",FT!E40,"")</f>
        <v>1 [15.435789]</v>
      </c>
      <c r="J40">
        <f>IF(FT!B40&lt;&gt;"",FT!C40,"")</f>
        <v>15.4358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75448</v>
      </c>
      <c r="D41" s="61">
        <f>FH!B41*1</f>
        <v>75448</v>
      </c>
      <c r="E41">
        <f t="shared" si="3"/>
        <v>39</v>
      </c>
      <c r="F41" s="61">
        <f>IF(FT!A41&lt;&gt;"",FT!A41*10,"")</f>
        <v>3.2637</v>
      </c>
      <c r="G41" s="61">
        <f>IF(FT!B41&lt;&gt;"",FT!B41*100,"")</f>
        <v>27.325399999999998</v>
      </c>
      <c r="H41" s="61">
        <f t="shared" si="1"/>
        <v>1</v>
      </c>
      <c r="I41" t="str">
        <f>IF(FT!B41&lt;&gt;"",FT!E41,"")</f>
        <v>1 [15.843562]</v>
      </c>
      <c r="J41">
        <f>IF(FT!B41&lt;&gt;"",FT!C41,"")</f>
        <v>15.8436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3.2639</v>
      </c>
      <c r="G42" s="61">
        <f>IF(FT!B42&lt;&gt;"",FT!B42*100,"")</f>
        <v>27.533800000000003</v>
      </c>
      <c r="H42" s="61">
        <f t="shared" si="1"/>
        <v>1</v>
      </c>
      <c r="I42" t="str">
        <f>IF(FT!B42&lt;&gt;"",FT!E42,"")</f>
        <v>1 [16.252499]</v>
      </c>
      <c r="J42">
        <f>IF(FT!B42&lt;&gt;"",FT!C42,"")</f>
        <v>16.252500000000001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3.2667200000000003</v>
      </c>
      <c r="G43" s="61">
        <f>IF(FT!B43&lt;&gt;"",FT!B43*100,"")</f>
        <v>27.709299999999999</v>
      </c>
      <c r="H43" s="61">
        <f t="shared" si="1"/>
        <v>1</v>
      </c>
      <c r="I43" t="str">
        <f>IF(FT!B43&lt;&gt;"",FT!E43,"")</f>
        <v>1 [16.659575]</v>
      </c>
      <c r="J43">
        <f>IF(FT!B43&lt;&gt;"",FT!C43,"")</f>
        <v>16.659600000000001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78708</v>
      </c>
      <c r="D44" s="61">
        <f>FH!B44*1</f>
        <v>78708</v>
      </c>
      <c r="E44">
        <f t="shared" si="3"/>
        <v>42</v>
      </c>
      <c r="F44" s="61">
        <f>IF(FT!A44&lt;&gt;"",FT!A44*10,"")</f>
        <v>3.2713700000000001</v>
      </c>
      <c r="G44" s="61">
        <f>IF(FT!B44&lt;&gt;"",FT!B44*100,"")</f>
        <v>27.877800000000004</v>
      </c>
      <c r="H44" s="61">
        <f t="shared" si="1"/>
        <v>1</v>
      </c>
      <c r="I44" t="str">
        <f>IF(FT!B44&lt;&gt;"",FT!E44,"")</f>
        <v>1 [17.065446]</v>
      </c>
      <c r="J44">
        <f>IF(FT!B44&lt;&gt;"",FT!C44,"")</f>
        <v>17.0654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3.2754400000000001</v>
      </c>
      <c r="G45" s="61">
        <f>IF(FT!B45&lt;&gt;"",FT!B45*100,"")</f>
        <v>28.148499999999999</v>
      </c>
      <c r="H45" s="61">
        <f t="shared" si="1"/>
        <v>1</v>
      </c>
      <c r="I45" t="str">
        <f>IF(FT!B45&lt;&gt;"",FT!E45,"")</f>
        <v>1 [17.471245]</v>
      </c>
      <c r="J45">
        <f>IF(FT!B45&lt;&gt;"",FT!C45,"")</f>
        <v>17.4712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86941</v>
      </c>
      <c r="D46" s="61">
        <f>FH!B46*1</f>
        <v>86941</v>
      </c>
      <c r="E46">
        <f t="shared" si="3"/>
        <v>44</v>
      </c>
      <c r="F46" s="61">
        <f>IF(FT!A46&lt;&gt;"",FT!A46*10,"")</f>
        <v>3.2815400000000001</v>
      </c>
      <c r="G46" s="61">
        <f>IF(FT!B46&lt;&gt;"",FT!B46*100,"")</f>
        <v>28.384500000000003</v>
      </c>
      <c r="H46" s="61">
        <f t="shared" si="1"/>
        <v>1</v>
      </c>
      <c r="I46" t="str">
        <f>IF(FT!B46&lt;&gt;"",FT!E46,"")</f>
        <v>1 [17.877552]</v>
      </c>
      <c r="J46">
        <f>IF(FT!B46&lt;&gt;"",FT!C46,"")</f>
        <v>17.877600000000001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3.28945</v>
      </c>
      <c r="G47" s="61">
        <f>IF(FT!B47&lt;&gt;"",FT!B47*100,"")</f>
        <v>28.655900000000003</v>
      </c>
      <c r="H47" s="61">
        <f t="shared" si="1"/>
        <v>1</v>
      </c>
      <c r="I47" t="str">
        <f>IF(FT!B47&lt;&gt;"",FT!E47,"")</f>
        <v>1 [18.278025]</v>
      </c>
      <c r="J47">
        <f>IF(FT!B47&lt;&gt;"",FT!C47,"")</f>
        <v>18.277999999999999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3.2981199999999999</v>
      </c>
      <c r="G48" s="61">
        <f>IF(FT!B48&lt;&gt;"",FT!B48*100,"")</f>
        <v>28.910599999999999</v>
      </c>
      <c r="H48" s="61">
        <f t="shared" si="1"/>
        <v>1</v>
      </c>
      <c r="I48" t="str">
        <f>IF(FT!B48&lt;&gt;"",FT!E48,"")</f>
        <v>1 [18.691096]</v>
      </c>
      <c r="J48">
        <f>IF(FT!B48&lt;&gt;"",FT!C48,"")</f>
        <v>18.691099999999999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86007</v>
      </c>
      <c r="D49" s="61">
        <f>FH!B49*1</f>
        <v>86007</v>
      </c>
      <c r="E49">
        <f t="shared" si="3"/>
        <v>47</v>
      </c>
      <c r="F49" s="61">
        <f>IF(FT!A49&lt;&gt;"",FT!A49*10,"")</f>
        <v>3.3036300000000001</v>
      </c>
      <c r="G49" s="61">
        <f>IF(FT!B49&lt;&gt;"",FT!B49*100,"")</f>
        <v>29.214200000000002</v>
      </c>
      <c r="H49" s="61">
        <f t="shared" si="1"/>
        <v>1</v>
      </c>
      <c r="I49" t="str">
        <f>IF(FT!B49&lt;&gt;"",FT!E49,"")</f>
        <v>1 [19.097925]</v>
      </c>
      <c r="J49">
        <f>IF(FT!B49&lt;&gt;"",FT!C49,"")</f>
        <v>19.097899999999999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3.3061499999999997</v>
      </c>
      <c r="G50" s="61">
        <f>IF(FT!B50&lt;&gt;"",FT!B50*100,"")</f>
        <v>29.608800000000002</v>
      </c>
      <c r="H50" s="61">
        <f t="shared" si="1"/>
        <v>1</v>
      </c>
      <c r="I50" t="str">
        <f>IF(FT!B50&lt;&gt;"",FT!E50,"")</f>
        <v>1 [19.502857]</v>
      </c>
      <c r="J50">
        <f>IF(FT!B50&lt;&gt;"",FT!C50,"")</f>
        <v>19.5029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85281</v>
      </c>
      <c r="D51" s="61">
        <f>FH!B51*1</f>
        <v>85281</v>
      </c>
      <c r="E51">
        <f t="shared" si="3"/>
        <v>49</v>
      </c>
      <c r="F51" s="61">
        <f>IF(FT!A51&lt;&gt;"",FT!A51*10,"")</f>
        <v>3.3085500000000003</v>
      </c>
      <c r="G51" s="61">
        <f>IF(FT!B51&lt;&gt;"",FT!B51*100,"")</f>
        <v>29.984899999999996</v>
      </c>
      <c r="H51" s="61">
        <f t="shared" si="1"/>
        <v>1</v>
      </c>
      <c r="I51" t="str">
        <f>IF(FT!B51&lt;&gt;"",FT!E51,"")</f>
        <v>1 [19.907818]</v>
      </c>
      <c r="J51">
        <f>IF(FT!B51&lt;&gt;"",FT!C51,"")</f>
        <v>19.907800000000002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3.3102300000000002</v>
      </c>
      <c r="G52" s="61">
        <f>IF(FT!B52&lt;&gt;"",FT!B52*100,"")</f>
        <v>30.236699999999999</v>
      </c>
      <c r="H52" s="61">
        <f t="shared" si="1"/>
        <v>1</v>
      </c>
      <c r="I52" t="str">
        <f>IF(FT!B52&lt;&gt;"",FT!E52,"")</f>
        <v>1 [20.314694]</v>
      </c>
      <c r="J52">
        <f>IF(FT!B52&lt;&gt;"",FT!C52,"")</f>
        <v>20.314699999999998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3.3130700000000002</v>
      </c>
      <c r="G53" s="61">
        <f>IF(FT!B53&lt;&gt;"",FT!B53*100,"")</f>
        <v>30.5533</v>
      </c>
      <c r="H53" s="61">
        <f t="shared" si="1"/>
        <v>1</v>
      </c>
      <c r="I53" t="str">
        <f>IF(FT!B53&lt;&gt;"",FT!E53,"")</f>
        <v>1 [20.718536]</v>
      </c>
      <c r="J53">
        <f>IF(FT!B53&lt;&gt;"",FT!C53,"")</f>
        <v>20.718499999999999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90529</v>
      </c>
      <c r="D54" s="61">
        <f>FH!B54*1</f>
        <v>90529</v>
      </c>
      <c r="E54">
        <f t="shared" si="3"/>
        <v>52</v>
      </c>
      <c r="F54" s="61">
        <f>IF(FT!A54&lt;&gt;"",FT!A54*10,"")</f>
        <v>3.3164300000000004</v>
      </c>
      <c r="G54" s="61">
        <f>IF(FT!B54&lt;&gt;"",FT!B54*100,"")</f>
        <v>30.853899999999999</v>
      </c>
      <c r="H54" s="61">
        <f t="shared" si="1"/>
        <v>1</v>
      </c>
      <c r="I54" t="str">
        <f>IF(FT!B54&lt;&gt;"",FT!E54,"")</f>
        <v>1 [21.128414]</v>
      </c>
      <c r="J54">
        <f>IF(FT!B54&lt;&gt;"",FT!C54,"")</f>
        <v>21.128399999999999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3.31976</v>
      </c>
      <c r="G55" s="61">
        <f>IF(FT!B55&lt;&gt;"",FT!B55*100,"")</f>
        <v>31.1</v>
      </c>
      <c r="H55" s="61">
        <f t="shared" si="1"/>
        <v>1</v>
      </c>
      <c r="I55" t="str">
        <f>IF(FT!B55&lt;&gt;"",FT!E55,"")</f>
        <v>1 [21.536466]</v>
      </c>
      <c r="J55">
        <f>IF(FT!B55&lt;&gt;"",FT!C55,"")</f>
        <v>21.5365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3.3213999999999997</v>
      </c>
      <c r="G56" s="61">
        <f>IF(FT!B56&lt;&gt;"",FT!B56*100,"")</f>
        <v>31.246600000000001</v>
      </c>
      <c r="H56" s="61">
        <f t="shared" si="1"/>
        <v>1</v>
      </c>
      <c r="I56" t="str">
        <f>IF(FT!B56&lt;&gt;"",FT!E56,"")</f>
        <v>1 [21.939255]</v>
      </c>
      <c r="J56">
        <f>IF(FT!B56&lt;&gt;"",FT!C56,"")</f>
        <v>21.939299999999999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93940</v>
      </c>
      <c r="D57" s="61">
        <f>FH!B57*1</f>
        <v>93940</v>
      </c>
      <c r="E57">
        <f t="shared" si="3"/>
        <v>55</v>
      </c>
      <c r="F57" s="61">
        <f>IF(FT!A57&lt;&gt;"",FT!A57*10,"")</f>
        <v>3.3224</v>
      </c>
      <c r="G57" s="61">
        <f>IF(FT!B57&lt;&gt;"",FT!B57*100,"")</f>
        <v>31.326999999999998</v>
      </c>
      <c r="H57" s="61">
        <f t="shared" si="1"/>
        <v>1</v>
      </c>
      <c r="I57" t="str">
        <f>IF(FT!B57&lt;&gt;"",FT!E57,"")</f>
        <v>1 [22.346237]</v>
      </c>
      <c r="J57">
        <f>IF(FT!B57&lt;&gt;"",FT!C57,"")</f>
        <v>22.3462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3.3206500000000001</v>
      </c>
      <c r="G58" s="61">
        <f>IF(FT!B58&lt;&gt;"",FT!B58*100,"")</f>
        <v>31.497299999999999</v>
      </c>
      <c r="H58" s="61">
        <f t="shared" si="1"/>
        <v>1</v>
      </c>
      <c r="I58" t="str">
        <f>IF(FT!B58&lt;&gt;"",FT!E58,"")</f>
        <v>1 [22.750078]</v>
      </c>
      <c r="J58">
        <f>IF(FT!B58&lt;&gt;"",FT!C58,"")</f>
        <v>22.7501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96780</v>
      </c>
      <c r="D59" s="61">
        <f>FH!B59*1</f>
        <v>96780</v>
      </c>
      <c r="E59">
        <f t="shared" si="3"/>
        <v>57</v>
      </c>
      <c r="F59" s="61">
        <f>IF(FT!A59&lt;&gt;"",FT!A59*10,"")</f>
        <v>3.3190900000000001</v>
      </c>
      <c r="G59" s="61">
        <f>IF(FT!B59&lt;&gt;"",FT!B59*100,"")</f>
        <v>31.639899999999997</v>
      </c>
      <c r="H59" s="61">
        <f t="shared" si="1"/>
        <v>1</v>
      </c>
      <c r="I59" t="str">
        <f>IF(FT!B59&lt;&gt;"",FT!E59,"")</f>
        <v>1 [23.159060]</v>
      </c>
      <c r="J59">
        <f>IF(FT!B59&lt;&gt;"",FT!C59,"")</f>
        <v>23.159099999999999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3.3172699999999997</v>
      </c>
      <c r="G60" s="61">
        <f>IF(FT!B60&lt;&gt;"",FT!B60*100,"")</f>
        <v>31.752000000000002</v>
      </c>
      <c r="H60" s="61">
        <f t="shared" si="1"/>
        <v>1</v>
      </c>
      <c r="I60" t="str">
        <f>IF(FT!B60&lt;&gt;"",FT!E60,"")</f>
        <v>1 [23.567995]</v>
      </c>
      <c r="J60">
        <f>IF(FT!B60&lt;&gt;"",FT!C60,"")</f>
        <v>23.568000000000001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3.3153800000000002</v>
      </c>
      <c r="G61" s="61">
        <f>IF(FT!B61&lt;&gt;"",FT!B61*100,"")</f>
        <v>31.881599999999999</v>
      </c>
      <c r="H61" s="61">
        <f t="shared" si="1"/>
        <v>1</v>
      </c>
      <c r="I61" t="str">
        <f>IF(FT!B61&lt;&gt;"",FT!E61,"")</f>
        <v>1 [23.972829]</v>
      </c>
      <c r="J61">
        <f>IF(FT!B61&lt;&gt;"",FT!C61,"")</f>
        <v>23.972799999999999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103144</v>
      </c>
      <c r="D62" s="61">
        <f>FH!B62*1</f>
        <v>103144</v>
      </c>
      <c r="E62">
        <f t="shared" si="3"/>
        <v>60</v>
      </c>
      <c r="F62" s="61">
        <f>IF(FT!A62&lt;&gt;"",FT!A62*10,"")</f>
        <v>3.3108900000000001</v>
      </c>
      <c r="G62" s="61">
        <f>IF(FT!B62&lt;&gt;"",FT!B62*100,"")</f>
        <v>32.050600000000003</v>
      </c>
      <c r="H62" s="61">
        <f t="shared" si="1"/>
        <v>1</v>
      </c>
      <c r="I62" t="str">
        <f>IF(FT!B62&lt;&gt;"",FT!E62,"")</f>
        <v>1 [24.375958]</v>
      </c>
      <c r="J62">
        <f>IF(FT!B62&lt;&gt;"",FT!C62,"")</f>
        <v>24.376000000000001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3.30227</v>
      </c>
      <c r="G63" s="61">
        <f>IF(FT!B63&lt;&gt;"",FT!B63*100,"")</f>
        <v>32.2288</v>
      </c>
      <c r="H63" s="61">
        <f t="shared" si="1"/>
        <v>1</v>
      </c>
      <c r="I63" t="str">
        <f>IF(FT!B63&lt;&gt;"",FT!E63,"")</f>
        <v>1 [24.779686]</v>
      </c>
      <c r="J63">
        <f>IF(FT!B63&lt;&gt;"",FT!C63,"")</f>
        <v>24.779699999999998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110253</v>
      </c>
      <c r="D64" s="61">
        <f>FH!B64*1</f>
        <v>110253</v>
      </c>
      <c r="E64">
        <f t="shared" si="3"/>
        <v>62</v>
      </c>
      <c r="F64" s="61">
        <f>IF(FT!A64&lt;&gt;"",FT!A64*10,"")</f>
        <v>3.2900600000000004</v>
      </c>
      <c r="G64" s="61">
        <f>IF(FT!B64&lt;&gt;"",FT!B64*100,"")</f>
        <v>32.379000000000005</v>
      </c>
      <c r="H64" s="61">
        <f t="shared" si="1"/>
        <v>1</v>
      </c>
      <c r="I64" t="str">
        <f>IF(FT!B64&lt;&gt;"",FT!E64,"")</f>
        <v>1 [25.193546]</v>
      </c>
      <c r="J64">
        <f>IF(FT!B64&lt;&gt;"",FT!C64,"")</f>
        <v>25.1935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3.2759</v>
      </c>
      <c r="G65" s="61">
        <f>IF(FT!B65&lt;&gt;"",FT!B65*100,"")</f>
        <v>32.513599999999997</v>
      </c>
      <c r="H65" s="61">
        <f t="shared" si="1"/>
        <v>1</v>
      </c>
      <c r="I65" t="str">
        <f>IF(FT!B65&lt;&gt;"",FT!E65,"")</f>
        <v>1 [25.596509]</v>
      </c>
      <c r="J65">
        <f>IF(FT!B65&lt;&gt;"",FT!C65,"")</f>
        <v>25.596499999999999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3.2616200000000002</v>
      </c>
      <c r="G66" s="61">
        <f>IF(FT!B66&lt;&gt;"",FT!B66*100,"")</f>
        <v>32.688499999999998</v>
      </c>
      <c r="H66" s="61">
        <f t="shared" si="1"/>
        <v>1</v>
      </c>
      <c r="I66" t="str">
        <f>IF(FT!B66&lt;&gt;"",FT!E66,"")</f>
        <v>1 [26.003374]</v>
      </c>
      <c r="J66">
        <f>IF(FT!B66&lt;&gt;"",FT!C66,"")</f>
        <v>26.003399999999999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115118</v>
      </c>
      <c r="D67" s="61">
        <f>FH!B67*1</f>
        <v>115118</v>
      </c>
      <c r="E67">
        <f t="shared" si="3"/>
        <v>65</v>
      </c>
      <c r="F67" s="61">
        <f>IF(FT!A67&lt;&gt;"",FT!A67*10,"")</f>
        <v>3.2482800000000003</v>
      </c>
      <c r="G67" s="61">
        <f>IF(FT!B67&lt;&gt;"",FT!B67*100,"")</f>
        <v>32.908000000000001</v>
      </c>
      <c r="H67" s="61">
        <f t="shared" ref="H67:H130" si="9">(IF(F67&lt;&gt;"",1,""))</f>
        <v>1</v>
      </c>
      <c r="I67" t="str">
        <f>IF(FT!B67&lt;&gt;"",FT!E67,"")</f>
        <v>1 [26.407886]</v>
      </c>
      <c r="J67">
        <f>IF(FT!B67&lt;&gt;"",FT!C67,"")</f>
        <v>26.407900000000001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3.23475</v>
      </c>
      <c r="G68" s="61">
        <f>IF(FT!B68&lt;&gt;"",FT!B68*100,"")</f>
        <v>33.177199999999999</v>
      </c>
      <c r="H68" s="61">
        <f t="shared" si="9"/>
        <v>1</v>
      </c>
      <c r="I68" t="str">
        <f>IF(FT!B68&lt;&gt;"",FT!E68,"")</f>
        <v>1 [26.812326]</v>
      </c>
      <c r="J68">
        <f>IF(FT!B68&lt;&gt;"",FT!C68,"")</f>
        <v>26.8123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116778</v>
      </c>
      <c r="D69" s="61">
        <f>FH!B69*1</f>
        <v>116778</v>
      </c>
      <c r="E69">
        <f t="shared" si="11"/>
        <v>67</v>
      </c>
      <c r="F69" s="61">
        <f>IF(FT!A69&lt;&gt;"",FT!A69*10,"")</f>
        <v>3.2224199999999996</v>
      </c>
      <c r="G69" s="61">
        <f>IF(FT!B69&lt;&gt;"",FT!B69*100,"")</f>
        <v>33.528300000000002</v>
      </c>
      <c r="H69" s="61">
        <f t="shared" si="9"/>
        <v>1</v>
      </c>
      <c r="I69" t="str">
        <f>IF(FT!B69&lt;&gt;"",FT!E69,"")</f>
        <v>1 [27.220139]</v>
      </c>
      <c r="J69">
        <f>IF(FT!B69&lt;&gt;"",FT!C69,"")</f>
        <v>27.220099999999999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3.2101500000000001</v>
      </c>
      <c r="G70" s="61">
        <f>IF(FT!B70&lt;&gt;"",FT!B70*100,"")</f>
        <v>33.8947</v>
      </c>
      <c r="H70" s="61">
        <f t="shared" si="9"/>
        <v>1</v>
      </c>
      <c r="I70" t="str">
        <f>IF(FT!B70&lt;&gt;"",FT!E70,"")</f>
        <v>1 [27.625042]</v>
      </c>
      <c r="J70">
        <f>IF(FT!B70&lt;&gt;"",FT!C70,"")</f>
        <v>27.625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3.19937</v>
      </c>
      <c r="G71" s="61">
        <f>IF(FT!B71&lt;&gt;"",FT!B71*100,"")</f>
        <v>34.231899999999996</v>
      </c>
      <c r="H71" s="61">
        <f t="shared" si="9"/>
        <v>1</v>
      </c>
      <c r="I71" t="str">
        <f>IF(FT!B71&lt;&gt;"",FT!E71,"")</f>
        <v>1 [28.034002]</v>
      </c>
      <c r="J71">
        <f>IF(FT!B71&lt;&gt;"",FT!C71,"")</f>
        <v>28.033999999999999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125739</v>
      </c>
      <c r="D72" s="61">
        <f>FH!B72*1</f>
        <v>125739</v>
      </c>
      <c r="E72">
        <f t="shared" si="11"/>
        <v>70</v>
      </c>
      <c r="F72" s="61">
        <f>IF(FT!A72&lt;&gt;"",FT!A72*10,"")</f>
        <v>3.1923300000000001</v>
      </c>
      <c r="G72" s="61">
        <f>IF(FT!B72&lt;&gt;"",FT!B72*100,"")</f>
        <v>34.4604</v>
      </c>
      <c r="H72" s="61">
        <f t="shared" si="9"/>
        <v>1</v>
      </c>
      <c r="I72" t="str">
        <f>IF(FT!B72&lt;&gt;"",FT!E72,"")</f>
        <v>1 [28.441296]</v>
      </c>
      <c r="J72">
        <f>IF(FT!B72&lt;&gt;"",FT!C72,"")</f>
        <v>28.441299999999998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3.1851600000000002</v>
      </c>
      <c r="G73" s="61">
        <f>IF(FT!B73&lt;&gt;"",FT!B73*100,"")</f>
        <v>34.678100000000001</v>
      </c>
      <c r="H73" s="61">
        <f t="shared" si="9"/>
        <v>1</v>
      </c>
      <c r="I73" t="str">
        <f>IF(FT!B73&lt;&gt;"",FT!E73,"")</f>
        <v>1 [28.852926]</v>
      </c>
      <c r="J73">
        <f>IF(FT!B73&lt;&gt;"",FT!C73,"")</f>
        <v>28.852900000000002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3.1783999999999999</v>
      </c>
      <c r="G74" s="61">
        <f>IF(FT!B74&lt;&gt;"",FT!B74*100,"")</f>
        <v>34.926200000000001</v>
      </c>
      <c r="H74" s="61">
        <f t="shared" si="9"/>
        <v>1</v>
      </c>
      <c r="I74" t="str">
        <f>IF(FT!B74&lt;&gt;"",FT!E74,"")</f>
        <v>1 [29.257226]</v>
      </c>
      <c r="J74">
        <f>IF(FT!B74&lt;&gt;"",FT!C74,"")</f>
        <v>29.257200000000001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134546</v>
      </c>
      <c r="D75" s="61">
        <f>FH!B75*1</f>
        <v>134546</v>
      </c>
      <c r="E75">
        <f t="shared" si="11"/>
        <v>73</v>
      </c>
      <c r="F75" s="61">
        <f>IF(FT!A75&lt;&gt;"",FT!A75*10,"")</f>
        <v>3.1701000000000001</v>
      </c>
      <c r="G75" s="61">
        <f>IF(FT!B75&lt;&gt;"",FT!B75*100,"")</f>
        <v>35.113199999999999</v>
      </c>
      <c r="H75" s="61">
        <f t="shared" si="9"/>
        <v>1</v>
      </c>
      <c r="I75" t="str">
        <f>IF(FT!B75&lt;&gt;"",FT!E75,"")</f>
        <v>1 [29.662603]</v>
      </c>
      <c r="J75">
        <f>IF(FT!B75&lt;&gt;"",FT!C75,"")</f>
        <v>29.662600000000001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3.1620900000000001</v>
      </c>
      <c r="G76" s="61">
        <f>IF(FT!B76&lt;&gt;"",FT!B76*100,"")</f>
        <v>35.32</v>
      </c>
      <c r="H76" s="61">
        <f t="shared" si="9"/>
        <v>1</v>
      </c>
      <c r="I76" t="str">
        <f>IF(FT!B76&lt;&gt;"",FT!E76,"")</f>
        <v>2 [30.063545]</v>
      </c>
      <c r="J76">
        <f>IF(FT!B76&lt;&gt;"",FT!C76,"")</f>
        <v>30.063500000000001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142966</v>
      </c>
      <c r="D77" s="61">
        <f>FH!B77*1</f>
        <v>142966</v>
      </c>
      <c r="E77">
        <f t="shared" si="11"/>
        <v>75</v>
      </c>
      <c r="F77" s="61">
        <f>IF(FT!A77&lt;&gt;"",FT!A77*10,"")</f>
        <v>3.15469</v>
      </c>
      <c r="G77" s="61">
        <f>IF(FT!B77&lt;&gt;"",FT!B77*100,"")</f>
        <v>35.695799999999998</v>
      </c>
      <c r="H77" s="61">
        <f t="shared" si="9"/>
        <v>1</v>
      </c>
      <c r="I77" t="str">
        <f>IF(FT!B77&lt;&gt;"",FT!E77,"")</f>
        <v>2 [30.658967]</v>
      </c>
      <c r="J77">
        <f>IF(FT!B77&lt;&gt;"",FT!C77,"")</f>
        <v>30.658999999999999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3.1510600000000002</v>
      </c>
      <c r="G78" s="61">
        <f>IF(FT!B78&lt;&gt;"",FT!B78*100,"")</f>
        <v>35.875399999999999</v>
      </c>
      <c r="H78" s="61">
        <f t="shared" si="9"/>
        <v>1</v>
      </c>
      <c r="I78" t="str">
        <f>IF(FT!B78&lt;&gt;"",FT!E78,"")</f>
        <v>2 [31.035968]</v>
      </c>
      <c r="J78">
        <f>IF(FT!B78&lt;&gt;"",FT!C78,"")</f>
        <v>31.036000000000001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3.1510400000000001</v>
      </c>
      <c r="G79" s="61">
        <f>IF(FT!B79&lt;&gt;"",FT!B79*100,"")</f>
        <v>36.016399999999997</v>
      </c>
      <c r="H79" s="61">
        <f t="shared" si="9"/>
        <v>1</v>
      </c>
      <c r="I79" t="str">
        <f>IF(FT!B79&lt;&gt;"",FT!E79,"")</f>
        <v>2 [31.406023]</v>
      </c>
      <c r="J79">
        <f>IF(FT!B79&lt;&gt;"",FT!C79,"")</f>
        <v>31.405999999999999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136742</v>
      </c>
      <c r="D80" s="61">
        <f>FH!B80*1</f>
        <v>136742</v>
      </c>
      <c r="E80">
        <f t="shared" si="11"/>
        <v>78</v>
      </c>
      <c r="F80" s="61">
        <f>IF(FT!A80&lt;&gt;"",FT!A80*10,"")</f>
        <v>3.15008</v>
      </c>
      <c r="G80" s="61">
        <f>IF(FT!B80&lt;&gt;"",FT!B80*100,"")</f>
        <v>36.255700000000004</v>
      </c>
      <c r="H80" s="61">
        <f t="shared" si="9"/>
        <v>1</v>
      </c>
      <c r="I80" t="str">
        <f>IF(FT!B80&lt;&gt;"",FT!E80,"")</f>
        <v>2 [31.783241]</v>
      </c>
      <c r="J80">
        <f>IF(FT!B80&lt;&gt;"",FT!C80,"")</f>
        <v>31.783200000000001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3.1471800000000001</v>
      </c>
      <c r="G81" s="61">
        <f>IF(FT!B81&lt;&gt;"",FT!B81*100,"")</f>
        <v>36.530699999999996</v>
      </c>
      <c r="H81" s="61">
        <f t="shared" si="9"/>
        <v>1</v>
      </c>
      <c r="I81" t="str">
        <f>IF(FT!B81&lt;&gt;"",FT!E81,"")</f>
        <v>2 [32.158990]</v>
      </c>
      <c r="J81">
        <f>IF(FT!B81&lt;&gt;"",FT!C81,"")</f>
        <v>32.158999999999999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136258</v>
      </c>
      <c r="D82" s="61">
        <f>FH!B82*1</f>
        <v>136258</v>
      </c>
      <c r="E82">
        <f t="shared" si="11"/>
        <v>80</v>
      </c>
      <c r="F82" s="61">
        <f>IF(FT!A82&lt;&gt;"",FT!A82*10,"")</f>
        <v>3.1465300000000003</v>
      </c>
      <c r="G82" s="61">
        <f>IF(FT!B82&lt;&gt;"",FT!B82*100,"")</f>
        <v>36.757300000000001</v>
      </c>
      <c r="H82" s="61">
        <f t="shared" si="9"/>
        <v>1</v>
      </c>
      <c r="I82" t="str">
        <f>IF(FT!B82&lt;&gt;"",FT!E82,"")</f>
        <v>2 [32.566001]</v>
      </c>
      <c r="J82">
        <f>IF(FT!B82&lt;&gt;"",FT!C82,"")</f>
        <v>32.566000000000003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3.1468099999999999</v>
      </c>
      <c r="G83" s="61">
        <f>IF(FT!B83&lt;&gt;"",FT!B83*100,"")</f>
        <v>36.926700000000004</v>
      </c>
      <c r="H83" s="61">
        <f t="shared" si="9"/>
        <v>1</v>
      </c>
      <c r="I83" t="str">
        <f>IF(FT!B83&lt;&gt;"",FT!E83,"")</f>
        <v>2 [32.971748]</v>
      </c>
      <c r="J83">
        <f>IF(FT!B83&lt;&gt;"",FT!C83,"")</f>
        <v>32.971699999999998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3.1467700000000001</v>
      </c>
      <c r="G84" s="61">
        <f>IF(FT!B84&lt;&gt;"",FT!B84*100,"")</f>
        <v>37.1023</v>
      </c>
      <c r="H84" s="61">
        <f t="shared" si="9"/>
        <v>1</v>
      </c>
      <c r="I84" t="str">
        <f>IF(FT!B84&lt;&gt;"",FT!E84,"")</f>
        <v>2 [33.375776]</v>
      </c>
      <c r="J84">
        <f>IF(FT!B84&lt;&gt;"",FT!C84,"")</f>
        <v>33.375799999999998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136095</v>
      </c>
      <c r="D85" s="61">
        <f>FH!B85*1</f>
        <v>136095</v>
      </c>
      <c r="E85">
        <f t="shared" si="11"/>
        <v>83</v>
      </c>
      <c r="F85" s="61">
        <f>IF(FT!A85&lt;&gt;"",FT!A85*10,"")</f>
        <v>3.14649</v>
      </c>
      <c r="G85" s="61">
        <f>IF(FT!B85&lt;&gt;"",FT!B85*100,"")</f>
        <v>37.2774</v>
      </c>
      <c r="H85" s="61">
        <f t="shared" si="9"/>
        <v>1</v>
      </c>
      <c r="I85" t="str">
        <f>IF(FT!B85&lt;&gt;"",FT!E85,"")</f>
        <v>2 [33.781855]</v>
      </c>
      <c r="J85">
        <f>IF(FT!B85&lt;&gt;"",FT!C85,"")</f>
        <v>33.7819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3.1502699999999999</v>
      </c>
      <c r="G86" s="61">
        <f>IF(FT!B86&lt;&gt;"",FT!B86*100,"")</f>
        <v>37.382300000000001</v>
      </c>
      <c r="H86" s="61">
        <f t="shared" si="9"/>
        <v>1</v>
      </c>
      <c r="I86" t="str">
        <f>IF(FT!B86&lt;&gt;"",FT!E86,"")</f>
        <v>2 [34.193522]</v>
      </c>
      <c r="J86">
        <f>IF(FT!B86&lt;&gt;"",FT!C86,"")</f>
        <v>34.1935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3.1596000000000002</v>
      </c>
      <c r="G87" s="61">
        <f>IF(FT!B87&lt;&gt;"",FT!B87*100,"")</f>
        <v>37.360900000000001</v>
      </c>
      <c r="H87" s="61">
        <f t="shared" si="9"/>
        <v>1</v>
      </c>
      <c r="I87" t="str">
        <f>IF(FT!B87&lt;&gt;"",FT!E87,"")</f>
        <v>2 [34.597690]</v>
      </c>
      <c r="J87">
        <f>IF(FT!B87&lt;&gt;"",FT!C87,"")</f>
        <v>34.597700000000003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136129</v>
      </c>
      <c r="D88" s="61">
        <f>FH!B88*1</f>
        <v>136129</v>
      </c>
      <c r="E88">
        <f t="shared" si="11"/>
        <v>86</v>
      </c>
      <c r="F88" s="61">
        <f>IF(FT!A88&lt;&gt;"",FT!A88*10,"")</f>
        <v>3.1703199999999998</v>
      </c>
      <c r="G88" s="61">
        <f>IF(FT!B88&lt;&gt;"",FT!B88*100,"")</f>
        <v>37.303799999999995</v>
      </c>
      <c r="H88" s="61">
        <f t="shared" si="9"/>
        <v>1</v>
      </c>
      <c r="I88" t="str">
        <f>IF(FT!B88&lt;&gt;"",FT!E88,"")</f>
        <v>2 [35.002384]</v>
      </c>
      <c r="J88">
        <f>IF(FT!B88&lt;&gt;"",FT!C88,"")</f>
        <v>35.002400000000002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3.18004</v>
      </c>
      <c r="G89" s="61">
        <f>IF(FT!B89&lt;&gt;"",FT!B89*100,"")</f>
        <v>37.328499999999998</v>
      </c>
      <c r="H89" s="61">
        <f t="shared" si="9"/>
        <v>1</v>
      </c>
      <c r="I89" t="str">
        <f>IF(FT!B89&lt;&gt;"",FT!E89,"")</f>
        <v>2 [35.409331]</v>
      </c>
      <c r="J89">
        <f>IF(FT!B89&lt;&gt;"",FT!C89,"")</f>
        <v>35.409300000000002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125322</v>
      </c>
      <c r="D90" s="61">
        <f>FH!B90*1</f>
        <v>125322</v>
      </c>
      <c r="E90">
        <f t="shared" si="11"/>
        <v>88</v>
      </c>
      <c r="F90" s="61">
        <f>IF(FT!A90&lt;&gt;"",FT!A90*10,"")</f>
        <v>3.1889699999999999</v>
      </c>
      <c r="G90" s="61">
        <f>IF(FT!B90&lt;&gt;"",FT!B90*100,"")</f>
        <v>37.345399999999998</v>
      </c>
      <c r="H90" s="61">
        <f t="shared" si="9"/>
        <v>1</v>
      </c>
      <c r="I90" t="str">
        <f>IF(FT!B90&lt;&gt;"",FT!E90,"")</f>
        <v>2 [35.812351]</v>
      </c>
      <c r="J90">
        <f>IF(FT!B90&lt;&gt;"",FT!C90,"")</f>
        <v>35.812399999999997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3.1978600000000004</v>
      </c>
      <c r="G91" s="61">
        <f>IF(FT!B91&lt;&gt;"",FT!B91*100,"")</f>
        <v>37.368000000000002</v>
      </c>
      <c r="H91" s="61">
        <f t="shared" si="9"/>
        <v>1</v>
      </c>
      <c r="I91" t="str">
        <f>IF(FT!B91&lt;&gt;"",FT!E91,"")</f>
        <v>2 [36.222120]</v>
      </c>
      <c r="J91">
        <f>IF(FT!B91&lt;&gt;"",FT!C91,"")</f>
        <v>36.222099999999998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3.2067000000000001</v>
      </c>
      <c r="G92" s="61">
        <f>IF(FT!B92&lt;&gt;"",FT!B92*100,"")</f>
        <v>37.343199999999996</v>
      </c>
      <c r="H92" s="61">
        <f t="shared" si="9"/>
        <v>1</v>
      </c>
      <c r="I92" t="str">
        <f>IF(FT!B92&lt;&gt;"",FT!E92,"")</f>
        <v>2 [36.628084]</v>
      </c>
      <c r="J92">
        <f>IF(FT!B92&lt;&gt;"",FT!C92,"")</f>
        <v>36.628100000000003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118374</v>
      </c>
      <c r="D93" s="61">
        <f>FH!B93*1</f>
        <v>118374</v>
      </c>
      <c r="E93">
        <f t="shared" si="11"/>
        <v>91</v>
      </c>
      <c r="F93" s="61">
        <f>IF(FT!A93&lt;&gt;"",FT!A93*10,"")</f>
        <v>3.2140499999999999</v>
      </c>
      <c r="G93" s="61">
        <f>IF(FT!B93&lt;&gt;"",FT!B93*100,"")</f>
        <v>37.294400000000003</v>
      </c>
      <c r="H93" s="61">
        <f t="shared" si="9"/>
        <v>1</v>
      </c>
      <c r="I93" t="str">
        <f>IF(FT!B93&lt;&gt;"",FT!E93,"")</f>
        <v>2 [37.033910]</v>
      </c>
      <c r="J93">
        <f>IF(FT!B93&lt;&gt;"",FT!C93,"")</f>
        <v>37.033900000000003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3.21861</v>
      </c>
      <c r="G94" s="61">
        <f>IF(FT!B94&lt;&gt;"",FT!B94*100,"")</f>
        <v>37.190400000000004</v>
      </c>
      <c r="H94" s="61">
        <f t="shared" si="9"/>
        <v>1</v>
      </c>
      <c r="I94" t="str">
        <f>IF(FT!B94&lt;&gt;"",FT!E94,"")</f>
        <v>2 [37.437995]</v>
      </c>
      <c r="J94">
        <f>IF(FT!B94&lt;&gt;"",FT!C94,"")</f>
        <v>37.438000000000002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116427</v>
      </c>
      <c r="D95" s="61">
        <f>FH!B95*1</f>
        <v>116427</v>
      </c>
      <c r="E95">
        <f t="shared" si="11"/>
        <v>93</v>
      </c>
      <c r="F95" s="61">
        <f>IF(FT!A95&lt;&gt;"",FT!A95*10,"")</f>
        <v>3.2220199999999997</v>
      </c>
      <c r="G95" s="61">
        <f>IF(FT!B95&lt;&gt;"",FT!B95*100,"")</f>
        <v>37.078299999999999</v>
      </c>
      <c r="H95" s="61">
        <f t="shared" si="9"/>
        <v>1</v>
      </c>
      <c r="I95" t="str">
        <f>IF(FT!B95&lt;&gt;"",FT!E95,"")</f>
        <v>2 [37.844851]</v>
      </c>
      <c r="J95">
        <f>IF(FT!B95&lt;&gt;"",FT!C95,"")</f>
        <v>37.844900000000003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3.2230699999999999</v>
      </c>
      <c r="G96" s="61">
        <f>IF(FT!B96&lt;&gt;"",FT!B96*100,"")</f>
        <v>37.008699999999997</v>
      </c>
      <c r="H96" s="61">
        <f t="shared" si="9"/>
        <v>1</v>
      </c>
      <c r="I96" t="str">
        <f>IF(FT!B96&lt;&gt;"",FT!E96,"")</f>
        <v>2 [38.250701]</v>
      </c>
      <c r="J96">
        <f>IF(FT!B96&lt;&gt;"",FT!C96,"")</f>
        <v>38.250700000000002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3.2224000000000004</v>
      </c>
      <c r="G97" s="61">
        <f>IF(FT!B97&lt;&gt;"",FT!B97*100,"")</f>
        <v>36.987400000000001</v>
      </c>
      <c r="H97" s="61">
        <f t="shared" si="9"/>
        <v>1</v>
      </c>
      <c r="I97" t="str">
        <f>IF(FT!B97&lt;&gt;"",FT!E97,"")</f>
        <v>2 [38.660570]</v>
      </c>
      <c r="J97">
        <f>IF(FT!B97&lt;&gt;"",FT!C97,"")</f>
        <v>38.660600000000002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112145</v>
      </c>
      <c r="D98" s="61">
        <f>FH!B98*1</f>
        <v>112145</v>
      </c>
      <c r="E98">
        <f t="shared" si="11"/>
        <v>96</v>
      </c>
      <c r="F98" s="61">
        <f>IF(FT!A98&lt;&gt;"",FT!A98*10,"")</f>
        <v>3.2241</v>
      </c>
      <c r="G98" s="61">
        <f>IF(FT!B98&lt;&gt;"",FT!B98*100,"")</f>
        <v>36.960999999999999</v>
      </c>
      <c r="H98" s="61">
        <f t="shared" si="9"/>
        <v>1</v>
      </c>
      <c r="I98" t="str">
        <f>IF(FT!B98&lt;&gt;"",FT!E98,"")</f>
        <v>2 [39.067585]</v>
      </c>
      <c r="J98">
        <f>IF(FT!B98&lt;&gt;"",FT!C98,"")</f>
        <v>39.067599999999999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3.2289699999999999</v>
      </c>
      <c r="G99" s="61">
        <f>IF(FT!B99&lt;&gt;"",FT!B99*100,"")</f>
        <v>36.8399</v>
      </c>
      <c r="H99" s="61">
        <f t="shared" si="9"/>
        <v>1</v>
      </c>
      <c r="I99" t="str">
        <f>IF(FT!B99&lt;&gt;"",FT!E99,"")</f>
        <v>2 [39.472435]</v>
      </c>
      <c r="J99">
        <f>IF(FT!B99&lt;&gt;"",FT!C99,"")</f>
        <v>39.4724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107229</v>
      </c>
      <c r="D100" s="61">
        <f>FH!B100*1</f>
        <v>107229</v>
      </c>
      <c r="E100">
        <f t="shared" si="11"/>
        <v>98</v>
      </c>
      <c r="F100" s="61">
        <f>IF(FT!A100&lt;&gt;"",FT!A100*10,"")</f>
        <v>3.2355200000000002</v>
      </c>
      <c r="G100" s="61">
        <f>IF(FT!B100&lt;&gt;"",FT!B100*100,"")</f>
        <v>36.685099999999998</v>
      </c>
      <c r="H100" s="61">
        <f t="shared" si="9"/>
        <v>1</v>
      </c>
      <c r="I100" t="str">
        <f>IF(FT!B100&lt;&gt;"",FT!E100,"")</f>
        <v>2 [39.878461]</v>
      </c>
      <c r="J100">
        <f>IF(FT!B100&lt;&gt;"",FT!C100,"")</f>
        <v>39.878500000000003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3.2451400000000001</v>
      </c>
      <c r="G101" s="61">
        <f>IF(FT!B101&lt;&gt;"",FT!B101*100,"")</f>
        <v>36.494700000000002</v>
      </c>
      <c r="H101" s="61">
        <f t="shared" si="9"/>
        <v>1</v>
      </c>
      <c r="I101" t="str">
        <f>IF(FT!B101&lt;&gt;"",FT!E101,"")</f>
        <v>2 [40.286236]</v>
      </c>
      <c r="J101">
        <f>IF(FT!B101&lt;&gt;"",FT!C101,"")</f>
        <v>40.286200000000001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3.2555000000000001</v>
      </c>
      <c r="G102" s="61">
        <f>IF(FT!B102&lt;&gt;"",FT!B102*100,"")</f>
        <v>36.204599999999999</v>
      </c>
      <c r="H102" s="61">
        <f t="shared" si="9"/>
        <v>1</v>
      </c>
      <c r="I102" t="str">
        <f>IF(FT!B102&lt;&gt;"",FT!E102,"")</f>
        <v>2 [40.690467]</v>
      </c>
      <c r="J102">
        <f>IF(FT!B102&lt;&gt;"",FT!C102,"")</f>
        <v>40.6905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98289</v>
      </c>
      <c r="D103" s="61">
        <f>FH!B103*1</f>
        <v>98289</v>
      </c>
      <c r="E103">
        <f t="shared" si="11"/>
        <v>101</v>
      </c>
      <c r="F103" s="61">
        <f>IF(FT!A103&lt;&gt;"",FT!A103*10,"")</f>
        <v>3.2680700000000003</v>
      </c>
      <c r="G103" s="61">
        <f>IF(FT!B103&lt;&gt;"",FT!B103*100,"")</f>
        <v>35.912300000000002</v>
      </c>
      <c r="H103" s="61">
        <f t="shared" si="9"/>
        <v>1</v>
      </c>
      <c r="I103" t="str">
        <f>IF(FT!B103&lt;&gt;"",FT!E103,"")</f>
        <v>2 [41.096021]</v>
      </c>
      <c r="J103">
        <f>IF(FT!B103&lt;&gt;"",FT!C103,"")</f>
        <v>41.095999999999997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3.2762799999999999</v>
      </c>
      <c r="G104" s="61">
        <f>IF(FT!B104&lt;&gt;"",FT!B104*100,"")</f>
        <v>35.7483</v>
      </c>
      <c r="H104" s="61">
        <f t="shared" si="9"/>
        <v>1</v>
      </c>
      <c r="I104" t="str">
        <f>IF(FT!B104&lt;&gt;"",FT!E104,"")</f>
        <v>2 [41.501946]</v>
      </c>
      <c r="J104">
        <f>IF(FT!B104&lt;&gt;"",FT!C104,"")</f>
        <v>41.501899999999999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3.2824499999999999</v>
      </c>
      <c r="G105" s="61">
        <f>IF(FT!B105&lt;&gt;"",FT!B105*100,"")</f>
        <v>35.671799999999998</v>
      </c>
      <c r="H105" s="61">
        <f t="shared" si="9"/>
        <v>1</v>
      </c>
      <c r="I105" t="str">
        <f>IF(FT!B105&lt;&gt;"",FT!E105,"")</f>
        <v>2 [41.908863]</v>
      </c>
      <c r="J105">
        <f>IF(FT!B105&lt;&gt;"",FT!C105,"")</f>
        <v>41.908900000000003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89043</v>
      </c>
      <c r="D106" s="61">
        <f>FH!B106*1</f>
        <v>89043</v>
      </c>
      <c r="E106">
        <f t="shared" si="11"/>
        <v>104</v>
      </c>
      <c r="F106" s="61">
        <f>IF(FT!A106&lt;&gt;"",FT!A106*10,"")</f>
        <v>3.28749</v>
      </c>
      <c r="G106" s="61">
        <f>IF(FT!B106&lt;&gt;"",FT!B106*100,"")</f>
        <v>35.5991</v>
      </c>
      <c r="H106" s="61">
        <f t="shared" si="9"/>
        <v>1</v>
      </c>
      <c r="I106" t="str">
        <f>IF(FT!B106&lt;&gt;"",FT!E106,"")</f>
        <v>2 [42.315791]</v>
      </c>
      <c r="J106">
        <f>IF(FT!B106&lt;&gt;"",FT!C106,"")</f>
        <v>42.315800000000003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3.2953399999999999</v>
      </c>
      <c r="G107" s="61">
        <f>IF(FT!B107&lt;&gt;"",FT!B107*100,"")</f>
        <v>35.421599999999998</v>
      </c>
      <c r="H107" s="61">
        <f t="shared" si="9"/>
        <v>1</v>
      </c>
      <c r="I107" t="str">
        <f>IF(FT!B107&lt;&gt;"",FT!E107,"")</f>
        <v>2 [42.720713]</v>
      </c>
      <c r="J107">
        <f>IF(FT!B107&lt;&gt;"",FT!C107,"")</f>
        <v>42.720700000000001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79641</v>
      </c>
      <c r="D108" s="61">
        <f>FH!B108*1</f>
        <v>79641</v>
      </c>
      <c r="E108">
        <f t="shared" si="11"/>
        <v>106</v>
      </c>
      <c r="F108" s="61">
        <f>IF(FT!A108&lt;&gt;"",FT!A108*10,"")</f>
        <v>3.3046100000000003</v>
      </c>
      <c r="G108" s="61">
        <f>IF(FT!B108&lt;&gt;"",FT!B108*100,"")</f>
        <v>35.235300000000002</v>
      </c>
      <c r="H108" s="61">
        <f t="shared" si="9"/>
        <v>1</v>
      </c>
      <c r="I108" t="str">
        <f>IF(FT!B108&lt;&gt;"",FT!E108,"")</f>
        <v>2 [43.129685]</v>
      </c>
      <c r="J108">
        <f>IF(FT!B108&lt;&gt;"",FT!C108,"")</f>
        <v>43.1297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3.3148100000000005</v>
      </c>
      <c r="G109" s="61">
        <f>IF(FT!B109&lt;&gt;"",FT!B109*100,"")</f>
        <v>34.993699999999997</v>
      </c>
      <c r="H109" s="61">
        <f t="shared" si="9"/>
        <v>1</v>
      </c>
      <c r="I109" t="str">
        <f>IF(FT!B109&lt;&gt;"",FT!E109,"")</f>
        <v>2 [43.533548]</v>
      </c>
      <c r="J109">
        <f>IF(FT!B109&lt;&gt;"",FT!C109,"")</f>
        <v>43.533499999999997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3.3258799999999997</v>
      </c>
      <c r="G110" s="61">
        <f>IF(FT!B110&lt;&gt;"",FT!B110*100,"")</f>
        <v>34.7136</v>
      </c>
      <c r="H110" s="61">
        <f t="shared" si="9"/>
        <v>1</v>
      </c>
      <c r="I110" t="str">
        <f>IF(FT!B110&lt;&gt;"",FT!E110,"")</f>
        <v>2 [43.938496]</v>
      </c>
      <c r="J110">
        <f>IF(FT!B110&lt;&gt;"",FT!C110,"")</f>
        <v>43.938499999999998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70161</v>
      </c>
      <c r="D111" s="61">
        <f>FH!B111*1</f>
        <v>70161</v>
      </c>
      <c r="E111">
        <f t="shared" si="11"/>
        <v>109</v>
      </c>
      <c r="F111" s="61">
        <f>IF(FT!A111&lt;&gt;"",FT!A111*10,"")</f>
        <v>3.3375500000000002</v>
      </c>
      <c r="G111" s="61">
        <f>IF(FT!B111&lt;&gt;"",FT!B111*100,"")</f>
        <v>34.377299999999998</v>
      </c>
      <c r="H111" s="61">
        <f t="shared" si="9"/>
        <v>1</v>
      </c>
      <c r="I111" t="str">
        <f>IF(FT!B111&lt;&gt;"",FT!E111,"")</f>
        <v>2 [44.342588]</v>
      </c>
      <c r="J111">
        <f>IF(FT!B111&lt;&gt;"",FT!C111,"")</f>
        <v>44.342599999999997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3.3482000000000003</v>
      </c>
      <c r="G112" s="61">
        <f>IF(FT!B112&lt;&gt;"",FT!B112*100,"")</f>
        <v>34.025399999999998</v>
      </c>
      <c r="H112" s="61">
        <f t="shared" si="9"/>
        <v>1</v>
      </c>
      <c r="I112" t="str">
        <f>IF(FT!B112&lt;&gt;"",FT!E112,"")</f>
        <v>2 [44.753402]</v>
      </c>
      <c r="J112">
        <f>IF(FT!B112&lt;&gt;"",FT!C112,"")</f>
        <v>44.753399999999999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69425</v>
      </c>
      <c r="D113" s="61">
        <f>FH!B113*1</f>
        <v>69425</v>
      </c>
      <c r="E113">
        <f t="shared" si="11"/>
        <v>111</v>
      </c>
      <c r="F113" s="61">
        <f>IF(FT!A113&lt;&gt;"",FT!A113*10,"")</f>
        <v>3.35968</v>
      </c>
      <c r="G113" s="61">
        <f>IF(FT!B113&lt;&gt;"",FT!B113*100,"")</f>
        <v>33.788899999999998</v>
      </c>
      <c r="H113" s="61">
        <f t="shared" si="9"/>
        <v>1</v>
      </c>
      <c r="I113" t="str">
        <f>IF(FT!B113&lt;&gt;"",FT!E113,"")</f>
        <v>2 [45.158322]</v>
      </c>
      <c r="J113">
        <f>IF(FT!B113&lt;&gt;"",FT!C113,"")</f>
        <v>45.158299999999997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3.3739799999999995</v>
      </c>
      <c r="G114" s="61">
        <f>IF(FT!B114&lt;&gt;"",FT!B114*100,"")</f>
        <v>33.5244</v>
      </c>
      <c r="H114" s="61">
        <f t="shared" si="9"/>
        <v>1</v>
      </c>
      <c r="I114" t="str">
        <f>IF(FT!B114&lt;&gt;"",FT!E114,"")</f>
        <v>2 [45.564128]</v>
      </c>
      <c r="J114">
        <f>IF(FT!B114&lt;&gt;"",FT!C114,"")</f>
        <v>45.564100000000003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3.3868900000000002</v>
      </c>
      <c r="G115" s="61">
        <f>IF(FT!B115&lt;&gt;"",FT!B115*100,"")</f>
        <v>33.275399999999998</v>
      </c>
      <c r="H115" s="61">
        <f t="shared" si="9"/>
        <v>1</v>
      </c>
      <c r="I115" t="str">
        <f>IF(FT!B115&lt;&gt;"",FT!E115,"")</f>
        <v>2 [45.970019]</v>
      </c>
      <c r="J115">
        <f>IF(FT!B115&lt;&gt;"",FT!C115,"")</f>
        <v>45.97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59588</v>
      </c>
      <c r="D116" s="61">
        <f>FH!B116*1</f>
        <v>59588</v>
      </c>
      <c r="E116">
        <f t="shared" si="11"/>
        <v>114</v>
      </c>
      <c r="F116" s="61">
        <f>IF(FT!A116&lt;&gt;"",FT!A116*10,"")</f>
        <v>3.3971099999999996</v>
      </c>
      <c r="G116" s="61">
        <f>IF(FT!B116&lt;&gt;"",FT!B116*100,"")</f>
        <v>33.103900000000003</v>
      </c>
      <c r="H116" s="61">
        <f t="shared" si="9"/>
        <v>1</v>
      </c>
      <c r="I116" t="str">
        <f>IF(FT!B116&lt;&gt;"",FT!E116,"")</f>
        <v>2 [46.374322]</v>
      </c>
      <c r="J116">
        <f>IF(FT!B116&lt;&gt;"",FT!C116,"")</f>
        <v>46.374299999999998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3.4079900000000003</v>
      </c>
      <c r="G117" s="61">
        <f>IF(FT!B117&lt;&gt;"",FT!B117*100,"")</f>
        <v>32.886200000000002</v>
      </c>
      <c r="H117" s="61">
        <f t="shared" si="9"/>
        <v>1</v>
      </c>
      <c r="I117" t="str">
        <f>IF(FT!B117&lt;&gt;"",FT!E117,"")</f>
        <v>2 [46.778903]</v>
      </c>
      <c r="J117">
        <f>IF(FT!B117&lt;&gt;"",FT!C117,"")</f>
        <v>46.7789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53989</v>
      </c>
      <c r="D118" s="61">
        <f>FH!B118*1</f>
        <v>53989</v>
      </c>
      <c r="E118">
        <f t="shared" si="11"/>
        <v>116</v>
      </c>
      <c r="F118" s="61">
        <f>IF(FT!A118&lt;&gt;"",FT!A118*10,"")</f>
        <v>3.4155699999999998</v>
      </c>
      <c r="G118" s="61">
        <f>IF(FT!B118&lt;&gt;"",FT!B118*100,"")</f>
        <v>32.703700000000005</v>
      </c>
      <c r="H118" s="61">
        <f t="shared" si="9"/>
        <v>1</v>
      </c>
      <c r="I118" t="str">
        <f>IF(FT!B118&lt;&gt;"",FT!E118,"")</f>
        <v>2 [47.186822]</v>
      </c>
      <c r="J118">
        <f>IF(FT!B118&lt;&gt;"",FT!C118,"")</f>
        <v>47.186799999999998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3.4239299999999999</v>
      </c>
      <c r="G119" s="61">
        <f>IF(FT!B119&lt;&gt;"",FT!B119*100,"")</f>
        <v>32.595200000000006</v>
      </c>
      <c r="H119" s="61">
        <f t="shared" si="9"/>
        <v>1</v>
      </c>
      <c r="I119" t="str">
        <f>IF(FT!B119&lt;&gt;"",FT!E119,"")</f>
        <v>2 [47.596695]</v>
      </c>
      <c r="J119">
        <f>IF(FT!B119&lt;&gt;"",FT!C119,"")</f>
        <v>47.596699999999998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3.4334500000000001</v>
      </c>
      <c r="G120" s="61">
        <f>IF(FT!B120&lt;&gt;"",FT!B120*100,"")</f>
        <v>32.482599999999998</v>
      </c>
      <c r="H120" s="61">
        <f t="shared" si="9"/>
        <v>1</v>
      </c>
      <c r="I120" t="str">
        <f>IF(FT!B120&lt;&gt;"",FT!E120,"")</f>
        <v>2 [48.003574]</v>
      </c>
      <c r="J120">
        <f>IF(FT!B120&lt;&gt;"",FT!C120,"")</f>
        <v>48.003599999999999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49424</v>
      </c>
      <c r="D121" s="61">
        <f>FH!B121*1</f>
        <v>49424</v>
      </c>
      <c r="E121">
        <f t="shared" si="11"/>
        <v>119</v>
      </c>
      <c r="F121" s="61">
        <f>IF(FT!A121&lt;&gt;"",FT!A121*10,"")</f>
        <v>3.4412900000000004</v>
      </c>
      <c r="G121" s="61">
        <f>IF(FT!B121&lt;&gt;"",FT!B121*100,"")</f>
        <v>32.394099999999995</v>
      </c>
      <c r="H121" s="61">
        <f t="shared" si="9"/>
        <v>1</v>
      </c>
      <c r="I121" t="str">
        <f>IF(FT!B121&lt;&gt;"",FT!E121,"")</f>
        <v>2 [48.415562]</v>
      </c>
      <c r="J121">
        <f>IF(FT!B121&lt;&gt;"",FT!C121,"")</f>
        <v>48.415599999999998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3.4488400000000001</v>
      </c>
      <c r="G122" s="61">
        <f>IF(FT!B122&lt;&gt;"",FT!B122*100,"")</f>
        <v>32.321399999999997</v>
      </c>
      <c r="H122" s="61">
        <f t="shared" si="9"/>
        <v>1</v>
      </c>
      <c r="I122" t="str">
        <f>IF(FT!B122&lt;&gt;"",FT!E122,"")</f>
        <v>2 [48.817915]</v>
      </c>
      <c r="J122">
        <f>IF(FT!B122&lt;&gt;"",FT!C122,"")</f>
        <v>48.817900000000002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3.4578500000000001</v>
      </c>
      <c r="G123" s="61">
        <f>IF(FT!B123&lt;&gt;"",FT!B123*100,"")</f>
        <v>32.0901</v>
      </c>
      <c r="H123" s="61">
        <f t="shared" si="9"/>
        <v>1</v>
      </c>
      <c r="I123" t="str">
        <f>IF(FT!B123&lt;&gt;"",FT!E123,"")</f>
        <v>2 [49.222590]</v>
      </c>
      <c r="J123">
        <f>IF(FT!B123&lt;&gt;"",FT!C123,"")</f>
        <v>49.2226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44858</v>
      </c>
      <c r="D124" s="61">
        <f>FH!B124*1</f>
        <v>44858</v>
      </c>
      <c r="E124">
        <f t="shared" si="11"/>
        <v>122</v>
      </c>
      <c r="F124" s="61">
        <f>IF(FT!A124&lt;&gt;"",FT!A124*10,"")</f>
        <v>3.4660600000000001</v>
      </c>
      <c r="G124" s="61">
        <f>IF(FT!B124&lt;&gt;"",FT!B124*100,"")</f>
        <v>31.835699999999999</v>
      </c>
      <c r="H124" s="61">
        <f t="shared" si="9"/>
        <v>1</v>
      </c>
      <c r="I124" t="str">
        <f>IF(FT!B124&lt;&gt;"",FT!E124,"")</f>
        <v>2 [49.629356]</v>
      </c>
      <c r="J124">
        <f>IF(FT!B124&lt;&gt;"",FT!C124,"")</f>
        <v>49.629399999999997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3.4719299999999995</v>
      </c>
      <c r="G125" s="61">
        <f>IF(FT!B125&lt;&gt;"",FT!B125*100,"")</f>
        <v>31.703199999999999</v>
      </c>
      <c r="H125" s="61">
        <f t="shared" si="9"/>
        <v>1</v>
      </c>
      <c r="I125" t="str">
        <f>IF(FT!B125&lt;&gt;"",FT!E125,"")</f>
        <v>2 [50.030347]</v>
      </c>
      <c r="J125">
        <f>IF(FT!B125&lt;&gt;"",FT!C125,"")</f>
        <v>50.030299999999997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40326</v>
      </c>
      <c r="D126" s="61">
        <f>FH!B126*1</f>
        <v>40326</v>
      </c>
      <c r="E126">
        <f t="shared" si="11"/>
        <v>124</v>
      </c>
      <c r="F126" s="61">
        <f>IF(FT!A126&lt;&gt;"",FT!A126*10,"")</f>
        <v>3.4758099999999996</v>
      </c>
      <c r="G126" s="61">
        <f>IF(FT!B126&lt;&gt;"",FT!B126*100,"")</f>
        <v>31.620100000000001</v>
      </c>
      <c r="H126" s="61">
        <f t="shared" si="9"/>
        <v>1</v>
      </c>
      <c r="I126" t="str">
        <f>IF(FT!B126&lt;&gt;"",FT!E126,"")</f>
        <v>2 [50.448326]</v>
      </c>
      <c r="J126">
        <f>IF(FT!B126&lt;&gt;"",FT!C126,"")</f>
        <v>50.448300000000003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3.4777200000000001</v>
      </c>
      <c r="G127" s="61">
        <f>IF(FT!B127&lt;&gt;"",FT!B127*100,"")</f>
        <v>31.563400000000001</v>
      </c>
      <c r="H127" s="61">
        <f t="shared" si="9"/>
        <v>1</v>
      </c>
      <c r="I127" t="str">
        <f>IF(FT!B127&lt;&gt;"",FT!E127,"")</f>
        <v>2 [50.846025]</v>
      </c>
      <c r="J127">
        <f>IF(FT!B127&lt;&gt;"",FT!C127,"")</f>
        <v>50.845999999999997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3.4752999999999998</v>
      </c>
      <c r="G128" s="61">
        <f>IF(FT!B128&lt;&gt;"",FT!B128*100,"")</f>
        <v>31.543500000000002</v>
      </c>
      <c r="H128" s="61">
        <f t="shared" si="9"/>
        <v>1</v>
      </c>
      <c r="I128" t="str">
        <f>IF(FT!B128&lt;&gt;"",FT!E128,"")</f>
        <v>2 [51.252073]</v>
      </c>
      <c r="J128">
        <f>IF(FT!B128&lt;&gt;"",FT!C128,"")</f>
        <v>51.252099999999999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34410</v>
      </c>
      <c r="D129" s="61">
        <f>FH!B129*1</f>
        <v>34410</v>
      </c>
      <c r="E129">
        <f t="shared" si="11"/>
        <v>127</v>
      </c>
      <c r="F129" s="61">
        <f>IF(FT!A129&lt;&gt;"",FT!A129*10,"")</f>
        <v>3.4740799999999998</v>
      </c>
      <c r="G129" s="61">
        <f>IF(FT!B129&lt;&gt;"",FT!B129*100,"")</f>
        <v>31.441700000000001</v>
      </c>
      <c r="H129" s="61">
        <f t="shared" si="9"/>
        <v>1</v>
      </c>
      <c r="I129" t="str">
        <f>IF(FT!B129&lt;&gt;"",FT!E129,"")</f>
        <v>2 [51.660822]</v>
      </c>
      <c r="J129">
        <f>IF(FT!B129&lt;&gt;"",FT!C129,"")</f>
        <v>51.660800000000002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3.4771299999999998</v>
      </c>
      <c r="G130" s="61">
        <f>IF(FT!B130&lt;&gt;"",FT!B130*100,"")</f>
        <v>31.242900000000002</v>
      </c>
      <c r="H130" s="61">
        <f t="shared" si="9"/>
        <v>1</v>
      </c>
      <c r="I130" t="str">
        <f>IF(FT!B130&lt;&gt;"",FT!E130,"")</f>
        <v>2 [52.064815]</v>
      </c>
      <c r="J130">
        <f>IF(FT!B130&lt;&gt;"",FT!C130,"")</f>
        <v>52.064799999999998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29704</v>
      </c>
      <c r="D131" s="61">
        <f>FH!B131*1</f>
        <v>29704</v>
      </c>
      <c r="E131">
        <f t="shared" si="11"/>
        <v>129</v>
      </c>
      <c r="F131" s="61">
        <f>IF(FT!A131&lt;&gt;"",FT!A131*10,"")</f>
        <v>3.4828100000000002</v>
      </c>
      <c r="G131" s="61">
        <f>IF(FT!B131&lt;&gt;"",FT!B131*100,"")</f>
        <v>31.060300000000002</v>
      </c>
      <c r="H131" s="61">
        <f t="shared" ref="H131:H194" si="13">(IF(F131&lt;&gt;"",1,""))</f>
        <v>1</v>
      </c>
      <c r="I131" t="str">
        <f>IF(FT!B131&lt;&gt;"",FT!E131,"")</f>
        <v>2 [52.467625]</v>
      </c>
      <c r="J131">
        <f>IF(FT!B131&lt;&gt;"",FT!C131,"")</f>
        <v>52.467599999999997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3.4864299999999999</v>
      </c>
      <c r="G132" s="61">
        <f>IF(FT!B132&lt;&gt;"",FT!B132*100,"")</f>
        <v>30.948999999999998</v>
      </c>
      <c r="H132" s="61">
        <f t="shared" si="13"/>
        <v>1</v>
      </c>
      <c r="I132" t="str">
        <f>IF(FT!B132&lt;&gt;"",FT!E132,"")</f>
        <v>2 [52.876582]</v>
      </c>
      <c r="J132">
        <f>IF(FT!B132&lt;&gt;"",FT!C132,"")</f>
        <v>52.876600000000003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3.48813</v>
      </c>
      <c r="G133" s="61">
        <f>IF(FT!B133&lt;&gt;"",FT!B133*100,"")</f>
        <v>30.8568</v>
      </c>
      <c r="H133" s="61">
        <f t="shared" si="13"/>
        <v>1</v>
      </c>
      <c r="I133" t="str">
        <f>IF(FT!B133&lt;&gt;"",FT!E133,"")</f>
        <v>2 [53.283521]</v>
      </c>
      <c r="J133">
        <f>IF(FT!B133&lt;&gt;"",FT!C133,"")</f>
        <v>53.283499999999997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30760</v>
      </c>
      <c r="D134" s="61">
        <f>FH!B134*1</f>
        <v>30760</v>
      </c>
      <c r="E134">
        <f t="shared" si="15"/>
        <v>132</v>
      </c>
      <c r="F134" s="61">
        <f>IF(FT!A134&lt;&gt;"",FT!A134*10,"")</f>
        <v>3.4896500000000001</v>
      </c>
      <c r="G134" s="61">
        <f>IF(FT!B134&lt;&gt;"",FT!B134*100,"")</f>
        <v>30.786400000000004</v>
      </c>
      <c r="H134" s="61">
        <f t="shared" si="13"/>
        <v>1</v>
      </c>
      <c r="I134" t="str">
        <f>IF(FT!B134&lt;&gt;"",FT!E134,"")</f>
        <v>2 [53.693367]</v>
      </c>
      <c r="J134">
        <f>IF(FT!B134&lt;&gt;"",FT!C134,"")</f>
        <v>53.693399999999997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3.4894699999999998</v>
      </c>
      <c r="G135" s="61">
        <f>IF(FT!B135&lt;&gt;"",FT!B135*100,"")</f>
        <v>30.764200000000002</v>
      </c>
      <c r="H135" s="61">
        <f t="shared" si="13"/>
        <v>1</v>
      </c>
      <c r="I135" t="str">
        <f>IF(FT!B135&lt;&gt;"",FT!E135,"")</f>
        <v>2 [54.097411]</v>
      </c>
      <c r="J135">
        <f>IF(FT!B135&lt;&gt;"",FT!C135,"")</f>
        <v>54.0974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33610</v>
      </c>
      <c r="D136" s="61">
        <f>FH!B136*1</f>
        <v>33610</v>
      </c>
      <c r="E136">
        <f t="shared" si="15"/>
        <v>134</v>
      </c>
      <c r="F136" s="61">
        <f>IF(FT!A136&lt;&gt;"",FT!A136*10,"")</f>
        <v>3.4855900000000002</v>
      </c>
      <c r="G136" s="61">
        <f>IF(FT!B136&lt;&gt;"",FT!B136*100,"")</f>
        <v>30.8215</v>
      </c>
      <c r="H136" s="61">
        <f t="shared" si="13"/>
        <v>1</v>
      </c>
      <c r="I136" t="str">
        <f>IF(FT!B136&lt;&gt;"",FT!E136,"")</f>
        <v>2 [54.501620]</v>
      </c>
      <c r="J136">
        <f>IF(FT!B136&lt;&gt;"",FT!C136,"")</f>
        <v>54.501600000000003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3.4778500000000001</v>
      </c>
      <c r="G137" s="61">
        <f>IF(FT!B137&lt;&gt;"",FT!B137*100,"")</f>
        <v>30.971500000000002</v>
      </c>
      <c r="H137" s="61">
        <f t="shared" si="13"/>
        <v>1</v>
      </c>
      <c r="I137" t="str">
        <f>IF(FT!B137&lt;&gt;"",FT!E137,"")</f>
        <v>2 [54.908253]</v>
      </c>
      <c r="J137">
        <f>IF(FT!B137&lt;&gt;"",FT!C137,"")</f>
        <v>54.908299999999997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3.4697</v>
      </c>
      <c r="G138" s="61">
        <f>IF(FT!B138&lt;&gt;"",FT!B138*100,"")</f>
        <v>30.9573</v>
      </c>
      <c r="H138" s="61">
        <f t="shared" si="13"/>
        <v>1</v>
      </c>
      <c r="I138" t="str">
        <f>IF(FT!B138&lt;&gt;"",FT!E138,"")</f>
        <v>2 [55.315995]</v>
      </c>
      <c r="J138">
        <f>IF(FT!B138&lt;&gt;"",FT!C138,"")</f>
        <v>55.316000000000003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29275</v>
      </c>
      <c r="D139" s="61">
        <f>FH!B139*1</f>
        <v>29275</v>
      </c>
      <c r="E139">
        <f t="shared" si="15"/>
        <v>137</v>
      </c>
      <c r="F139" s="61">
        <f>IF(FT!A139&lt;&gt;"",FT!A139*10,"")</f>
        <v>3.4584999999999999</v>
      </c>
      <c r="G139" s="61">
        <f>IF(FT!B139&lt;&gt;"",FT!B139*100,"")</f>
        <v>30.9819</v>
      </c>
      <c r="H139" s="61">
        <f t="shared" si="13"/>
        <v>1</v>
      </c>
      <c r="I139" t="str">
        <f>IF(FT!B139&lt;&gt;"",FT!E139,"")</f>
        <v>2 [55.721920]</v>
      </c>
      <c r="J139">
        <f>IF(FT!B139&lt;&gt;"",FT!C139,"")</f>
        <v>55.721899999999998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3.4505599999999998</v>
      </c>
      <c r="G140" s="61">
        <f>IF(FT!B140&lt;&gt;"",FT!B140*100,"")</f>
        <v>30.999399999999998</v>
      </c>
      <c r="H140" s="61">
        <f t="shared" si="13"/>
        <v>1</v>
      </c>
      <c r="I140" t="str">
        <f>IF(FT!B140&lt;&gt;"",FT!E140,"")</f>
        <v>2 [56.124337]</v>
      </c>
      <c r="J140">
        <f>IF(FT!B140&lt;&gt;"",FT!C140,"")</f>
        <v>56.124299999999998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3.4457599999999999</v>
      </c>
      <c r="G141" s="61">
        <f>IF(FT!B141&lt;&gt;"",FT!B141*100,"")</f>
        <v>30.856499999999997</v>
      </c>
      <c r="H141" s="61">
        <f t="shared" si="13"/>
        <v>1</v>
      </c>
      <c r="I141" t="str">
        <f>IF(FT!B141&lt;&gt;"",FT!E141,"")</f>
        <v>2 [56.532896]</v>
      </c>
      <c r="J141">
        <f>IF(FT!B141&lt;&gt;"",FT!C141,"")</f>
        <v>56.532899999999998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26015</v>
      </c>
      <c r="D142" s="61">
        <f>FH!B142*1</f>
        <v>26015</v>
      </c>
      <c r="E142">
        <f t="shared" si="15"/>
        <v>140</v>
      </c>
      <c r="F142" s="61">
        <f>IF(FT!A142&lt;&gt;"",FT!A142*10,"")</f>
        <v>3.4340999999999999</v>
      </c>
      <c r="G142" s="61">
        <f>IF(FT!B142&lt;&gt;"",FT!B142*100,"")</f>
        <v>30.891300000000001</v>
      </c>
      <c r="H142" s="61">
        <f t="shared" si="13"/>
        <v>1</v>
      </c>
      <c r="I142" t="str">
        <f>IF(FT!B142&lt;&gt;"",FT!E142,"")</f>
        <v>2 [56.938776]</v>
      </c>
      <c r="J142">
        <f>IF(FT!B142&lt;&gt;"",FT!C142,"")</f>
        <v>56.938800000000001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3.4332000000000003</v>
      </c>
      <c r="G143" s="61">
        <f>IF(FT!B143&lt;&gt;"",FT!B143*100,"")</f>
        <v>30.830600000000004</v>
      </c>
      <c r="H143" s="61">
        <f t="shared" si="13"/>
        <v>1</v>
      </c>
      <c r="I143" t="str">
        <f>IF(FT!B143&lt;&gt;"",FT!E143,"")</f>
        <v>2 [57.344648]</v>
      </c>
      <c r="J143">
        <f>IF(FT!B143&lt;&gt;"",FT!C143,"")</f>
        <v>57.3446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26518</v>
      </c>
      <c r="D144" s="61">
        <f>FH!B144*1</f>
        <v>26518</v>
      </c>
      <c r="E144">
        <f t="shared" si="15"/>
        <v>142</v>
      </c>
      <c r="F144" s="61">
        <f>IF(FT!A144&lt;&gt;"",FT!A144*10,"")</f>
        <v>3.4332500000000001</v>
      </c>
      <c r="G144" s="61">
        <f>IF(FT!B144&lt;&gt;"",FT!B144*100,"")</f>
        <v>30.580500000000001</v>
      </c>
      <c r="H144" s="61">
        <f t="shared" si="13"/>
        <v>1</v>
      </c>
      <c r="I144" t="str">
        <f>IF(FT!B144&lt;&gt;"",FT!E144,"")</f>
        <v>2 [57.749928]</v>
      </c>
      <c r="J144">
        <f>IF(FT!B144&lt;&gt;"",FT!C144,"")</f>
        <v>57.749899999999997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3.4329199999999997</v>
      </c>
      <c r="G145" s="61">
        <f>IF(FT!B145&lt;&gt;"",FT!B145*100,"")</f>
        <v>30.293599999999998</v>
      </c>
      <c r="H145" s="61">
        <f t="shared" si="13"/>
        <v>1</v>
      </c>
      <c r="I145" t="str">
        <f>IF(FT!B145&lt;&gt;"",FT!E145,"")</f>
        <v>2 [58.159388]</v>
      </c>
      <c r="J145">
        <f>IF(FT!B145&lt;&gt;"",FT!C145,"")</f>
        <v>58.159399999999998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3.4431099999999999</v>
      </c>
      <c r="G146" s="61">
        <f>IF(FT!B146&lt;&gt;"",FT!B146*100,"")</f>
        <v>29.770299999999999</v>
      </c>
      <c r="H146" s="61">
        <f t="shared" si="13"/>
        <v>1</v>
      </c>
      <c r="I146" t="str">
        <f>IF(FT!B146&lt;&gt;"",FT!E146,"")</f>
        <v>2 [58.567442]</v>
      </c>
      <c r="J146">
        <f>IF(FT!B146&lt;&gt;"",FT!C146,"")</f>
        <v>58.567399999999999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26457</v>
      </c>
      <c r="D147" s="61">
        <f>FH!B147*1</f>
        <v>26457</v>
      </c>
      <c r="E147">
        <f t="shared" si="15"/>
        <v>145</v>
      </c>
      <c r="F147" s="61">
        <f>IF(FT!A147&lt;&gt;"",FT!A147*10,"")</f>
        <v>3.4567199999999998</v>
      </c>
      <c r="G147" s="61">
        <f>IF(FT!B147&lt;&gt;"",FT!B147*100,"")</f>
        <v>28.899599999999996</v>
      </c>
      <c r="H147" s="61">
        <f t="shared" si="13"/>
        <v>1</v>
      </c>
      <c r="I147" t="str">
        <f>IF(FT!B147&lt;&gt;"",FT!E147,"")</f>
        <v>2 [58.970231]</v>
      </c>
      <c r="J147">
        <f>IF(FT!B147&lt;&gt;"",FT!C147,"")</f>
        <v>58.970199999999998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3.4590399999999999</v>
      </c>
      <c r="G148" s="61">
        <f>IF(FT!B148&lt;&gt;"",FT!B148*100,"")</f>
        <v>28.383599999999998</v>
      </c>
      <c r="H148" s="61">
        <f t="shared" si="13"/>
        <v>1</v>
      </c>
      <c r="I148" t="str">
        <f>IF(FT!B148&lt;&gt;"",FT!E148,"")</f>
        <v>2 [59.377288]</v>
      </c>
      <c r="J148">
        <f>IF(FT!B148&lt;&gt;"",FT!C148,"")</f>
        <v>59.377299999999998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30397</v>
      </c>
      <c r="D149" s="61">
        <f>FH!B149*1</f>
        <v>30397</v>
      </c>
      <c r="E149">
        <f t="shared" si="15"/>
        <v>147</v>
      </c>
      <c r="F149" s="61">
        <f>IF(FT!A149&lt;&gt;"",FT!A149*10,"")</f>
        <v>3.4271400000000001</v>
      </c>
      <c r="G149" s="61">
        <f>IF(FT!B149&lt;&gt;"",FT!B149*100,"")</f>
        <v>29.121000000000002</v>
      </c>
      <c r="H149" s="61">
        <f t="shared" si="13"/>
        <v>1</v>
      </c>
      <c r="I149" t="str">
        <f>IF(FT!B149&lt;&gt;"",FT!E149,"")</f>
        <v>2 [59.783321]</v>
      </c>
      <c r="J149">
        <f>IF(FT!B149&lt;&gt;"",FT!C149,"")</f>
        <v>59.783299999999997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34285</v>
      </c>
      <c r="D152" s="61">
        <f>FH!B152*1</f>
        <v>34285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31286</v>
      </c>
      <c r="D154" s="61">
        <f>FH!B154*1</f>
        <v>31286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28511</v>
      </c>
      <c r="D157" s="61">
        <f>FH!B157*1</f>
        <v>28511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26312</v>
      </c>
      <c r="D160" s="61">
        <f>FH!B160*1</f>
        <v>26312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21645</v>
      </c>
      <c r="D162" s="61">
        <f>FH!B162*1</f>
        <v>21645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16835</v>
      </c>
      <c r="D165" s="61">
        <f>FH!B165*1</f>
        <v>16835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15352</v>
      </c>
      <c r="D167" s="61">
        <f>FH!B167*1</f>
        <v>15352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12007</v>
      </c>
      <c r="D170" s="61">
        <f>FH!B170*1</f>
        <v>12007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6856</v>
      </c>
      <c r="D173" s="61">
        <f>FH!B173*1</f>
        <v>6856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4698</v>
      </c>
      <c r="D175" s="61">
        <f>FH!B175*1</f>
        <v>4698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1733</v>
      </c>
      <c r="D178" s="61">
        <f>FH!B178*1</f>
        <v>1733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1573</v>
      </c>
      <c r="D180" s="61">
        <f>FH!B180*1</f>
        <v>1573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496</v>
      </c>
      <c r="D183" s="61">
        <f>FH!B183*1</f>
        <v>496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295</v>
      </c>
      <c r="D185" s="61">
        <f>FH!B185*1</f>
        <v>295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41.8536</v>
      </c>
      <c r="C5" s="66">
        <v>7.3283100000000001</v>
      </c>
      <c r="D5" s="66">
        <v>17.509399999999999</v>
      </c>
      <c r="E5" s="66">
        <v>20</v>
      </c>
      <c r="F5" s="66">
        <v>15.0891</v>
      </c>
      <c r="G5" s="66">
        <v>50</v>
      </c>
      <c r="H5" s="66">
        <v>48.419499999999999</v>
      </c>
    </row>
    <row r="6" spans="1:8">
      <c r="A6" s="58" t="s">
        <v>303</v>
      </c>
      <c r="B6" s="66">
        <v>32.121200000000002</v>
      </c>
      <c r="C6" s="66">
        <v>2.1381100000000002</v>
      </c>
      <c r="D6" s="66">
        <v>6.6563800000000004</v>
      </c>
      <c r="E6" s="66">
        <v>20</v>
      </c>
      <c r="F6" s="66">
        <v>27.939499999999999</v>
      </c>
      <c r="G6" s="66">
        <v>40</v>
      </c>
      <c r="H6" s="66">
        <v>37.207599999999999</v>
      </c>
    </row>
    <row r="7" spans="1:8">
      <c r="A7" s="58" t="s">
        <v>304</v>
      </c>
      <c r="B7" s="66">
        <v>28.8004</v>
      </c>
      <c r="C7" s="66">
        <v>11.676600000000001</v>
      </c>
      <c r="D7" s="66">
        <v>40.542999999999999</v>
      </c>
      <c r="E7" s="66">
        <v>15</v>
      </c>
      <c r="F7" s="66">
        <v>7.6363200000000004</v>
      </c>
      <c r="G7" s="66">
        <v>40</v>
      </c>
      <c r="H7" s="66">
        <v>55.626300000000001</v>
      </c>
    </row>
    <row r="8" spans="1:8">
      <c r="A8" s="58" t="s">
        <v>305</v>
      </c>
      <c r="B8" s="66">
        <v>34.296500000000002</v>
      </c>
      <c r="C8" s="66">
        <v>4.74986</v>
      </c>
      <c r="D8" s="66">
        <v>13.849399999999999</v>
      </c>
      <c r="E8" s="66">
        <v>20</v>
      </c>
      <c r="F8" s="66">
        <v>25.15</v>
      </c>
      <c r="G8" s="66">
        <v>50</v>
      </c>
      <c r="H8" s="66">
        <v>42.467100000000002</v>
      </c>
    </row>
    <row r="9" spans="1:8">
      <c r="A9" s="58" t="s">
        <v>306</v>
      </c>
      <c r="B9" s="66">
        <v>63.8172</v>
      </c>
      <c r="C9" s="66">
        <v>8.6145200000000006</v>
      </c>
      <c r="D9" s="66">
        <v>13.498699999999999</v>
      </c>
      <c r="E9" s="66">
        <v>50</v>
      </c>
      <c r="F9" s="66">
        <v>40.668999999999997</v>
      </c>
      <c r="G9" s="66">
        <v>100</v>
      </c>
      <c r="H9" s="66">
        <v>76.789500000000004</v>
      </c>
    </row>
    <row r="10" spans="1:8">
      <c r="A10" s="58" t="s">
        <v>307</v>
      </c>
      <c r="B10" s="66">
        <v>76.395700000000005</v>
      </c>
      <c r="C10" s="66">
        <v>6.0325600000000001</v>
      </c>
      <c r="D10" s="66">
        <v>7.8964699999999999</v>
      </c>
      <c r="E10" s="66">
        <v>40</v>
      </c>
      <c r="F10" s="66">
        <v>57.945</v>
      </c>
      <c r="G10" s="66">
        <v>100</v>
      </c>
      <c r="H10" s="66">
        <v>81.441599999999994</v>
      </c>
    </row>
    <row r="11" spans="1:8">
      <c r="A11" s="58" t="s">
        <v>308</v>
      </c>
      <c r="B11" s="66">
        <v>19.180800000000001</v>
      </c>
      <c r="C11" s="66">
        <v>3.1354000000000002</v>
      </c>
      <c r="D11" s="66">
        <v>16.346599999999999</v>
      </c>
      <c r="E11" s="66">
        <v>10</v>
      </c>
      <c r="F11" s="66">
        <v>7.5983700000000001</v>
      </c>
      <c r="G11" s="66">
        <v>50</v>
      </c>
      <c r="H11" s="66">
        <v>22.093499999999999</v>
      </c>
    </row>
    <row r="12" spans="1:8">
      <c r="A12" s="58" t="s">
        <v>309</v>
      </c>
      <c r="B12" s="66">
        <v>70.671899999999994</v>
      </c>
      <c r="C12" s="66">
        <v>6.8968999999999996</v>
      </c>
      <c r="D12" s="66">
        <v>9.7590400000000006</v>
      </c>
      <c r="E12" s="66">
        <v>50</v>
      </c>
      <c r="F12" s="66">
        <v>51.6905</v>
      </c>
      <c r="G12" s="66">
        <v>100</v>
      </c>
      <c r="H12" s="66">
        <v>78.0989</v>
      </c>
    </row>
    <row r="13" spans="1:8">
      <c r="A13" s="58" t="s">
        <v>310</v>
      </c>
      <c r="B13" s="66">
        <v>18.008400000000002</v>
      </c>
      <c r="C13" s="66">
        <v>2.2573400000000001</v>
      </c>
      <c r="D13" s="66">
        <v>12.5349</v>
      </c>
      <c r="E13" s="66">
        <v>10</v>
      </c>
      <c r="F13" s="66">
        <v>13.361599999999999</v>
      </c>
      <c r="G13" s="66">
        <v>25</v>
      </c>
      <c r="H13" s="66">
        <v>25.674199999999999</v>
      </c>
    </row>
    <row r="14" spans="1:8">
      <c r="A14" s="58" t="s">
        <v>311</v>
      </c>
      <c r="B14" s="66">
        <v>22.573399999999999</v>
      </c>
      <c r="C14" s="66">
        <v>7.55511</v>
      </c>
      <c r="D14" s="66">
        <v>33.469000000000001</v>
      </c>
      <c r="E14" s="66">
        <v>10</v>
      </c>
      <c r="F14" s="66">
        <v>2.0159699999999998</v>
      </c>
      <c r="G14" s="66">
        <v>50</v>
      </c>
      <c r="H14" s="66">
        <v>28.654199999999999</v>
      </c>
    </row>
    <row r="15" spans="1:8">
      <c r="A15" s="58" t="s">
        <v>312</v>
      </c>
      <c r="B15" s="66">
        <v>-2.3921499999999998E-2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2.7034599999999999E-2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17.206299999999999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0.38280900000000001</v>
      </c>
      <c r="C18" s="66">
        <v>1.8016899999999999E-2</v>
      </c>
      <c r="D18" s="66">
        <v>4.7065099999999999E-2</v>
      </c>
      <c r="E18" s="66">
        <v>0</v>
      </c>
      <c r="F18" s="66">
        <v>0.36479200000000001</v>
      </c>
      <c r="G18" s="66">
        <v>0</v>
      </c>
      <c r="H18" s="66">
        <v>0.40082600000000002</v>
      </c>
    </row>
    <row r="19" spans="1:8">
      <c r="A19" s="58" t="s">
        <v>316</v>
      </c>
      <c r="B19" s="66">
        <v>0.62435399999999996</v>
      </c>
      <c r="C19" s="66">
        <v>1.7802999999999999E-2</v>
      </c>
      <c r="D19" s="66">
        <v>2.8514399999999999E-2</v>
      </c>
      <c r="E19" s="66">
        <v>0</v>
      </c>
      <c r="F19" s="66">
        <v>0.60655099999999995</v>
      </c>
      <c r="G19" s="66">
        <v>0</v>
      </c>
      <c r="H19" s="66">
        <v>0.64215699999999998</v>
      </c>
    </row>
    <row r="20" spans="1:8">
      <c r="A20" s="58" t="s">
        <v>317</v>
      </c>
      <c r="B20" s="66">
        <v>8.5279699999999997E-4</v>
      </c>
      <c r="C20" s="66">
        <v>7.4877600000000002E-2</v>
      </c>
      <c r="D20" s="66">
        <v>87.802300000000002</v>
      </c>
      <c r="E20" s="66">
        <v>0</v>
      </c>
      <c r="F20" s="196">
        <v>1.3799600000000001E-5</v>
      </c>
      <c r="G20" s="66">
        <v>0</v>
      </c>
      <c r="H20" s="66">
        <v>1.5892500000000001</v>
      </c>
    </row>
    <row r="21" spans="1:8">
      <c r="A21" s="58" t="s">
        <v>318</v>
      </c>
      <c r="B21" s="66">
        <v>8.42556E-2</v>
      </c>
      <c r="C21" s="66">
        <v>0.58011199999999996</v>
      </c>
      <c r="D21" s="66">
        <v>6.8851500000000003</v>
      </c>
      <c r="E21" s="66">
        <v>0</v>
      </c>
      <c r="F21" s="66">
        <v>5.9847299999999997E-4</v>
      </c>
      <c r="G21" s="66">
        <v>0</v>
      </c>
      <c r="H21" s="66">
        <v>4.8384900000000002</v>
      </c>
    </row>
    <row r="22" spans="1:8">
      <c r="A22" s="58" t="s">
        <v>319</v>
      </c>
      <c r="B22" s="66">
        <v>44.6053</v>
      </c>
      <c r="C22" s="66">
        <v>21.159800000000001</v>
      </c>
      <c r="D22" s="66">
        <v>0.474379</v>
      </c>
      <c r="E22" s="66">
        <v>0</v>
      </c>
      <c r="F22" s="66">
        <v>16.559100000000001</v>
      </c>
      <c r="G22" s="66">
        <v>0</v>
      </c>
      <c r="H22" s="66">
        <v>126.13800000000001</v>
      </c>
    </row>
    <row r="23" spans="1:8">
      <c r="A23" s="58" t="s">
        <v>320</v>
      </c>
      <c r="B23" s="66">
        <v>15.2553</v>
      </c>
      <c r="C23" s="66">
        <v>2.2970799999999998</v>
      </c>
      <c r="D23" s="66">
        <v>0.15057599999999999</v>
      </c>
      <c r="E23" s="66">
        <v>0</v>
      </c>
      <c r="F23" s="66">
        <v>12.484</v>
      </c>
      <c r="G23" s="66">
        <v>0</v>
      </c>
      <c r="H23" s="66">
        <v>21.616599999999998</v>
      </c>
    </row>
    <row r="24" spans="1:8">
      <c r="A24" s="58" t="s">
        <v>321</v>
      </c>
      <c r="B24" s="66">
        <v>3.2629099999999999E-3</v>
      </c>
      <c r="C24" s="66">
        <v>3.5049299999999999E-2</v>
      </c>
      <c r="D24" s="66">
        <v>10.7417</v>
      </c>
      <c r="E24" s="66">
        <v>0</v>
      </c>
      <c r="F24" s="66">
        <v>1.39157E-4</v>
      </c>
      <c r="G24" s="66">
        <v>0</v>
      </c>
      <c r="H24" s="66">
        <v>0.33047799999999999</v>
      </c>
    </row>
    <row r="25" spans="1:8">
      <c r="A25" s="58" t="s">
        <v>322</v>
      </c>
      <c r="B25" s="66">
        <v>0.14557300000000001</v>
      </c>
      <c r="C25" s="66">
        <v>0.28925899999999999</v>
      </c>
      <c r="D25" s="66">
        <v>1.9870399999999999</v>
      </c>
      <c r="E25" s="66">
        <v>0</v>
      </c>
      <c r="F25" s="66">
        <v>2.2336499999999999E-2</v>
      </c>
      <c r="G25" s="66">
        <v>0</v>
      </c>
      <c r="H25" s="66">
        <v>1.4969600000000001</v>
      </c>
    </row>
    <row r="26" spans="1:8">
      <c r="A26" s="58" t="s">
        <v>323</v>
      </c>
      <c r="B26" s="66">
        <v>2.46192E-4</v>
      </c>
      <c r="C26" s="66">
        <v>8.5128400000000007E-3</v>
      </c>
      <c r="D26" s="66">
        <v>34.578000000000003</v>
      </c>
      <c r="E26" s="66">
        <v>0</v>
      </c>
      <c r="F26" s="196">
        <v>6.5651299999999996E-6</v>
      </c>
      <c r="G26" s="66">
        <v>0</v>
      </c>
      <c r="H26" s="66">
        <v>0.19841500000000001</v>
      </c>
    </row>
    <row r="27" spans="1:8">
      <c r="A27" s="58" t="s">
        <v>324</v>
      </c>
      <c r="B27" s="196">
        <v>-1.64128E-5</v>
      </c>
      <c r="C27" s="66">
        <v>1.11111E-2</v>
      </c>
      <c r="D27" s="66">
        <v>-676.97900000000004</v>
      </c>
      <c r="E27" s="66">
        <v>0</v>
      </c>
      <c r="F27" s="66">
        <v>-0.19833600000000001</v>
      </c>
      <c r="G27" s="66">
        <v>0</v>
      </c>
      <c r="H27" s="66">
        <v>0.19833600000000001</v>
      </c>
    </row>
    <row r="28" spans="1:8">
      <c r="A28" s="58" t="s">
        <v>325</v>
      </c>
      <c r="B28" s="66">
        <v>1.1455099999999999E-2</v>
      </c>
      <c r="C28" s="66">
        <v>4.5478200000000003E-2</v>
      </c>
      <c r="D28" s="66">
        <v>3.9701399999999998</v>
      </c>
      <c r="E28" s="66">
        <v>0</v>
      </c>
      <c r="F28" s="66">
        <v>1.9531299999999999E-4</v>
      </c>
      <c r="G28" s="66">
        <v>0</v>
      </c>
      <c r="H28" s="66">
        <v>0.375251</v>
      </c>
    </row>
    <row r="29" spans="1:8">
      <c r="A29" s="58" t="s">
        <v>326</v>
      </c>
      <c r="B29" s="66">
        <v>63.3369</v>
      </c>
      <c r="C29" s="66">
        <v>13.471500000000001</v>
      </c>
      <c r="D29" s="66">
        <v>0.212695</v>
      </c>
      <c r="E29" s="66">
        <v>0</v>
      </c>
      <c r="F29" s="66">
        <v>31.132400000000001</v>
      </c>
      <c r="G29" s="66">
        <v>0</v>
      </c>
      <c r="H29" s="66">
        <v>97.575599999999994</v>
      </c>
    </row>
    <row r="30" spans="1:8">
      <c r="A30" s="58" t="s">
        <v>327</v>
      </c>
      <c r="B30" s="66">
        <v>18.487500000000001</v>
      </c>
      <c r="C30" s="66">
        <v>1.92676</v>
      </c>
      <c r="D30" s="66">
        <v>0.10421999999999999</v>
      </c>
      <c r="E30" s="66">
        <v>0</v>
      </c>
      <c r="F30" s="66">
        <v>14.1348</v>
      </c>
      <c r="G30" s="66">
        <v>0</v>
      </c>
      <c r="H30" s="66">
        <v>22.631499999999999</v>
      </c>
    </row>
    <row r="31" spans="1:8">
      <c r="A31" s="58" t="s">
        <v>328</v>
      </c>
      <c r="B31" s="66">
        <v>289.95999999999998</v>
      </c>
      <c r="C31" s="66">
        <v>58.150500000000001</v>
      </c>
      <c r="D31" s="66">
        <v>0.200547</v>
      </c>
      <c r="E31" s="66">
        <v>0</v>
      </c>
      <c r="F31" s="66">
        <v>175.76499999999999</v>
      </c>
      <c r="G31" s="66">
        <v>0</v>
      </c>
      <c r="H31" s="66">
        <v>435.8</v>
      </c>
    </row>
    <row r="32" spans="1:8">
      <c r="A32" s="58" t="s">
        <v>329</v>
      </c>
      <c r="B32" s="66">
        <v>0.28800399999999998</v>
      </c>
      <c r="C32" s="66">
        <v>0.11676599999999999</v>
      </c>
      <c r="D32" s="66">
        <v>0.40543000000000001</v>
      </c>
      <c r="E32" s="66">
        <v>0.15</v>
      </c>
      <c r="F32" s="66">
        <v>7.6363200000000006E-2</v>
      </c>
      <c r="G32" s="66">
        <v>0.4</v>
      </c>
      <c r="H32" s="66">
        <v>0.55626299999999995</v>
      </c>
    </row>
    <row r="33" spans="1:8">
      <c r="A33" s="58" t="s">
        <v>330</v>
      </c>
      <c r="B33" s="66">
        <v>0.32004700000000003</v>
      </c>
      <c r="C33" s="66">
        <v>4.1666099999999998E-2</v>
      </c>
      <c r="D33" s="66">
        <v>0.130187</v>
      </c>
      <c r="E33" s="66">
        <v>0</v>
      </c>
      <c r="F33" s="66">
        <v>0.256907</v>
      </c>
      <c r="G33" s="66">
        <v>0</v>
      </c>
      <c r="H33" s="66">
        <v>0.40848899999999999</v>
      </c>
    </row>
    <row r="34" spans="1:8">
      <c r="A34" s="58" t="s">
        <v>331</v>
      </c>
      <c r="B34" s="66">
        <v>0.18008399999999999</v>
      </c>
      <c r="C34" s="66">
        <v>2.25734E-2</v>
      </c>
      <c r="D34" s="66">
        <v>0.12534899999999999</v>
      </c>
      <c r="E34" s="66">
        <v>0.1</v>
      </c>
      <c r="F34" s="66">
        <v>0.13361600000000001</v>
      </c>
      <c r="G34" s="66">
        <v>0.25</v>
      </c>
      <c r="H34" s="66">
        <v>0.25674200000000003</v>
      </c>
    </row>
    <row r="35" spans="1:8">
      <c r="A35" s="58" t="s">
        <v>332</v>
      </c>
      <c r="B35" s="66">
        <v>7.6557299999999995E-2</v>
      </c>
      <c r="C35" s="66">
        <v>2.16025E-2</v>
      </c>
      <c r="D35" s="66">
        <v>0.28217399999999998</v>
      </c>
      <c r="E35" s="66">
        <v>0</v>
      </c>
      <c r="F35" s="66">
        <v>3.30511E-2</v>
      </c>
      <c r="G35" s="66">
        <v>0</v>
      </c>
      <c r="H35" s="66">
        <v>0.14280000000000001</v>
      </c>
    </row>
    <row r="36" spans="1:8">
      <c r="A36" s="58" t="s">
        <v>333</v>
      </c>
      <c r="B36" s="66">
        <v>0.158363</v>
      </c>
      <c r="C36" s="66">
        <v>8.4408899999999995E-2</v>
      </c>
      <c r="D36" s="66">
        <v>0.53300899999999996</v>
      </c>
      <c r="E36" s="66">
        <v>0</v>
      </c>
      <c r="F36" s="66">
        <v>3.8720499999999998E-2</v>
      </c>
      <c r="G36" s="66">
        <v>0</v>
      </c>
      <c r="H36" s="66">
        <v>0.48758499999999999</v>
      </c>
    </row>
    <row r="37" spans="1:8">
      <c r="A37" s="58" t="s">
        <v>334</v>
      </c>
      <c r="B37" s="66">
        <v>0.22573399999999999</v>
      </c>
      <c r="C37" s="66">
        <v>7.5551099999999996E-2</v>
      </c>
      <c r="D37" s="66">
        <v>0.33468999999999999</v>
      </c>
      <c r="E37" s="66">
        <v>0.1</v>
      </c>
      <c r="F37" s="66">
        <v>2.0159699999999999E-2</v>
      </c>
      <c r="G37" s="66">
        <v>0.5</v>
      </c>
      <c r="H37" s="66">
        <v>0.28654200000000002</v>
      </c>
    </row>
    <row r="38" spans="1:8">
      <c r="A38" s="58" t="s">
        <v>335</v>
      </c>
      <c r="B38" s="66">
        <v>-9.9222099999999998</v>
      </c>
      <c r="C38" s="66">
        <v>39.178400000000003</v>
      </c>
      <c r="D38" s="66">
        <v>-3.94855</v>
      </c>
      <c r="E38" s="66">
        <v>0</v>
      </c>
      <c r="F38" s="66">
        <v>-169.18600000000001</v>
      </c>
      <c r="G38" s="66">
        <v>0</v>
      </c>
      <c r="H38" s="66">
        <v>118.708</v>
      </c>
    </row>
    <row r="39" spans="1:8">
      <c r="A39" s="58" t="s">
        <v>336</v>
      </c>
      <c r="B39" s="66">
        <v>-3.5920899999999998</v>
      </c>
      <c r="C39" s="66">
        <v>4.9794</v>
      </c>
      <c r="D39" s="66">
        <v>-1.3862099999999999</v>
      </c>
      <c r="E39" s="66">
        <v>0</v>
      </c>
      <c r="F39" s="66">
        <v>-17.8626</v>
      </c>
      <c r="G39" s="66">
        <v>0</v>
      </c>
      <c r="H39" s="66">
        <v>11.039400000000001</v>
      </c>
    </row>
    <row r="40" spans="1:8">
      <c r="A40" s="58" t="s">
        <v>337</v>
      </c>
      <c r="B40" s="66">
        <v>-2.8159100000000001</v>
      </c>
      <c r="C40" s="66">
        <v>0.99551800000000001</v>
      </c>
      <c r="D40" s="66">
        <v>-0.35353299999999999</v>
      </c>
      <c r="E40" s="66">
        <v>0</v>
      </c>
      <c r="F40" s="66">
        <v>-6.2656299999999998</v>
      </c>
      <c r="G40" s="66">
        <v>0</v>
      </c>
      <c r="H40" s="66">
        <v>-1.4963500000000001</v>
      </c>
    </row>
    <row r="41" spans="1:8">
      <c r="A41" s="58" t="s">
        <v>338</v>
      </c>
      <c r="B41" s="66">
        <v>-0.109726</v>
      </c>
      <c r="C41" s="66">
        <v>0.31281599999999998</v>
      </c>
      <c r="D41" s="66">
        <v>-2.8508900000000001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-0.14007600000000001</v>
      </c>
      <c r="C42" s="66">
        <v>0.138599</v>
      </c>
      <c r="D42" s="66">
        <v>-0.98945700000000003</v>
      </c>
      <c r="E42" s="66">
        <v>0</v>
      </c>
      <c r="F42" s="66">
        <v>-0.62751699999999999</v>
      </c>
      <c r="G42" s="66">
        <v>0</v>
      </c>
      <c r="H42" s="66">
        <v>0.35825099999999999</v>
      </c>
    </row>
    <row r="43" spans="1:8">
      <c r="A43" s="58" t="s">
        <v>340</v>
      </c>
      <c r="B43" s="66">
        <v>-0.22756699999999999</v>
      </c>
      <c r="C43" s="66">
        <v>6.6533200000000001E-2</v>
      </c>
      <c r="D43" s="66">
        <v>-0.29236699999999999</v>
      </c>
      <c r="E43" s="66">
        <v>0</v>
      </c>
      <c r="F43" s="66">
        <v>-0.35405199999999998</v>
      </c>
      <c r="G43" s="66">
        <v>0</v>
      </c>
      <c r="H43" s="66">
        <v>-8.9961299999999994E-2</v>
      </c>
    </row>
    <row r="44" spans="1:8">
      <c r="A44" s="58" t="s">
        <v>341</v>
      </c>
      <c r="B44" s="66">
        <v>18.195399999999999</v>
      </c>
      <c r="C44" s="66">
        <v>22.030799999999999</v>
      </c>
      <c r="D44" s="66">
        <v>1.21079</v>
      </c>
      <c r="E44" s="66">
        <v>0</v>
      </c>
      <c r="F44" s="66">
        <v>-36.226100000000002</v>
      </c>
      <c r="G44" s="66">
        <v>0</v>
      </c>
      <c r="H44" s="66">
        <v>43.653399999999998</v>
      </c>
    </row>
    <row r="45" spans="1:8">
      <c r="A45" s="58" t="s">
        <v>342</v>
      </c>
      <c r="B45" s="66">
        <v>50.4099</v>
      </c>
      <c r="C45" s="66">
        <v>6.5802100000000001</v>
      </c>
      <c r="D45" s="66">
        <v>0.13053400000000001</v>
      </c>
      <c r="E45" s="66">
        <v>0</v>
      </c>
      <c r="F45" s="66">
        <v>33.178600000000003</v>
      </c>
      <c r="G45" s="66">
        <v>0</v>
      </c>
      <c r="H45" s="66">
        <v>68.862200000000001</v>
      </c>
    </row>
    <row r="46" spans="1:8">
      <c r="A46" s="58" t="s">
        <v>343</v>
      </c>
      <c r="B46" s="66">
        <v>32.345500000000001</v>
      </c>
      <c r="C46" s="66">
        <v>5.0319099999999999</v>
      </c>
      <c r="D46" s="66">
        <v>0.15556800000000001</v>
      </c>
      <c r="E46" s="66">
        <v>0</v>
      </c>
      <c r="F46" s="66">
        <v>12.0413</v>
      </c>
      <c r="G46" s="66">
        <v>0</v>
      </c>
      <c r="H46" s="66">
        <v>34.941899999999997</v>
      </c>
    </row>
    <row r="47" spans="1:8">
      <c r="A47" s="58" t="s">
        <v>344</v>
      </c>
      <c r="B47" s="66">
        <v>0.763629</v>
      </c>
      <c r="C47" s="66">
        <v>0.41611199999999998</v>
      </c>
      <c r="D47" s="66">
        <v>0.54491400000000001</v>
      </c>
      <c r="E47" s="66">
        <v>0</v>
      </c>
      <c r="F47" s="66">
        <v>0.202708</v>
      </c>
      <c r="G47" s="66">
        <v>0</v>
      </c>
      <c r="H47" s="66">
        <v>2.9731800000000002</v>
      </c>
    </row>
    <row r="48" spans="1:8">
      <c r="A48" s="58" t="s">
        <v>345</v>
      </c>
      <c r="B48" s="66">
        <v>0.70729399999999998</v>
      </c>
      <c r="C48" s="66">
        <v>5.7042000000000002E-2</v>
      </c>
      <c r="D48" s="66">
        <v>8.0648300000000006E-2</v>
      </c>
      <c r="E48" s="66">
        <v>0</v>
      </c>
      <c r="F48" s="66">
        <v>0.58535700000000002</v>
      </c>
      <c r="G48" s="66">
        <v>0</v>
      </c>
      <c r="H48" s="66">
        <v>0.85012500000000002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-0.47280000000000655</v>
      </c>
      <c r="C5" s="66">
        <f>'M2'!C5-'M1'!C5</f>
        <v>-6.5975499999999991</v>
      </c>
      <c r="D5" s="66">
        <f>'M2'!D5-'M1'!D5</f>
        <v>-15.618569999999998</v>
      </c>
      <c r="E5" s="66">
        <f>'M2'!E5-'M1'!E5</f>
        <v>0</v>
      </c>
      <c r="F5" s="66">
        <f>'M2'!F5-'M1'!F5</f>
        <v>21.255800000000001</v>
      </c>
      <c r="G5" s="66">
        <f>'M2'!G5-'M1'!G5</f>
        <v>0</v>
      </c>
      <c r="H5" s="66">
        <f>'M2'!H5-'M1'!H5</f>
        <v>0.38989999999999725</v>
      </c>
    </row>
    <row r="6" spans="1:8">
      <c r="A6" s="66" t="s">
        <v>244</v>
      </c>
      <c r="B6" s="66">
        <f>'M2'!B6-'M1'!B6</f>
        <v>-3.0962000000000032</v>
      </c>
      <c r="C6" s="66">
        <f>'M2'!C6-'M1'!C6</f>
        <v>-1.0090200000000003</v>
      </c>
      <c r="D6" s="66">
        <f>'M2'!D6-'M1'!D6</f>
        <v>-2.6033200000000001</v>
      </c>
      <c r="E6" s="66">
        <f>'M2'!E6-'M1'!E6</f>
        <v>0</v>
      </c>
      <c r="F6" s="66">
        <f>'M2'!F6-'M1'!F6</f>
        <v>1.0884</v>
      </c>
      <c r="G6" s="66">
        <f>'M2'!G6-'M1'!G6</f>
        <v>0</v>
      </c>
      <c r="H6" s="66">
        <f>'M2'!H6-'M1'!H6</f>
        <v>-3.340600000000002</v>
      </c>
    </row>
    <row r="7" spans="1:8">
      <c r="A7" s="66" t="s">
        <v>245</v>
      </c>
      <c r="B7" s="66">
        <f>'M2'!B7-'M1'!B7</f>
        <v>12.3429</v>
      </c>
      <c r="C7" s="66">
        <f>'M2'!C7-'M1'!C7</f>
        <v>3.2894899999999989</v>
      </c>
      <c r="D7" s="66">
        <f>'M2'!D7-'M1'!D7</f>
        <v>-0.96210000000000306</v>
      </c>
      <c r="E7" s="66">
        <f>'M2'!E7-'M1'!E7</f>
        <v>0</v>
      </c>
      <c r="F7" s="66">
        <f>'M2'!F7-'M1'!F7</f>
        <v>13.659279999999999</v>
      </c>
      <c r="G7" s="66">
        <f>'M2'!G7-'M1'!G7</f>
        <v>0</v>
      </c>
      <c r="H7" s="66">
        <f>'M2'!H7-'M1'!H7</f>
        <v>11.194299999999998</v>
      </c>
    </row>
    <row r="8" spans="1:8">
      <c r="A8" s="66" t="s">
        <v>246</v>
      </c>
      <c r="B8" s="66">
        <f>'M2'!B8-'M1'!B8</f>
        <v>6.0416999999999987</v>
      </c>
      <c r="C8" s="66">
        <f>'M2'!C8-'M1'!C8</f>
        <v>4.3530000000000069E-2</v>
      </c>
      <c r="D8" s="66">
        <f>'M2'!D8-'M1'!D8</f>
        <v>-1.7910000000000004</v>
      </c>
      <c r="E8" s="66">
        <f>'M2'!E8-'M1'!E8</f>
        <v>0</v>
      </c>
      <c r="F8" s="66">
        <f>'M2'!F8-'M1'!F8</f>
        <v>5.4588999999999999</v>
      </c>
      <c r="G8" s="66">
        <f>'M2'!G8-'M1'!G8</f>
        <v>0</v>
      </c>
      <c r="H8" s="66">
        <f>'M2'!H8-'M1'!H8</f>
        <v>3.4763000000000019</v>
      </c>
    </row>
    <row r="9" spans="1:8">
      <c r="A9" s="66" t="s">
        <v>247</v>
      </c>
      <c r="B9" s="66">
        <f>'M2'!B9-'M1'!B9</f>
        <v>13.040899999999993</v>
      </c>
      <c r="C9" s="66">
        <f>'M2'!C9-'M1'!C9</f>
        <v>-2.9717899999999995</v>
      </c>
      <c r="D9" s="66">
        <f>'M2'!D9-'M1'!D9</f>
        <v>-7.1693399999999992</v>
      </c>
      <c r="E9" s="66">
        <f>'M2'!E9-'M1'!E9</f>
        <v>0</v>
      </c>
      <c r="F9" s="66">
        <f>'M2'!F9-'M1'!F9</f>
        <v>11.067800000000005</v>
      </c>
      <c r="G9" s="66">
        <f>'M2'!G9-'M1'!G9</f>
        <v>0</v>
      </c>
      <c r="H9" s="66">
        <f>'M2'!H9-'M1'!H9</f>
        <v>4.8046999999999969</v>
      </c>
    </row>
    <row r="10" spans="1:8">
      <c r="A10" s="66" t="s">
        <v>248</v>
      </c>
      <c r="B10" s="66">
        <f>'M2'!B10-'M1'!B10</f>
        <v>8.1740999999999957</v>
      </c>
      <c r="C10" s="66">
        <f>'M2'!C10-'M1'!C10</f>
        <v>-4.4374099999999999</v>
      </c>
      <c r="D10" s="66">
        <f>'M2'!D10-'M1'!D10</f>
        <v>-6.4956600000000009</v>
      </c>
      <c r="E10" s="66">
        <f>'M2'!E10-'M1'!E10</f>
        <v>0</v>
      </c>
      <c r="F10" s="66">
        <f>'M2'!F10-'M1'!F10</f>
        <v>13.927200000000006</v>
      </c>
      <c r="G10" s="66">
        <f>'M2'!G10-'M1'!G10</f>
        <v>0</v>
      </c>
      <c r="H10" s="66">
        <f>'M2'!H10-'M1'!H10</f>
        <v>4.4388000000000005</v>
      </c>
    </row>
    <row r="11" spans="1:8">
      <c r="A11" s="66" t="s">
        <v>249</v>
      </c>
      <c r="B11" s="66">
        <f>'M2'!B11-'M1'!B11</f>
        <v>1.8606999999999978</v>
      </c>
      <c r="C11" s="66">
        <f>'M2'!C11-'M1'!C11</f>
        <v>-2.5149900000000001</v>
      </c>
      <c r="D11" s="66">
        <f>'M2'!D11-'M1'!D11</f>
        <v>-14.697590000000002</v>
      </c>
      <c r="E11" s="66">
        <f>'M2'!E11-'M1'!E11</f>
        <v>0</v>
      </c>
      <c r="F11" s="66">
        <f>'M2'!F11-'M1'!F11</f>
        <v>9.4135300000000015</v>
      </c>
      <c r="G11" s="66">
        <f>'M2'!G11-'M1'!G11</f>
        <v>0</v>
      </c>
      <c r="H11" s="66">
        <f>'M2'!H11-'M1'!H11</f>
        <v>1.4878999999999998</v>
      </c>
    </row>
    <row r="12" spans="1:8">
      <c r="A12" s="66" t="s">
        <v>250</v>
      </c>
      <c r="B12" s="66">
        <f>'M2'!B12-'M1'!B12</f>
        <v>11.160899999999991</v>
      </c>
      <c r="C12" s="66">
        <f>'M2'!C12-'M1'!C12</f>
        <v>-3.5568599999999995</v>
      </c>
      <c r="D12" s="66">
        <f>'M2'!D12-'M1'!D12</f>
        <v>-6.4305099999999999</v>
      </c>
      <c r="E12" s="66">
        <f>'M2'!E12-'M1'!E12</f>
        <v>0</v>
      </c>
      <c r="F12" s="66">
        <f>'M2'!F12-'M1'!F12</f>
        <v>12.592500000000001</v>
      </c>
      <c r="G12" s="66">
        <f>'M2'!G12-'M1'!G12</f>
        <v>0</v>
      </c>
      <c r="H12" s="66">
        <f>'M2'!H12-'M1'!H12</f>
        <v>3.7685000000000031</v>
      </c>
    </row>
    <row r="13" spans="1:8">
      <c r="A13" s="66" t="s">
        <v>251</v>
      </c>
      <c r="B13" s="66">
        <f>'M2'!B13-'M1'!B13</f>
        <v>0.74040000000000106</v>
      </c>
      <c r="C13" s="66">
        <f>'M2'!C13-'M1'!C13</f>
        <v>-0.32323999999999975</v>
      </c>
      <c r="D13" s="66">
        <f>'M2'!D13-'M1'!D13</f>
        <v>-2.3202999999999996</v>
      </c>
      <c r="E13" s="66">
        <f>'M2'!E13-'M1'!E13</f>
        <v>0</v>
      </c>
      <c r="F13" s="66">
        <f>'M2'!F13-'M1'!F13</f>
        <v>2.2738000000000014</v>
      </c>
      <c r="G13" s="66">
        <f>'M2'!G13-'M1'!G13</f>
        <v>0</v>
      </c>
      <c r="H13" s="66">
        <f>'M2'!H13-'M1'!H13</f>
        <v>1.7681000000000004</v>
      </c>
    </row>
    <row r="14" spans="1:8">
      <c r="A14" s="66" t="s">
        <v>252</v>
      </c>
      <c r="B14" s="66">
        <f>'M2'!B14-'M1'!B14</f>
        <v>-3.2324000000000019</v>
      </c>
      <c r="C14" s="66">
        <f>'M2'!C14-'M1'!C14</f>
        <v>-0.20327000000000073</v>
      </c>
      <c r="D14" s="66">
        <f>'M2'!D14-'M1'!D14</f>
        <v>3.9761000000000024</v>
      </c>
      <c r="E14" s="66">
        <f>'M2'!E14-'M1'!E14</f>
        <v>0</v>
      </c>
      <c r="F14" s="66">
        <f>'M2'!F14-'M1'!F14</f>
        <v>-0.15934000000000026</v>
      </c>
      <c r="G14" s="66">
        <f>'M2'!G14-'M1'!G14</f>
        <v>0</v>
      </c>
      <c r="H14" s="66">
        <f>'M2'!H14-'M1'!H14</f>
        <v>-0.47510000000000119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-4.1244999999999976E-2</v>
      </c>
      <c r="C18" s="66">
        <f>'M2'!C18-'M1'!C18</f>
        <v>1.8016899999999999E-2</v>
      </c>
      <c r="D18" s="66">
        <f>'M2'!D18-'M1'!D18</f>
        <v>4.7065099999999999E-2</v>
      </c>
      <c r="E18" s="66">
        <f>'M2'!E18-'M1'!E18</f>
        <v>0</v>
      </c>
      <c r="F18" s="66">
        <f>'M2'!F18-'M1'!F18</f>
        <v>0.36479200000000001</v>
      </c>
      <c r="G18" s="66">
        <f>'M2'!G18-'M1'!G18</f>
        <v>0</v>
      </c>
      <c r="H18" s="66">
        <f>'M2'!H18-'M1'!H18</f>
        <v>0.40082600000000002</v>
      </c>
    </row>
    <row r="19" spans="1:8">
      <c r="A19" s="66" t="s">
        <v>256</v>
      </c>
      <c r="B19" s="66">
        <f>'M2'!B19-'M1'!B19</f>
        <v>4.0590999999999933E-2</v>
      </c>
      <c r="C19" s="66">
        <f>'M2'!C19-'M1'!C19</f>
        <v>1.7802999999999999E-2</v>
      </c>
      <c r="D19" s="66">
        <f>'M2'!D19-'M1'!D19</f>
        <v>2.8514399999999999E-2</v>
      </c>
      <c r="E19" s="66">
        <f>'M2'!E19-'M1'!E19</f>
        <v>0</v>
      </c>
      <c r="F19" s="66">
        <f>'M2'!F19-'M1'!F19</f>
        <v>0.60655099999999995</v>
      </c>
      <c r="G19" s="66">
        <f>'M2'!G19-'M1'!G19</f>
        <v>0</v>
      </c>
      <c r="H19" s="66">
        <f>'M2'!H19-'M1'!H19</f>
        <v>0.64215699999999998</v>
      </c>
    </row>
    <row r="20" spans="1:8">
      <c r="A20" s="66" t="s">
        <v>63</v>
      </c>
      <c r="B20" s="66">
        <f>'M2'!B20-'M1'!B20</f>
        <v>-7.4867100000000002E-4</v>
      </c>
      <c r="C20" s="66">
        <f>'M2'!C20-'M1'!C20</f>
        <v>4.1599699999999996E-2</v>
      </c>
      <c r="D20" s="66">
        <f>'M2'!D20-'M1'!D20</f>
        <v>137.50189999999998</v>
      </c>
      <c r="E20" s="66">
        <f>'M2'!E20-'M1'!E20</f>
        <v>0</v>
      </c>
      <c r="F20" s="66">
        <f>'M2'!F20-'M1'!F20</f>
        <v>3.8618999999999994E-6</v>
      </c>
      <c r="G20" s="66">
        <f>'M2'!G20-'M1'!G20</f>
        <v>0</v>
      </c>
      <c r="H20" s="66">
        <f>'M2'!H20-'M1'!H20</f>
        <v>1.142296</v>
      </c>
    </row>
    <row r="21" spans="1:8">
      <c r="A21" s="66" t="s">
        <v>64</v>
      </c>
      <c r="B21" s="66">
        <f>'M2'!B21-'M1'!B21</f>
        <v>-2.74282E-2</v>
      </c>
      <c r="C21" s="66">
        <f>'M2'!C21-'M1'!C21</f>
        <v>7.5311000000000017E-2</v>
      </c>
      <c r="D21" s="66">
        <f>'M2'!D21-'M1'!D21</f>
        <v>3.1788499999999988</v>
      </c>
      <c r="E21" s="66">
        <f>'M2'!E21-'M1'!E21</f>
        <v>0</v>
      </c>
      <c r="F21" s="66">
        <f>'M2'!F21-'M1'!F21</f>
        <v>-1.228027E-3</v>
      </c>
      <c r="G21" s="66">
        <f>'M2'!G21-'M1'!G21</f>
        <v>0</v>
      </c>
      <c r="H21" s="66">
        <f>'M2'!H21-'M1'!H21</f>
        <v>0.23838999999999988</v>
      </c>
    </row>
    <row r="22" spans="1:8">
      <c r="A22" s="66" t="s">
        <v>65</v>
      </c>
      <c r="B22" s="66">
        <f>'M2'!B22-'M1'!B22</f>
        <v>-1.7058999999999997</v>
      </c>
      <c r="C22" s="66">
        <f>'M2'!C22-'M1'!C22</f>
        <v>8.4334999999999987</v>
      </c>
      <c r="D22" s="66">
        <f>'M2'!D22-'M1'!D22</f>
        <v>0.20511300000000005</v>
      </c>
      <c r="E22" s="66">
        <f>'M2'!E22-'M1'!E22</f>
        <v>0</v>
      </c>
      <c r="F22" s="66">
        <f>'M2'!F22-'M1'!F22</f>
        <v>-5.9881999999999991</v>
      </c>
      <c r="G22" s="66">
        <f>'M2'!G22-'M1'!G22</f>
        <v>0</v>
      </c>
      <c r="H22" s="66">
        <f>'M2'!H22-'M1'!H22</f>
        <v>31.979399999999998</v>
      </c>
    </row>
    <row r="23" spans="1:8">
      <c r="A23" s="66" t="s">
        <v>66</v>
      </c>
      <c r="B23" s="66">
        <f>'M2'!B23-'M1'!B23</f>
        <v>-0.62129999999999974</v>
      </c>
      <c r="C23" s="66">
        <f>'M2'!C23-'M1'!C23</f>
        <v>-1.9369320000000001</v>
      </c>
      <c r="D23" s="66">
        <f>'M2'!D23-'M1'!D23</f>
        <v>-0.12008520000000002</v>
      </c>
      <c r="E23" s="66">
        <f>'M2'!E23-'M1'!E23</f>
        <v>0</v>
      </c>
      <c r="F23" s="66">
        <f>'M2'!F23-'M1'!F23</f>
        <v>-6.3499999999999446E-2</v>
      </c>
      <c r="G23" s="66">
        <f>'M2'!G23-'M1'!G23</f>
        <v>0</v>
      </c>
      <c r="H23" s="66">
        <f>'M2'!H23-'M1'!H23</f>
        <v>-4.7561999999999998</v>
      </c>
    </row>
    <row r="24" spans="1:8">
      <c r="A24" s="66" t="s">
        <v>67</v>
      </c>
      <c r="B24" s="66">
        <f>'M2'!B24-'M1'!B24</f>
        <v>1.1349099999999998E-3</v>
      </c>
      <c r="C24" s="66">
        <f>'M2'!C24-'M1'!C24</f>
        <v>-7.2756000000000001E-3</v>
      </c>
      <c r="D24" s="66">
        <f>'M2'!D24-'M1'!D24</f>
        <v>-5.1961899999999996</v>
      </c>
      <c r="E24" s="66">
        <f>'M2'!E24-'M1'!E24</f>
        <v>0</v>
      </c>
      <c r="F24" s="66">
        <f>'M2'!F24-'M1'!F24</f>
        <v>-7.8175000000000016E-5</v>
      </c>
      <c r="G24" s="66">
        <f>'M2'!G24-'M1'!G24</f>
        <v>0</v>
      </c>
      <c r="H24" s="66">
        <f>'M2'!H24-'M1'!H24</f>
        <v>-0.16347699999999998</v>
      </c>
    </row>
    <row r="25" spans="1:8">
      <c r="A25" s="66" t="s">
        <v>68</v>
      </c>
      <c r="B25" s="66">
        <f>'M2'!B25-'M1'!B25</f>
        <v>-3.1199999999997896E-4</v>
      </c>
      <c r="C25" s="66">
        <f>'M2'!C25-'M1'!C25</f>
        <v>-5.4041000000000006E-2</v>
      </c>
      <c r="D25" s="66">
        <f>'M2'!D25-'M1'!D25</f>
        <v>-0.36734999999999984</v>
      </c>
      <c r="E25" s="66">
        <f>'M2'!E25-'M1'!E25</f>
        <v>0</v>
      </c>
      <c r="F25" s="66">
        <f>'M2'!F25-'M1'!F25</f>
        <v>8.2815000000000007E-3</v>
      </c>
      <c r="G25" s="66">
        <f>'M2'!G25-'M1'!G25</f>
        <v>0</v>
      </c>
      <c r="H25" s="66">
        <f>'M2'!H25-'M1'!H25</f>
        <v>-0.39728000000000008</v>
      </c>
    </row>
    <row r="26" spans="1:8">
      <c r="A26" s="66" t="s">
        <v>69</v>
      </c>
      <c r="B26" s="66">
        <f>'M2'!B26-'M1'!B26</f>
        <v>-1.77259E-4</v>
      </c>
      <c r="C26" s="66">
        <f>'M2'!C26-'M1'!C26</f>
        <v>6.1197400000000011E-3</v>
      </c>
      <c r="D26" s="66">
        <f>'M2'!D26-'M1'!D26</f>
        <v>48.305199999999999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0.15032220000000002</v>
      </c>
    </row>
    <row r="27" spans="1:8">
      <c r="A27" s="66" t="s">
        <v>70</v>
      </c>
      <c r="B27" s="66">
        <f>'M2'!B27-'M1'!B27</f>
        <v>0</v>
      </c>
      <c r="C27" s="66">
        <f>'M2'!C27-'M1'!C27</f>
        <v>1.3553850000000001E-2</v>
      </c>
      <c r="D27" s="66">
        <f>'M2'!D27-'M1'!D27</f>
        <v>-825.81000000000006</v>
      </c>
      <c r="E27" s="66">
        <f>'M2'!E27-'M1'!E27</f>
        <v>0</v>
      </c>
      <c r="F27" s="66">
        <f>'M2'!F27-'M1'!F27</f>
        <v>-0.1730439</v>
      </c>
      <c r="G27" s="66">
        <f>'M2'!G27-'M1'!G27</f>
        <v>0</v>
      </c>
      <c r="H27" s="66">
        <f>'M2'!H27-'M1'!H27</f>
        <v>0.18393870000000001</v>
      </c>
    </row>
    <row r="28" spans="1:8">
      <c r="A28" s="66" t="s">
        <v>71</v>
      </c>
      <c r="B28" s="66">
        <f>'M2'!B28-'M1'!B28</f>
        <v>-2.9215000000000005E-3</v>
      </c>
      <c r="C28" s="66">
        <f>'M2'!C28-'M1'!C28</f>
        <v>1.3575699999999996E-2</v>
      </c>
      <c r="D28" s="66">
        <f>'M2'!D28-'M1'!D28</f>
        <v>2.09714</v>
      </c>
      <c r="E28" s="66">
        <f>'M2'!E28-'M1'!E28</f>
        <v>0</v>
      </c>
      <c r="F28" s="66">
        <f>'M2'!F28-'M1'!F28</f>
        <v>-2.4088500000000001E-4</v>
      </c>
      <c r="G28" s="66">
        <f>'M2'!G28-'M1'!G28</f>
        <v>0</v>
      </c>
      <c r="H28" s="66">
        <f>'M2'!H28-'M1'!H28</f>
        <v>0.15695700000000001</v>
      </c>
    </row>
    <row r="29" spans="1:8">
      <c r="A29" s="66" t="s">
        <v>72</v>
      </c>
      <c r="B29" s="66">
        <f>'M2'!B29-'M1'!B29</f>
        <v>-9.7796000000000021</v>
      </c>
      <c r="C29" s="66">
        <f>'M2'!C29-'M1'!C29</f>
        <v>1.7979000000000003</v>
      </c>
      <c r="D29" s="66">
        <f>'M2'!D29-'M1'!D29</f>
        <v>5.8733999999999981E-2</v>
      </c>
      <c r="E29" s="66">
        <f>'M2'!E29-'M1'!E29</f>
        <v>0</v>
      </c>
      <c r="F29" s="66">
        <f>'M2'!F29-'M1'!F29</f>
        <v>-10.166999999999998</v>
      </c>
      <c r="G29" s="66">
        <f>'M2'!G29-'M1'!G29</f>
        <v>0</v>
      </c>
      <c r="H29" s="66">
        <f>'M2'!H29-'M1'!H29</f>
        <v>-4.041799999999995</v>
      </c>
    </row>
    <row r="30" spans="1:8">
      <c r="A30" s="66" t="s">
        <v>73</v>
      </c>
      <c r="B30" s="66">
        <f>'M2'!B30-'M1'!B30</f>
        <v>3.1098999999999997</v>
      </c>
      <c r="C30" s="66">
        <f>'M2'!C30-'M1'!C30</f>
        <v>-0.78333000000000008</v>
      </c>
      <c r="D30" s="66">
        <f>'M2'!D30-'M1'!D30</f>
        <v>-5.9036700000000011E-2</v>
      </c>
      <c r="E30" s="66">
        <f>'M2'!E30-'M1'!E30</f>
        <v>0</v>
      </c>
      <c r="F30" s="66">
        <f>'M2'!F30-'M1'!F30</f>
        <v>3.0998999999999999</v>
      </c>
      <c r="G30" s="66">
        <f>'M2'!G30-'M1'!G30</f>
        <v>0</v>
      </c>
      <c r="H30" s="66">
        <f>'M2'!H30-'M1'!H30</f>
        <v>0.70829999999999771</v>
      </c>
    </row>
    <row r="31" spans="1:8">
      <c r="A31" s="66" t="s">
        <v>74</v>
      </c>
      <c r="B31" s="66">
        <f>'M2'!B31-'M1'!B31</f>
        <v>46.870000000000005</v>
      </c>
      <c r="C31" s="66">
        <f>'M2'!C31-'M1'!C31</f>
        <v>23.341099999999997</v>
      </c>
      <c r="D31" s="66">
        <f>'M2'!D31-'M1'!D31</f>
        <v>5.2600000000000008E-2</v>
      </c>
      <c r="E31" s="66">
        <f>'M2'!E31-'M1'!E31</f>
        <v>0</v>
      </c>
      <c r="F31" s="66">
        <f>'M2'!F31-'M1'!F31</f>
        <v>61.228000000000009</v>
      </c>
      <c r="G31" s="66">
        <f>'M2'!G31-'M1'!G31</f>
        <v>0</v>
      </c>
      <c r="H31" s="66">
        <f>'M2'!H31-'M1'!H31</f>
        <v>86.148000000000025</v>
      </c>
    </row>
    <row r="32" spans="1:8">
      <c r="A32" s="66" t="s">
        <v>75</v>
      </c>
      <c r="B32" s="66">
        <f>'M2'!B32-'M1'!B32</f>
        <v>0.12342899999999996</v>
      </c>
      <c r="C32" s="66">
        <f>'M2'!C32-'M1'!C32</f>
        <v>3.2894900000000005E-2</v>
      </c>
      <c r="D32" s="66">
        <f>'M2'!D32-'M1'!D32</f>
        <v>-9.6209999999999907E-3</v>
      </c>
      <c r="E32" s="66">
        <f>'M2'!E32-'M1'!E32</f>
        <v>0</v>
      </c>
      <c r="F32" s="66">
        <f>'M2'!F32-'M1'!F32</f>
        <v>0.13659280000000001</v>
      </c>
      <c r="G32" s="66">
        <f>'M2'!G32-'M1'!G32</f>
        <v>0</v>
      </c>
      <c r="H32" s="66">
        <f>'M2'!H32-'M1'!H32</f>
        <v>0.11194299999999996</v>
      </c>
    </row>
    <row r="33" spans="1:8">
      <c r="A33" s="66" t="s">
        <v>76</v>
      </c>
      <c r="B33" s="66">
        <f>'M2'!B33-'M1'!B33</f>
        <v>6.0910999999999993E-2</v>
      </c>
      <c r="C33" s="66">
        <f>'M2'!C33-'M1'!C33</f>
        <v>7.0710999999999968E-3</v>
      </c>
      <c r="D33" s="66">
        <f>'M2'!D33-'M1'!D33</f>
        <v>4.0702000000000099E-3</v>
      </c>
      <c r="E33" s="66">
        <f>'M2'!E33-'M1'!E33</f>
        <v>0</v>
      </c>
      <c r="F33" s="66">
        <f>'M2'!F33-'M1'!F33</f>
        <v>2.7785000000000004E-2</v>
      </c>
      <c r="G33" s="66">
        <f>'M2'!G33-'M1'!G33</f>
        <v>0</v>
      </c>
      <c r="H33" s="66">
        <f>'M2'!H33-'M1'!H33</f>
        <v>-1.0575999999999974E-2</v>
      </c>
    </row>
    <row r="34" spans="1:8">
      <c r="A34" s="66" t="s">
        <v>77</v>
      </c>
      <c r="B34" s="66">
        <f>'M2'!B34-'M1'!B34</f>
        <v>7.4039999999999939E-3</v>
      </c>
      <c r="C34" s="66">
        <f>'M2'!C34-'M1'!C34</f>
        <v>-3.2323999999999999E-3</v>
      </c>
      <c r="D34" s="66">
        <f>'M2'!D34-'M1'!D34</f>
        <v>-2.3203000000000001E-2</v>
      </c>
      <c r="E34" s="66">
        <f>'M2'!E34-'M1'!E34</f>
        <v>0</v>
      </c>
      <c r="F34" s="66">
        <f>'M2'!F34-'M1'!F34</f>
        <v>2.273799999999998E-2</v>
      </c>
      <c r="G34" s="66">
        <f>'M2'!G34-'M1'!G34</f>
        <v>0</v>
      </c>
      <c r="H34" s="66">
        <f>'M2'!H34-'M1'!H34</f>
        <v>1.768100000000003E-2</v>
      </c>
    </row>
    <row r="35" spans="1:8">
      <c r="A35" s="66" t="s">
        <v>78</v>
      </c>
      <c r="B35" s="66">
        <f>'M2'!B35-'M1'!B35</f>
        <v>3.590999999999997E-3</v>
      </c>
      <c r="C35" s="66">
        <f>'M2'!C35-'M1'!C35</f>
        <v>1.8038999999999972E-3</v>
      </c>
      <c r="D35" s="66">
        <f>'M2'!D35-'M1'!D35</f>
        <v>1.0384999999999978E-2</v>
      </c>
      <c r="E35" s="66">
        <f>'M2'!E35-'M1'!E35</f>
        <v>0</v>
      </c>
      <c r="F35" s="66">
        <f>'M2'!F35-'M1'!F35</f>
        <v>4.8020000000000007E-3</v>
      </c>
      <c r="G35" s="66">
        <f>'M2'!G35-'M1'!G35</f>
        <v>0</v>
      </c>
      <c r="H35" s="66">
        <f>'M2'!H35-'M1'!H35</f>
        <v>2.1125000000000005E-2</v>
      </c>
    </row>
    <row r="36" spans="1:8">
      <c r="A36" s="66" t="s">
        <v>79</v>
      </c>
      <c r="B36" s="66">
        <f>'M2'!B36-'M1'!B36</f>
        <v>2.5909999999999822E-3</v>
      </c>
      <c r="C36" s="66">
        <f>'M2'!C36-'M1'!C36</f>
        <v>2.036099999999999E-3</v>
      </c>
      <c r="D36" s="66">
        <f>'M2'!D36-'M1'!D36</f>
        <v>4.1439999999999255E-3</v>
      </c>
      <c r="E36" s="66">
        <f>'M2'!E36-'M1'!E36</f>
        <v>0</v>
      </c>
      <c r="F36" s="66">
        <f>'M2'!F36-'M1'!F36</f>
        <v>1.0215700000000001E-2</v>
      </c>
      <c r="G36" s="66">
        <f>'M2'!G36-'M1'!G36</f>
        <v>0</v>
      </c>
      <c r="H36" s="66">
        <f>'M2'!H36-'M1'!H36</f>
        <v>6.5058999999999978E-2</v>
      </c>
    </row>
    <row r="37" spans="1:8">
      <c r="A37" s="66" t="s">
        <v>80</v>
      </c>
      <c r="B37" s="66">
        <f>'M2'!B37-'M1'!B37</f>
        <v>-3.2323999999999992E-2</v>
      </c>
      <c r="C37" s="66">
        <f>'M2'!C37-'M1'!C37</f>
        <v>-2.0327000000000123E-3</v>
      </c>
      <c r="D37" s="66">
        <f>'M2'!D37-'M1'!D37</f>
        <v>3.9760999999999991E-2</v>
      </c>
      <c r="E37" s="66">
        <f>'M2'!E37-'M1'!E37</f>
        <v>0</v>
      </c>
      <c r="F37" s="66">
        <f>'M2'!F37-'M1'!F37</f>
        <v>-1.5934000000000018E-3</v>
      </c>
      <c r="G37" s="66">
        <f>'M2'!G37-'M1'!G37</f>
        <v>0</v>
      </c>
      <c r="H37" s="66">
        <f>'M2'!H37-'M1'!H37</f>
        <v>-4.7510000000000052E-3</v>
      </c>
    </row>
    <row r="38" spans="1:8">
      <c r="A38" s="66" t="s">
        <v>81</v>
      </c>
      <c r="B38" s="66">
        <f>'M2'!B38-'M1'!B38</f>
        <v>19.246013000000001</v>
      </c>
      <c r="C38" s="66">
        <f>'M2'!C38-'M1'!C38</f>
        <v>-4.9998000000000005</v>
      </c>
      <c r="D38" s="66">
        <f>'M2'!D38-'M1'!D38</f>
        <v>-85.758080000000007</v>
      </c>
      <c r="E38" s="66">
        <f>'M2'!E38-'M1'!E38</f>
        <v>0</v>
      </c>
      <c r="F38" s="66">
        <f>'M2'!F38-'M1'!F38</f>
        <v>23.938000000000017</v>
      </c>
      <c r="G38" s="66">
        <f>'M2'!G38-'M1'!G38</f>
        <v>0</v>
      </c>
      <c r="H38" s="66">
        <f>'M2'!H38-'M1'!H38</f>
        <v>41.877700000000004</v>
      </c>
    </row>
    <row r="39" spans="1:8">
      <c r="A39" s="66" t="s">
        <v>82</v>
      </c>
      <c r="B39" s="66">
        <f>'M2'!B39-'M1'!B39</f>
        <v>2.9167500000000004</v>
      </c>
      <c r="C39" s="66">
        <f>'M2'!C39-'M1'!C39</f>
        <v>-0.56174000000000035</v>
      </c>
      <c r="D39" s="66">
        <f>'M2'!D39-'M1'!D39</f>
        <v>-1.0383909999999998</v>
      </c>
      <c r="E39" s="66">
        <f>'M2'!E39-'M1'!E39</f>
        <v>0</v>
      </c>
      <c r="F39" s="66">
        <f>'M2'!F39-'M1'!F39</f>
        <v>2.0965000000000007</v>
      </c>
      <c r="G39" s="66">
        <f>'M2'!G39-'M1'!G39</f>
        <v>0</v>
      </c>
      <c r="H39" s="66">
        <f>'M2'!H39-'M1'!H39</f>
        <v>0.81550000000000011</v>
      </c>
    </row>
    <row r="40" spans="1:8">
      <c r="A40" s="66" t="s">
        <v>83</v>
      </c>
      <c r="B40" s="66">
        <f>'M2'!B40-'M1'!B40</f>
        <v>-0.59494000000000025</v>
      </c>
      <c r="C40" s="66">
        <f>'M2'!C40-'M1'!C40</f>
        <v>-3.5079000000000082E-2</v>
      </c>
      <c r="D40" s="66">
        <f>'M2'!D40-'M1'!D40</f>
        <v>7.2891999999999957E-2</v>
      </c>
      <c r="E40" s="66">
        <f>'M2'!E40-'M1'!E40</f>
        <v>0</v>
      </c>
      <c r="F40" s="66">
        <f>'M2'!F40-'M1'!F40</f>
        <v>-0.3946499999999995</v>
      </c>
      <c r="G40" s="66">
        <f>'M2'!G40-'M1'!G40</f>
        <v>0</v>
      </c>
      <c r="H40" s="66">
        <f>'M2'!H40-'M1'!H40</f>
        <v>-0.47648000000000001</v>
      </c>
    </row>
    <row r="41" spans="1:8">
      <c r="A41" s="66" t="s">
        <v>84</v>
      </c>
      <c r="B41" s="66">
        <f>'M2'!B41-'M1'!B41</f>
        <v>9.8851700000000015E-2</v>
      </c>
      <c r="C41" s="66">
        <f>'M2'!C41-'M1'!C41</f>
        <v>3.5488999999999993E-2</v>
      </c>
      <c r="D41" s="66">
        <f>'M2'!D41-'M1'!D41</f>
        <v>-5.1013000000000002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7.9201999999999995E-2</v>
      </c>
      <c r="C42" s="66">
        <f>'M2'!C42-'M1'!C42</f>
        <v>1.9969000000000015E-2</v>
      </c>
      <c r="D42" s="66">
        <f>'M2'!D42-'M1'!D42</f>
        <v>-0.68686000000000014</v>
      </c>
      <c r="E42" s="66">
        <f>'M2'!E42-'M1'!E42</f>
        <v>0</v>
      </c>
      <c r="F42" s="66">
        <f>'M2'!F42-'M1'!F42</f>
        <v>-5.2258999999999944E-2</v>
      </c>
      <c r="G42" s="66">
        <f>'M2'!G42-'M1'!G42</f>
        <v>0</v>
      </c>
      <c r="H42" s="66">
        <f>'M2'!H42-'M1'!H42</f>
        <v>0.31511119999999998</v>
      </c>
    </row>
    <row r="43" spans="1:8">
      <c r="A43" s="66" t="s">
        <v>86</v>
      </c>
      <c r="B43" s="66">
        <f>'M2'!B43-'M1'!B43</f>
        <v>2.3658999999999986E-2</v>
      </c>
      <c r="C43" s="66">
        <f>'M2'!C43-'M1'!C43</f>
        <v>-1.0626400000000008E-2</v>
      </c>
      <c r="D43" s="66">
        <f>'M2'!D43-'M1'!D43</f>
        <v>1.7905000000000004E-2</v>
      </c>
      <c r="E43" s="66">
        <f>'M2'!E43-'M1'!E43</f>
        <v>0</v>
      </c>
      <c r="F43" s="66">
        <f>'M2'!F43-'M1'!F43</f>
        <v>7.9009999999999914E-3</v>
      </c>
      <c r="G43" s="66">
        <f>'M2'!G43-'M1'!G43</f>
        <v>0</v>
      </c>
      <c r="H43" s="66">
        <f>'M2'!H43-'M1'!H43</f>
        <v>1.6830000000000039E-3</v>
      </c>
    </row>
    <row r="44" spans="1:8">
      <c r="A44" s="66" t="s">
        <v>87</v>
      </c>
      <c r="B44" s="66">
        <f>'M2'!B44-'M1'!B44</f>
        <v>-26.923749999999998</v>
      </c>
      <c r="C44" s="66">
        <f>'M2'!C44-'M1'!C44</f>
        <v>15.502220000000001</v>
      </c>
      <c r="D44" s="66">
        <f>'M2'!D44-'M1'!D44</f>
        <v>-6.4121810000000004</v>
      </c>
      <c r="E44" s="66">
        <f>'M2'!E44-'M1'!E44</f>
        <v>0</v>
      </c>
      <c r="F44" s="66">
        <f>'M2'!F44-'M1'!F44</f>
        <v>-38.279630000000004</v>
      </c>
      <c r="G44" s="66">
        <f>'M2'!G44-'M1'!G44</f>
        <v>0</v>
      </c>
      <c r="H44" s="66">
        <f>'M2'!H44-'M1'!H44</f>
        <v>0.16039999999999566</v>
      </c>
    </row>
    <row r="45" spans="1:8">
      <c r="A45" s="66" t="s">
        <v>88</v>
      </c>
      <c r="B45" s="66">
        <f>'M2'!B45-'M1'!B45</f>
        <v>-3.0923000000000016</v>
      </c>
      <c r="C45" s="66">
        <f>'M2'!C45-'M1'!C45</f>
        <v>-0.29398000000000035</v>
      </c>
      <c r="D45" s="66">
        <f>'M2'!D45-'M1'!D45</f>
        <v>2.0949999999999858E-3</v>
      </c>
      <c r="E45" s="66">
        <f>'M2'!E45-'M1'!E45</f>
        <v>0</v>
      </c>
      <c r="F45" s="66">
        <f>'M2'!F45-'M1'!F45</f>
        <v>-0.37109999999999843</v>
      </c>
      <c r="G45" s="66">
        <f>'M2'!G45-'M1'!G45</f>
        <v>0</v>
      </c>
      <c r="H45" s="66">
        <f>'M2'!H45-'M1'!H45</f>
        <v>-2.9964000000000084</v>
      </c>
    </row>
    <row r="46" spans="1:8">
      <c r="A46" s="66" t="s">
        <v>89</v>
      </c>
      <c r="B46" s="66">
        <f>'M2'!B46-'M1'!B46</f>
        <v>-1.1031000000000049</v>
      </c>
      <c r="C46" s="66">
        <f>'M2'!C46-'M1'!C46</f>
        <v>-5.4765700000000006</v>
      </c>
      <c r="D46" s="66">
        <f>'M2'!D46-'M1'!D46</f>
        <v>-0.1644177</v>
      </c>
      <c r="E46" s="66">
        <f>'M2'!E46-'M1'!E46</f>
        <v>0</v>
      </c>
      <c r="F46" s="66">
        <f>'M2'!F46-'M1'!F46</f>
        <v>17.4435</v>
      </c>
      <c r="G46" s="66">
        <f>'M2'!G46-'M1'!G46</f>
        <v>0</v>
      </c>
      <c r="H46" s="66">
        <f>'M2'!H46-'M1'!H46</f>
        <v>-0.31579999999999586</v>
      </c>
    </row>
    <row r="47" spans="1:8">
      <c r="A47" s="66" t="s">
        <v>90</v>
      </c>
      <c r="B47" s="66">
        <f>'M2'!B47-'M1'!B47</f>
        <v>-0.11794499999999997</v>
      </c>
      <c r="C47" s="66">
        <f>'M2'!C47-'M1'!C47</f>
        <v>-0.21482700000000005</v>
      </c>
      <c r="D47" s="66">
        <f>'M2'!D47-'M1'!D47</f>
        <v>-0.20515800000000001</v>
      </c>
      <c r="E47" s="66">
        <f>'M2'!E47-'M1'!E47</f>
        <v>0</v>
      </c>
      <c r="F47" s="66">
        <f>'M2'!F47-'M1'!F47</f>
        <v>-6.6442000000000001E-2</v>
      </c>
      <c r="G47" s="66">
        <f>'M2'!G47-'M1'!G47</f>
        <v>0</v>
      </c>
      <c r="H47" s="66">
        <f>'M2'!H47-'M1'!H47</f>
        <v>-0.88499000000000017</v>
      </c>
    </row>
    <row r="48" spans="1:8">
      <c r="A48" s="66" t="s">
        <v>91</v>
      </c>
      <c r="B48" s="66">
        <f>'M2'!B48-'M1'!B48</f>
        <v>2.0235000000000003E-2</v>
      </c>
      <c r="C48" s="66">
        <f>'M2'!C48-'M1'!C48</f>
        <v>7.9376999999999989E-3</v>
      </c>
      <c r="D48" s="66">
        <f>'M2'!D48-'M1'!D48</f>
        <v>8.9884999999999965E-3</v>
      </c>
      <c r="E48" s="66">
        <f>'M2'!E48-'M1'!E48</f>
        <v>0</v>
      </c>
      <c r="F48" s="66">
        <f>'M2'!F48-'M1'!F48</f>
        <v>3.0233999999999983E-2</v>
      </c>
      <c r="G48" s="66">
        <f>'M2'!G48-'M1'!G48</f>
        <v>0</v>
      </c>
      <c r="H48" s="66">
        <f>'M2'!H48-'M1'!H48</f>
        <v>4.4923000000000046E-2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347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42.042900000000003</v>
      </c>
      <c r="C5" s="66">
        <v>9.3272999999999993</v>
      </c>
      <c r="D5" s="66">
        <v>22.185199999999998</v>
      </c>
      <c r="E5" s="66">
        <v>20</v>
      </c>
      <c r="F5" s="66">
        <v>15.0891</v>
      </c>
      <c r="G5" s="66">
        <v>50</v>
      </c>
      <c r="H5" s="66">
        <v>48.029600000000002</v>
      </c>
    </row>
    <row r="6" spans="1:8">
      <c r="A6" s="66" t="s">
        <v>303</v>
      </c>
      <c r="B6" s="66">
        <v>33.816400000000002</v>
      </c>
      <c r="C6" s="66">
        <v>2.2856900000000002</v>
      </c>
      <c r="D6" s="66">
        <v>6.7591200000000002</v>
      </c>
      <c r="E6" s="66">
        <v>20</v>
      </c>
      <c r="F6" s="66">
        <v>27.939499999999999</v>
      </c>
      <c r="G6" s="66">
        <v>40</v>
      </c>
      <c r="H6" s="66">
        <v>37.207599999999999</v>
      </c>
    </row>
    <row r="7" spans="1:8">
      <c r="A7" s="66" t="s">
        <v>304</v>
      </c>
      <c r="B7" s="66">
        <v>28.019300000000001</v>
      </c>
      <c r="C7" s="66">
        <v>8.3488100000000003</v>
      </c>
      <c r="D7" s="66">
        <v>29.796700000000001</v>
      </c>
      <c r="E7" s="66">
        <v>15</v>
      </c>
      <c r="F7" s="66">
        <v>7.6363200000000004</v>
      </c>
      <c r="G7" s="66">
        <v>40</v>
      </c>
      <c r="H7" s="66">
        <v>44.432000000000002</v>
      </c>
    </row>
    <row r="8" spans="1:8">
      <c r="A8" s="66" t="s">
        <v>305</v>
      </c>
      <c r="B8" s="66">
        <v>32.674300000000002</v>
      </c>
      <c r="C8" s="66">
        <v>3.98556</v>
      </c>
      <c r="D8" s="66">
        <v>12.197800000000001</v>
      </c>
      <c r="E8" s="66">
        <v>20</v>
      </c>
      <c r="F8" s="66">
        <v>25.15</v>
      </c>
      <c r="G8" s="66">
        <v>50</v>
      </c>
      <c r="H8" s="66">
        <v>38.9908</v>
      </c>
    </row>
    <row r="9" spans="1:8">
      <c r="A9" s="66" t="s">
        <v>306</v>
      </c>
      <c r="B9" s="66">
        <v>54.283000000000001</v>
      </c>
      <c r="C9" s="66">
        <v>7.7209899999999996</v>
      </c>
      <c r="D9" s="66">
        <v>14.223599999999999</v>
      </c>
      <c r="E9" s="66">
        <v>50</v>
      </c>
      <c r="F9" s="66">
        <v>40.668999999999997</v>
      </c>
      <c r="G9" s="66">
        <v>100</v>
      </c>
      <c r="H9" s="66">
        <v>71.984800000000007</v>
      </c>
    </row>
    <row r="10" spans="1:8">
      <c r="A10" s="66" t="s">
        <v>307</v>
      </c>
      <c r="B10" s="66">
        <v>70.498699999999999</v>
      </c>
      <c r="C10" s="66">
        <v>5.8036599999999998</v>
      </c>
      <c r="D10" s="66">
        <v>8.2322900000000008</v>
      </c>
      <c r="E10" s="66">
        <v>40</v>
      </c>
      <c r="F10" s="66">
        <v>57.945</v>
      </c>
      <c r="G10" s="66">
        <v>100</v>
      </c>
      <c r="H10" s="66">
        <v>77.002799999999993</v>
      </c>
    </row>
    <row r="11" spans="1:8">
      <c r="A11" s="66" t="s">
        <v>308</v>
      </c>
      <c r="B11" s="66">
        <v>17.834900000000001</v>
      </c>
      <c r="C11" s="66">
        <v>3.6402600000000001</v>
      </c>
      <c r="D11" s="66">
        <v>20.410900000000002</v>
      </c>
      <c r="E11" s="66">
        <v>10</v>
      </c>
      <c r="F11" s="66">
        <v>7.5983700000000001</v>
      </c>
      <c r="G11" s="66">
        <v>50</v>
      </c>
      <c r="H11" s="66">
        <v>20.605599999999999</v>
      </c>
    </row>
    <row r="12" spans="1:8">
      <c r="A12" s="66" t="s">
        <v>309</v>
      </c>
      <c r="B12" s="66">
        <v>61.492600000000003</v>
      </c>
      <c r="C12" s="66">
        <v>6.1439899999999996</v>
      </c>
      <c r="D12" s="66">
        <v>9.9914299999999994</v>
      </c>
      <c r="E12" s="66">
        <v>50</v>
      </c>
      <c r="F12" s="66">
        <v>51.6905</v>
      </c>
      <c r="G12" s="66">
        <v>100</v>
      </c>
      <c r="H12" s="66">
        <v>74.330399999999997</v>
      </c>
    </row>
    <row r="13" spans="1:8">
      <c r="A13" s="66" t="s">
        <v>310</v>
      </c>
      <c r="B13" s="66">
        <v>17.515999999999998</v>
      </c>
      <c r="C13" s="66">
        <v>2.3741699999999999</v>
      </c>
      <c r="D13" s="66">
        <v>13.5543</v>
      </c>
      <c r="E13" s="66">
        <v>10</v>
      </c>
      <c r="F13" s="66">
        <v>13.361599999999999</v>
      </c>
      <c r="G13" s="66">
        <v>25</v>
      </c>
      <c r="H13" s="66">
        <v>23.906099999999999</v>
      </c>
    </row>
    <row r="14" spans="1:8">
      <c r="A14" s="66" t="s">
        <v>311</v>
      </c>
      <c r="B14" s="66">
        <v>23.741700000000002</v>
      </c>
      <c r="C14" s="66">
        <v>7.4825100000000004</v>
      </c>
      <c r="D14" s="66">
        <v>31.516300000000001</v>
      </c>
      <c r="E14" s="66">
        <v>10</v>
      </c>
      <c r="F14" s="66">
        <v>2.1753100000000001</v>
      </c>
      <c r="G14" s="66">
        <v>50</v>
      </c>
      <c r="H14" s="66">
        <v>28.654199999999999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0.42405399999999999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0.58376300000000003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348</v>
      </c>
      <c r="B20" s="66">
        <v>1.27038E-3</v>
      </c>
      <c r="C20" s="66">
        <v>5.1136599999999997E-2</v>
      </c>
      <c r="D20" s="66">
        <v>40.253100000000003</v>
      </c>
      <c r="E20" s="66">
        <v>0</v>
      </c>
      <c r="F20" s="196">
        <v>1.3799600000000001E-5</v>
      </c>
      <c r="G20" s="66">
        <v>0</v>
      </c>
      <c r="H20" s="66">
        <v>0.44695400000000002</v>
      </c>
    </row>
    <row r="21" spans="1:8">
      <c r="A21" s="66" t="s">
        <v>349</v>
      </c>
      <c r="B21" s="66">
        <v>9.8522999999999999E-2</v>
      </c>
      <c r="C21" s="66">
        <v>0.54127499999999995</v>
      </c>
      <c r="D21" s="66">
        <v>5.4938900000000004</v>
      </c>
      <c r="E21" s="66">
        <v>0</v>
      </c>
      <c r="F21" s="66">
        <v>1.8265E-3</v>
      </c>
      <c r="G21" s="66">
        <v>0</v>
      </c>
      <c r="H21" s="66">
        <v>4.6001000000000003</v>
      </c>
    </row>
    <row r="22" spans="1:8">
      <c r="A22" s="66" t="s">
        <v>319</v>
      </c>
      <c r="B22" s="66">
        <v>45.822800000000001</v>
      </c>
      <c r="C22" s="66">
        <v>16.5322</v>
      </c>
      <c r="D22" s="66">
        <v>0.360786</v>
      </c>
      <c r="E22" s="66">
        <v>0</v>
      </c>
      <c r="F22" s="66">
        <v>22.5473</v>
      </c>
      <c r="G22" s="66">
        <v>0</v>
      </c>
      <c r="H22" s="66">
        <v>94.158600000000007</v>
      </c>
    </row>
    <row r="23" spans="1:8">
      <c r="A23" s="66" t="s">
        <v>320</v>
      </c>
      <c r="B23" s="66">
        <v>15.8009</v>
      </c>
      <c r="C23" s="66">
        <v>2.90144</v>
      </c>
      <c r="D23" s="66">
        <v>0.18362500000000001</v>
      </c>
      <c r="E23" s="66">
        <v>0</v>
      </c>
      <c r="F23" s="66">
        <v>12.547499999999999</v>
      </c>
      <c r="G23" s="66">
        <v>0</v>
      </c>
      <c r="H23" s="66">
        <v>21.616599999999998</v>
      </c>
    </row>
    <row r="24" spans="1:8">
      <c r="A24" s="66" t="s">
        <v>321</v>
      </c>
      <c r="B24" s="66">
        <v>3.03484E-3</v>
      </c>
      <c r="C24" s="66">
        <v>3.84841E-2</v>
      </c>
      <c r="D24" s="66">
        <v>12.6807</v>
      </c>
      <c r="E24" s="66">
        <v>0</v>
      </c>
      <c r="F24" s="66">
        <v>2.1733200000000001E-4</v>
      </c>
      <c r="G24" s="66">
        <v>0</v>
      </c>
      <c r="H24" s="66">
        <v>0.33047799999999999</v>
      </c>
    </row>
    <row r="25" spans="1:8">
      <c r="A25" s="66" t="s">
        <v>322</v>
      </c>
      <c r="B25" s="66">
        <v>0.14558099999999999</v>
      </c>
      <c r="C25" s="66">
        <v>0.31492199999999998</v>
      </c>
      <c r="D25" s="66">
        <v>2.1631999999999998</v>
      </c>
      <c r="E25" s="66">
        <v>0</v>
      </c>
      <c r="F25" s="66">
        <v>2.2336499999999999E-2</v>
      </c>
      <c r="G25" s="66">
        <v>0</v>
      </c>
      <c r="H25" s="66">
        <v>1.4969600000000001</v>
      </c>
    </row>
    <row r="26" spans="1:8">
      <c r="A26" s="66" t="s">
        <v>323</v>
      </c>
      <c r="B26" s="66">
        <v>3.5451699999999999E-4</v>
      </c>
      <c r="C26" s="66">
        <v>4.8855599999999997E-3</v>
      </c>
      <c r="D26" s="66">
        <v>13.780900000000001</v>
      </c>
      <c r="E26" s="66">
        <v>0</v>
      </c>
      <c r="F26" s="196">
        <v>6.5651299999999996E-6</v>
      </c>
      <c r="G26" s="66">
        <v>0</v>
      </c>
      <c r="H26" s="66">
        <v>4.8092799999999998E-2</v>
      </c>
    </row>
    <row r="27" spans="1:8">
      <c r="A27" s="66" t="s">
        <v>324</v>
      </c>
      <c r="B27" s="196">
        <v>-1.64128E-5</v>
      </c>
      <c r="C27" s="66">
        <v>2.0319499999999998E-3</v>
      </c>
      <c r="D27" s="66">
        <v>-123.803</v>
      </c>
      <c r="E27" s="66">
        <v>0</v>
      </c>
      <c r="F27" s="66">
        <v>-2.5292100000000001E-2</v>
      </c>
      <c r="G27" s="66">
        <v>0</v>
      </c>
      <c r="H27" s="66">
        <v>1.43973E-2</v>
      </c>
    </row>
    <row r="28" spans="1:8">
      <c r="A28" s="66" t="s">
        <v>325</v>
      </c>
      <c r="B28" s="66">
        <v>1.3374E-2</v>
      </c>
      <c r="C28" s="66">
        <v>3.8199400000000001E-2</v>
      </c>
      <c r="D28" s="66">
        <v>2.8562400000000001</v>
      </c>
      <c r="E28" s="66">
        <v>0</v>
      </c>
      <c r="F28" s="66">
        <v>4.36198E-4</v>
      </c>
      <c r="G28" s="66">
        <v>0</v>
      </c>
      <c r="H28" s="66">
        <v>0.21829399999999999</v>
      </c>
    </row>
    <row r="29" spans="1:8">
      <c r="A29" s="66" t="s">
        <v>326</v>
      </c>
      <c r="B29" s="66">
        <v>68.930800000000005</v>
      </c>
      <c r="C29" s="66">
        <v>11.8154</v>
      </c>
      <c r="D29" s="66">
        <v>0.17140900000000001</v>
      </c>
      <c r="E29" s="66">
        <v>0</v>
      </c>
      <c r="F29" s="66">
        <v>41.299399999999999</v>
      </c>
      <c r="G29" s="66">
        <v>0</v>
      </c>
      <c r="H29" s="66">
        <v>97.575599999999994</v>
      </c>
    </row>
    <row r="30" spans="1:8">
      <c r="A30" s="66" t="s">
        <v>327</v>
      </c>
      <c r="B30" s="66">
        <v>16.584199999999999</v>
      </c>
      <c r="C30" s="66">
        <v>2.0229400000000002</v>
      </c>
      <c r="D30" s="66">
        <v>0.12198000000000001</v>
      </c>
      <c r="E30" s="66">
        <v>0</v>
      </c>
      <c r="F30" s="66">
        <v>14.1348</v>
      </c>
      <c r="G30" s="66">
        <v>0</v>
      </c>
      <c r="H30" s="66">
        <v>21.923200000000001</v>
      </c>
    </row>
    <row r="31" spans="1:8">
      <c r="A31" s="66" t="s">
        <v>328</v>
      </c>
      <c r="B31" s="66">
        <v>281.61599999999999</v>
      </c>
      <c r="C31" s="66">
        <v>36.427300000000002</v>
      </c>
      <c r="D31" s="66">
        <v>0.12935099999999999</v>
      </c>
      <c r="E31" s="66">
        <v>0</v>
      </c>
      <c r="F31" s="66">
        <v>175.76499999999999</v>
      </c>
      <c r="G31" s="66">
        <v>0</v>
      </c>
      <c r="H31" s="66">
        <v>349.65199999999999</v>
      </c>
    </row>
    <row r="32" spans="1:8">
      <c r="A32" s="66" t="s">
        <v>329</v>
      </c>
      <c r="B32" s="66">
        <v>0.28019300000000003</v>
      </c>
      <c r="C32" s="66">
        <v>8.3488099999999996E-2</v>
      </c>
      <c r="D32" s="66">
        <v>0.29796699999999998</v>
      </c>
      <c r="E32" s="66">
        <v>0.15</v>
      </c>
      <c r="F32" s="66">
        <v>7.6363200000000006E-2</v>
      </c>
      <c r="G32" s="66">
        <v>0.4</v>
      </c>
      <c r="H32" s="66">
        <v>0.44431999999999999</v>
      </c>
    </row>
    <row r="33" spans="1:8">
      <c r="A33" s="66" t="s">
        <v>330</v>
      </c>
      <c r="B33" s="66">
        <v>0.29692000000000002</v>
      </c>
      <c r="C33" s="66">
        <v>2.7369600000000001E-2</v>
      </c>
      <c r="D33" s="66">
        <v>9.2178399999999994E-2</v>
      </c>
      <c r="E33" s="66">
        <v>0</v>
      </c>
      <c r="F33" s="66">
        <v>0.256907</v>
      </c>
      <c r="G33" s="66">
        <v>0</v>
      </c>
      <c r="H33" s="66">
        <v>0.40848899999999999</v>
      </c>
    </row>
    <row r="34" spans="1:8">
      <c r="A34" s="66" t="s">
        <v>331</v>
      </c>
      <c r="B34" s="66">
        <v>0.17516000000000001</v>
      </c>
      <c r="C34" s="66">
        <v>2.3741700000000001E-2</v>
      </c>
      <c r="D34" s="66">
        <v>0.135543</v>
      </c>
      <c r="E34" s="66">
        <v>0.1</v>
      </c>
      <c r="F34" s="66">
        <v>0.13361600000000001</v>
      </c>
      <c r="G34" s="66">
        <v>0.25</v>
      </c>
      <c r="H34" s="66">
        <v>0.239061</v>
      </c>
    </row>
    <row r="35" spans="1:8">
      <c r="A35" s="66" t="s">
        <v>332</v>
      </c>
      <c r="B35" s="66">
        <v>7.42641E-2</v>
      </c>
      <c r="C35" s="66">
        <v>2.0583500000000001E-2</v>
      </c>
      <c r="D35" s="66">
        <v>0.277167</v>
      </c>
      <c r="E35" s="66">
        <v>0</v>
      </c>
      <c r="F35" s="66">
        <v>3.30511E-2</v>
      </c>
      <c r="G35" s="66">
        <v>0</v>
      </c>
      <c r="H35" s="66">
        <v>0.12167500000000001</v>
      </c>
    </row>
    <row r="36" spans="1:8">
      <c r="A36" s="66" t="s">
        <v>333</v>
      </c>
      <c r="B36" s="66">
        <v>0.15709400000000001</v>
      </c>
      <c r="C36" s="66">
        <v>8.3337499999999995E-2</v>
      </c>
      <c r="D36" s="66">
        <v>0.53049400000000002</v>
      </c>
      <c r="E36" s="66">
        <v>0</v>
      </c>
      <c r="F36" s="66">
        <v>3.8720499999999998E-2</v>
      </c>
      <c r="G36" s="66">
        <v>0</v>
      </c>
      <c r="H36" s="66">
        <v>0.42252600000000001</v>
      </c>
    </row>
    <row r="37" spans="1:8">
      <c r="A37" s="66" t="s">
        <v>334</v>
      </c>
      <c r="B37" s="66">
        <v>0.23741699999999999</v>
      </c>
      <c r="C37" s="66">
        <v>7.4825100000000005E-2</v>
      </c>
      <c r="D37" s="66">
        <v>0.31516300000000003</v>
      </c>
      <c r="E37" s="66">
        <v>0.1</v>
      </c>
      <c r="F37" s="66">
        <v>2.1753100000000001E-2</v>
      </c>
      <c r="G37" s="66">
        <v>0.5</v>
      </c>
      <c r="H37" s="66">
        <v>0.28654200000000002</v>
      </c>
    </row>
    <row r="38" spans="1:8">
      <c r="A38" s="66" t="s">
        <v>335</v>
      </c>
      <c r="B38" s="66">
        <v>-19.6553</v>
      </c>
      <c r="C38" s="66">
        <v>40.952199999999998</v>
      </c>
      <c r="D38" s="66">
        <v>-2.08352</v>
      </c>
      <c r="E38" s="66">
        <v>0</v>
      </c>
      <c r="F38" s="66">
        <v>-169.18600000000001</v>
      </c>
      <c r="G38" s="66">
        <v>0</v>
      </c>
      <c r="H38" s="66">
        <v>76.830299999999994</v>
      </c>
    </row>
    <row r="39" spans="1:8">
      <c r="A39" s="66" t="s">
        <v>336</v>
      </c>
      <c r="B39" s="66">
        <v>-5.0994400000000004</v>
      </c>
      <c r="C39" s="66">
        <v>4.9446700000000003</v>
      </c>
      <c r="D39" s="66">
        <v>-0.96964899999999998</v>
      </c>
      <c r="E39" s="66">
        <v>0</v>
      </c>
      <c r="F39" s="66">
        <v>-17.8626</v>
      </c>
      <c r="G39" s="66">
        <v>0</v>
      </c>
      <c r="H39" s="66">
        <v>10.2239</v>
      </c>
    </row>
    <row r="40" spans="1:8">
      <c r="A40" s="66" t="s">
        <v>337</v>
      </c>
      <c r="B40" s="66">
        <v>-2.7547999999999999</v>
      </c>
      <c r="C40" s="66">
        <v>0.96816800000000003</v>
      </c>
      <c r="D40" s="66">
        <v>-0.35144799999999998</v>
      </c>
      <c r="E40" s="66">
        <v>0</v>
      </c>
      <c r="F40" s="66">
        <v>-5.8709800000000003</v>
      </c>
      <c r="G40" s="66">
        <v>0</v>
      </c>
      <c r="H40" s="66">
        <v>-1.4963500000000001</v>
      </c>
    </row>
    <row r="41" spans="1:8">
      <c r="A41" s="66" t="s">
        <v>338</v>
      </c>
      <c r="B41" s="66">
        <v>-0.14471200000000001</v>
      </c>
      <c r="C41" s="66">
        <v>0.29052800000000001</v>
      </c>
      <c r="D41" s="66">
        <v>-2.0076299999999998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-0.185445</v>
      </c>
      <c r="C42" s="66">
        <v>0.124107</v>
      </c>
      <c r="D42" s="66">
        <v>-0.66923999999999995</v>
      </c>
      <c r="E42" s="66">
        <v>0</v>
      </c>
      <c r="F42" s="66">
        <v>-0.57525800000000005</v>
      </c>
      <c r="G42" s="66">
        <v>0</v>
      </c>
      <c r="H42" s="66">
        <v>4.3139799999999999E-2</v>
      </c>
    </row>
    <row r="43" spans="1:8">
      <c r="A43" s="66" t="s">
        <v>340</v>
      </c>
      <c r="B43" s="66">
        <v>-0.23108699999999999</v>
      </c>
      <c r="C43" s="66">
        <v>6.7515500000000006E-2</v>
      </c>
      <c r="D43" s="66">
        <v>-0.29216500000000001</v>
      </c>
      <c r="E43" s="66">
        <v>0</v>
      </c>
      <c r="F43" s="66">
        <v>-0.35405199999999998</v>
      </c>
      <c r="G43" s="66">
        <v>0</v>
      </c>
      <c r="H43" s="66">
        <v>-9.1644299999999998E-2</v>
      </c>
    </row>
    <row r="44" spans="1:8">
      <c r="A44" s="66" t="s">
        <v>341</v>
      </c>
      <c r="B44" s="66">
        <v>22.8582</v>
      </c>
      <c r="C44" s="66">
        <v>8.9711800000000004</v>
      </c>
      <c r="D44" s="66">
        <v>0.39247100000000001</v>
      </c>
      <c r="E44" s="66">
        <v>0</v>
      </c>
      <c r="F44" s="66">
        <v>2.0535299999999999</v>
      </c>
      <c r="G44" s="66">
        <v>0</v>
      </c>
      <c r="H44" s="66">
        <v>43.493000000000002</v>
      </c>
    </row>
    <row r="45" spans="1:8">
      <c r="A45" s="66" t="s">
        <v>342</v>
      </c>
      <c r="B45" s="66">
        <v>51.6357</v>
      </c>
      <c r="C45" s="66">
        <v>6.6078000000000001</v>
      </c>
      <c r="D45" s="66">
        <v>0.12797</v>
      </c>
      <c r="E45" s="66">
        <v>0</v>
      </c>
      <c r="F45" s="66">
        <v>33.549700000000001</v>
      </c>
      <c r="G45" s="66">
        <v>0</v>
      </c>
      <c r="H45" s="66">
        <v>68.862200000000001</v>
      </c>
    </row>
    <row r="46" spans="1:8">
      <c r="A46" s="66" t="s">
        <v>343</v>
      </c>
      <c r="B46" s="66">
        <v>33.056600000000003</v>
      </c>
      <c r="C46" s="66">
        <v>6.6775500000000001</v>
      </c>
      <c r="D46" s="66">
        <v>0.20200299999999999</v>
      </c>
      <c r="E46" s="66">
        <v>0</v>
      </c>
      <c r="F46" s="66">
        <v>12.0413</v>
      </c>
      <c r="G46" s="66">
        <v>0</v>
      </c>
      <c r="H46" s="66">
        <v>34.941899999999997</v>
      </c>
    </row>
    <row r="47" spans="1:8">
      <c r="A47" s="66" t="s">
        <v>344</v>
      </c>
      <c r="B47" s="66">
        <v>0.81032899999999997</v>
      </c>
      <c r="C47" s="66">
        <v>0.50001700000000004</v>
      </c>
      <c r="D47" s="66">
        <v>0.61705399999999999</v>
      </c>
      <c r="E47" s="66">
        <v>0</v>
      </c>
      <c r="F47" s="66">
        <v>0.26915</v>
      </c>
      <c r="G47" s="66">
        <v>0</v>
      </c>
      <c r="H47" s="66">
        <v>2.9731800000000002</v>
      </c>
    </row>
    <row r="48" spans="1:8">
      <c r="A48" s="66" t="s">
        <v>345</v>
      </c>
      <c r="B48" s="66">
        <v>0.69852599999999998</v>
      </c>
      <c r="C48" s="66">
        <v>5.0990800000000003E-2</v>
      </c>
      <c r="D48" s="66">
        <v>7.2997699999999999E-2</v>
      </c>
      <c r="E48" s="66">
        <v>0</v>
      </c>
      <c r="F48" s="66">
        <v>0.58535700000000002</v>
      </c>
      <c r="G48" s="66">
        <v>0</v>
      </c>
      <c r="H48" s="66">
        <v>0.80520199999999997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347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41.570099999999996</v>
      </c>
      <c r="C5" s="66">
        <v>2.7297500000000001</v>
      </c>
      <c r="D5" s="66">
        <v>6.56663</v>
      </c>
      <c r="E5" s="66">
        <v>20</v>
      </c>
      <c r="F5" s="66">
        <v>36.344900000000003</v>
      </c>
      <c r="G5" s="66">
        <v>50</v>
      </c>
      <c r="H5" s="66">
        <v>48.419499999999999</v>
      </c>
    </row>
    <row r="6" spans="1:8">
      <c r="A6" s="66" t="s">
        <v>303</v>
      </c>
      <c r="B6" s="66">
        <v>30.720199999999998</v>
      </c>
      <c r="C6" s="66">
        <v>1.27667</v>
      </c>
      <c r="D6" s="66">
        <v>4.1558000000000002</v>
      </c>
      <c r="E6" s="66">
        <v>20</v>
      </c>
      <c r="F6" s="66">
        <v>29.027899999999999</v>
      </c>
      <c r="G6" s="66">
        <v>40</v>
      </c>
      <c r="H6" s="66">
        <v>33.866999999999997</v>
      </c>
    </row>
    <row r="7" spans="1:8">
      <c r="A7" s="66" t="s">
        <v>304</v>
      </c>
      <c r="B7" s="66">
        <v>40.362200000000001</v>
      </c>
      <c r="C7" s="66">
        <v>11.638299999999999</v>
      </c>
      <c r="D7" s="66">
        <v>28.834599999999998</v>
      </c>
      <c r="E7" s="66">
        <v>15</v>
      </c>
      <c r="F7" s="66">
        <v>21.2956</v>
      </c>
      <c r="G7" s="66">
        <v>40</v>
      </c>
      <c r="H7" s="66">
        <v>55.626300000000001</v>
      </c>
    </row>
    <row r="8" spans="1:8">
      <c r="A8" s="66" t="s">
        <v>305</v>
      </c>
      <c r="B8" s="66">
        <v>38.716000000000001</v>
      </c>
      <c r="C8" s="66">
        <v>4.0290900000000001</v>
      </c>
      <c r="D8" s="66">
        <v>10.4068</v>
      </c>
      <c r="E8" s="66">
        <v>20</v>
      </c>
      <c r="F8" s="66">
        <v>30.608899999999998</v>
      </c>
      <c r="G8" s="66">
        <v>50</v>
      </c>
      <c r="H8" s="66">
        <v>42.467100000000002</v>
      </c>
    </row>
    <row r="9" spans="1:8">
      <c r="A9" s="66" t="s">
        <v>306</v>
      </c>
      <c r="B9" s="66">
        <v>67.323899999999995</v>
      </c>
      <c r="C9" s="66">
        <v>4.7492000000000001</v>
      </c>
      <c r="D9" s="66">
        <v>7.0542600000000002</v>
      </c>
      <c r="E9" s="66">
        <v>50</v>
      </c>
      <c r="F9" s="66">
        <v>51.736800000000002</v>
      </c>
      <c r="G9" s="66">
        <v>100</v>
      </c>
      <c r="H9" s="66">
        <v>76.789500000000004</v>
      </c>
    </row>
    <row r="10" spans="1:8">
      <c r="A10" s="66" t="s">
        <v>307</v>
      </c>
      <c r="B10" s="66">
        <v>78.672799999999995</v>
      </c>
      <c r="C10" s="66">
        <v>1.36625</v>
      </c>
      <c r="D10" s="66">
        <v>1.7366299999999999</v>
      </c>
      <c r="E10" s="66">
        <v>40</v>
      </c>
      <c r="F10" s="66">
        <v>71.872200000000007</v>
      </c>
      <c r="G10" s="66">
        <v>100</v>
      </c>
      <c r="H10" s="66">
        <v>81.441599999999994</v>
      </c>
    </row>
    <row r="11" spans="1:8">
      <c r="A11" s="66" t="s">
        <v>308</v>
      </c>
      <c r="B11" s="66">
        <v>19.695599999999999</v>
      </c>
      <c r="C11" s="66">
        <v>1.12527</v>
      </c>
      <c r="D11" s="66">
        <v>5.7133099999999999</v>
      </c>
      <c r="E11" s="66">
        <v>10</v>
      </c>
      <c r="F11" s="66">
        <v>17.011900000000001</v>
      </c>
      <c r="G11" s="66">
        <v>50</v>
      </c>
      <c r="H11" s="66">
        <v>22.093499999999999</v>
      </c>
    </row>
    <row r="12" spans="1:8">
      <c r="A12" s="66" t="s">
        <v>309</v>
      </c>
      <c r="B12" s="66">
        <v>72.653499999999994</v>
      </c>
      <c r="C12" s="66">
        <v>2.5871300000000002</v>
      </c>
      <c r="D12" s="66">
        <v>3.5609199999999999</v>
      </c>
      <c r="E12" s="66">
        <v>50</v>
      </c>
      <c r="F12" s="66">
        <v>64.283000000000001</v>
      </c>
      <c r="G12" s="66">
        <v>100</v>
      </c>
      <c r="H12" s="66">
        <v>78.0989</v>
      </c>
    </row>
    <row r="13" spans="1:8">
      <c r="A13" s="66" t="s">
        <v>310</v>
      </c>
      <c r="B13" s="66">
        <v>18.256399999999999</v>
      </c>
      <c r="C13" s="66">
        <v>2.0509300000000001</v>
      </c>
      <c r="D13" s="66">
        <v>11.234</v>
      </c>
      <c r="E13" s="66">
        <v>10</v>
      </c>
      <c r="F13" s="66">
        <v>15.635400000000001</v>
      </c>
      <c r="G13" s="66">
        <v>25</v>
      </c>
      <c r="H13" s="66">
        <v>25.674199999999999</v>
      </c>
    </row>
    <row r="14" spans="1:8">
      <c r="A14" s="66" t="s">
        <v>311</v>
      </c>
      <c r="B14" s="66">
        <v>20.5093</v>
      </c>
      <c r="C14" s="66">
        <v>7.2792399999999997</v>
      </c>
      <c r="D14" s="66">
        <v>35.492400000000004</v>
      </c>
      <c r="E14" s="66">
        <v>10</v>
      </c>
      <c r="F14" s="66">
        <v>2.0159699999999998</v>
      </c>
      <c r="G14" s="66">
        <v>50</v>
      </c>
      <c r="H14" s="66">
        <v>28.179099999999998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0.38280900000000001</v>
      </c>
      <c r="C18" s="66">
        <v>1.8016899999999999E-2</v>
      </c>
      <c r="D18" s="66">
        <v>4.7065099999999999E-2</v>
      </c>
      <c r="E18" s="66">
        <v>0</v>
      </c>
      <c r="F18" s="66">
        <v>0.36479200000000001</v>
      </c>
      <c r="G18" s="66">
        <v>0</v>
      </c>
      <c r="H18" s="66">
        <v>0.40082600000000002</v>
      </c>
    </row>
    <row r="19" spans="1:8">
      <c r="A19" s="66" t="s">
        <v>316</v>
      </c>
      <c r="B19" s="66">
        <v>0.62435399999999996</v>
      </c>
      <c r="C19" s="66">
        <v>1.7802999999999999E-2</v>
      </c>
      <c r="D19" s="66">
        <v>2.8514399999999999E-2</v>
      </c>
      <c r="E19" s="66">
        <v>0</v>
      </c>
      <c r="F19" s="66">
        <v>0.60655099999999995</v>
      </c>
      <c r="G19" s="66">
        <v>0</v>
      </c>
      <c r="H19" s="66">
        <v>0.64215699999999998</v>
      </c>
    </row>
    <row r="20" spans="1:8">
      <c r="A20" s="66" t="s">
        <v>317</v>
      </c>
      <c r="B20" s="66">
        <v>5.2170899999999997E-4</v>
      </c>
      <c r="C20" s="66">
        <v>9.2736299999999994E-2</v>
      </c>
      <c r="D20" s="66">
        <v>177.755</v>
      </c>
      <c r="E20" s="66">
        <v>0</v>
      </c>
      <c r="F20" s="196">
        <v>1.76615E-5</v>
      </c>
      <c r="G20" s="66">
        <v>0</v>
      </c>
      <c r="H20" s="66">
        <v>1.5892500000000001</v>
      </c>
    </row>
    <row r="21" spans="1:8">
      <c r="A21" s="66" t="s">
        <v>318</v>
      </c>
      <c r="B21" s="66">
        <v>7.10948E-2</v>
      </c>
      <c r="C21" s="66">
        <v>0.61658599999999997</v>
      </c>
      <c r="D21" s="66">
        <v>8.6727399999999992</v>
      </c>
      <c r="E21" s="66">
        <v>0</v>
      </c>
      <c r="F21" s="66">
        <v>5.9847299999999997E-4</v>
      </c>
      <c r="G21" s="66">
        <v>0</v>
      </c>
      <c r="H21" s="66">
        <v>4.8384900000000002</v>
      </c>
    </row>
    <row r="22" spans="1:8">
      <c r="A22" s="66" t="s">
        <v>319</v>
      </c>
      <c r="B22" s="66">
        <v>44.116900000000001</v>
      </c>
      <c r="C22" s="66">
        <v>24.965699999999998</v>
      </c>
      <c r="D22" s="66">
        <v>0.56589900000000004</v>
      </c>
      <c r="E22" s="66">
        <v>0</v>
      </c>
      <c r="F22" s="66">
        <v>16.559100000000001</v>
      </c>
      <c r="G22" s="66">
        <v>0</v>
      </c>
      <c r="H22" s="66">
        <v>126.13800000000001</v>
      </c>
    </row>
    <row r="23" spans="1:8">
      <c r="A23" s="66" t="s">
        <v>320</v>
      </c>
      <c r="B23" s="66">
        <v>15.179600000000001</v>
      </c>
      <c r="C23" s="66">
        <v>0.96450800000000003</v>
      </c>
      <c r="D23" s="66">
        <v>6.3539799999999994E-2</v>
      </c>
      <c r="E23" s="66">
        <v>0</v>
      </c>
      <c r="F23" s="66">
        <v>12.484</v>
      </c>
      <c r="G23" s="66">
        <v>0</v>
      </c>
      <c r="H23" s="66">
        <v>16.860399999999998</v>
      </c>
    </row>
    <row r="24" spans="1:8">
      <c r="A24" s="66" t="s">
        <v>321</v>
      </c>
      <c r="B24" s="66">
        <v>4.1697499999999998E-3</v>
      </c>
      <c r="C24" s="66">
        <v>3.12085E-2</v>
      </c>
      <c r="D24" s="66">
        <v>7.4845100000000002</v>
      </c>
      <c r="E24" s="66">
        <v>0</v>
      </c>
      <c r="F24" s="66">
        <v>1.39157E-4</v>
      </c>
      <c r="G24" s="66">
        <v>0</v>
      </c>
      <c r="H24" s="66">
        <v>0.16700100000000001</v>
      </c>
    </row>
    <row r="25" spans="1:8">
      <c r="A25" s="66" t="s">
        <v>322</v>
      </c>
      <c r="B25" s="66">
        <v>0.14526900000000001</v>
      </c>
      <c r="C25" s="66">
        <v>0.26088099999999997</v>
      </c>
      <c r="D25" s="66">
        <v>1.7958499999999999</v>
      </c>
      <c r="E25" s="66">
        <v>0</v>
      </c>
      <c r="F25" s="66">
        <v>3.0617999999999999E-2</v>
      </c>
      <c r="G25" s="66">
        <v>0</v>
      </c>
      <c r="H25" s="66">
        <v>1.09968</v>
      </c>
    </row>
    <row r="26" spans="1:8">
      <c r="A26" s="66" t="s">
        <v>323</v>
      </c>
      <c r="B26" s="66">
        <v>1.7725799999999999E-4</v>
      </c>
      <c r="C26" s="66">
        <v>1.1005300000000001E-2</v>
      </c>
      <c r="D26" s="66">
        <v>62.086100000000002</v>
      </c>
      <c r="E26" s="66">
        <v>0</v>
      </c>
      <c r="F26" s="196">
        <v>6.5651299999999996E-6</v>
      </c>
      <c r="G26" s="66">
        <v>0</v>
      </c>
      <c r="H26" s="66">
        <v>0.19841500000000001</v>
      </c>
    </row>
    <row r="27" spans="1:8">
      <c r="A27" s="66" t="s">
        <v>324</v>
      </c>
      <c r="B27" s="196">
        <v>-1.64128E-5</v>
      </c>
      <c r="C27" s="66">
        <v>1.55858E-2</v>
      </c>
      <c r="D27" s="66">
        <v>-949.61300000000006</v>
      </c>
      <c r="E27" s="66">
        <v>0</v>
      </c>
      <c r="F27" s="66">
        <v>-0.19833600000000001</v>
      </c>
      <c r="G27" s="66">
        <v>0</v>
      </c>
      <c r="H27" s="66">
        <v>0.19833600000000001</v>
      </c>
    </row>
    <row r="28" spans="1:8">
      <c r="A28" s="66" t="s">
        <v>325</v>
      </c>
      <c r="B28" s="66">
        <v>1.04525E-2</v>
      </c>
      <c r="C28" s="66">
        <v>5.1775099999999998E-2</v>
      </c>
      <c r="D28" s="66">
        <v>4.9533800000000001</v>
      </c>
      <c r="E28" s="66">
        <v>0</v>
      </c>
      <c r="F28" s="66">
        <v>1.9531299999999999E-4</v>
      </c>
      <c r="G28" s="66">
        <v>0</v>
      </c>
      <c r="H28" s="66">
        <v>0.375251</v>
      </c>
    </row>
    <row r="29" spans="1:8">
      <c r="A29" s="66" t="s">
        <v>326</v>
      </c>
      <c r="B29" s="66">
        <v>59.151200000000003</v>
      </c>
      <c r="C29" s="66">
        <v>13.613300000000001</v>
      </c>
      <c r="D29" s="66">
        <v>0.23014299999999999</v>
      </c>
      <c r="E29" s="66">
        <v>0</v>
      </c>
      <c r="F29" s="66">
        <v>31.132400000000001</v>
      </c>
      <c r="G29" s="66">
        <v>0</v>
      </c>
      <c r="H29" s="66">
        <v>93.533799999999999</v>
      </c>
    </row>
    <row r="30" spans="1:8">
      <c r="A30" s="66" t="s">
        <v>327</v>
      </c>
      <c r="B30" s="66">
        <v>19.694099999999999</v>
      </c>
      <c r="C30" s="66">
        <v>1.2396100000000001</v>
      </c>
      <c r="D30" s="66">
        <v>6.2943299999999994E-2</v>
      </c>
      <c r="E30" s="66">
        <v>0</v>
      </c>
      <c r="F30" s="66">
        <v>17.2347</v>
      </c>
      <c r="G30" s="66">
        <v>0</v>
      </c>
      <c r="H30" s="66">
        <v>22.631499999999999</v>
      </c>
    </row>
    <row r="31" spans="1:8">
      <c r="A31" s="66" t="s">
        <v>328</v>
      </c>
      <c r="B31" s="66">
        <v>328.48599999999999</v>
      </c>
      <c r="C31" s="66">
        <v>59.7684</v>
      </c>
      <c r="D31" s="66">
        <v>0.181951</v>
      </c>
      <c r="E31" s="66">
        <v>0</v>
      </c>
      <c r="F31" s="66">
        <v>236.99299999999999</v>
      </c>
      <c r="G31" s="66">
        <v>0</v>
      </c>
      <c r="H31" s="66">
        <v>435.8</v>
      </c>
    </row>
    <row r="32" spans="1:8">
      <c r="A32" s="66" t="s">
        <v>329</v>
      </c>
      <c r="B32" s="66">
        <v>0.40362199999999998</v>
      </c>
      <c r="C32" s="66">
        <v>0.116383</v>
      </c>
      <c r="D32" s="66">
        <v>0.28834599999999999</v>
      </c>
      <c r="E32" s="66">
        <v>0.15</v>
      </c>
      <c r="F32" s="66">
        <v>0.21295600000000001</v>
      </c>
      <c r="G32" s="66">
        <v>0.4</v>
      </c>
      <c r="H32" s="66">
        <v>0.55626299999999995</v>
      </c>
    </row>
    <row r="33" spans="1:8">
      <c r="A33" s="66" t="s">
        <v>330</v>
      </c>
      <c r="B33" s="66">
        <v>0.35783100000000001</v>
      </c>
      <c r="C33" s="66">
        <v>3.4440699999999998E-2</v>
      </c>
      <c r="D33" s="66">
        <v>9.6248600000000004E-2</v>
      </c>
      <c r="E33" s="66">
        <v>0</v>
      </c>
      <c r="F33" s="66">
        <v>0.284692</v>
      </c>
      <c r="G33" s="66">
        <v>0</v>
      </c>
      <c r="H33" s="66">
        <v>0.39791300000000002</v>
      </c>
    </row>
    <row r="34" spans="1:8">
      <c r="A34" s="66" t="s">
        <v>331</v>
      </c>
      <c r="B34" s="66">
        <v>0.182564</v>
      </c>
      <c r="C34" s="66">
        <v>2.0509300000000001E-2</v>
      </c>
      <c r="D34" s="66">
        <v>0.11234</v>
      </c>
      <c r="E34" s="66">
        <v>0.1</v>
      </c>
      <c r="F34" s="66">
        <v>0.15635399999999999</v>
      </c>
      <c r="G34" s="66">
        <v>0.25</v>
      </c>
      <c r="H34" s="66">
        <v>0.25674200000000003</v>
      </c>
    </row>
    <row r="35" spans="1:8">
      <c r="A35" s="66" t="s">
        <v>332</v>
      </c>
      <c r="B35" s="66">
        <v>7.7855099999999997E-2</v>
      </c>
      <c r="C35" s="66">
        <v>2.2387399999999998E-2</v>
      </c>
      <c r="D35" s="66">
        <v>0.28755199999999997</v>
      </c>
      <c r="E35" s="66">
        <v>0</v>
      </c>
      <c r="F35" s="66">
        <v>3.7853100000000001E-2</v>
      </c>
      <c r="G35" s="66">
        <v>0</v>
      </c>
      <c r="H35" s="66">
        <v>0.14280000000000001</v>
      </c>
    </row>
    <row r="36" spans="1:8">
      <c r="A36" s="66" t="s">
        <v>333</v>
      </c>
      <c r="B36" s="66">
        <v>0.15968499999999999</v>
      </c>
      <c r="C36" s="66">
        <v>8.5373599999999994E-2</v>
      </c>
      <c r="D36" s="66">
        <v>0.53463799999999995</v>
      </c>
      <c r="E36" s="66">
        <v>0</v>
      </c>
      <c r="F36" s="66">
        <v>4.8936199999999999E-2</v>
      </c>
      <c r="G36" s="66">
        <v>0</v>
      </c>
      <c r="H36" s="66">
        <v>0.48758499999999999</v>
      </c>
    </row>
    <row r="37" spans="1:8">
      <c r="A37" s="66" t="s">
        <v>334</v>
      </c>
      <c r="B37" s="66">
        <v>0.205093</v>
      </c>
      <c r="C37" s="66">
        <v>7.2792399999999993E-2</v>
      </c>
      <c r="D37" s="66">
        <v>0.35492400000000002</v>
      </c>
      <c r="E37" s="66">
        <v>0.1</v>
      </c>
      <c r="F37" s="66">
        <v>2.0159699999999999E-2</v>
      </c>
      <c r="G37" s="66">
        <v>0.5</v>
      </c>
      <c r="H37" s="66">
        <v>0.28179100000000001</v>
      </c>
    </row>
    <row r="38" spans="1:8">
      <c r="A38" s="66" t="s">
        <v>335</v>
      </c>
      <c r="B38" s="66">
        <v>-0.40928700000000001</v>
      </c>
      <c r="C38" s="66">
        <v>35.952399999999997</v>
      </c>
      <c r="D38" s="66">
        <v>-87.8416</v>
      </c>
      <c r="E38" s="66">
        <v>0</v>
      </c>
      <c r="F38" s="66">
        <v>-145.24799999999999</v>
      </c>
      <c r="G38" s="66">
        <v>0</v>
      </c>
      <c r="H38" s="66">
        <v>118.708</v>
      </c>
    </row>
    <row r="39" spans="1:8">
      <c r="A39" s="66" t="s">
        <v>336</v>
      </c>
      <c r="B39" s="66">
        <v>-2.18269</v>
      </c>
      <c r="C39" s="66">
        <v>4.38293</v>
      </c>
      <c r="D39" s="66">
        <v>-2.0080399999999998</v>
      </c>
      <c r="E39" s="66">
        <v>0</v>
      </c>
      <c r="F39" s="66">
        <v>-15.7661</v>
      </c>
      <c r="G39" s="66">
        <v>0</v>
      </c>
      <c r="H39" s="66">
        <v>11.039400000000001</v>
      </c>
    </row>
    <row r="40" spans="1:8">
      <c r="A40" s="66" t="s">
        <v>337</v>
      </c>
      <c r="B40" s="66">
        <v>-3.3497400000000002</v>
      </c>
      <c r="C40" s="66">
        <v>0.93308899999999995</v>
      </c>
      <c r="D40" s="66">
        <v>-0.27855600000000003</v>
      </c>
      <c r="E40" s="66">
        <v>0</v>
      </c>
      <c r="F40" s="66">
        <v>-6.2656299999999998</v>
      </c>
      <c r="G40" s="66">
        <v>0</v>
      </c>
      <c r="H40" s="66">
        <v>-1.9728300000000001</v>
      </c>
    </row>
    <row r="41" spans="1:8">
      <c r="A41" s="66" t="s">
        <v>338</v>
      </c>
      <c r="B41" s="66">
        <v>-4.58603E-2</v>
      </c>
      <c r="C41" s="66">
        <v>0.326017</v>
      </c>
      <c r="D41" s="66">
        <v>-7.10893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-0.106243</v>
      </c>
      <c r="C42" s="66">
        <v>0.14407600000000001</v>
      </c>
      <c r="D42" s="66">
        <v>-1.3561000000000001</v>
      </c>
      <c r="E42" s="66">
        <v>0</v>
      </c>
      <c r="F42" s="66">
        <v>-0.62751699999999999</v>
      </c>
      <c r="G42" s="66">
        <v>0</v>
      </c>
      <c r="H42" s="66">
        <v>0.35825099999999999</v>
      </c>
    </row>
    <row r="43" spans="1:8">
      <c r="A43" s="66" t="s">
        <v>340</v>
      </c>
      <c r="B43" s="66">
        <v>-0.207428</v>
      </c>
      <c r="C43" s="66">
        <v>5.6889099999999998E-2</v>
      </c>
      <c r="D43" s="66">
        <v>-0.27426</v>
      </c>
      <c r="E43" s="66">
        <v>0</v>
      </c>
      <c r="F43" s="66">
        <v>-0.34615099999999999</v>
      </c>
      <c r="G43" s="66">
        <v>0</v>
      </c>
      <c r="H43" s="66">
        <v>-8.9961299999999994E-2</v>
      </c>
    </row>
    <row r="44" spans="1:8">
      <c r="A44" s="66" t="s">
        <v>341</v>
      </c>
      <c r="B44" s="66">
        <v>-4.06555</v>
      </c>
      <c r="C44" s="66">
        <v>24.473400000000002</v>
      </c>
      <c r="D44" s="66">
        <v>-6.0197099999999999</v>
      </c>
      <c r="E44" s="66">
        <v>0</v>
      </c>
      <c r="F44" s="66">
        <v>-36.226100000000002</v>
      </c>
      <c r="G44" s="66">
        <v>0</v>
      </c>
      <c r="H44" s="66">
        <v>43.653399999999998</v>
      </c>
    </row>
    <row r="45" spans="1:8">
      <c r="A45" s="66" t="s">
        <v>342</v>
      </c>
      <c r="B45" s="66">
        <v>48.543399999999998</v>
      </c>
      <c r="C45" s="66">
        <v>6.3138199999999998</v>
      </c>
      <c r="D45" s="66">
        <v>0.13006499999999999</v>
      </c>
      <c r="E45" s="66">
        <v>0</v>
      </c>
      <c r="F45" s="66">
        <v>33.178600000000003</v>
      </c>
      <c r="G45" s="66">
        <v>0</v>
      </c>
      <c r="H45" s="66">
        <v>65.865799999999993</v>
      </c>
    </row>
    <row r="46" spans="1:8">
      <c r="A46" s="66" t="s">
        <v>343</v>
      </c>
      <c r="B46" s="66">
        <v>31.953499999999998</v>
      </c>
      <c r="C46" s="66">
        <v>1.2009799999999999</v>
      </c>
      <c r="D46" s="66">
        <v>3.7585300000000002E-2</v>
      </c>
      <c r="E46" s="66">
        <v>0</v>
      </c>
      <c r="F46" s="66">
        <v>29.4848</v>
      </c>
      <c r="G46" s="66">
        <v>0</v>
      </c>
      <c r="H46" s="66">
        <v>34.626100000000001</v>
      </c>
    </row>
    <row r="47" spans="1:8">
      <c r="A47" s="66" t="s">
        <v>344</v>
      </c>
      <c r="B47" s="66">
        <v>0.692384</v>
      </c>
      <c r="C47" s="66">
        <v>0.28519</v>
      </c>
      <c r="D47" s="66">
        <v>0.41189599999999998</v>
      </c>
      <c r="E47" s="66">
        <v>0</v>
      </c>
      <c r="F47" s="66">
        <v>0.202708</v>
      </c>
      <c r="G47" s="66">
        <v>0</v>
      </c>
      <c r="H47" s="66">
        <v>2.08819</v>
      </c>
    </row>
    <row r="48" spans="1:8">
      <c r="A48" s="66" t="s">
        <v>345</v>
      </c>
      <c r="B48" s="66">
        <v>0.71876099999999998</v>
      </c>
      <c r="C48" s="66">
        <v>5.8928500000000002E-2</v>
      </c>
      <c r="D48" s="66">
        <v>8.1986199999999995E-2</v>
      </c>
      <c r="E48" s="66">
        <v>0</v>
      </c>
      <c r="F48" s="66">
        <v>0.615591</v>
      </c>
      <c r="G48" s="66">
        <v>0</v>
      </c>
      <c r="H48" s="66">
        <v>0.85012500000000002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350</v>
      </c>
      <c r="B1" s="60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79.71120226114607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1.5390232561747024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0.67651554126974978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6980</v>
      </c>
      <c r="B8" s="66">
        <v>6980</v>
      </c>
      <c r="D8">
        <f t="shared" si="0"/>
        <v>4.8822797028664155E-2</v>
      </c>
      <c r="E8">
        <f t="shared" si="0"/>
        <v>4.8822797028664155E-2</v>
      </c>
      <c r="G8">
        <f t="shared" ca="1" si="1"/>
        <v>6</v>
      </c>
      <c r="H8">
        <f t="shared" ca="1" si="2"/>
        <v>0.29293678217198493</v>
      </c>
      <c r="I8">
        <f t="shared" ca="1" si="3"/>
        <v>265.27092137088135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12859</v>
      </c>
      <c r="B10" s="66">
        <v>12859</v>
      </c>
      <c r="D10">
        <f t="shared" si="0"/>
        <v>8.9944462319712384E-2</v>
      </c>
      <c r="E10">
        <f t="shared" si="0"/>
        <v>8.9944462319712384E-2</v>
      </c>
      <c r="G10">
        <f t="shared" ca="1" si="1"/>
        <v>8</v>
      </c>
      <c r="H10">
        <f t="shared" ca="1" si="2"/>
        <v>0.71955569855769907</v>
      </c>
      <c r="I10">
        <f t="shared" ca="1" si="3"/>
        <v>462.53908534836125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16945</v>
      </c>
      <c r="B13" s="66">
        <v>16945</v>
      </c>
      <c r="D13">
        <f t="shared" si="0"/>
        <v>0.11852468419064673</v>
      </c>
      <c r="E13">
        <f t="shared" si="0"/>
        <v>0.11852468419064673</v>
      </c>
      <c r="G13">
        <f t="shared" ca="1" si="1"/>
        <v>11</v>
      </c>
      <c r="H13">
        <f t="shared" ca="1" si="2"/>
        <v>1.3037715260971139</v>
      </c>
      <c r="I13">
        <f t="shared" ca="1" si="3"/>
        <v>559.58221369092405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16866</v>
      </c>
      <c r="B15" s="66">
        <v>16866</v>
      </c>
      <c r="D15">
        <f t="shared" si="0"/>
        <v>0.11797210525579509</v>
      </c>
      <c r="E15">
        <f t="shared" si="0"/>
        <v>0.11797210525579509</v>
      </c>
      <c r="G15">
        <f t="shared" ca="1" si="1"/>
        <v>13</v>
      </c>
      <c r="H15">
        <f t="shared" ca="1" si="2"/>
        <v>1.5336373683253361</v>
      </c>
      <c r="I15">
        <f t="shared" ca="1" si="3"/>
        <v>525.02122950361002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34866</v>
      </c>
      <c r="B18" s="66">
        <v>34866</v>
      </c>
      <c r="D18">
        <f t="shared" si="0"/>
        <v>0.24387616636123274</v>
      </c>
      <c r="E18">
        <f t="shared" si="0"/>
        <v>0.24387616636123274</v>
      </c>
      <c r="G18">
        <f t="shared" ca="1" si="1"/>
        <v>16</v>
      </c>
      <c r="H18">
        <f t="shared" ca="1" si="2"/>
        <v>3.9020186617797239</v>
      </c>
      <c r="I18">
        <f t="shared" ca="1" si="3"/>
        <v>989.92196436415736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37267</v>
      </c>
      <c r="B21" s="66">
        <v>37267</v>
      </c>
      <c r="D21">
        <f t="shared" si="0"/>
        <v>0.26067036917868586</v>
      </c>
      <c r="E21">
        <f t="shared" si="0"/>
        <v>0.26067036917868586</v>
      </c>
      <c r="G21">
        <f t="shared" ca="1" si="1"/>
        <v>19</v>
      </c>
      <c r="H21">
        <f t="shared" ca="1" si="2"/>
        <v>4.9527370143950309</v>
      </c>
      <c r="I21">
        <f t="shared" ca="1" si="3"/>
        <v>960.79190108926946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43438</v>
      </c>
      <c r="B23" s="66">
        <v>43438</v>
      </c>
      <c r="D23">
        <f t="shared" si="0"/>
        <v>0.30383447812766673</v>
      </c>
      <c r="E23">
        <f t="shared" si="0"/>
        <v>0.30383447812766673</v>
      </c>
      <c r="G23">
        <f t="shared" ca="1" si="1"/>
        <v>21</v>
      </c>
      <c r="H23">
        <f t="shared" ca="1" si="2"/>
        <v>6.3805240406810011</v>
      </c>
      <c r="I23">
        <f t="shared" ca="1" si="3"/>
        <v>1047.3190476021678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49630</v>
      </c>
      <c r="B26" s="66">
        <v>49630</v>
      </c>
      <c r="D26">
        <f t="shared" si="0"/>
        <v>0.34714547514793725</v>
      </c>
      <c r="E26">
        <f t="shared" si="0"/>
        <v>0.34714547514793725</v>
      </c>
      <c r="G26">
        <f t="shared" ca="1" si="1"/>
        <v>24</v>
      </c>
      <c r="H26">
        <f t="shared" ca="1" si="2"/>
        <v>8.3314914035504941</v>
      </c>
      <c r="I26">
        <f t="shared" ca="1" si="3"/>
        <v>1077.4486226647236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56920</v>
      </c>
      <c r="B28" s="66">
        <v>56920</v>
      </c>
      <c r="D28">
        <f t="shared" si="0"/>
        <v>0.39813661989563953</v>
      </c>
      <c r="E28">
        <f t="shared" si="0"/>
        <v>0.39813661989563953</v>
      </c>
      <c r="G28">
        <f t="shared" ca="1" si="1"/>
        <v>26</v>
      </c>
      <c r="H28">
        <f t="shared" ca="1" si="2"/>
        <v>10.351552117286628</v>
      </c>
      <c r="I28">
        <f t="shared" ca="1" si="3"/>
        <v>1148.5816466529407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58641</v>
      </c>
      <c r="B31" s="66">
        <v>58641</v>
      </c>
      <c r="D31">
        <f t="shared" si="0"/>
        <v>0.41017444707133166</v>
      </c>
      <c r="E31">
        <f t="shared" si="0"/>
        <v>0.41017444707133166</v>
      </c>
      <c r="G31">
        <f t="shared" ca="1" si="1"/>
        <v>29</v>
      </c>
      <c r="H31">
        <f t="shared" ca="1" si="2"/>
        <v>11.895058965068618</v>
      </c>
      <c r="I31">
        <f t="shared" ca="1" si="3"/>
        <v>1054.8152868863813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56768</v>
      </c>
      <c r="B33" s="66">
        <v>56768</v>
      </c>
      <c r="D33">
        <f t="shared" si="0"/>
        <v>0.39707343004630474</v>
      </c>
      <c r="E33">
        <f t="shared" si="0"/>
        <v>0.39707343004630474</v>
      </c>
      <c r="G33">
        <f t="shared" ca="1" si="1"/>
        <v>31</v>
      </c>
      <c r="H33">
        <f t="shared" ca="1" si="2"/>
        <v>12.309276331435447</v>
      </c>
      <c r="I33">
        <f t="shared" ca="1" si="3"/>
        <v>942.16838004861017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64799</v>
      </c>
      <c r="B36" s="66">
        <v>64799</v>
      </c>
      <c r="D36">
        <f t="shared" si="0"/>
        <v>0.45324762530951412</v>
      </c>
      <c r="E36">
        <f t="shared" si="0"/>
        <v>0.45324762530951412</v>
      </c>
      <c r="G36">
        <f t="shared" ca="1" si="1"/>
        <v>34</v>
      </c>
      <c r="H36">
        <f t="shared" ca="1" si="2"/>
        <v>15.410419260523479</v>
      </c>
      <c r="I36">
        <f t="shared" ca="1" si="3"/>
        <v>947.06726406220571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75404</v>
      </c>
      <c r="B39" s="66">
        <v>75404</v>
      </c>
      <c r="D39">
        <f t="shared" si="0"/>
        <v>0.52742610131080114</v>
      </c>
      <c r="E39">
        <f t="shared" si="0"/>
        <v>0.52742610131080114</v>
      </c>
      <c r="G39">
        <f t="shared" ca="1" si="1"/>
        <v>37</v>
      </c>
      <c r="H39">
        <f t="shared" ca="1" si="2"/>
        <v>19.514765748499642</v>
      </c>
      <c r="I39">
        <f t="shared" ca="1" si="3"/>
        <v>962.1553768103679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75448</v>
      </c>
      <c r="B41" s="66">
        <v>75448</v>
      </c>
      <c r="D41">
        <f t="shared" si="0"/>
        <v>0.52773386679350331</v>
      </c>
      <c r="E41">
        <f t="shared" si="0"/>
        <v>0.52773386679350331</v>
      </c>
      <c r="G41">
        <f t="shared" ca="1" si="1"/>
        <v>39</v>
      </c>
      <c r="H41">
        <f t="shared" ca="1" si="2"/>
        <v>20.581620804946628</v>
      </c>
      <c r="I41">
        <f t="shared" ca="1" si="3"/>
        <v>874.66716077538251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78708</v>
      </c>
      <c r="B44" s="66">
        <v>78708</v>
      </c>
      <c r="D44">
        <f t="shared" si="0"/>
        <v>0.5505364911937104</v>
      </c>
      <c r="E44">
        <f t="shared" si="0"/>
        <v>0.5505364911937104</v>
      </c>
      <c r="G44">
        <f t="shared" ca="1" si="1"/>
        <v>42</v>
      </c>
      <c r="H44">
        <f t="shared" ca="1" si="2"/>
        <v>23.122532630135836</v>
      </c>
      <c r="I44">
        <f t="shared" ca="1" si="3"/>
        <v>782.93708957317085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86941</v>
      </c>
      <c r="B46" s="66">
        <v>86941</v>
      </c>
      <c r="D46">
        <f t="shared" si="0"/>
        <v>0.60812360980932534</v>
      </c>
      <c r="E46">
        <f t="shared" si="0"/>
        <v>0.60812360980932534</v>
      </c>
      <c r="G46">
        <f t="shared" ca="1" si="1"/>
        <v>44</v>
      </c>
      <c r="H46">
        <f t="shared" ca="1" si="2"/>
        <v>26.757438831610315</v>
      </c>
      <c r="I46">
        <f t="shared" ca="1" si="3"/>
        <v>775.53393824702994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86007</v>
      </c>
      <c r="B49" s="66">
        <v>86007</v>
      </c>
      <c r="D49">
        <f t="shared" si="0"/>
        <v>0.60159058797196541</v>
      </c>
      <c r="E49">
        <f t="shared" si="0"/>
        <v>0.60159058797196541</v>
      </c>
      <c r="G49">
        <f t="shared" ca="1" si="1"/>
        <v>47</v>
      </c>
      <c r="H49">
        <f t="shared" ca="1" si="2"/>
        <v>28.274757634682373</v>
      </c>
      <c r="I49">
        <f t="shared" ca="1" si="3"/>
        <v>643.7156173430036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85281</v>
      </c>
      <c r="B51" s="66">
        <v>85281</v>
      </c>
      <c r="D51">
        <f t="shared" si="0"/>
        <v>0.59651245750737936</v>
      </c>
      <c r="E51">
        <f t="shared" si="0"/>
        <v>0.59651245750737936</v>
      </c>
      <c r="G51">
        <f t="shared" ca="1" si="1"/>
        <v>49</v>
      </c>
      <c r="H51">
        <f t="shared" ca="1" si="2"/>
        <v>29.229110417861587</v>
      </c>
      <c r="I51">
        <f t="shared" ca="1" si="3"/>
        <v>562.61739343607803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90529</v>
      </c>
      <c r="B54" s="66">
        <v>90529</v>
      </c>
      <c r="D54">
        <f t="shared" si="0"/>
        <v>0.63322048598967584</v>
      </c>
      <c r="E54">
        <f t="shared" si="0"/>
        <v>0.63322048598967584</v>
      </c>
      <c r="G54">
        <f t="shared" ca="1" si="1"/>
        <v>52</v>
      </c>
      <c r="H54">
        <f t="shared" ca="1" si="2"/>
        <v>32.927465271463142</v>
      </c>
      <c r="I54">
        <f t="shared" ca="1" si="3"/>
        <v>486.25680612736102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93940</v>
      </c>
      <c r="B57" s="66">
        <v>93940</v>
      </c>
      <c r="D57">
        <f t="shared" si="0"/>
        <v>0.65707930556915628</v>
      </c>
      <c r="E57">
        <f t="shared" si="0"/>
        <v>0.65707930556915628</v>
      </c>
      <c r="G57">
        <f t="shared" ca="1" si="1"/>
        <v>55</v>
      </c>
      <c r="H57">
        <f t="shared" ca="1" si="2"/>
        <v>36.139361806303597</v>
      </c>
      <c r="I57">
        <f t="shared" ca="1" si="3"/>
        <v>401.24121822634731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96780</v>
      </c>
      <c r="B59" s="66">
        <v>96780</v>
      </c>
      <c r="D59">
        <f t="shared" si="0"/>
        <v>0.67694416854356976</v>
      </c>
      <c r="E59">
        <f t="shared" si="0"/>
        <v>0.67694416854356976</v>
      </c>
      <c r="G59">
        <f t="shared" ca="1" si="1"/>
        <v>57</v>
      </c>
      <c r="H59">
        <f t="shared" ca="1" si="2"/>
        <v>38.585817606983476</v>
      </c>
      <c r="I59">
        <f t="shared" ca="1" si="3"/>
        <v>349.166927622206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103144</v>
      </c>
      <c r="B62" s="66">
        <v>103144</v>
      </c>
      <c r="D62">
        <f t="shared" si="0"/>
        <v>0.72145824881440346</v>
      </c>
      <c r="E62">
        <f t="shared" si="0"/>
        <v>0.72145824881440346</v>
      </c>
      <c r="G62">
        <f t="shared" ca="1" si="1"/>
        <v>60</v>
      </c>
      <c r="H62">
        <f t="shared" ca="1" si="2"/>
        <v>43.287494928864206</v>
      </c>
      <c r="I62">
        <f t="shared" ca="1" si="3"/>
        <v>280.30925168879259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110253</v>
      </c>
      <c r="B64" s="66">
        <v>110253</v>
      </c>
      <c r="D64">
        <f t="shared" si="0"/>
        <v>0.77118335828098994</v>
      </c>
      <c r="E64">
        <f t="shared" si="0"/>
        <v>0.77118335828098994</v>
      </c>
      <c r="G64">
        <f t="shared" ca="1" si="1"/>
        <v>62</v>
      </c>
      <c r="H64">
        <f t="shared" ca="1" si="2"/>
        <v>47.813368213421377</v>
      </c>
      <c r="I64">
        <f t="shared" ca="1" si="3"/>
        <v>241.90995159908815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115118</v>
      </c>
      <c r="B67" s="66">
        <v>115118</v>
      </c>
      <c r="D67">
        <f t="shared" ref="D67:E130" si="4">IFERROR( A67/MAX(A$2:A$257), 0 )</f>
        <v>0.80521242812976512</v>
      </c>
      <c r="E67">
        <f t="shared" si="4"/>
        <v>0.80521242812976512</v>
      </c>
      <c r="G67">
        <f t="shared" ref="G67:G130" ca="1" si="5">CELL("row",D67)-2</f>
        <v>65</v>
      </c>
      <c r="H67">
        <f t="shared" ref="H67:H130" ca="1" si="6">D67*G67</f>
        <v>52.338807828434732</v>
      </c>
      <c r="I67">
        <f t="shared" ref="I67:I130" ca="1" si="7">D67*((G67-$L$1)^2)</f>
        <v>174.26364851819613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116778</v>
      </c>
      <c r="B69" s="66">
        <v>116778</v>
      </c>
      <c r="D69">
        <f t="shared" si="4"/>
        <v>0.81682358043171099</v>
      </c>
      <c r="E69">
        <f t="shared" si="4"/>
        <v>0.81682358043171099</v>
      </c>
      <c r="G69">
        <f t="shared" ca="1" si="5"/>
        <v>67</v>
      </c>
      <c r="H69">
        <f t="shared" ca="1" si="6"/>
        <v>54.727179888924638</v>
      </c>
      <c r="I69">
        <f t="shared" ca="1" si="7"/>
        <v>131.97799467643654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125739</v>
      </c>
      <c r="B72" s="66">
        <v>125739</v>
      </c>
      <c r="D72">
        <f t="shared" si="4"/>
        <v>0.87950281885203474</v>
      </c>
      <c r="E72">
        <f t="shared" si="4"/>
        <v>0.87950281885203474</v>
      </c>
      <c r="G72">
        <f t="shared" ca="1" si="5"/>
        <v>70</v>
      </c>
      <c r="H72">
        <f t="shared" ca="1" si="6"/>
        <v>61.565197319642429</v>
      </c>
      <c r="I72">
        <f t="shared" ca="1" si="7"/>
        <v>82.943667548128985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134546</v>
      </c>
      <c r="B75" s="66">
        <v>134546</v>
      </c>
      <c r="D75">
        <f t="shared" si="4"/>
        <v>0.94110487808290078</v>
      </c>
      <c r="E75">
        <f t="shared" si="4"/>
        <v>0.94110487808290078</v>
      </c>
      <c r="G75">
        <f t="shared" ca="1" si="5"/>
        <v>73</v>
      </c>
      <c r="H75">
        <f t="shared" ca="1" si="6"/>
        <v>68.700656100051759</v>
      </c>
      <c r="I75">
        <f t="shared" ca="1" si="7"/>
        <v>42.387585611984463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142966</v>
      </c>
      <c r="B77" s="66">
        <v>142966</v>
      </c>
      <c r="D77">
        <f t="shared" si="4"/>
        <v>1</v>
      </c>
      <c r="E77">
        <f t="shared" si="4"/>
        <v>1</v>
      </c>
      <c r="G77">
        <f t="shared" ca="1" si="5"/>
        <v>75</v>
      </c>
      <c r="H77">
        <f t="shared" ca="1" si="6"/>
        <v>75</v>
      </c>
      <c r="I77">
        <f t="shared" ca="1" si="7"/>
        <v>22.195426745427845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136742</v>
      </c>
      <c r="B80" s="66">
        <v>136742</v>
      </c>
      <c r="D80">
        <f t="shared" si="4"/>
        <v>0.95646517353776417</v>
      </c>
      <c r="E80">
        <f t="shared" si="4"/>
        <v>0.95646517353776417</v>
      </c>
      <c r="G80">
        <f t="shared" ca="1" si="5"/>
        <v>78</v>
      </c>
      <c r="H80">
        <f t="shared" ca="1" si="6"/>
        <v>74.604283535945612</v>
      </c>
      <c r="I80">
        <f t="shared" ca="1" si="7"/>
        <v>2.8007339259787551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136258</v>
      </c>
      <c r="B82" s="66">
        <v>136258</v>
      </c>
      <c r="D82">
        <f t="shared" si="4"/>
        <v>0.95307975322804028</v>
      </c>
      <c r="E82">
        <f t="shared" si="4"/>
        <v>0.95307975322804028</v>
      </c>
      <c r="G82">
        <f t="shared" ca="1" si="5"/>
        <v>80</v>
      </c>
      <c r="H82">
        <f t="shared" ca="1" si="6"/>
        <v>76.246380258243221</v>
      </c>
      <c r="I82">
        <f t="shared" ca="1" si="7"/>
        <v>7.9490791419602705E-2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136095</v>
      </c>
      <c r="B85" s="66">
        <v>136095</v>
      </c>
      <c r="D85">
        <f t="shared" si="4"/>
        <v>0.95193962200802984</v>
      </c>
      <c r="E85">
        <f t="shared" si="4"/>
        <v>0.95193962200802984</v>
      </c>
      <c r="G85">
        <f t="shared" ca="1" si="5"/>
        <v>83</v>
      </c>
      <c r="H85">
        <f t="shared" ca="1" si="6"/>
        <v>79.010988626666474</v>
      </c>
      <c r="I85">
        <f t="shared" ca="1" si="7"/>
        <v>10.29636036000316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136129</v>
      </c>
      <c r="B88" s="66">
        <v>136129</v>
      </c>
      <c r="D88">
        <f t="shared" si="4"/>
        <v>0.9521774407901179</v>
      </c>
      <c r="E88">
        <f t="shared" si="4"/>
        <v>0.9521774407901179</v>
      </c>
      <c r="G88">
        <f t="shared" ca="1" si="5"/>
        <v>86</v>
      </c>
      <c r="H88">
        <f t="shared" ca="1" si="6"/>
        <v>81.887259907950138</v>
      </c>
      <c r="I88">
        <f t="shared" ca="1" si="7"/>
        <v>37.657643705931285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125322</v>
      </c>
      <c r="B90" s="66">
        <v>125322</v>
      </c>
      <c r="D90">
        <f t="shared" si="4"/>
        <v>0.87658604143642549</v>
      </c>
      <c r="E90">
        <f t="shared" si="4"/>
        <v>0.87658604143642549</v>
      </c>
      <c r="G90">
        <f t="shared" ca="1" si="5"/>
        <v>88</v>
      </c>
      <c r="H90">
        <f t="shared" ca="1" si="6"/>
        <v>77.139571646405443</v>
      </c>
      <c r="I90">
        <f t="shared" ca="1" si="7"/>
        <v>60.225114618409023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118374</v>
      </c>
      <c r="B93" s="66">
        <v>118374</v>
      </c>
      <c r="D93">
        <f t="shared" si="4"/>
        <v>0.82798707384972647</v>
      </c>
      <c r="E93">
        <f t="shared" si="4"/>
        <v>0.82798707384972647</v>
      </c>
      <c r="G93">
        <f t="shared" ca="1" si="5"/>
        <v>91</v>
      </c>
      <c r="H93">
        <f t="shared" ca="1" si="6"/>
        <v>75.346823720325105</v>
      </c>
      <c r="I93">
        <f t="shared" ca="1" si="7"/>
        <v>105.51615096466514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116427</v>
      </c>
      <c r="B95" s="66">
        <v>116427</v>
      </c>
      <c r="D95">
        <f t="shared" si="4"/>
        <v>0.814368451240155</v>
      </c>
      <c r="E95">
        <f t="shared" si="4"/>
        <v>0.814368451240155</v>
      </c>
      <c r="G95">
        <f t="shared" ca="1" si="5"/>
        <v>93</v>
      </c>
      <c r="H95">
        <f t="shared" ca="1" si="6"/>
        <v>75.736265965334411</v>
      </c>
      <c r="I95">
        <f t="shared" ca="1" si="7"/>
        <v>143.81107190510753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112145</v>
      </c>
      <c r="B98" s="66">
        <v>112145</v>
      </c>
      <c r="D98">
        <f t="shared" si="4"/>
        <v>0.78441727403718364</v>
      </c>
      <c r="E98">
        <f t="shared" si="4"/>
        <v>0.78441727403718364</v>
      </c>
      <c r="G98">
        <f t="shared" ca="1" si="5"/>
        <v>96</v>
      </c>
      <c r="H98">
        <f t="shared" ca="1" si="6"/>
        <v>75.304058307569633</v>
      </c>
      <c r="I98">
        <f t="shared" ca="1" si="7"/>
        <v>208.1254597188458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107229</v>
      </c>
      <c r="B100" s="66">
        <v>107229</v>
      </c>
      <c r="D100">
        <f t="shared" si="4"/>
        <v>0.75003147601527631</v>
      </c>
      <c r="E100">
        <f t="shared" si="4"/>
        <v>0.75003147601527631</v>
      </c>
      <c r="G100">
        <f t="shared" ca="1" si="5"/>
        <v>98</v>
      </c>
      <c r="H100">
        <f t="shared" ca="1" si="6"/>
        <v>73.503084649497083</v>
      </c>
      <c r="I100">
        <f t="shared" ca="1" si="7"/>
        <v>250.87062015098419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98289</v>
      </c>
      <c r="B103" s="66">
        <v>98289</v>
      </c>
      <c r="D103">
        <f t="shared" si="4"/>
        <v>0.68749912566624227</v>
      </c>
      <c r="E103">
        <f t="shared" si="4"/>
        <v>0.68749912566624227</v>
      </c>
      <c r="G103">
        <f t="shared" ca="1" si="5"/>
        <v>101</v>
      </c>
      <c r="H103">
        <f t="shared" ca="1" si="6"/>
        <v>69.437411692290468</v>
      </c>
      <c r="I103">
        <f t="shared" ca="1" si="7"/>
        <v>311.5834787921637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89043</v>
      </c>
      <c r="B106" s="66">
        <v>89043</v>
      </c>
      <c r="D106">
        <f t="shared" si="4"/>
        <v>0.6228264062784159</v>
      </c>
      <c r="E106">
        <f t="shared" si="4"/>
        <v>0.6228264062784159</v>
      </c>
      <c r="G106">
        <f t="shared" ca="1" si="5"/>
        <v>104</v>
      </c>
      <c r="H106">
        <f t="shared" ca="1" si="6"/>
        <v>64.773946252955255</v>
      </c>
      <c r="I106">
        <f t="shared" ca="1" si="7"/>
        <v>367.43375748931794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79641</v>
      </c>
      <c r="B108" s="66">
        <v>79641</v>
      </c>
      <c r="D108">
        <f t="shared" si="4"/>
        <v>0.55706251836100895</v>
      </c>
      <c r="E108">
        <f t="shared" si="4"/>
        <v>0.55706251836100895</v>
      </c>
      <c r="G108">
        <f t="shared" ca="1" si="5"/>
        <v>106</v>
      </c>
      <c r="H108">
        <f t="shared" ca="1" si="6"/>
        <v>59.04862694626695</v>
      </c>
      <c r="I108">
        <f t="shared" ca="1" si="7"/>
        <v>384.98640030550416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70161</v>
      </c>
      <c r="B111" s="66">
        <v>70161</v>
      </c>
      <c r="D111">
        <f t="shared" si="4"/>
        <v>0.49075304617881177</v>
      </c>
      <c r="E111">
        <f t="shared" si="4"/>
        <v>0.49075304617881177</v>
      </c>
      <c r="G111">
        <f t="shared" ca="1" si="5"/>
        <v>109</v>
      </c>
      <c r="H111">
        <f t="shared" ca="1" si="6"/>
        <v>53.492082033490483</v>
      </c>
      <c r="I111">
        <f t="shared" ca="1" si="7"/>
        <v>420.98448813337188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69425</v>
      </c>
      <c r="B113" s="66">
        <v>69425</v>
      </c>
      <c r="D113">
        <f t="shared" si="4"/>
        <v>0.48560496901361161</v>
      </c>
      <c r="E113">
        <f t="shared" si="4"/>
        <v>0.48560496901361161</v>
      </c>
      <c r="G113">
        <f t="shared" ca="1" si="5"/>
        <v>111</v>
      </c>
      <c r="H113">
        <f t="shared" ca="1" si="6"/>
        <v>53.902151560510887</v>
      </c>
      <c r="I113">
        <f t="shared" ca="1" si="7"/>
        <v>475.40185693966805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59588</v>
      </c>
      <c r="B116" s="66">
        <v>59588</v>
      </c>
      <c r="D116">
        <f t="shared" si="4"/>
        <v>0.41679839961948995</v>
      </c>
      <c r="E116">
        <f t="shared" si="4"/>
        <v>0.41679839961948995</v>
      </c>
      <c r="G116">
        <f t="shared" ca="1" si="5"/>
        <v>114</v>
      </c>
      <c r="H116">
        <f t="shared" ca="1" si="6"/>
        <v>47.515017556621856</v>
      </c>
      <c r="I116">
        <f t="shared" ca="1" si="7"/>
        <v>490.03890227471663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53989</v>
      </c>
      <c r="B118" s="66">
        <v>53989</v>
      </c>
      <c r="D118">
        <f t="shared" si="4"/>
        <v>0.37763524194563741</v>
      </c>
      <c r="E118">
        <f t="shared" si="4"/>
        <v>0.37763524194563741</v>
      </c>
      <c r="G118">
        <f t="shared" ca="1" si="5"/>
        <v>116</v>
      </c>
      <c r="H118">
        <f t="shared" ca="1" si="6"/>
        <v>43.805688065693943</v>
      </c>
      <c r="I118">
        <f t="shared" ca="1" si="7"/>
        <v>497.29910458880892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49424</v>
      </c>
      <c r="B121" s="66">
        <v>49424</v>
      </c>
      <c r="D121">
        <f t="shared" si="4"/>
        <v>0.34570457311528613</v>
      </c>
      <c r="E121">
        <f t="shared" si="4"/>
        <v>0.34570457311528613</v>
      </c>
      <c r="G121">
        <f t="shared" ca="1" si="5"/>
        <v>119</v>
      </c>
      <c r="H121">
        <f t="shared" ca="1" si="6"/>
        <v>41.138844200719049</v>
      </c>
      <c r="I121">
        <f t="shared" ca="1" si="7"/>
        <v>533.63290742299762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44858</v>
      </c>
      <c r="B124" s="66">
        <v>44858</v>
      </c>
      <c r="D124">
        <f t="shared" si="4"/>
        <v>0.31376690961487347</v>
      </c>
      <c r="E124">
        <f t="shared" si="4"/>
        <v>0.31376690961487347</v>
      </c>
      <c r="G124">
        <f t="shared" ca="1" si="5"/>
        <v>122</v>
      </c>
      <c r="H124">
        <f t="shared" ca="1" si="6"/>
        <v>38.279562973014563</v>
      </c>
      <c r="I124">
        <f t="shared" ca="1" si="7"/>
        <v>561.12267263601348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40326</v>
      </c>
      <c r="B126" s="66">
        <v>40326</v>
      </c>
      <c r="D126">
        <f t="shared" si="4"/>
        <v>0.28206706489654881</v>
      </c>
      <c r="E126">
        <f t="shared" si="4"/>
        <v>0.28206706489654881</v>
      </c>
      <c r="G126">
        <f t="shared" ca="1" si="5"/>
        <v>124</v>
      </c>
      <c r="H126">
        <f t="shared" ca="1" si="6"/>
        <v>34.976316047172055</v>
      </c>
      <c r="I126">
        <f t="shared" ca="1" si="7"/>
        <v>553.27387228714815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34410</v>
      </c>
      <c r="B129" s="66">
        <v>34410</v>
      </c>
      <c r="D129">
        <f t="shared" si="4"/>
        <v>0.24068659681322832</v>
      </c>
      <c r="E129">
        <f t="shared" si="4"/>
        <v>0.24068659681322832</v>
      </c>
      <c r="G129">
        <f t="shared" ca="1" si="5"/>
        <v>127</v>
      </c>
      <c r="H129">
        <f t="shared" ca="1" si="6"/>
        <v>30.567197795279998</v>
      </c>
      <c r="I129">
        <f t="shared" ca="1" si="7"/>
        <v>538.23068264120423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29704</v>
      </c>
      <c r="B131" s="66">
        <v>29704</v>
      </c>
      <c r="D131">
        <f t="shared" ref="D131:E194" si="8">IFERROR( A131/MAX(A$2:A$257), 0 )</f>
        <v>0.20776967950421779</v>
      </c>
      <c r="E131">
        <f t="shared" si="8"/>
        <v>0.20776967950421779</v>
      </c>
      <c r="G131">
        <f t="shared" ref="G131:G194" ca="1" si="9">CELL("row",D131)-2</f>
        <v>129</v>
      </c>
      <c r="H131">
        <f t="shared" ref="H131:H194" ca="1" si="10">D131*G131</f>
        <v>26.802288656044094</v>
      </c>
      <c r="I131">
        <f t="shared" ref="I131:I194" ca="1" si="11">D131*((G131-$L$1)^2)</f>
        <v>504.7526638768465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30760</v>
      </c>
      <c r="B134" s="66">
        <v>30760</v>
      </c>
      <c r="D134">
        <f t="shared" si="8"/>
        <v>0.21515605108907013</v>
      </c>
      <c r="E134">
        <f t="shared" si="8"/>
        <v>0.21515605108907013</v>
      </c>
      <c r="G134">
        <f t="shared" ca="1" si="9"/>
        <v>132</v>
      </c>
      <c r="H134">
        <f t="shared" ca="1" si="10"/>
        <v>28.400598743757257</v>
      </c>
      <c r="I134">
        <f t="shared" ca="1" si="11"/>
        <v>588.26211147870197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33610</v>
      </c>
      <c r="B136" s="66">
        <v>33610</v>
      </c>
      <c r="D136">
        <f t="shared" si="8"/>
        <v>0.23509086076409777</v>
      </c>
      <c r="E136">
        <f t="shared" si="8"/>
        <v>0.23509086076409777</v>
      </c>
      <c r="G136">
        <f t="shared" ca="1" si="9"/>
        <v>134</v>
      </c>
      <c r="H136">
        <f t="shared" ca="1" si="10"/>
        <v>31.502175342389101</v>
      </c>
      <c r="I136">
        <f t="shared" ca="1" si="11"/>
        <v>692.8770781112554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29275</v>
      </c>
      <c r="B139" s="66">
        <v>29275</v>
      </c>
      <c r="D139">
        <f t="shared" si="8"/>
        <v>0.20476896604787151</v>
      </c>
      <c r="E139">
        <f t="shared" si="8"/>
        <v>0.20476896604787151</v>
      </c>
      <c r="G139">
        <f t="shared" ca="1" si="9"/>
        <v>137</v>
      </c>
      <c r="H139">
        <f t="shared" ca="1" si="10"/>
        <v>28.053348348558398</v>
      </c>
      <c r="I139">
        <f t="shared" ca="1" si="11"/>
        <v>672.05304610736846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26015</v>
      </c>
      <c r="B142" s="66">
        <v>26015</v>
      </c>
      <c r="D142">
        <f t="shared" si="8"/>
        <v>0.18196634164766448</v>
      </c>
      <c r="E142">
        <f t="shared" si="8"/>
        <v>0.18196634164766448</v>
      </c>
      <c r="G142">
        <f t="shared" ca="1" si="9"/>
        <v>140</v>
      </c>
      <c r="H142">
        <f t="shared" ca="1" si="10"/>
        <v>25.475287830673029</v>
      </c>
      <c r="I142">
        <f t="shared" ca="1" si="11"/>
        <v>661.4001828385725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26518</v>
      </c>
      <c r="B144" s="66">
        <v>26518</v>
      </c>
      <c r="D144">
        <f t="shared" si="8"/>
        <v>0.18548466068855532</v>
      </c>
      <c r="E144">
        <f t="shared" si="8"/>
        <v>0.18548466068855532</v>
      </c>
      <c r="G144">
        <f t="shared" ca="1" si="9"/>
        <v>142</v>
      </c>
      <c r="H144">
        <f t="shared" ca="1" si="10"/>
        <v>26.338821817774857</v>
      </c>
      <c r="I144">
        <f t="shared" ca="1" si="11"/>
        <v>719.6608821485645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26457</v>
      </c>
      <c r="B147" s="66">
        <v>26457</v>
      </c>
      <c r="D147">
        <f t="shared" si="8"/>
        <v>0.18505798581480912</v>
      </c>
      <c r="E147">
        <f t="shared" si="8"/>
        <v>0.18505798581480912</v>
      </c>
      <c r="G147">
        <f t="shared" ca="1" si="9"/>
        <v>145</v>
      </c>
      <c r="H147">
        <f t="shared" ca="1" si="10"/>
        <v>26.833407943147321</v>
      </c>
      <c r="I147">
        <f t="shared" ca="1" si="11"/>
        <v>788.83318729043242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30397</v>
      </c>
      <c r="B149" s="66">
        <v>30397</v>
      </c>
      <c r="D149">
        <f t="shared" si="8"/>
        <v>0.21261698585677713</v>
      </c>
      <c r="E149">
        <f t="shared" si="8"/>
        <v>0.21261698585677713</v>
      </c>
      <c r="G149">
        <f t="shared" ca="1" si="9"/>
        <v>147</v>
      </c>
      <c r="H149">
        <f t="shared" ca="1" si="10"/>
        <v>31.254696920946238</v>
      </c>
      <c r="I149">
        <f t="shared" ca="1" si="11"/>
        <v>962.68342548413284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34285</v>
      </c>
      <c r="B152" s="66">
        <v>34285</v>
      </c>
      <c r="D152">
        <f t="shared" si="8"/>
        <v>0.23981226305555167</v>
      </c>
      <c r="E152">
        <f t="shared" si="8"/>
        <v>0.23981226305555167</v>
      </c>
      <c r="G152">
        <f t="shared" ca="1" si="9"/>
        <v>150</v>
      </c>
      <c r="H152">
        <f t="shared" ca="1" si="10"/>
        <v>35.971839458332752</v>
      </c>
      <c r="I152">
        <f t="shared" ca="1" si="11"/>
        <v>1184.7961038111023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31286</v>
      </c>
      <c r="B154" s="66">
        <v>31286</v>
      </c>
      <c r="D154">
        <f t="shared" si="8"/>
        <v>0.21883524754137348</v>
      </c>
      <c r="E154">
        <f t="shared" si="8"/>
        <v>0.21883524754137348</v>
      </c>
      <c r="G154">
        <f t="shared" ca="1" si="9"/>
        <v>152</v>
      </c>
      <c r="H154">
        <f t="shared" ca="1" si="10"/>
        <v>33.262957626288767</v>
      </c>
      <c r="I154">
        <f t="shared" ca="1" si="11"/>
        <v>1143.5608489714771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28511</v>
      </c>
      <c r="B157" s="66">
        <v>28511</v>
      </c>
      <c r="D157">
        <f t="shared" si="8"/>
        <v>0.19942503812095183</v>
      </c>
      <c r="E157">
        <f t="shared" si="8"/>
        <v>0.19942503812095183</v>
      </c>
      <c r="G157">
        <f t="shared" ca="1" si="9"/>
        <v>155</v>
      </c>
      <c r="H157">
        <f t="shared" ca="1" si="10"/>
        <v>30.910880908747533</v>
      </c>
      <c r="I157">
        <f t="shared" ca="1" si="11"/>
        <v>1130.4214973149783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26312</v>
      </c>
      <c r="B160" s="66">
        <v>26312</v>
      </c>
      <c r="D160">
        <f t="shared" si="8"/>
        <v>0.18404375865590419</v>
      </c>
      <c r="E160">
        <f t="shared" si="8"/>
        <v>0.18404375865590419</v>
      </c>
      <c r="G160">
        <f t="shared" ca="1" si="9"/>
        <v>158</v>
      </c>
      <c r="H160">
        <f t="shared" ca="1" si="10"/>
        <v>29.078913867632863</v>
      </c>
      <c r="I160">
        <f t="shared" ca="1" si="11"/>
        <v>1128.0291994034244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21645</v>
      </c>
      <c r="B162" s="66">
        <v>21645</v>
      </c>
      <c r="D162">
        <f t="shared" si="8"/>
        <v>0.15139963347928878</v>
      </c>
      <c r="E162">
        <f t="shared" si="8"/>
        <v>0.15139963347928878</v>
      </c>
      <c r="G162">
        <f t="shared" ca="1" si="9"/>
        <v>160</v>
      </c>
      <c r="H162">
        <f t="shared" ca="1" si="10"/>
        <v>24.223941356686204</v>
      </c>
      <c r="I162">
        <f t="shared" ca="1" si="11"/>
        <v>975.96610111270263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16835</v>
      </c>
      <c r="B165" s="66">
        <v>16835</v>
      </c>
      <c r="D165">
        <f t="shared" si="8"/>
        <v>0.11775527048389127</v>
      </c>
      <c r="E165">
        <f t="shared" si="8"/>
        <v>0.11775527048389127</v>
      </c>
      <c r="G165">
        <f t="shared" ca="1" si="9"/>
        <v>163</v>
      </c>
      <c r="H165">
        <f t="shared" ca="1" si="10"/>
        <v>19.194109088874278</v>
      </c>
      <c r="I165">
        <f t="shared" ca="1" si="11"/>
        <v>816.87111731162588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15352</v>
      </c>
      <c r="B167" s="66">
        <v>15352</v>
      </c>
      <c r="D167">
        <f t="shared" si="8"/>
        <v>0.10738217478281549</v>
      </c>
      <c r="E167">
        <f t="shared" si="8"/>
        <v>0.10738217478281549</v>
      </c>
      <c r="G167">
        <f t="shared" ca="1" si="9"/>
        <v>165</v>
      </c>
      <c r="H167">
        <f t="shared" ca="1" si="10"/>
        <v>17.718058839164556</v>
      </c>
      <c r="I167">
        <f t="shared" ca="1" si="11"/>
        <v>781.11716289911726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12007</v>
      </c>
      <c r="B170" s="66">
        <v>12007</v>
      </c>
      <c r="D170">
        <f t="shared" si="8"/>
        <v>8.3985003427388336E-2</v>
      </c>
      <c r="E170">
        <f t="shared" si="8"/>
        <v>8.3985003427388336E-2</v>
      </c>
      <c r="G170">
        <f t="shared" ca="1" si="9"/>
        <v>168</v>
      </c>
      <c r="H170">
        <f t="shared" ca="1" si="10"/>
        <v>14.109480575801241</v>
      </c>
      <c r="I170">
        <f t="shared" ca="1" si="11"/>
        <v>654.65569475756695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6856</v>
      </c>
      <c r="B173" s="66">
        <v>6856</v>
      </c>
      <c r="D173">
        <f t="shared" si="8"/>
        <v>4.7955457941048919E-2</v>
      </c>
      <c r="E173">
        <f t="shared" si="8"/>
        <v>4.7955457941048919E-2</v>
      </c>
      <c r="G173">
        <f t="shared" ca="1" si="9"/>
        <v>171</v>
      </c>
      <c r="H173">
        <f t="shared" ca="1" si="10"/>
        <v>8.2003833079193651</v>
      </c>
      <c r="I173">
        <f t="shared" ca="1" si="11"/>
        <v>399.64374275633713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4698</v>
      </c>
      <c r="B175" s="66">
        <v>4698</v>
      </c>
      <c r="D175">
        <f t="shared" si="8"/>
        <v>3.2860959948519231E-2</v>
      </c>
      <c r="E175">
        <f t="shared" si="8"/>
        <v>3.2860959948519231E-2</v>
      </c>
      <c r="G175">
        <f t="shared" ca="1" si="9"/>
        <v>173</v>
      </c>
      <c r="H175">
        <f t="shared" ca="1" si="10"/>
        <v>5.6849460710938269</v>
      </c>
      <c r="I175">
        <f t="shared" ca="1" si="11"/>
        <v>285.98235512757321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1733</v>
      </c>
      <c r="B178" s="66">
        <v>1733</v>
      </c>
      <c r="D178">
        <f t="shared" si="8"/>
        <v>1.212176321642908E-2</v>
      </c>
      <c r="E178">
        <f t="shared" si="8"/>
        <v>1.212176321642908E-2</v>
      </c>
      <c r="G178">
        <f t="shared" ca="1" si="9"/>
        <v>176</v>
      </c>
      <c r="H178">
        <f t="shared" ca="1" si="10"/>
        <v>2.1334303260915179</v>
      </c>
      <c r="I178">
        <f t="shared" ca="1" si="11"/>
        <v>112.3873224668765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1573</v>
      </c>
      <c r="B180" s="66">
        <v>1573</v>
      </c>
      <c r="D180">
        <f t="shared" si="8"/>
        <v>1.1002616006602968E-2</v>
      </c>
      <c r="E180">
        <f t="shared" si="8"/>
        <v>1.1002616006602968E-2</v>
      </c>
      <c r="G180">
        <f t="shared" ca="1" si="9"/>
        <v>178</v>
      </c>
      <c r="H180">
        <f t="shared" ca="1" si="10"/>
        <v>1.9584656491753283</v>
      </c>
      <c r="I180">
        <f t="shared" ca="1" si="11"/>
        <v>106.29283779341456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496</v>
      </c>
      <c r="B183" s="66">
        <v>496</v>
      </c>
      <c r="D183">
        <f t="shared" si="8"/>
        <v>3.4693563504609487E-3</v>
      </c>
      <c r="E183">
        <f t="shared" si="8"/>
        <v>3.4693563504609487E-3</v>
      </c>
      <c r="G183">
        <f t="shared" ca="1" si="9"/>
        <v>181</v>
      </c>
      <c r="H183">
        <f t="shared" ca="1" si="10"/>
        <v>0.62795349943343171</v>
      </c>
      <c r="I183">
        <f t="shared" ca="1" si="11"/>
        <v>35.593585828110882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295</v>
      </c>
      <c r="B185" s="66">
        <v>295</v>
      </c>
      <c r="D185">
        <f t="shared" si="8"/>
        <v>2.0634276681168948E-3</v>
      </c>
      <c r="E185">
        <f t="shared" si="8"/>
        <v>2.0634276681168948E-3</v>
      </c>
      <c r="G185">
        <f t="shared" ca="1" si="9"/>
        <v>183</v>
      </c>
      <c r="H185">
        <f t="shared" ca="1" si="10"/>
        <v>0.37760726326539173</v>
      </c>
      <c r="I185">
        <f t="shared" ca="1" si="11"/>
        <v>22.013834357887003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75.068459041843866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1.4493835369851156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0.69659467107698614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6634</v>
      </c>
      <c r="B8" s="66">
        <v>6634</v>
      </c>
      <c r="D8">
        <f t="shared" si="0"/>
        <v>10.158331546871651</v>
      </c>
      <c r="E8">
        <f t="shared" si="1"/>
        <v>10.158331546871651</v>
      </c>
      <c r="G8">
        <f t="shared" ca="1" si="2"/>
        <v>6</v>
      </c>
      <c r="H8">
        <f t="shared" ca="1" si="3"/>
        <v>60.949989281229904</v>
      </c>
      <c r="I8">
        <f t="shared" ca="1" si="4"/>
        <v>48459.833394034562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8010</v>
      </c>
      <c r="B10" s="66">
        <v>8010</v>
      </c>
      <c r="D10">
        <f t="shared" si="0"/>
        <v>12.265335497504058</v>
      </c>
      <c r="E10">
        <f t="shared" si="1"/>
        <v>12.265335497504058</v>
      </c>
      <c r="G10">
        <f t="shared" ca="1" si="2"/>
        <v>8</v>
      </c>
      <c r="H10">
        <f t="shared" ca="1" si="3"/>
        <v>98.122683980032463</v>
      </c>
      <c r="I10">
        <f t="shared" ca="1" si="4"/>
        <v>55171.66472906377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11152</v>
      </c>
      <c r="B13" s="66">
        <v>11152</v>
      </c>
      <c r="D13">
        <f t="shared" si="0"/>
        <v>17.076532018497534</v>
      </c>
      <c r="E13">
        <f t="shared" si="1"/>
        <v>17.076532018497534</v>
      </c>
      <c r="G13">
        <f t="shared" ca="1" si="2"/>
        <v>11</v>
      </c>
      <c r="H13">
        <f t="shared" ca="1" si="3"/>
        <v>187.84185220347288</v>
      </c>
      <c r="I13">
        <f t="shared" ca="1" si="4"/>
        <v>70095.192685891234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9168</v>
      </c>
      <c r="B15" s="66">
        <v>9168</v>
      </c>
      <c r="D15">
        <f t="shared" si="0"/>
        <v>14.038526322236855</v>
      </c>
      <c r="E15">
        <f t="shared" si="1"/>
        <v>14.038526322236855</v>
      </c>
      <c r="G15">
        <f t="shared" ca="1" si="2"/>
        <v>13</v>
      </c>
      <c r="H15">
        <f t="shared" ca="1" si="3"/>
        <v>182.50084218907912</v>
      </c>
      <c r="I15">
        <f t="shared" ca="1" si="4"/>
        <v>54083.33291975734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14176</v>
      </c>
      <c r="B18" s="66">
        <v>14176</v>
      </c>
      <c r="D18">
        <f t="shared" si="0"/>
        <v>21.707040700701313</v>
      </c>
      <c r="E18">
        <f t="shared" si="1"/>
        <v>21.707040700701313</v>
      </c>
      <c r="G18">
        <f t="shared" ca="1" si="2"/>
        <v>16</v>
      </c>
      <c r="H18">
        <f t="shared" ca="1" si="3"/>
        <v>347.31265121122101</v>
      </c>
      <c r="I18">
        <f t="shared" ca="1" si="4"/>
        <v>75737.663510736427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17431</v>
      </c>
      <c r="B21" s="66">
        <v>17431</v>
      </c>
      <c r="D21">
        <f t="shared" si="0"/>
        <v>26.691268796128991</v>
      </c>
      <c r="E21">
        <f t="shared" si="1"/>
        <v>26.691268796128991</v>
      </c>
      <c r="G21">
        <f t="shared" ca="1" si="2"/>
        <v>19</v>
      </c>
      <c r="H21">
        <f t="shared" ca="1" si="3"/>
        <v>507.13410712645083</v>
      </c>
      <c r="I21">
        <f t="shared" ca="1" si="4"/>
        <v>83908.597010026031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22450</v>
      </c>
      <c r="B23" s="66">
        <v>22450</v>
      </c>
      <c r="D23">
        <f t="shared" si="0"/>
        <v>34.376626956175542</v>
      </c>
      <c r="E23">
        <f t="shared" si="1"/>
        <v>34.376626956175542</v>
      </c>
      <c r="G23">
        <f t="shared" ca="1" si="2"/>
        <v>21</v>
      </c>
      <c r="H23">
        <f t="shared" ca="1" si="3"/>
        <v>721.90916607968643</v>
      </c>
      <c r="I23">
        <f t="shared" ca="1" si="4"/>
        <v>100496.57153696727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29959</v>
      </c>
      <c r="B26" s="66">
        <v>29959</v>
      </c>
      <c r="D26">
        <f t="shared" si="0"/>
        <v>45.874804765258936</v>
      </c>
      <c r="E26">
        <f t="shared" si="1"/>
        <v>45.874804765258936</v>
      </c>
      <c r="G26">
        <f t="shared" ca="1" si="2"/>
        <v>24</v>
      </c>
      <c r="H26">
        <f t="shared" ca="1" si="3"/>
        <v>1100.9953143662144</v>
      </c>
      <c r="I26">
        <f t="shared" ca="1" si="4"/>
        <v>119640.91780141072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36872</v>
      </c>
      <c r="B28" s="66">
        <v>36872</v>
      </c>
      <c r="D28">
        <f t="shared" si="0"/>
        <v>56.460355863167244</v>
      </c>
      <c r="E28">
        <f t="shared" si="1"/>
        <v>56.460355863167244</v>
      </c>
      <c r="G28">
        <f t="shared" ca="1" si="2"/>
        <v>26</v>
      </c>
      <c r="H28">
        <f t="shared" ca="1" si="3"/>
        <v>1467.9692524423483</v>
      </c>
      <c r="I28">
        <f t="shared" ca="1" si="4"/>
        <v>135940.37077957642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37698</v>
      </c>
      <c r="B31" s="66">
        <v>37698</v>
      </c>
      <c r="D31">
        <f t="shared" si="0"/>
        <v>57.725170734695126</v>
      </c>
      <c r="E31">
        <f t="shared" si="1"/>
        <v>57.725170734695126</v>
      </c>
      <c r="G31">
        <f t="shared" ca="1" si="2"/>
        <v>29</v>
      </c>
      <c r="H31">
        <f t="shared" ca="1" si="3"/>
        <v>1674.0299513061586</v>
      </c>
      <c r="I31">
        <f t="shared" ca="1" si="4"/>
        <v>122510.29832057966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39781</v>
      </c>
      <c r="B33" s="66">
        <v>39781</v>
      </c>
      <c r="D33">
        <f t="shared" si="0"/>
        <v>60.914770465194621</v>
      </c>
      <c r="E33">
        <f t="shared" si="1"/>
        <v>60.914770465194621</v>
      </c>
      <c r="G33">
        <f t="shared" ca="1" si="2"/>
        <v>31</v>
      </c>
      <c r="H33">
        <f t="shared" ca="1" si="3"/>
        <v>1888.3578844210333</v>
      </c>
      <c r="I33">
        <f t="shared" ca="1" si="4"/>
        <v>118298.25578641801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41141</v>
      </c>
      <c r="B36" s="66">
        <v>41141</v>
      </c>
      <c r="D36">
        <f t="shared" si="0"/>
        <v>62.997274369889446</v>
      </c>
      <c r="E36">
        <f t="shared" si="1"/>
        <v>62.997274369889446</v>
      </c>
      <c r="G36">
        <f t="shared" ca="1" si="2"/>
        <v>34</v>
      </c>
      <c r="H36">
        <f t="shared" ca="1" si="3"/>
        <v>2141.9073285762411</v>
      </c>
      <c r="I36">
        <f t="shared" ca="1" si="4"/>
        <v>106252.35757081125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46053</v>
      </c>
      <c r="B39" s="66">
        <v>46053</v>
      </c>
      <c r="D39">
        <f t="shared" si="0"/>
        <v>70.518788472728389</v>
      </c>
      <c r="E39">
        <f t="shared" si="1"/>
        <v>70.518788472728389</v>
      </c>
      <c r="G39">
        <f t="shared" ca="1" si="2"/>
        <v>37</v>
      </c>
      <c r="H39">
        <f t="shared" ca="1" si="3"/>
        <v>2609.1951734909503</v>
      </c>
      <c r="I39">
        <f t="shared" ca="1" si="4"/>
        <v>102196.36235132685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45410</v>
      </c>
      <c r="B41" s="66">
        <v>45410</v>
      </c>
      <c r="D41">
        <f t="shared" si="0"/>
        <v>69.534192876611641</v>
      </c>
      <c r="E41">
        <f t="shared" si="1"/>
        <v>69.534192876611641</v>
      </c>
      <c r="G41">
        <f t="shared" ca="1" si="2"/>
        <v>39</v>
      </c>
      <c r="H41">
        <f t="shared" ca="1" si="3"/>
        <v>2711.8335221878542</v>
      </c>
      <c r="I41">
        <f t="shared" ca="1" si="4"/>
        <v>90459.377433666697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48195</v>
      </c>
      <c r="B44" s="66">
        <v>48195</v>
      </c>
      <c r="D44">
        <f t="shared" si="0"/>
        <v>73.798732122622724</v>
      </c>
      <c r="E44">
        <f t="shared" si="1"/>
        <v>73.798732122622724</v>
      </c>
      <c r="G44">
        <f t="shared" ca="1" si="2"/>
        <v>42</v>
      </c>
      <c r="H44">
        <f t="shared" ca="1" si="3"/>
        <v>3099.5467491501545</v>
      </c>
      <c r="I44">
        <f t="shared" ca="1" si="4"/>
        <v>80700.60972202319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51124</v>
      </c>
      <c r="B46" s="66">
        <v>51124</v>
      </c>
      <c r="D46">
        <f t="shared" si="0"/>
        <v>78.283771782072094</v>
      </c>
      <c r="E46">
        <f t="shared" si="1"/>
        <v>78.283771782072094</v>
      </c>
      <c r="G46">
        <f t="shared" ca="1" si="2"/>
        <v>44</v>
      </c>
      <c r="H46">
        <f t="shared" ca="1" si="3"/>
        <v>3444.4859584111723</v>
      </c>
      <c r="I46">
        <f t="shared" ca="1" si="4"/>
        <v>75563.343954963304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50813</v>
      </c>
      <c r="B49" s="66">
        <v>50813</v>
      </c>
      <c r="D49">
        <f t="shared" si="0"/>
        <v>77.807552139160265</v>
      </c>
      <c r="E49">
        <f t="shared" si="1"/>
        <v>77.807552139160265</v>
      </c>
      <c r="G49">
        <f t="shared" ca="1" si="2"/>
        <v>47</v>
      </c>
      <c r="H49">
        <f t="shared" ca="1" si="3"/>
        <v>3656.9549505405325</v>
      </c>
      <c r="I49">
        <f t="shared" ca="1" si="4"/>
        <v>61299.776839308885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49354</v>
      </c>
      <c r="B51" s="66">
        <v>49354</v>
      </c>
      <c r="D51">
        <f t="shared" si="0"/>
        <v>75.573454200226621</v>
      </c>
      <c r="E51">
        <f t="shared" si="1"/>
        <v>75.573454200226621</v>
      </c>
      <c r="G51">
        <f t="shared" ca="1" si="2"/>
        <v>49</v>
      </c>
      <c r="H51">
        <f t="shared" ca="1" si="3"/>
        <v>3703.0992558111043</v>
      </c>
      <c r="I51">
        <f t="shared" ca="1" si="4"/>
        <v>51357.040910653282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48985</v>
      </c>
      <c r="B54" s="66">
        <v>48985</v>
      </c>
      <c r="D54">
        <f t="shared" si="0"/>
        <v>75.008421890791041</v>
      </c>
      <c r="E54">
        <f t="shared" si="1"/>
        <v>75.008421890791041</v>
      </c>
      <c r="G54">
        <f t="shared" ca="1" si="2"/>
        <v>52</v>
      </c>
      <c r="H54">
        <f t="shared" ca="1" si="3"/>
        <v>3900.437938321134</v>
      </c>
      <c r="I54">
        <f t="shared" ca="1" si="4"/>
        <v>39916.016933601342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52981</v>
      </c>
      <c r="B57" s="66">
        <v>52981</v>
      </c>
      <c r="D57">
        <f t="shared" si="0"/>
        <v>81.127308363703179</v>
      </c>
      <c r="E57">
        <f t="shared" si="1"/>
        <v>81.127308363703179</v>
      </c>
      <c r="G57">
        <f t="shared" ca="1" si="2"/>
        <v>55</v>
      </c>
      <c r="H57">
        <f t="shared" ca="1" si="3"/>
        <v>4462.0019600036749</v>
      </c>
      <c r="I57">
        <f t="shared" ca="1" si="4"/>
        <v>32673.459471921055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51903</v>
      </c>
      <c r="B59" s="66">
        <v>51903</v>
      </c>
      <c r="D59">
        <f t="shared" si="0"/>
        <v>79.476617768658315</v>
      </c>
      <c r="E59">
        <f t="shared" si="1"/>
        <v>79.476617768658315</v>
      </c>
      <c r="G59">
        <f t="shared" ca="1" si="2"/>
        <v>57</v>
      </c>
      <c r="H59">
        <f t="shared" ca="1" si="3"/>
        <v>4530.1672128135242</v>
      </c>
      <c r="I59">
        <f t="shared" ca="1" si="4"/>
        <v>25946.668787025399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55735</v>
      </c>
      <c r="B62" s="66">
        <v>55735</v>
      </c>
      <c r="D62">
        <f t="shared" si="0"/>
        <v>85.344378770710193</v>
      </c>
      <c r="E62">
        <f t="shared" si="1"/>
        <v>85.344378770710193</v>
      </c>
      <c r="G62">
        <f t="shared" ca="1" si="2"/>
        <v>60</v>
      </c>
      <c r="H62">
        <f t="shared" ca="1" si="3"/>
        <v>5120.6627262426118</v>
      </c>
      <c r="I62">
        <f t="shared" ca="1" si="4"/>
        <v>19378.163033746205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60452</v>
      </c>
      <c r="B64" s="66">
        <v>60452</v>
      </c>
      <c r="D64">
        <f t="shared" si="0"/>
        <v>92.567298563684801</v>
      </c>
      <c r="E64">
        <f t="shared" si="1"/>
        <v>92.567298563684801</v>
      </c>
      <c r="G64">
        <f t="shared" ca="1" si="2"/>
        <v>62</v>
      </c>
      <c r="H64">
        <f t="shared" ca="1" si="3"/>
        <v>5739.1725109484578</v>
      </c>
      <c r="I64">
        <f t="shared" ca="1" si="4"/>
        <v>15809.071069614209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61777</v>
      </c>
      <c r="B67" s="66">
        <v>61777</v>
      </c>
      <c r="D67">
        <f t="shared" ref="D67:D130" si="5">IFERROR( 100*A67/MAX(A$2:A$257), 0 )</f>
        <v>94.596208617891165</v>
      </c>
      <c r="E67">
        <f t="shared" ref="E67:E130" si="6">IFERROR( 100*B67/MAX(B$2:B$257), 0 )</f>
        <v>94.596208617891165</v>
      </c>
      <c r="G67">
        <f t="shared" ref="G67:G130" ca="1" si="7">CELL("row",D67)-2</f>
        <v>65</v>
      </c>
      <c r="H67">
        <f t="shared" ref="H67:H130" ca="1" si="8">D67*G67</f>
        <v>6148.7535601629261</v>
      </c>
      <c r="I67">
        <f t="shared" ref="I67:I130" ca="1" si="9">D67*((G67-$L$1)^2)</f>
        <v>9589.5835162839412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60265</v>
      </c>
      <c r="B69" s="66">
        <v>60265</v>
      </c>
      <c r="D69">
        <f t="shared" si="5"/>
        <v>92.280954276789274</v>
      </c>
      <c r="E69">
        <f t="shared" si="6"/>
        <v>92.280954276789274</v>
      </c>
      <c r="G69">
        <f t="shared" ca="1" si="7"/>
        <v>67</v>
      </c>
      <c r="H69">
        <f t="shared" ca="1" si="8"/>
        <v>6182.8239365448817</v>
      </c>
      <c r="I69">
        <f t="shared" ca="1" si="9"/>
        <v>6007.4930127275429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58697</v>
      </c>
      <c r="B72" s="66">
        <v>58697</v>
      </c>
      <c r="D72">
        <f t="shared" si="5"/>
        <v>89.879949774905825</v>
      </c>
      <c r="E72">
        <f t="shared" si="6"/>
        <v>89.879949774905825</v>
      </c>
      <c r="G72">
        <f t="shared" ca="1" si="7"/>
        <v>70</v>
      </c>
      <c r="H72">
        <f t="shared" ca="1" si="8"/>
        <v>6291.5964842434078</v>
      </c>
      <c r="I72">
        <f t="shared" ca="1" si="9"/>
        <v>2308.9509318029741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65306</v>
      </c>
      <c r="B75" s="66">
        <v>65306</v>
      </c>
      <c r="D75">
        <f t="shared" si="5"/>
        <v>100</v>
      </c>
      <c r="E75">
        <f t="shared" si="6"/>
        <v>100</v>
      </c>
      <c r="G75">
        <f t="shared" ca="1" si="7"/>
        <v>73</v>
      </c>
      <c r="H75">
        <f t="shared" ca="1" si="8"/>
        <v>7300</v>
      </c>
      <c r="I75">
        <f t="shared" ca="1" si="9"/>
        <v>427.85228077856442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63041</v>
      </c>
      <c r="B77" s="66">
        <v>63041</v>
      </c>
      <c r="D77">
        <f t="shared" si="5"/>
        <v>96.531712246960467</v>
      </c>
      <c r="E77">
        <f t="shared" si="6"/>
        <v>96.531712246960467</v>
      </c>
      <c r="G77">
        <f t="shared" ca="1" si="7"/>
        <v>75</v>
      </c>
      <c r="H77">
        <f t="shared" ca="1" si="8"/>
        <v>7239.8784185220347</v>
      </c>
      <c r="I77">
        <f t="shared" ca="1" si="9"/>
        <v>0.45240942348049112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58656</v>
      </c>
      <c r="B80" s="66">
        <v>58656</v>
      </c>
      <c r="D80">
        <f t="shared" si="5"/>
        <v>89.817168407190763</v>
      </c>
      <c r="E80">
        <f t="shared" si="6"/>
        <v>89.817168407190763</v>
      </c>
      <c r="G80">
        <f t="shared" ca="1" si="7"/>
        <v>78</v>
      </c>
      <c r="H80">
        <f t="shared" ca="1" si="8"/>
        <v>7005.7391357608794</v>
      </c>
      <c r="I80">
        <f t="shared" ca="1" si="9"/>
        <v>771.88267269398932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57788</v>
      </c>
      <c r="B82" s="66">
        <v>57788</v>
      </c>
      <c r="D82">
        <f t="shared" si="5"/>
        <v>88.488040915076709</v>
      </c>
      <c r="E82">
        <f t="shared" si="6"/>
        <v>88.488040915076709</v>
      </c>
      <c r="G82">
        <f t="shared" ca="1" si="7"/>
        <v>80</v>
      </c>
      <c r="H82">
        <f t="shared" ca="1" si="8"/>
        <v>7079.0432732061363</v>
      </c>
      <c r="I82">
        <f t="shared" ca="1" si="9"/>
        <v>2152.0376695484183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54878</v>
      </c>
      <c r="B85" s="66">
        <v>54878</v>
      </c>
      <c r="D85">
        <f t="shared" si="5"/>
        <v>84.032095060178236</v>
      </c>
      <c r="E85">
        <f t="shared" si="6"/>
        <v>84.032095060178236</v>
      </c>
      <c r="G85">
        <f t="shared" ca="1" si="7"/>
        <v>83</v>
      </c>
      <c r="H85">
        <f t="shared" ca="1" si="8"/>
        <v>6974.6638899947939</v>
      </c>
      <c r="I85">
        <f t="shared" ca="1" si="9"/>
        <v>5286.4038046726282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52594</v>
      </c>
      <c r="B88" s="66">
        <v>52594</v>
      </c>
      <c r="D88">
        <f t="shared" si="5"/>
        <v>80.53471350258782</v>
      </c>
      <c r="E88">
        <f t="shared" si="6"/>
        <v>80.53471350258782</v>
      </c>
      <c r="G88">
        <f t="shared" ca="1" si="7"/>
        <v>86</v>
      </c>
      <c r="H88">
        <f t="shared" ca="1" si="8"/>
        <v>6925.9853612225525</v>
      </c>
      <c r="I88">
        <f t="shared" ca="1" si="9"/>
        <v>9623.7845259815876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48799</v>
      </c>
      <c r="B90" s="66">
        <v>48799</v>
      </c>
      <c r="D90">
        <f t="shared" si="5"/>
        <v>74.723608856766603</v>
      </c>
      <c r="E90">
        <f t="shared" si="6"/>
        <v>74.723608856766603</v>
      </c>
      <c r="G90">
        <f t="shared" ca="1" si="7"/>
        <v>88</v>
      </c>
      <c r="H90">
        <f t="shared" ca="1" si="8"/>
        <v>6575.6775793954612</v>
      </c>
      <c r="I90">
        <f t="shared" ca="1" si="9"/>
        <v>12495.636926176716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44871</v>
      </c>
      <c r="B93" s="66">
        <v>44871</v>
      </c>
      <c r="D93">
        <f t="shared" si="5"/>
        <v>68.708847579089209</v>
      </c>
      <c r="E93">
        <f t="shared" si="6"/>
        <v>68.708847579089209</v>
      </c>
      <c r="G93">
        <f t="shared" ca="1" si="7"/>
        <v>91</v>
      </c>
      <c r="H93">
        <f t="shared" ca="1" si="8"/>
        <v>6252.5051296971178</v>
      </c>
      <c r="I93">
        <f t="shared" ca="1" si="9"/>
        <v>17439.267254021695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41283</v>
      </c>
      <c r="B95" s="66">
        <v>41283</v>
      </c>
      <c r="D95">
        <f t="shared" si="5"/>
        <v>63.214712277585519</v>
      </c>
      <c r="E95">
        <f t="shared" si="6"/>
        <v>63.214712277585519</v>
      </c>
      <c r="G95">
        <f t="shared" ca="1" si="7"/>
        <v>93</v>
      </c>
      <c r="H95">
        <f t="shared" ca="1" si="8"/>
        <v>5878.9682418154534</v>
      </c>
      <c r="I95">
        <f t="shared" ca="1" si="9"/>
        <v>20326.068771776256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38681</v>
      </c>
      <c r="B98" s="66">
        <v>38681</v>
      </c>
      <c r="D98">
        <f t="shared" si="5"/>
        <v>59.230392306985578</v>
      </c>
      <c r="E98">
        <f t="shared" si="6"/>
        <v>59.230392306985578</v>
      </c>
      <c r="G98">
        <f t="shared" ca="1" si="7"/>
        <v>96</v>
      </c>
      <c r="H98">
        <f t="shared" ca="1" si="8"/>
        <v>5686.1176614706155</v>
      </c>
      <c r="I98">
        <f t="shared" ca="1" si="9"/>
        <v>25950.576650905092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38248</v>
      </c>
      <c r="B100" s="66">
        <v>38248</v>
      </c>
      <c r="D100">
        <f t="shared" si="5"/>
        <v>58.567359813799648</v>
      </c>
      <c r="E100">
        <f t="shared" si="6"/>
        <v>58.567359813799648</v>
      </c>
      <c r="G100">
        <f t="shared" ca="1" si="7"/>
        <v>98</v>
      </c>
      <c r="H100">
        <f t="shared" ca="1" si="8"/>
        <v>5739.6012617523656</v>
      </c>
      <c r="I100">
        <f t="shared" ca="1" si="9"/>
        <v>30797.972420191061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35466</v>
      </c>
      <c r="B103" s="66">
        <v>35466</v>
      </c>
      <c r="D103">
        <f t="shared" si="5"/>
        <v>54.307414326401862</v>
      </c>
      <c r="E103">
        <f t="shared" si="6"/>
        <v>54.307414326401862</v>
      </c>
      <c r="G103">
        <f t="shared" ca="1" si="7"/>
        <v>101</v>
      </c>
      <c r="H103">
        <f t="shared" ca="1" si="8"/>
        <v>5485.0488469665879</v>
      </c>
      <c r="I103">
        <f t="shared" ca="1" si="9"/>
        <v>36518.73925938044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30548</v>
      </c>
      <c r="B106" s="66">
        <v>30548</v>
      </c>
      <c r="D106">
        <f t="shared" si="5"/>
        <v>46.776712706336326</v>
      </c>
      <c r="E106">
        <f t="shared" si="6"/>
        <v>46.776712706336326</v>
      </c>
      <c r="G106">
        <f t="shared" ca="1" si="7"/>
        <v>104</v>
      </c>
      <c r="H106">
        <f t="shared" ca="1" si="8"/>
        <v>4864.7781214589777</v>
      </c>
      <c r="I106">
        <f t="shared" ca="1" si="9"/>
        <v>39153.701853576946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26969</v>
      </c>
      <c r="B108" s="66">
        <v>26969</v>
      </c>
      <c r="D108">
        <f t="shared" si="5"/>
        <v>41.296358680672526</v>
      </c>
      <c r="E108">
        <f t="shared" si="6"/>
        <v>41.296358680672526</v>
      </c>
      <c r="G108">
        <f t="shared" ca="1" si="7"/>
        <v>106</v>
      </c>
      <c r="H108">
        <f t="shared" ca="1" si="8"/>
        <v>4377.4140201512873</v>
      </c>
      <c r="I108">
        <f t="shared" ca="1" si="9"/>
        <v>39510.713466200679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24921</v>
      </c>
      <c r="B111" s="66">
        <v>24921</v>
      </c>
      <c r="D111">
        <f t="shared" si="5"/>
        <v>38.160352800661499</v>
      </c>
      <c r="E111">
        <f t="shared" si="6"/>
        <v>38.160352800661499</v>
      </c>
      <c r="G111">
        <f t="shared" ca="1" si="7"/>
        <v>109</v>
      </c>
      <c r="H111">
        <f t="shared" ca="1" si="8"/>
        <v>4159.478455272103</v>
      </c>
      <c r="I111">
        <f t="shared" ca="1" si="9"/>
        <v>43935.902040553505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25694</v>
      </c>
      <c r="B113" s="66">
        <v>25694</v>
      </c>
      <c r="D113">
        <f t="shared" si="5"/>
        <v>39.344011270021134</v>
      </c>
      <c r="E113">
        <f t="shared" si="6"/>
        <v>39.344011270021134</v>
      </c>
      <c r="G113">
        <f t="shared" ca="1" si="7"/>
        <v>111</v>
      </c>
      <c r="H113">
        <f t="shared" ca="1" si="8"/>
        <v>4367.1852509723458</v>
      </c>
      <c r="I113">
        <f t="shared" ca="1" si="9"/>
        <v>50796.094358584029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22086</v>
      </c>
      <c r="B116" s="66">
        <v>22086</v>
      </c>
      <c r="D116">
        <f t="shared" si="5"/>
        <v>33.819250911095459</v>
      </c>
      <c r="E116">
        <f t="shared" si="6"/>
        <v>33.819250911095459</v>
      </c>
      <c r="G116">
        <f t="shared" ca="1" si="7"/>
        <v>114</v>
      </c>
      <c r="H116">
        <f t="shared" ca="1" si="8"/>
        <v>3855.3946038648824</v>
      </c>
      <c r="I116">
        <f t="shared" ca="1" si="9"/>
        <v>51258.65092041059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22440</v>
      </c>
      <c r="B118" s="66">
        <v>22440</v>
      </c>
      <c r="D118">
        <f t="shared" si="5"/>
        <v>34.361314427464549</v>
      </c>
      <c r="E118">
        <f t="shared" si="6"/>
        <v>34.361314427464549</v>
      </c>
      <c r="G118">
        <f t="shared" ca="1" si="7"/>
        <v>116</v>
      </c>
      <c r="H118">
        <f t="shared" ca="1" si="8"/>
        <v>3985.9124735858877</v>
      </c>
      <c r="I118">
        <f t="shared" ca="1" si="9"/>
        <v>57568.638493392245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18871</v>
      </c>
      <c r="B121" s="66">
        <v>18871</v>
      </c>
      <c r="D121">
        <f t="shared" si="5"/>
        <v>28.896272930511746</v>
      </c>
      <c r="E121">
        <f t="shared" si="6"/>
        <v>28.896272930511746</v>
      </c>
      <c r="G121">
        <f t="shared" ca="1" si="7"/>
        <v>119</v>
      </c>
      <c r="H121">
        <f t="shared" ca="1" si="8"/>
        <v>3438.6564787308976</v>
      </c>
      <c r="I121">
        <f t="shared" ca="1" si="9"/>
        <v>55769.237238035174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19681</v>
      </c>
      <c r="B124" s="66">
        <v>19681</v>
      </c>
      <c r="D124">
        <f t="shared" si="5"/>
        <v>30.136587756102042</v>
      </c>
      <c r="E124">
        <f t="shared" si="6"/>
        <v>30.136587756102042</v>
      </c>
      <c r="G124">
        <f t="shared" ca="1" si="7"/>
        <v>122</v>
      </c>
      <c r="H124">
        <f t="shared" ca="1" si="8"/>
        <v>3676.6637062444493</v>
      </c>
      <c r="I124">
        <f t="shared" ca="1" si="9"/>
        <v>66377.930131890127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17411</v>
      </c>
      <c r="B126" s="66">
        <v>17411</v>
      </c>
      <c r="D126">
        <f t="shared" si="5"/>
        <v>26.660643738707009</v>
      </c>
      <c r="E126">
        <f t="shared" si="6"/>
        <v>26.660643738707009</v>
      </c>
      <c r="G126">
        <f t="shared" ca="1" si="7"/>
        <v>124</v>
      </c>
      <c r="H126">
        <f t="shared" ca="1" si="8"/>
        <v>3305.9198235996691</v>
      </c>
      <c r="I126">
        <f t="shared" ca="1" si="9"/>
        <v>63833.464677207157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16808</v>
      </c>
      <c r="B129" s="66">
        <v>16808</v>
      </c>
      <c r="D129">
        <f t="shared" si="5"/>
        <v>25.737298257434233</v>
      </c>
      <c r="E129">
        <f t="shared" si="6"/>
        <v>25.737298257434233</v>
      </c>
      <c r="G129">
        <f t="shared" ca="1" si="7"/>
        <v>127</v>
      </c>
      <c r="H129">
        <f t="shared" ca="1" si="8"/>
        <v>3268.6368786941475</v>
      </c>
      <c r="I129">
        <f t="shared" ca="1" si="9"/>
        <v>69410.532228615441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14172</v>
      </c>
      <c r="B131" s="66">
        <v>14172</v>
      </c>
      <c r="D131">
        <f t="shared" ref="D131:D194" si="10">IFERROR( 100*A131/MAX(A$2:A$257), 0 )</f>
        <v>21.700915689216917</v>
      </c>
      <c r="E131">
        <f t="shared" ref="E131:E194" si="11">IFERROR( 100*B131/MAX(B$2:B$257), 0 )</f>
        <v>21.700915689216917</v>
      </c>
      <c r="G131">
        <f t="shared" ref="G131:G194" ca="1" si="12">CELL("row",D131)-2</f>
        <v>129</v>
      </c>
      <c r="H131">
        <f t="shared" ref="H131:H194" ca="1" si="13">D131*G131</f>
        <v>2799.4181239089821</v>
      </c>
      <c r="I131">
        <f t="shared" ref="I131:I194" ca="1" si="14">D131*((G131-$L$1)^2)</f>
        <v>63119.524473461359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14673</v>
      </c>
      <c r="B134" s="66">
        <v>14673</v>
      </c>
      <c r="D134">
        <f t="shared" si="10"/>
        <v>22.468073377637584</v>
      </c>
      <c r="E134">
        <f t="shared" si="11"/>
        <v>22.468073377637584</v>
      </c>
      <c r="G134">
        <f t="shared" ca="1" si="12"/>
        <v>132</v>
      </c>
      <c r="H134">
        <f t="shared" ca="1" si="13"/>
        <v>2965.7856858481609</v>
      </c>
      <c r="I134">
        <f t="shared" ca="1" si="14"/>
        <v>72823.52742731692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14332</v>
      </c>
      <c r="B136" s="66">
        <v>14332</v>
      </c>
      <c r="D136">
        <f t="shared" si="10"/>
        <v>21.945916148592779</v>
      </c>
      <c r="E136">
        <f t="shared" si="11"/>
        <v>21.945916148592779</v>
      </c>
      <c r="G136">
        <f t="shared" ca="1" si="12"/>
        <v>134</v>
      </c>
      <c r="H136">
        <f t="shared" ca="1" si="13"/>
        <v>2940.7527639114323</v>
      </c>
      <c r="I136">
        <f t="shared" ca="1" si="14"/>
        <v>76216.554191622548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13866</v>
      </c>
      <c r="B139" s="66">
        <v>13866</v>
      </c>
      <c r="D139">
        <f t="shared" si="10"/>
        <v>21.232352310660584</v>
      </c>
      <c r="E139">
        <f t="shared" si="11"/>
        <v>21.232352310660584</v>
      </c>
      <c r="G139">
        <f t="shared" ca="1" si="12"/>
        <v>137</v>
      </c>
      <c r="H139">
        <f t="shared" ca="1" si="13"/>
        <v>2908.8322665605001</v>
      </c>
      <c r="I139">
        <f t="shared" ca="1" si="14"/>
        <v>81437.022025165003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10378</v>
      </c>
      <c r="B142" s="66">
        <v>10378</v>
      </c>
      <c r="D142">
        <f t="shared" si="10"/>
        <v>15.891342296266805</v>
      </c>
      <c r="E142">
        <f t="shared" si="11"/>
        <v>15.891342296266805</v>
      </c>
      <c r="G142">
        <f t="shared" ca="1" si="12"/>
        <v>140</v>
      </c>
      <c r="H142">
        <f t="shared" ca="1" si="13"/>
        <v>2224.7879214773525</v>
      </c>
      <c r="I142">
        <f t="shared" ca="1" si="14"/>
        <v>66999.567889996237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10289</v>
      </c>
      <c r="B144" s="66">
        <v>10289</v>
      </c>
      <c r="D144">
        <f t="shared" si="10"/>
        <v>15.755060790738982</v>
      </c>
      <c r="E144">
        <f t="shared" si="11"/>
        <v>15.755060790738982</v>
      </c>
      <c r="G144">
        <f t="shared" ca="1" si="12"/>
        <v>142</v>
      </c>
      <c r="H144">
        <f t="shared" ca="1" si="13"/>
        <v>2237.2186322849357</v>
      </c>
      <c r="I144">
        <f t="shared" ca="1" si="14"/>
        <v>70580.01249489779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10037</v>
      </c>
      <c r="B147" s="66">
        <v>10037</v>
      </c>
      <c r="D147">
        <f t="shared" si="10"/>
        <v>15.369185067222</v>
      </c>
      <c r="E147">
        <f t="shared" si="11"/>
        <v>15.369185067222</v>
      </c>
      <c r="G147">
        <f t="shared" ca="1" si="12"/>
        <v>145</v>
      </c>
      <c r="H147">
        <f t="shared" ca="1" si="13"/>
        <v>2228.5318347471903</v>
      </c>
      <c r="I147">
        <f t="shared" ca="1" si="14"/>
        <v>75161.776503524379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13865</v>
      </c>
      <c r="B149" s="66">
        <v>13865</v>
      </c>
      <c r="D149">
        <f t="shared" si="10"/>
        <v>21.230821057789484</v>
      </c>
      <c r="E149">
        <f t="shared" si="11"/>
        <v>21.230821057789484</v>
      </c>
      <c r="G149">
        <f t="shared" ca="1" si="12"/>
        <v>147</v>
      </c>
      <c r="H149">
        <f t="shared" ca="1" si="13"/>
        <v>3120.9306954950544</v>
      </c>
      <c r="I149">
        <f t="shared" ca="1" si="14"/>
        <v>109851.38026473142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16979</v>
      </c>
      <c r="B152" s="66">
        <v>16979</v>
      </c>
      <c r="D152">
        <f t="shared" si="10"/>
        <v>25.999142498392185</v>
      </c>
      <c r="E152">
        <f t="shared" si="11"/>
        <v>25.999142498392185</v>
      </c>
      <c r="G152">
        <f t="shared" ca="1" si="12"/>
        <v>150</v>
      </c>
      <c r="H152">
        <f t="shared" ca="1" si="13"/>
        <v>3899.8713747588276</v>
      </c>
      <c r="I152">
        <f t="shared" ca="1" si="14"/>
        <v>145978.31694445759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13698</v>
      </c>
      <c r="B154" s="66">
        <v>13698</v>
      </c>
      <c r="D154">
        <f t="shared" si="10"/>
        <v>20.975101828315928</v>
      </c>
      <c r="E154">
        <f t="shared" si="11"/>
        <v>20.975101828315928</v>
      </c>
      <c r="G154">
        <f t="shared" ca="1" si="12"/>
        <v>152</v>
      </c>
      <c r="H154">
        <f t="shared" ca="1" si="13"/>
        <v>3188.2154779040211</v>
      </c>
      <c r="I154">
        <f t="shared" ca="1" si="14"/>
        <v>124140.34299528839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12931</v>
      </c>
      <c r="B157" s="66">
        <v>12931</v>
      </c>
      <c r="D157">
        <f t="shared" si="10"/>
        <v>19.800630876182893</v>
      </c>
      <c r="E157">
        <f t="shared" si="11"/>
        <v>19.800630876182893</v>
      </c>
      <c r="G157">
        <f t="shared" ca="1" si="12"/>
        <v>155</v>
      </c>
      <c r="H157">
        <f t="shared" ca="1" si="13"/>
        <v>3069.0977858083484</v>
      </c>
      <c r="I157">
        <f t="shared" ca="1" si="14"/>
        <v>126507.24525117733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12181</v>
      </c>
      <c r="B160" s="66">
        <v>12181</v>
      </c>
      <c r="D160">
        <f t="shared" si="10"/>
        <v>18.652191222858544</v>
      </c>
      <c r="E160">
        <f t="shared" si="11"/>
        <v>18.652191222858544</v>
      </c>
      <c r="G160">
        <f t="shared" ca="1" si="12"/>
        <v>158</v>
      </c>
      <c r="H160">
        <f t="shared" ca="1" si="13"/>
        <v>2947.04621321165</v>
      </c>
      <c r="I160">
        <f t="shared" ca="1" si="14"/>
        <v>128283.06550124432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10780</v>
      </c>
      <c r="B162" s="66">
        <v>10780</v>
      </c>
      <c r="D162">
        <f t="shared" si="10"/>
        <v>16.506905950448658</v>
      </c>
      <c r="E162">
        <f t="shared" si="11"/>
        <v>16.506905950448658</v>
      </c>
      <c r="G162">
        <f t="shared" ca="1" si="12"/>
        <v>160</v>
      </c>
      <c r="H162">
        <f t="shared" ca="1" si="13"/>
        <v>2641.1049520717852</v>
      </c>
      <c r="I162">
        <f t="shared" ca="1" si="14"/>
        <v>119070.36486984436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8173</v>
      </c>
      <c r="B165" s="66">
        <v>8173</v>
      </c>
      <c r="D165">
        <f t="shared" si="10"/>
        <v>12.514929715493217</v>
      </c>
      <c r="E165">
        <f t="shared" si="11"/>
        <v>12.514929715493217</v>
      </c>
      <c r="G165">
        <f t="shared" ca="1" si="12"/>
        <v>163</v>
      </c>
      <c r="H165">
        <f t="shared" ca="1" si="13"/>
        <v>2039.9335436253943</v>
      </c>
      <c r="I165">
        <f t="shared" ca="1" si="14"/>
        <v>96764.884592671195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7917</v>
      </c>
      <c r="B167" s="66">
        <v>7917</v>
      </c>
      <c r="D167">
        <f t="shared" si="10"/>
        <v>12.122928980491839</v>
      </c>
      <c r="E167">
        <f t="shared" si="11"/>
        <v>12.122928980491839</v>
      </c>
      <c r="G167">
        <f t="shared" ca="1" si="12"/>
        <v>165</v>
      </c>
      <c r="H167">
        <f t="shared" ca="1" si="13"/>
        <v>2000.2832817811534</v>
      </c>
      <c r="I167">
        <f t="shared" ca="1" si="14"/>
        <v>98046.395219370519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7573</v>
      </c>
      <c r="B170" s="66">
        <v>7573</v>
      </c>
      <c r="D170">
        <f t="shared" si="10"/>
        <v>11.596177992833736</v>
      </c>
      <c r="E170">
        <f t="shared" si="11"/>
        <v>11.596177992833736</v>
      </c>
      <c r="G170">
        <f t="shared" ca="1" si="12"/>
        <v>168</v>
      </c>
      <c r="H170">
        <f t="shared" ca="1" si="13"/>
        <v>1948.1579027960677</v>
      </c>
      <c r="I170">
        <f t="shared" ca="1" si="14"/>
        <v>100147.73924552948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3952</v>
      </c>
      <c r="B173" s="66">
        <v>3952</v>
      </c>
      <c r="D173">
        <f t="shared" si="10"/>
        <v>6.0515113465837747</v>
      </c>
      <c r="E173">
        <f t="shared" si="11"/>
        <v>6.0515113465837747</v>
      </c>
      <c r="G173">
        <f t="shared" ca="1" si="12"/>
        <v>171</v>
      </c>
      <c r="H173">
        <f t="shared" ca="1" si="13"/>
        <v>1034.8084402658255</v>
      </c>
      <c r="I173">
        <f t="shared" ca="1" si="14"/>
        <v>55691.215043022763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2449</v>
      </c>
      <c r="B175" s="66">
        <v>2449</v>
      </c>
      <c r="D175">
        <f t="shared" si="10"/>
        <v>3.7500382813217774</v>
      </c>
      <c r="E175">
        <f t="shared" si="11"/>
        <v>3.7500382813217774</v>
      </c>
      <c r="G175">
        <f t="shared" ca="1" si="12"/>
        <v>173</v>
      </c>
      <c r="H175">
        <f t="shared" ca="1" si="13"/>
        <v>648.75662266866755</v>
      </c>
      <c r="I175">
        <f t="shared" ca="1" si="14"/>
        <v>35965.067319482347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884</v>
      </c>
      <c r="B178" s="66">
        <v>884</v>
      </c>
      <c r="D178">
        <f t="shared" si="10"/>
        <v>1.3536275380516338</v>
      </c>
      <c r="E178">
        <f t="shared" si="11"/>
        <v>1.3536275380516338</v>
      </c>
      <c r="G178">
        <f t="shared" ca="1" si="12"/>
        <v>176</v>
      </c>
      <c r="H178">
        <f t="shared" ca="1" si="13"/>
        <v>238.23844669708757</v>
      </c>
      <c r="I178">
        <f t="shared" ca="1" si="14"/>
        <v>13789.641914688003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222</v>
      </c>
      <c r="B180" s="66">
        <v>222</v>
      </c>
      <c r="D180">
        <f t="shared" si="10"/>
        <v>0.33993813738400758</v>
      </c>
      <c r="E180">
        <f t="shared" si="11"/>
        <v>0.33993813738400758</v>
      </c>
      <c r="G180">
        <f t="shared" ca="1" si="12"/>
        <v>178</v>
      </c>
      <c r="H180">
        <f t="shared" ca="1" si="13"/>
        <v>60.50898845435335</v>
      </c>
      <c r="I180">
        <f t="shared" ca="1" si="14"/>
        <v>3601.6112938054193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83.900867733983475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1.619915181216359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0.64785050278211564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354</v>
      </c>
      <c r="B8" s="66">
        <v>354</v>
      </c>
      <c r="D8">
        <f t="shared" si="0"/>
        <v>0.41334859064477708</v>
      </c>
      <c r="E8">
        <f t="shared" si="1"/>
        <v>0.41334859064477708</v>
      </c>
      <c r="G8">
        <f t="shared" ca="1" si="2"/>
        <v>6</v>
      </c>
      <c r="H8">
        <f t="shared" ca="1" si="3"/>
        <v>2.4800915438686624</v>
      </c>
      <c r="I8">
        <f t="shared" ca="1" si="4"/>
        <v>2508.4246030831673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4942</v>
      </c>
      <c r="B10" s="66">
        <v>4942</v>
      </c>
      <c r="D10">
        <f t="shared" si="0"/>
        <v>5.7705331496228487</v>
      </c>
      <c r="E10">
        <f t="shared" si="1"/>
        <v>5.7705331496228487</v>
      </c>
      <c r="G10">
        <f t="shared" ca="1" si="2"/>
        <v>8</v>
      </c>
      <c r="H10">
        <f t="shared" ca="1" si="3"/>
        <v>46.16426519698279</v>
      </c>
      <c r="I10">
        <f t="shared" ca="1" si="4"/>
        <v>33243.705184299193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6242</v>
      </c>
      <c r="B13" s="66">
        <v>6242</v>
      </c>
      <c r="D13">
        <f t="shared" si="0"/>
        <v>7.2884799514257024</v>
      </c>
      <c r="E13">
        <f t="shared" si="1"/>
        <v>7.2884799514257024</v>
      </c>
      <c r="G13">
        <f t="shared" ca="1" si="2"/>
        <v>11</v>
      </c>
      <c r="H13">
        <f t="shared" ca="1" si="3"/>
        <v>80.173279465682725</v>
      </c>
      <c r="I13">
        <f t="shared" ca="1" si="4"/>
        <v>38734.892850666161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7845</v>
      </c>
      <c r="B15" s="66">
        <v>7845</v>
      </c>
      <c r="D15">
        <f t="shared" si="0"/>
        <v>9.1602251231872209</v>
      </c>
      <c r="E15">
        <f t="shared" si="1"/>
        <v>9.1602251231872209</v>
      </c>
      <c r="G15">
        <f t="shared" ca="1" si="2"/>
        <v>13</v>
      </c>
      <c r="H15">
        <f t="shared" ca="1" si="3"/>
        <v>119.08292660143387</v>
      </c>
      <c r="I15">
        <f t="shared" ca="1" si="4"/>
        <v>46047.838375344596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21105</v>
      </c>
      <c r="B18" s="66">
        <v>21105</v>
      </c>
      <c r="D18">
        <f t="shared" si="0"/>
        <v>24.64328250157633</v>
      </c>
      <c r="E18">
        <f t="shared" si="1"/>
        <v>24.64328250157633</v>
      </c>
      <c r="G18">
        <f t="shared" ca="1" si="2"/>
        <v>16</v>
      </c>
      <c r="H18">
        <f t="shared" ca="1" si="3"/>
        <v>394.29252002522128</v>
      </c>
      <c r="I18">
        <f t="shared" ca="1" si="4"/>
        <v>113618.54001854722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20483</v>
      </c>
      <c r="B21" s="66">
        <v>20483</v>
      </c>
      <c r="D21">
        <f t="shared" si="0"/>
        <v>23.917003339482964</v>
      </c>
      <c r="E21">
        <f t="shared" si="1"/>
        <v>23.917003339482964</v>
      </c>
      <c r="G21">
        <f t="shared" ca="1" si="2"/>
        <v>19</v>
      </c>
      <c r="H21">
        <f t="shared" ca="1" si="3"/>
        <v>454.4230634501763</v>
      </c>
      <c r="I21">
        <f t="shared" ca="1" si="4"/>
        <v>100741.35107078039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21549</v>
      </c>
      <c r="B23" s="66">
        <v>21549</v>
      </c>
      <c r="D23">
        <f t="shared" si="0"/>
        <v>25.161719716961304</v>
      </c>
      <c r="E23">
        <f t="shared" si="1"/>
        <v>25.161719716961304</v>
      </c>
      <c r="G23">
        <f t="shared" ca="1" si="2"/>
        <v>21</v>
      </c>
      <c r="H23">
        <f t="shared" ca="1" si="3"/>
        <v>528.39611405618734</v>
      </c>
      <c r="I23">
        <f t="shared" ca="1" si="4"/>
        <v>99552.826201182252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20482</v>
      </c>
      <c r="B26" s="66">
        <v>20482</v>
      </c>
      <c r="D26">
        <f t="shared" si="0"/>
        <v>23.915835688096962</v>
      </c>
      <c r="E26">
        <f t="shared" si="1"/>
        <v>23.915835688096962</v>
      </c>
      <c r="G26">
        <f t="shared" ca="1" si="2"/>
        <v>24</v>
      </c>
      <c r="H26">
        <f t="shared" ca="1" si="3"/>
        <v>573.98005651432709</v>
      </c>
      <c r="I26">
        <f t="shared" ca="1" si="4"/>
        <v>85812.743784744191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21337</v>
      </c>
      <c r="B28" s="66">
        <v>21337</v>
      </c>
      <c r="D28">
        <f t="shared" si="0"/>
        <v>24.91417762312884</v>
      </c>
      <c r="E28">
        <f t="shared" si="1"/>
        <v>24.91417762312884</v>
      </c>
      <c r="G28">
        <f t="shared" ca="1" si="2"/>
        <v>26</v>
      </c>
      <c r="H28">
        <f t="shared" ca="1" si="3"/>
        <v>647.7686182013498</v>
      </c>
      <c r="I28">
        <f t="shared" ca="1" si="4"/>
        <v>83525.04169045396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21826</v>
      </c>
      <c r="B31" s="66">
        <v>21826</v>
      </c>
      <c r="D31">
        <f t="shared" si="0"/>
        <v>25.485159150883913</v>
      </c>
      <c r="E31">
        <f t="shared" si="1"/>
        <v>25.485159150883913</v>
      </c>
      <c r="G31">
        <f t="shared" ca="1" si="2"/>
        <v>29</v>
      </c>
      <c r="H31">
        <f t="shared" ca="1" si="3"/>
        <v>739.06961537563348</v>
      </c>
      <c r="I31">
        <f t="shared" ca="1" si="4"/>
        <v>76814.952705930904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17549</v>
      </c>
      <c r="B33" s="66">
        <v>17549</v>
      </c>
      <c r="D33">
        <f t="shared" si="0"/>
        <v>20.491114172952525</v>
      </c>
      <c r="E33">
        <f t="shared" si="1"/>
        <v>20.491114172952525</v>
      </c>
      <c r="G33">
        <f t="shared" ca="1" si="2"/>
        <v>31</v>
      </c>
      <c r="H33">
        <f t="shared" ca="1" si="3"/>
        <v>635.22453936152829</v>
      </c>
      <c r="I33">
        <f t="shared" ca="1" si="4"/>
        <v>57344.420040623358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24080</v>
      </c>
      <c r="B36" s="66">
        <v>24080</v>
      </c>
      <c r="D36">
        <f t="shared" si="0"/>
        <v>28.117045374932861</v>
      </c>
      <c r="E36">
        <f t="shared" si="1"/>
        <v>28.117045374932861</v>
      </c>
      <c r="G36">
        <f t="shared" ca="1" si="2"/>
        <v>34</v>
      </c>
      <c r="H36">
        <f t="shared" ca="1" si="3"/>
        <v>955.97954274771723</v>
      </c>
      <c r="I36">
        <f t="shared" ca="1" si="4"/>
        <v>70014.15910716317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29515</v>
      </c>
      <c r="B39" s="66">
        <v>29515</v>
      </c>
      <c r="D39">
        <f t="shared" si="0"/>
        <v>34.463230657854794</v>
      </c>
      <c r="E39">
        <f t="shared" si="1"/>
        <v>34.463230657854794</v>
      </c>
      <c r="G39">
        <f t="shared" ca="1" si="2"/>
        <v>37</v>
      </c>
      <c r="H39">
        <f t="shared" ca="1" si="3"/>
        <v>1275.1395343406273</v>
      </c>
      <c r="I39">
        <f t="shared" ca="1" si="4"/>
        <v>75808.471894433897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30376</v>
      </c>
      <c r="B41" s="66">
        <v>30376</v>
      </c>
      <c r="D41">
        <f t="shared" si="0"/>
        <v>35.468578501202678</v>
      </c>
      <c r="E41">
        <f t="shared" si="1"/>
        <v>35.468578501202678</v>
      </c>
      <c r="G41">
        <f t="shared" ca="1" si="2"/>
        <v>39</v>
      </c>
      <c r="H41">
        <f t="shared" ca="1" si="3"/>
        <v>1383.2745615469044</v>
      </c>
      <c r="I41">
        <f t="shared" ca="1" si="4"/>
        <v>71507.772771639924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31169</v>
      </c>
      <c r="B44" s="66">
        <v>31169</v>
      </c>
      <c r="D44">
        <f t="shared" si="0"/>
        <v>36.394526050302424</v>
      </c>
      <c r="E44">
        <f t="shared" si="1"/>
        <v>36.394526050302424</v>
      </c>
      <c r="G44">
        <f t="shared" ca="1" si="2"/>
        <v>42</v>
      </c>
      <c r="H44">
        <f t="shared" ca="1" si="3"/>
        <v>1528.5700941127018</v>
      </c>
      <c r="I44">
        <f t="shared" ca="1" si="4"/>
        <v>63897.240374855297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36422</v>
      </c>
      <c r="B46" s="66">
        <v>36422</v>
      </c>
      <c r="D46">
        <f t="shared" si="0"/>
        <v>42.528198780971955</v>
      </c>
      <c r="E46">
        <f t="shared" si="1"/>
        <v>42.528198780971955</v>
      </c>
      <c r="G46">
        <f t="shared" ca="1" si="2"/>
        <v>44</v>
      </c>
      <c r="H46">
        <f t="shared" ca="1" si="3"/>
        <v>1871.240746362766</v>
      </c>
      <c r="I46">
        <f t="shared" ca="1" si="4"/>
        <v>67708.262645751674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35820</v>
      </c>
      <c r="B49" s="66">
        <v>35820</v>
      </c>
      <c r="D49">
        <f t="shared" si="0"/>
        <v>41.825272646598634</v>
      </c>
      <c r="E49">
        <f t="shared" si="1"/>
        <v>41.825272646598634</v>
      </c>
      <c r="G49">
        <f t="shared" ca="1" si="2"/>
        <v>47</v>
      </c>
      <c r="H49">
        <f t="shared" ca="1" si="3"/>
        <v>1965.7878143901357</v>
      </c>
      <c r="I49">
        <f t="shared" ca="1" si="4"/>
        <v>56952.387958758751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36660</v>
      </c>
      <c r="B51" s="66">
        <v>36660</v>
      </c>
      <c r="D51">
        <f t="shared" si="0"/>
        <v>42.806099810840479</v>
      </c>
      <c r="E51">
        <f t="shared" si="1"/>
        <v>42.806099810840479</v>
      </c>
      <c r="G51">
        <f t="shared" ca="1" si="2"/>
        <v>49</v>
      </c>
      <c r="H51">
        <f t="shared" ca="1" si="3"/>
        <v>2097.4988907311836</v>
      </c>
      <c r="I51">
        <f t="shared" ca="1" si="4"/>
        <v>52140.850335497104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42981</v>
      </c>
      <c r="B54" s="66">
        <v>42981</v>
      </c>
      <c r="D54">
        <f t="shared" si="0"/>
        <v>50.186824221760354</v>
      </c>
      <c r="E54">
        <f t="shared" si="1"/>
        <v>50.186824221760354</v>
      </c>
      <c r="G54">
        <f t="shared" ca="1" si="2"/>
        <v>52</v>
      </c>
      <c r="H54">
        <f t="shared" ca="1" si="3"/>
        <v>2609.7148595315384</v>
      </c>
      <c r="I54">
        <f t="shared" ca="1" si="4"/>
        <v>51073.392648357352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42317</v>
      </c>
      <c r="B57" s="66">
        <v>42317</v>
      </c>
      <c r="D57">
        <f t="shared" si="0"/>
        <v>49.41150370145489</v>
      </c>
      <c r="E57">
        <f t="shared" si="1"/>
        <v>49.41150370145489</v>
      </c>
      <c r="G57">
        <f t="shared" ca="1" si="2"/>
        <v>55</v>
      </c>
      <c r="H57">
        <f t="shared" ca="1" si="3"/>
        <v>2717.6327035800191</v>
      </c>
      <c r="I57">
        <f t="shared" ca="1" si="4"/>
        <v>41271.460278863262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46117</v>
      </c>
      <c r="B59" s="66">
        <v>46117</v>
      </c>
      <c r="D59">
        <f t="shared" si="0"/>
        <v>53.848578968263233</v>
      </c>
      <c r="E59">
        <f t="shared" si="1"/>
        <v>53.848578968263233</v>
      </c>
      <c r="G59">
        <f t="shared" ca="1" si="2"/>
        <v>57</v>
      </c>
      <c r="H59">
        <f t="shared" ca="1" si="3"/>
        <v>3069.3690011910044</v>
      </c>
      <c r="I59">
        <f t="shared" ca="1" si="4"/>
        <v>38967.88413958688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48762</v>
      </c>
      <c r="B62" s="66">
        <v>48762</v>
      </c>
      <c r="D62">
        <f t="shared" si="0"/>
        <v>56.937016884239043</v>
      </c>
      <c r="E62">
        <f t="shared" si="1"/>
        <v>56.937016884239043</v>
      </c>
      <c r="G62">
        <f t="shared" ca="1" si="2"/>
        <v>60</v>
      </c>
      <c r="H62">
        <f t="shared" ca="1" si="3"/>
        <v>3416.2210130543426</v>
      </c>
      <c r="I62">
        <f t="shared" ca="1" si="4"/>
        <v>32525.355072935188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52110</v>
      </c>
      <c r="B64" s="66">
        <v>52110</v>
      </c>
      <c r="D64">
        <f t="shared" si="0"/>
        <v>60.846313724574394</v>
      </c>
      <c r="E64">
        <f t="shared" si="1"/>
        <v>60.846313724574394</v>
      </c>
      <c r="G64">
        <f t="shared" ca="1" si="2"/>
        <v>62</v>
      </c>
      <c r="H64">
        <f t="shared" ca="1" si="3"/>
        <v>3772.4714509236123</v>
      </c>
      <c r="I64">
        <f t="shared" ca="1" si="4"/>
        <v>29184.813141799539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55680</v>
      </c>
      <c r="B67" s="66">
        <v>55680</v>
      </c>
      <c r="D67">
        <f t="shared" ref="D67:D130" si="5">IFERROR(100*A67/MAX(A$2:A$257), 0 )</f>
        <v>65.014829172602234</v>
      </c>
      <c r="E67">
        <f t="shared" ref="E67:E130" si="6">IFERROR(100*B67/MAX(B$2:B$257), 0 )</f>
        <v>65.014829172602234</v>
      </c>
      <c r="G67">
        <f t="shared" ref="G67:G130" ca="1" si="7">CELL("row",D67)-2</f>
        <v>65</v>
      </c>
      <c r="H67">
        <f t="shared" ref="H67:H130" ca="1" si="8">D67*G67</f>
        <v>4225.9638962191448</v>
      </c>
      <c r="I67">
        <f t="shared" ref="I67:I130" ca="1" si="9">D67*((G67-$L$1)^2)</f>
        <v>23226.079686498324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58164</v>
      </c>
      <c r="B69" s="66">
        <v>58164</v>
      </c>
      <c r="D69">
        <f t="shared" si="5"/>
        <v>67.915275215431677</v>
      </c>
      <c r="E69">
        <f t="shared" si="6"/>
        <v>67.915275215431677</v>
      </c>
      <c r="G69">
        <f t="shared" ca="1" si="7"/>
        <v>67</v>
      </c>
      <c r="H69">
        <f t="shared" ca="1" si="8"/>
        <v>4550.3234394339224</v>
      </c>
      <c r="I69">
        <f t="shared" ca="1" si="9"/>
        <v>19399.273720276869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69199</v>
      </c>
      <c r="B72" s="66">
        <v>69199</v>
      </c>
      <c r="D72">
        <f t="shared" si="5"/>
        <v>80.800308259965902</v>
      </c>
      <c r="E72">
        <f t="shared" si="6"/>
        <v>80.800308259965902</v>
      </c>
      <c r="G72">
        <f t="shared" ca="1" si="7"/>
        <v>70</v>
      </c>
      <c r="H72">
        <f t="shared" ca="1" si="8"/>
        <v>5656.0215781976131</v>
      </c>
      <c r="I72">
        <f t="shared" ca="1" si="9"/>
        <v>15613.376765966792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71354</v>
      </c>
      <c r="B75" s="66">
        <v>71354</v>
      </c>
      <c r="D75">
        <f t="shared" si="5"/>
        <v>83.316596996800641</v>
      </c>
      <c r="E75">
        <f t="shared" si="6"/>
        <v>83.316596996800641</v>
      </c>
      <c r="G75">
        <f t="shared" ca="1" si="7"/>
        <v>73</v>
      </c>
      <c r="H75">
        <f t="shared" ca="1" si="8"/>
        <v>6082.1115807664464</v>
      </c>
      <c r="I75">
        <f t="shared" ca="1" si="9"/>
        <v>9900.4210187328517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82332</v>
      </c>
      <c r="B77" s="66">
        <v>82332</v>
      </c>
      <c r="D77">
        <f t="shared" si="5"/>
        <v>96.135073912332729</v>
      </c>
      <c r="E77">
        <f t="shared" si="6"/>
        <v>96.135073912332729</v>
      </c>
      <c r="G77">
        <f t="shared" ca="1" si="7"/>
        <v>75</v>
      </c>
      <c r="H77">
        <f t="shared" ca="1" si="8"/>
        <v>7210.1305434249543</v>
      </c>
      <c r="I77">
        <f t="shared" ca="1" si="9"/>
        <v>7616.3441471193073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80209</v>
      </c>
      <c r="B80" s="66">
        <v>80209</v>
      </c>
      <c r="D80">
        <f t="shared" si="5"/>
        <v>93.656150019850074</v>
      </c>
      <c r="E80">
        <f t="shared" si="6"/>
        <v>93.656150019850074</v>
      </c>
      <c r="G80">
        <f t="shared" ca="1" si="7"/>
        <v>78</v>
      </c>
      <c r="H80">
        <f t="shared" ca="1" si="8"/>
        <v>7305.1797015483062</v>
      </c>
      <c r="I80">
        <f t="shared" ca="1" si="9"/>
        <v>3261.1296224753046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81362</v>
      </c>
      <c r="B82" s="66">
        <v>81362</v>
      </c>
      <c r="D82">
        <f t="shared" si="5"/>
        <v>95.00245206791061</v>
      </c>
      <c r="E82">
        <f t="shared" si="6"/>
        <v>95.00245206791061</v>
      </c>
      <c r="G82">
        <f t="shared" ca="1" si="7"/>
        <v>80</v>
      </c>
      <c r="H82">
        <f t="shared" ca="1" si="8"/>
        <v>7600.1961654328488</v>
      </c>
      <c r="I82">
        <f t="shared" ca="1" si="9"/>
        <v>1445.6303749643296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84001</v>
      </c>
      <c r="B85" s="66">
        <v>84001</v>
      </c>
      <c r="D85">
        <f t="shared" si="5"/>
        <v>98.083884075570396</v>
      </c>
      <c r="E85">
        <f t="shared" si="6"/>
        <v>98.083884075570396</v>
      </c>
      <c r="G85">
        <f t="shared" ca="1" si="7"/>
        <v>83</v>
      </c>
      <c r="H85">
        <f t="shared" ca="1" si="8"/>
        <v>8140.9623782723429</v>
      </c>
      <c r="I85">
        <f t="shared" ca="1" si="9"/>
        <v>79.60121924967406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85642</v>
      </c>
      <c r="B88" s="66">
        <v>85642</v>
      </c>
      <c r="D88">
        <f t="shared" si="5"/>
        <v>100</v>
      </c>
      <c r="E88">
        <f t="shared" si="6"/>
        <v>100</v>
      </c>
      <c r="G88">
        <f t="shared" ca="1" si="7"/>
        <v>86</v>
      </c>
      <c r="H88">
        <f t="shared" ca="1" si="8"/>
        <v>8600</v>
      </c>
      <c r="I88">
        <f t="shared" ca="1" si="9"/>
        <v>440.63562702316722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78133</v>
      </c>
      <c r="B90" s="66">
        <v>78133</v>
      </c>
      <c r="D90">
        <f t="shared" si="5"/>
        <v>91.232105742509518</v>
      </c>
      <c r="E90">
        <f t="shared" si="6"/>
        <v>91.232105742509518</v>
      </c>
      <c r="G90">
        <f t="shared" ca="1" si="7"/>
        <v>88</v>
      </c>
      <c r="H90">
        <f t="shared" ca="1" si="8"/>
        <v>8028.4253053408374</v>
      </c>
      <c r="I90">
        <f t="shared" ca="1" si="9"/>
        <v>1532.9626115979167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74771</v>
      </c>
      <c r="B93" s="66">
        <v>74771</v>
      </c>
      <c r="D93">
        <f t="shared" si="5"/>
        <v>87.306461782770143</v>
      </c>
      <c r="E93">
        <f t="shared" si="6"/>
        <v>87.306461782770143</v>
      </c>
      <c r="G93">
        <f t="shared" ca="1" si="7"/>
        <v>91</v>
      </c>
      <c r="H93">
        <f t="shared" ca="1" si="8"/>
        <v>7944.8880222320831</v>
      </c>
      <c r="I93">
        <f t="shared" ca="1" si="9"/>
        <v>4400.0430294770185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76363</v>
      </c>
      <c r="B95" s="66">
        <v>76363</v>
      </c>
      <c r="D95">
        <f t="shared" si="5"/>
        <v>89.165362789285638</v>
      </c>
      <c r="E95">
        <f t="shared" si="6"/>
        <v>89.165362789285638</v>
      </c>
      <c r="G95">
        <f t="shared" ca="1" si="7"/>
        <v>93</v>
      </c>
      <c r="H95">
        <f t="shared" ca="1" si="8"/>
        <v>8292.3787394035644</v>
      </c>
      <c r="I95">
        <f t="shared" ca="1" si="9"/>
        <v>7382.3755926778686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75006</v>
      </c>
      <c r="B98" s="66">
        <v>75006</v>
      </c>
      <c r="D98">
        <f t="shared" si="5"/>
        <v>87.58085985848065</v>
      </c>
      <c r="E98">
        <f t="shared" si="6"/>
        <v>87.58085985848065</v>
      </c>
      <c r="G98">
        <f t="shared" ca="1" si="7"/>
        <v>96</v>
      </c>
      <c r="H98">
        <f t="shared" ca="1" si="8"/>
        <v>8407.762546414142</v>
      </c>
      <c r="I98">
        <f t="shared" ca="1" si="9"/>
        <v>12820.874633125926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70938</v>
      </c>
      <c r="B100" s="66">
        <v>70938</v>
      </c>
      <c r="D100">
        <f t="shared" si="5"/>
        <v>82.830854020223725</v>
      </c>
      <c r="E100">
        <f t="shared" si="6"/>
        <v>82.830854020223725</v>
      </c>
      <c r="G100">
        <f t="shared" ca="1" si="7"/>
        <v>98</v>
      </c>
      <c r="H100">
        <f t="shared" ca="1" si="8"/>
        <v>8117.4236939819248</v>
      </c>
      <c r="I100">
        <f t="shared" ca="1" si="9"/>
        <v>16465.575270986224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64767</v>
      </c>
      <c r="B103" s="66">
        <v>64767</v>
      </c>
      <c r="D103">
        <f t="shared" si="5"/>
        <v>75.62527731720418</v>
      </c>
      <c r="E103">
        <f t="shared" si="6"/>
        <v>75.62527731720418</v>
      </c>
      <c r="G103">
        <f t="shared" ca="1" si="7"/>
        <v>101</v>
      </c>
      <c r="H103">
        <f t="shared" ca="1" si="8"/>
        <v>7638.1530090376218</v>
      </c>
      <c r="I103">
        <f t="shared" ca="1" si="9"/>
        <v>22111.34310355534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60604</v>
      </c>
      <c r="B106" s="66">
        <v>60604</v>
      </c>
      <c r="D106">
        <f t="shared" si="5"/>
        <v>70.764344597277031</v>
      </c>
      <c r="E106">
        <f t="shared" si="6"/>
        <v>70.764344597277031</v>
      </c>
      <c r="G106">
        <f t="shared" ca="1" si="7"/>
        <v>104</v>
      </c>
      <c r="H106">
        <f t="shared" ca="1" si="8"/>
        <v>7359.4918381168109</v>
      </c>
      <c r="I106">
        <f t="shared" ca="1" si="9"/>
        <v>28587.034448038437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54350</v>
      </c>
      <c r="B108" s="66">
        <v>54350</v>
      </c>
      <c r="D108">
        <f t="shared" si="5"/>
        <v>63.46185282921931</v>
      </c>
      <c r="E108">
        <f t="shared" si="6"/>
        <v>63.46185282921931</v>
      </c>
      <c r="G108">
        <f t="shared" ca="1" si="7"/>
        <v>106</v>
      </c>
      <c r="H108">
        <f t="shared" ca="1" si="8"/>
        <v>6726.9563998972471</v>
      </c>
      <c r="I108">
        <f t="shared" ca="1" si="9"/>
        <v>30992.969582222529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46785</v>
      </c>
      <c r="B111" s="66">
        <v>46785</v>
      </c>
      <c r="D111">
        <f t="shared" si="5"/>
        <v>54.628570094112703</v>
      </c>
      <c r="E111">
        <f t="shared" si="6"/>
        <v>54.628570094112703</v>
      </c>
      <c r="G111">
        <f t="shared" ca="1" si="7"/>
        <v>109</v>
      </c>
      <c r="H111">
        <f t="shared" ca="1" si="8"/>
        <v>5954.5141402582849</v>
      </c>
      <c r="I111">
        <f t="shared" ca="1" si="9"/>
        <v>34414.165852174883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45445</v>
      </c>
      <c r="B113" s="66">
        <v>45445</v>
      </c>
      <c r="D113">
        <f t="shared" si="5"/>
        <v>53.063917236869763</v>
      </c>
      <c r="E113">
        <f t="shared" si="6"/>
        <v>53.063917236869763</v>
      </c>
      <c r="G113">
        <f t="shared" ca="1" si="7"/>
        <v>111</v>
      </c>
      <c r="H113">
        <f t="shared" ca="1" si="8"/>
        <v>5890.0948132925441</v>
      </c>
      <c r="I113">
        <f t="shared" ca="1" si="9"/>
        <v>38968.175839140531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39217</v>
      </c>
      <c r="B116" s="66">
        <v>39217</v>
      </c>
      <c r="D116">
        <f t="shared" si="5"/>
        <v>45.791784404848087</v>
      </c>
      <c r="E116">
        <f t="shared" si="6"/>
        <v>45.791784404848087</v>
      </c>
      <c r="G116">
        <f t="shared" ca="1" si="7"/>
        <v>114</v>
      </c>
      <c r="H116">
        <f t="shared" ca="1" si="8"/>
        <v>5220.2634221526823</v>
      </c>
      <c r="I116">
        <f t="shared" ca="1" si="9"/>
        <v>41485.422570848881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32577</v>
      </c>
      <c r="B118" s="66">
        <v>32577</v>
      </c>
      <c r="D118">
        <f t="shared" si="5"/>
        <v>38.03857920179351</v>
      </c>
      <c r="E118">
        <f t="shared" si="6"/>
        <v>38.03857920179351</v>
      </c>
      <c r="G118">
        <f t="shared" ca="1" si="7"/>
        <v>116</v>
      </c>
      <c r="H118">
        <f t="shared" ca="1" si="8"/>
        <v>4412.4751874080475</v>
      </c>
      <c r="I118">
        <f t="shared" ca="1" si="9"/>
        <v>39193.213350945276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31659</v>
      </c>
      <c r="B121" s="66">
        <v>31659</v>
      </c>
      <c r="D121">
        <f t="shared" si="5"/>
        <v>36.966675229443496</v>
      </c>
      <c r="E121">
        <f t="shared" si="6"/>
        <v>36.966675229443496</v>
      </c>
      <c r="G121">
        <f t="shared" ca="1" si="7"/>
        <v>119</v>
      </c>
      <c r="H121">
        <f t="shared" ca="1" si="8"/>
        <v>4399.0343523037764</v>
      </c>
      <c r="I121">
        <f t="shared" ca="1" si="9"/>
        <v>45541.061754988434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26311</v>
      </c>
      <c r="B124" s="66">
        <v>26311</v>
      </c>
      <c r="D124">
        <f t="shared" si="5"/>
        <v>30.722075617103759</v>
      </c>
      <c r="E124">
        <f t="shared" si="6"/>
        <v>30.722075617103759</v>
      </c>
      <c r="G124">
        <f t="shared" ca="1" si="7"/>
        <v>122</v>
      </c>
      <c r="H124">
        <f t="shared" ca="1" si="8"/>
        <v>3748.0932252866587</v>
      </c>
      <c r="I124">
        <f t="shared" ca="1" si="9"/>
        <v>44594.440825190497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23535</v>
      </c>
      <c r="B126" s="66">
        <v>23535</v>
      </c>
      <c r="D126">
        <f t="shared" si="5"/>
        <v>27.480675369561663</v>
      </c>
      <c r="E126">
        <f t="shared" si="6"/>
        <v>27.480675369561663</v>
      </c>
      <c r="G126">
        <f t="shared" ca="1" si="7"/>
        <v>124</v>
      </c>
      <c r="H126">
        <f t="shared" ca="1" si="8"/>
        <v>3407.603745825646</v>
      </c>
      <c r="I126">
        <f t="shared" ca="1" si="9"/>
        <v>44187.288379245016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18828</v>
      </c>
      <c r="B129" s="66">
        <v>18828</v>
      </c>
      <c r="D129">
        <f t="shared" si="5"/>
        <v>21.984540295649332</v>
      </c>
      <c r="E129">
        <f t="shared" si="6"/>
        <v>21.984540295649332</v>
      </c>
      <c r="G129">
        <f t="shared" ca="1" si="7"/>
        <v>127</v>
      </c>
      <c r="H129">
        <f t="shared" ca="1" si="8"/>
        <v>2792.0366175474651</v>
      </c>
      <c r="I129">
        <f t="shared" ca="1" si="9"/>
        <v>40837.057500793737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16056</v>
      </c>
      <c r="B131" s="66">
        <v>16056</v>
      </c>
      <c r="D131">
        <f t="shared" ref="D131:D194" si="10">IFERROR(100*A131/MAX(A$2:A$257), 0 )</f>
        <v>18.747810653651246</v>
      </c>
      <c r="E131">
        <f t="shared" ref="E131:E194" si="11">IFERROR(100*B131/MAX(B$2:B$257), 0 )</f>
        <v>18.747810653651246</v>
      </c>
      <c r="G131">
        <f t="shared" ref="G131:G194" ca="1" si="12">CELL("row",D131)-2</f>
        <v>129</v>
      </c>
      <c r="H131">
        <f t="shared" ref="H131:H194" ca="1" si="13">D131*G131</f>
        <v>2418.4675743210109</v>
      </c>
      <c r="I131">
        <f t="shared" ref="I131:I194" ca="1" si="14">D131*((G131-$L$1)^2)</f>
        <v>38131.766978009291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16706</v>
      </c>
      <c r="B134" s="66">
        <v>16706</v>
      </c>
      <c r="D134">
        <f t="shared" si="10"/>
        <v>19.506784054552671</v>
      </c>
      <c r="E134">
        <f t="shared" si="11"/>
        <v>19.506784054552671</v>
      </c>
      <c r="G134">
        <f t="shared" ca="1" si="12"/>
        <v>132</v>
      </c>
      <c r="H134">
        <f t="shared" ca="1" si="13"/>
        <v>2574.8954952009526</v>
      </c>
      <c r="I134">
        <f t="shared" ca="1" si="14"/>
        <v>45129.462322656073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19923</v>
      </c>
      <c r="B136" s="66">
        <v>19923</v>
      </c>
      <c r="D136">
        <f t="shared" si="10"/>
        <v>23.263118563321736</v>
      </c>
      <c r="E136">
        <f t="shared" si="11"/>
        <v>23.263118563321736</v>
      </c>
      <c r="G136">
        <f t="shared" ca="1" si="12"/>
        <v>134</v>
      </c>
      <c r="H136">
        <f t="shared" ca="1" si="13"/>
        <v>3117.2578874851129</v>
      </c>
      <c r="I136">
        <f t="shared" ca="1" si="14"/>
        <v>58388.637585545839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15785</v>
      </c>
      <c r="B139" s="66">
        <v>15785</v>
      </c>
      <c r="D139">
        <f t="shared" si="10"/>
        <v>18.431377128044652</v>
      </c>
      <c r="E139">
        <f t="shared" si="11"/>
        <v>18.431377128044652</v>
      </c>
      <c r="G139">
        <f t="shared" ca="1" si="12"/>
        <v>137</v>
      </c>
      <c r="H139">
        <f t="shared" ca="1" si="13"/>
        <v>2525.0986665421174</v>
      </c>
      <c r="I139">
        <f t="shared" ca="1" si="14"/>
        <v>51967.596764754249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16077</v>
      </c>
      <c r="B142" s="66">
        <v>16077</v>
      </c>
      <c r="D142">
        <f t="shared" si="10"/>
        <v>18.772331332757293</v>
      </c>
      <c r="E142">
        <f t="shared" si="11"/>
        <v>18.772331332757293</v>
      </c>
      <c r="G142">
        <f t="shared" ca="1" si="12"/>
        <v>140</v>
      </c>
      <c r="H142">
        <f t="shared" ca="1" si="13"/>
        <v>2628.126386586021</v>
      </c>
      <c r="I142">
        <f t="shared" ca="1" si="14"/>
        <v>59078.641238361168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16828</v>
      </c>
      <c r="B144" s="66">
        <v>16828</v>
      </c>
      <c r="D144">
        <f t="shared" si="10"/>
        <v>19.649237523644942</v>
      </c>
      <c r="E144">
        <f t="shared" si="11"/>
        <v>19.649237523644942</v>
      </c>
      <c r="G144">
        <f t="shared" ca="1" si="12"/>
        <v>142</v>
      </c>
      <c r="H144">
        <f t="shared" ca="1" si="13"/>
        <v>2790.1917283575817</v>
      </c>
      <c r="I144">
        <f t="shared" ca="1" si="14"/>
        <v>66326.181445830764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16947</v>
      </c>
      <c r="B147" s="66">
        <v>16947</v>
      </c>
      <c r="D147">
        <f t="shared" si="10"/>
        <v>19.7881880385792</v>
      </c>
      <c r="E147">
        <f t="shared" si="11"/>
        <v>19.7881880385792</v>
      </c>
      <c r="G147">
        <f t="shared" ca="1" si="12"/>
        <v>145</v>
      </c>
      <c r="H147">
        <f t="shared" ca="1" si="13"/>
        <v>2869.2872655939841</v>
      </c>
      <c r="I147">
        <f t="shared" ca="1" si="14"/>
        <v>73871.363200473017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16749</v>
      </c>
      <c r="B149" s="66">
        <v>16749</v>
      </c>
      <c r="D149">
        <f t="shared" si="10"/>
        <v>19.556993064150767</v>
      </c>
      <c r="E149">
        <f t="shared" si="11"/>
        <v>19.556993064150767</v>
      </c>
      <c r="G149">
        <f t="shared" ca="1" si="12"/>
        <v>147</v>
      </c>
      <c r="H149">
        <f t="shared" ca="1" si="13"/>
        <v>2874.8779804301626</v>
      </c>
      <c r="I149">
        <f t="shared" ca="1" si="14"/>
        <v>77866.177521120975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17807</v>
      </c>
      <c r="B152" s="66">
        <v>17807</v>
      </c>
      <c r="D152">
        <f t="shared" si="10"/>
        <v>20.79236823054109</v>
      </c>
      <c r="E152">
        <f t="shared" si="11"/>
        <v>20.79236823054109</v>
      </c>
      <c r="G152">
        <f t="shared" ca="1" si="12"/>
        <v>150</v>
      </c>
      <c r="H152">
        <f t="shared" ca="1" si="13"/>
        <v>3118.8552345811636</v>
      </c>
      <c r="I152">
        <f t="shared" ca="1" si="14"/>
        <v>90843.838027493999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18106</v>
      </c>
      <c r="B154" s="66">
        <v>18106</v>
      </c>
      <c r="D154">
        <f t="shared" si="10"/>
        <v>21.141495994955747</v>
      </c>
      <c r="E154">
        <f t="shared" si="11"/>
        <v>21.141495994955747</v>
      </c>
      <c r="G154">
        <f t="shared" ca="1" si="12"/>
        <v>152</v>
      </c>
      <c r="H154">
        <f t="shared" ca="1" si="13"/>
        <v>3213.5073912332737</v>
      </c>
      <c r="I154">
        <f t="shared" ca="1" si="14"/>
        <v>98043.514641589616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16056</v>
      </c>
      <c r="B157" s="66">
        <v>16056</v>
      </c>
      <c r="D157">
        <f t="shared" si="10"/>
        <v>18.747810653651246</v>
      </c>
      <c r="E157">
        <f t="shared" si="11"/>
        <v>18.747810653651246</v>
      </c>
      <c r="G157">
        <f t="shared" ca="1" si="12"/>
        <v>155</v>
      </c>
      <c r="H157">
        <f t="shared" ca="1" si="13"/>
        <v>2905.9106513159431</v>
      </c>
      <c r="I157">
        <f t="shared" ca="1" si="14"/>
        <v>94771.806582974605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14399</v>
      </c>
      <c r="B160" s="66">
        <v>14399</v>
      </c>
      <c r="D160">
        <f t="shared" si="10"/>
        <v>16.813012307045607</v>
      </c>
      <c r="E160">
        <f t="shared" si="11"/>
        <v>16.813012307045607</v>
      </c>
      <c r="G160">
        <f t="shared" ca="1" si="12"/>
        <v>158</v>
      </c>
      <c r="H160">
        <f t="shared" ca="1" si="13"/>
        <v>2656.4559445132058</v>
      </c>
      <c r="I160">
        <f t="shared" ca="1" si="14"/>
        <v>92314.893995587001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11085</v>
      </c>
      <c r="B162" s="66">
        <v>11085</v>
      </c>
      <c r="D162">
        <f t="shared" si="10"/>
        <v>12.943415613834334</v>
      </c>
      <c r="E162">
        <f t="shared" si="11"/>
        <v>12.943415613834334</v>
      </c>
      <c r="G162">
        <f t="shared" ca="1" si="12"/>
        <v>160</v>
      </c>
      <c r="H162">
        <f t="shared" ca="1" si="13"/>
        <v>2070.9464982134937</v>
      </c>
      <c r="I162">
        <f t="shared" ca="1" si="14"/>
        <v>74956.328521329386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8989</v>
      </c>
      <c r="B165" s="66">
        <v>8989</v>
      </c>
      <c r="D165">
        <f t="shared" si="10"/>
        <v>10.496018308773733</v>
      </c>
      <c r="E165">
        <f t="shared" si="11"/>
        <v>10.496018308773733</v>
      </c>
      <c r="G165">
        <f t="shared" ca="1" si="12"/>
        <v>163</v>
      </c>
      <c r="H165">
        <f t="shared" ca="1" si="13"/>
        <v>1710.8509843301185</v>
      </c>
      <c r="I165">
        <f t="shared" ca="1" si="14"/>
        <v>65670.151476090454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7759</v>
      </c>
      <c r="B167" s="66">
        <v>7759</v>
      </c>
      <c r="D167">
        <f t="shared" si="10"/>
        <v>9.059807103991032</v>
      </c>
      <c r="E167">
        <f t="shared" si="11"/>
        <v>9.059807103991032</v>
      </c>
      <c r="G167">
        <f t="shared" ca="1" si="12"/>
        <v>165</v>
      </c>
      <c r="H167">
        <f t="shared" ca="1" si="13"/>
        <v>1494.8681721585203</v>
      </c>
      <c r="I167">
        <f t="shared" ca="1" si="14"/>
        <v>59586.97875355577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4652</v>
      </c>
      <c r="B170" s="66">
        <v>4652</v>
      </c>
      <c r="D170">
        <f t="shared" si="10"/>
        <v>5.4319142476822124</v>
      </c>
      <c r="E170">
        <f t="shared" si="11"/>
        <v>5.4319142476822124</v>
      </c>
      <c r="G170">
        <f t="shared" ca="1" si="12"/>
        <v>168</v>
      </c>
      <c r="H170">
        <f t="shared" ca="1" si="13"/>
        <v>912.56159361061168</v>
      </c>
      <c r="I170">
        <f t="shared" ca="1" si="14"/>
        <v>38418.104610841146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2904</v>
      </c>
      <c r="B173" s="66">
        <v>2904</v>
      </c>
      <c r="D173">
        <f t="shared" si="10"/>
        <v>3.3908596249503749</v>
      </c>
      <c r="E173">
        <f t="shared" si="11"/>
        <v>3.3908596249503749</v>
      </c>
      <c r="G173">
        <f t="shared" ca="1" si="12"/>
        <v>171</v>
      </c>
      <c r="H173">
        <f t="shared" ca="1" si="13"/>
        <v>579.83699586651414</v>
      </c>
      <c r="I173">
        <f t="shared" ca="1" si="14"/>
        <v>25723.938810041556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2306</v>
      </c>
      <c r="B175" s="66">
        <v>2306</v>
      </c>
      <c r="D175">
        <f t="shared" si="10"/>
        <v>2.692604096121062</v>
      </c>
      <c r="E175">
        <f t="shared" si="11"/>
        <v>2.692604096121062</v>
      </c>
      <c r="G175">
        <f t="shared" ca="1" si="12"/>
        <v>173</v>
      </c>
      <c r="H175">
        <f t="shared" ca="1" si="13"/>
        <v>465.82050862894374</v>
      </c>
      <c r="I175">
        <f t="shared" ca="1" si="14"/>
        <v>21375.655968455532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961</v>
      </c>
      <c r="B178" s="66">
        <v>961</v>
      </c>
      <c r="D178">
        <f t="shared" si="10"/>
        <v>1.1221129819481095</v>
      </c>
      <c r="E178">
        <f t="shared" si="11"/>
        <v>1.1221129819481095</v>
      </c>
      <c r="G178">
        <f t="shared" ca="1" si="12"/>
        <v>176</v>
      </c>
      <c r="H178">
        <f t="shared" ca="1" si="13"/>
        <v>197.49188482286726</v>
      </c>
      <c r="I178">
        <f t="shared" ca="1" si="14"/>
        <v>9518.0430253277937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1407</v>
      </c>
      <c r="B180" s="66">
        <v>1407</v>
      </c>
      <c r="D180">
        <f t="shared" si="10"/>
        <v>1.6428855001050886</v>
      </c>
      <c r="E180">
        <f t="shared" si="11"/>
        <v>1.6428855001050886</v>
      </c>
      <c r="G180">
        <f t="shared" ca="1" si="12"/>
        <v>178</v>
      </c>
      <c r="H180">
        <f t="shared" ca="1" si="13"/>
        <v>292.43361901870577</v>
      </c>
      <c r="I180">
        <f t="shared" ca="1" si="14"/>
        <v>14547.170660840125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496</v>
      </c>
      <c r="B183" s="66">
        <v>496</v>
      </c>
      <c r="D183">
        <f t="shared" si="10"/>
        <v>0.57915508745708877</v>
      </c>
      <c r="E183">
        <f t="shared" si="11"/>
        <v>0.57915508745708877</v>
      </c>
      <c r="G183">
        <f t="shared" ca="1" si="12"/>
        <v>181</v>
      </c>
      <c r="H183">
        <f t="shared" ca="1" si="13"/>
        <v>104.82707082973306</v>
      </c>
      <c r="I183">
        <f t="shared" ca="1" si="14"/>
        <v>5460.4140228619508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295</v>
      </c>
      <c r="B185" s="66">
        <v>295</v>
      </c>
      <c r="D185">
        <f t="shared" si="10"/>
        <v>0.3444571588706476</v>
      </c>
      <c r="E185">
        <f t="shared" si="11"/>
        <v>0.3444571588706476</v>
      </c>
      <c r="G185">
        <f t="shared" ca="1" si="12"/>
        <v>183</v>
      </c>
      <c r="H185">
        <f t="shared" ca="1" si="13"/>
        <v>63.035660073328508</v>
      </c>
      <c r="I185">
        <f t="shared" ca="1" si="14"/>
        <v>3382.7890692462156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352</v>
      </c>
      <c r="B1" s="68" t="s">
        <v>353</v>
      </c>
      <c r="C1" s="32" t="s">
        <v>354</v>
      </c>
      <c r="D1" s="32" t="s">
        <v>355</v>
      </c>
      <c r="E1" s="32" t="s">
        <v>356</v>
      </c>
    </row>
    <row r="2" spans="1:5">
      <c r="A2" s="68">
        <v>0.21240200000000001</v>
      </c>
      <c r="B2" s="68">
        <v>0.49513800000000002</v>
      </c>
      <c r="C2" s="68">
        <v>0</v>
      </c>
      <c r="D2" s="68">
        <v>1</v>
      </c>
      <c r="E2" s="68" t="s">
        <v>357</v>
      </c>
    </row>
    <row r="3" spans="1:5">
      <c r="A3" s="68">
        <v>0.21851100000000001</v>
      </c>
      <c r="B3" s="68">
        <v>0.48295199999999999</v>
      </c>
      <c r="C3" s="68">
        <v>0.40765200000000001</v>
      </c>
      <c r="D3" s="89">
        <v>1</v>
      </c>
      <c r="E3" s="68" t="s">
        <v>358</v>
      </c>
    </row>
    <row r="4" spans="1:5">
      <c r="A4" s="68">
        <v>0.22476099999999999</v>
      </c>
      <c r="B4" s="68">
        <v>0.46943299999999999</v>
      </c>
      <c r="C4" s="68">
        <v>0.81792200000000004</v>
      </c>
      <c r="D4" s="89">
        <v>1</v>
      </c>
      <c r="E4" s="68" t="s">
        <v>359</v>
      </c>
    </row>
    <row r="5" spans="1:5">
      <c r="A5" s="89">
        <v>0.23083699999999999</v>
      </c>
      <c r="B5" s="89">
        <v>0.45671499999999998</v>
      </c>
      <c r="C5" s="89">
        <v>1.2258899999999999</v>
      </c>
      <c r="D5" s="89">
        <v>1</v>
      </c>
      <c r="E5" s="68" t="s">
        <v>360</v>
      </c>
    </row>
    <row r="6" spans="1:5">
      <c r="A6" s="68">
        <v>0.23700099999999999</v>
      </c>
      <c r="B6" s="68">
        <v>0.44439099999999998</v>
      </c>
      <c r="C6" s="68">
        <v>1.6267100000000001</v>
      </c>
      <c r="D6" s="68">
        <v>1</v>
      </c>
      <c r="E6" s="68" t="s">
        <v>361</v>
      </c>
    </row>
    <row r="7" spans="1:5">
      <c r="A7" s="68">
        <v>0.24338899999999999</v>
      </c>
      <c r="B7" s="68">
        <v>0.43232799999999999</v>
      </c>
      <c r="C7" s="68">
        <v>2.03159</v>
      </c>
      <c r="D7" s="68">
        <v>1</v>
      </c>
      <c r="E7" s="68" t="s">
        <v>362</v>
      </c>
    </row>
    <row r="8" spans="1:5">
      <c r="A8" s="68">
        <v>0.24974499999999999</v>
      </c>
      <c r="B8" s="68">
        <v>0.42062500000000003</v>
      </c>
      <c r="C8" s="68">
        <v>2.43547</v>
      </c>
      <c r="D8" s="68">
        <v>1</v>
      </c>
      <c r="E8" s="68" t="s">
        <v>363</v>
      </c>
    </row>
    <row r="9" spans="1:5">
      <c r="A9" s="68">
        <v>0.25609300000000002</v>
      </c>
      <c r="B9" s="68">
        <v>0.40860999999999997</v>
      </c>
      <c r="C9" s="68">
        <v>2.8464100000000001</v>
      </c>
      <c r="D9" s="68">
        <v>1</v>
      </c>
      <c r="E9" s="68" t="s">
        <v>364</v>
      </c>
    </row>
    <row r="10" spans="1:5">
      <c r="A10" s="68">
        <v>0.26229200000000003</v>
      </c>
      <c r="B10" s="68">
        <v>0.397424</v>
      </c>
      <c r="C10" s="68">
        <v>3.2492000000000001</v>
      </c>
      <c r="D10" s="68">
        <v>1</v>
      </c>
      <c r="E10" s="68" t="s">
        <v>365</v>
      </c>
    </row>
    <row r="11" spans="1:5">
      <c r="A11" s="68">
        <v>0.26824799999999999</v>
      </c>
      <c r="B11" s="68">
        <v>0.38632899999999998</v>
      </c>
      <c r="C11" s="68">
        <v>3.65828</v>
      </c>
      <c r="D11" s="68">
        <v>1</v>
      </c>
      <c r="E11" s="68" t="s">
        <v>366</v>
      </c>
    </row>
    <row r="12" spans="1:5">
      <c r="A12" s="68">
        <v>0.27429300000000001</v>
      </c>
      <c r="B12" s="68">
        <v>0.37490600000000002</v>
      </c>
      <c r="C12" s="68">
        <v>4.0650899999999996</v>
      </c>
      <c r="D12" s="68">
        <v>1</v>
      </c>
      <c r="E12" s="68" t="s">
        <v>367</v>
      </c>
    </row>
    <row r="13" spans="1:5">
      <c r="A13" s="68">
        <v>0.28046500000000002</v>
      </c>
      <c r="B13" s="68">
        <v>0.36339900000000003</v>
      </c>
      <c r="C13" s="68">
        <v>4.4734100000000003</v>
      </c>
      <c r="D13" s="68">
        <v>1</v>
      </c>
      <c r="E13" s="68" t="s">
        <v>368</v>
      </c>
    </row>
    <row r="14" spans="1:5">
      <c r="A14" s="68">
        <v>0.28642000000000001</v>
      </c>
      <c r="B14" s="68">
        <v>0.35410900000000001</v>
      </c>
      <c r="C14" s="68">
        <v>4.8769900000000002</v>
      </c>
      <c r="D14" s="68">
        <v>1</v>
      </c>
      <c r="E14" s="68" t="s">
        <v>369</v>
      </c>
    </row>
    <row r="15" spans="1:5">
      <c r="A15" s="68">
        <v>0.29186699999999999</v>
      </c>
      <c r="B15" s="68">
        <v>0.34639900000000001</v>
      </c>
      <c r="C15" s="68">
        <v>5.2829600000000001</v>
      </c>
      <c r="D15" s="68">
        <v>1</v>
      </c>
      <c r="E15" s="68" t="s">
        <v>370</v>
      </c>
    </row>
    <row r="16" spans="1:5">
      <c r="A16" s="68">
        <v>0.29693199999999997</v>
      </c>
      <c r="B16" s="68">
        <v>0.34051900000000002</v>
      </c>
      <c r="C16" s="68">
        <v>5.6910600000000002</v>
      </c>
      <c r="D16" s="68">
        <v>1</v>
      </c>
      <c r="E16" s="68" t="s">
        <v>371</v>
      </c>
    </row>
    <row r="17" spans="1:5">
      <c r="A17" s="68">
        <v>0.30188900000000002</v>
      </c>
      <c r="B17" s="68">
        <v>0.33492300000000003</v>
      </c>
      <c r="C17" s="68">
        <v>6.0956900000000003</v>
      </c>
      <c r="D17" s="68">
        <v>1</v>
      </c>
      <c r="E17" s="68" t="s">
        <v>372</v>
      </c>
    </row>
    <row r="18" spans="1:5">
      <c r="A18" s="68">
        <v>0.30645699999999998</v>
      </c>
      <c r="B18" s="68">
        <v>0.32994800000000002</v>
      </c>
      <c r="C18" s="68">
        <v>6.4996900000000002</v>
      </c>
      <c r="D18" s="68">
        <v>1</v>
      </c>
      <c r="E18" s="68" t="s">
        <v>373</v>
      </c>
    </row>
    <row r="19" spans="1:5">
      <c r="A19" s="68">
        <v>0.31055899999999997</v>
      </c>
      <c r="B19" s="68">
        <v>0.32442900000000002</v>
      </c>
      <c r="C19" s="68">
        <v>6.9067600000000002</v>
      </c>
      <c r="D19" s="68">
        <v>1</v>
      </c>
      <c r="E19" s="68" t="s">
        <v>374</v>
      </c>
    </row>
    <row r="20" spans="1:5">
      <c r="A20" s="68">
        <v>0.314334</v>
      </c>
      <c r="B20" s="68">
        <v>0.31760699999999997</v>
      </c>
      <c r="C20" s="68">
        <v>7.3164400000000001</v>
      </c>
      <c r="D20" s="68">
        <v>1</v>
      </c>
      <c r="E20" s="68" t="s">
        <v>375</v>
      </c>
    </row>
    <row r="21" spans="1:5">
      <c r="A21" s="68">
        <v>0.31750899999999999</v>
      </c>
      <c r="B21" s="68">
        <v>0.31154300000000001</v>
      </c>
      <c r="C21" s="68">
        <v>7.7184799999999996</v>
      </c>
      <c r="D21" s="68">
        <v>1</v>
      </c>
      <c r="E21" s="68" t="s">
        <v>376</v>
      </c>
    </row>
    <row r="22" spans="1:5">
      <c r="A22" s="68">
        <v>0.32022899999999999</v>
      </c>
      <c r="B22" s="68">
        <v>0.30531799999999998</v>
      </c>
      <c r="C22" s="68">
        <v>8.1282800000000002</v>
      </c>
      <c r="D22" s="68">
        <v>1</v>
      </c>
      <c r="E22" s="68" t="s">
        <v>377</v>
      </c>
    </row>
    <row r="23" spans="1:5">
      <c r="A23" s="68">
        <v>0.32278800000000002</v>
      </c>
      <c r="B23" s="68">
        <v>0.29902299999999998</v>
      </c>
      <c r="C23" s="68">
        <v>8.5312300000000008</v>
      </c>
      <c r="D23" s="68">
        <v>1</v>
      </c>
      <c r="E23" s="68" t="s">
        <v>378</v>
      </c>
    </row>
    <row r="24" spans="1:5">
      <c r="A24" s="68">
        <v>0.32525300000000001</v>
      </c>
      <c r="B24" s="68">
        <v>0.29242600000000002</v>
      </c>
      <c r="C24" s="68">
        <v>8.9411400000000008</v>
      </c>
      <c r="D24" s="68">
        <v>1</v>
      </c>
      <c r="E24" s="68" t="s">
        <v>379</v>
      </c>
    </row>
    <row r="25" spans="1:5">
      <c r="A25" s="68">
        <v>0.32785700000000001</v>
      </c>
      <c r="B25" s="68">
        <v>0.28607500000000002</v>
      </c>
      <c r="C25" s="68">
        <v>9.3449899999999992</v>
      </c>
      <c r="D25" s="68">
        <v>1</v>
      </c>
      <c r="E25" s="68" t="s">
        <v>380</v>
      </c>
    </row>
    <row r="26" spans="1:5">
      <c r="A26" s="68">
        <v>0.32942900000000003</v>
      </c>
      <c r="B26" s="68">
        <v>0.28098899999999999</v>
      </c>
      <c r="C26" s="68">
        <v>9.7524999999999995</v>
      </c>
      <c r="D26" s="68">
        <v>1</v>
      </c>
      <c r="E26" s="68" t="s">
        <v>381</v>
      </c>
    </row>
    <row r="27" spans="1:5">
      <c r="A27" s="68">
        <v>0.33069100000000001</v>
      </c>
      <c r="B27" s="68">
        <v>0.27668300000000001</v>
      </c>
      <c r="C27" s="68">
        <v>10.157299999999999</v>
      </c>
      <c r="D27" s="68">
        <v>1</v>
      </c>
      <c r="E27" s="68" t="s">
        <v>382</v>
      </c>
    </row>
    <row r="28" spans="1:5">
      <c r="A28" s="68">
        <v>0.331708</v>
      </c>
      <c r="B28" s="68">
        <v>0.272484</v>
      </c>
      <c r="C28" s="68">
        <v>10.562799999999999</v>
      </c>
      <c r="D28" s="68">
        <v>1</v>
      </c>
      <c r="E28" s="68" t="s">
        <v>383</v>
      </c>
    </row>
    <row r="29" spans="1:5">
      <c r="A29" s="68">
        <v>0.33207500000000001</v>
      </c>
      <c r="B29" s="68">
        <v>0.26917400000000002</v>
      </c>
      <c r="C29" s="68">
        <v>10.9756</v>
      </c>
      <c r="D29" s="68">
        <v>1</v>
      </c>
      <c r="E29" s="68" t="s">
        <v>384</v>
      </c>
    </row>
    <row r="30" spans="1:5">
      <c r="A30" s="68">
        <v>0.33227299999999999</v>
      </c>
      <c r="B30" s="68">
        <v>0.26635599999999998</v>
      </c>
      <c r="C30" s="68">
        <v>11.378500000000001</v>
      </c>
      <c r="D30" s="68">
        <v>1</v>
      </c>
      <c r="E30" s="68" t="s">
        <v>385</v>
      </c>
    </row>
    <row r="31" spans="1:5">
      <c r="A31" s="68">
        <v>0.33246300000000001</v>
      </c>
      <c r="B31" s="68">
        <v>0.26365499999999997</v>
      </c>
      <c r="C31" s="68">
        <v>11.7822</v>
      </c>
      <c r="D31" s="68">
        <v>1</v>
      </c>
      <c r="E31" s="68" t="s">
        <v>386</v>
      </c>
    </row>
    <row r="32" spans="1:5">
      <c r="A32" s="68">
        <v>0.33230700000000002</v>
      </c>
      <c r="B32" s="68">
        <v>0.26174399999999998</v>
      </c>
      <c r="C32" s="68">
        <v>12.189399999999999</v>
      </c>
      <c r="D32" s="68">
        <v>1</v>
      </c>
      <c r="E32" s="68" t="s">
        <v>387</v>
      </c>
    </row>
    <row r="33" spans="1:5">
      <c r="A33" s="68">
        <v>0.33194899999999999</v>
      </c>
      <c r="B33" s="68">
        <v>0.25978499999999999</v>
      </c>
      <c r="C33" s="68">
        <v>12.5976</v>
      </c>
      <c r="D33" s="68">
        <v>1</v>
      </c>
      <c r="E33" s="68" t="s">
        <v>388</v>
      </c>
    </row>
    <row r="34" spans="1:5">
      <c r="A34" s="68">
        <v>0.33137</v>
      </c>
      <c r="B34" s="68">
        <v>0.25946200000000003</v>
      </c>
      <c r="C34" s="68">
        <v>13.0022</v>
      </c>
      <c r="D34" s="68">
        <v>1</v>
      </c>
      <c r="E34" s="68" t="s">
        <v>389</v>
      </c>
    </row>
    <row r="35" spans="1:5">
      <c r="A35" s="68">
        <v>0.330758</v>
      </c>
      <c r="B35" s="68">
        <v>0.26001000000000002</v>
      </c>
      <c r="C35" s="68">
        <v>13.407500000000001</v>
      </c>
      <c r="D35" s="68">
        <v>1</v>
      </c>
      <c r="E35" s="68" t="s">
        <v>390</v>
      </c>
    </row>
    <row r="36" spans="1:5">
      <c r="A36" s="68">
        <v>0.329961</v>
      </c>
      <c r="B36" s="68">
        <v>0.26081500000000002</v>
      </c>
      <c r="C36" s="68">
        <v>13.8132</v>
      </c>
      <c r="D36" s="68">
        <v>1</v>
      </c>
      <c r="E36" s="68" t="s">
        <v>391</v>
      </c>
    </row>
    <row r="37" spans="1:5">
      <c r="A37" s="68">
        <v>0.328928</v>
      </c>
      <c r="B37" s="68">
        <v>0.26257399999999997</v>
      </c>
      <c r="C37" s="68">
        <v>14.222</v>
      </c>
      <c r="D37" s="68">
        <v>1</v>
      </c>
      <c r="E37" s="68" t="s">
        <v>392</v>
      </c>
    </row>
    <row r="38" spans="1:5">
      <c r="A38" s="68">
        <v>0.32769199999999998</v>
      </c>
      <c r="B38" s="68">
        <v>0.26552199999999998</v>
      </c>
      <c r="C38" s="68">
        <v>14.629899999999999</v>
      </c>
      <c r="D38" s="68">
        <v>1</v>
      </c>
      <c r="E38" s="68" t="s">
        <v>393</v>
      </c>
    </row>
    <row r="39" spans="1:5">
      <c r="A39" s="68">
        <v>0.32680100000000001</v>
      </c>
      <c r="B39" s="68">
        <v>0.26828299999999999</v>
      </c>
      <c r="C39" s="68">
        <v>15.0328</v>
      </c>
      <c r="D39" s="68">
        <v>1</v>
      </c>
      <c r="E39" s="68" t="s">
        <v>394</v>
      </c>
    </row>
    <row r="40" spans="1:5">
      <c r="A40" s="68">
        <v>0.32639200000000002</v>
      </c>
      <c r="B40" s="68">
        <v>0.27117200000000002</v>
      </c>
      <c r="C40" s="68">
        <v>15.4358</v>
      </c>
      <c r="D40" s="68">
        <v>1</v>
      </c>
      <c r="E40" s="68" t="s">
        <v>395</v>
      </c>
    </row>
    <row r="41" spans="1:5">
      <c r="A41" s="68">
        <v>0.32636999999999999</v>
      </c>
      <c r="B41" s="68">
        <v>0.273254</v>
      </c>
      <c r="C41" s="68">
        <v>15.8436</v>
      </c>
      <c r="D41" s="68">
        <v>1</v>
      </c>
      <c r="E41" s="68" t="s">
        <v>396</v>
      </c>
    </row>
    <row r="42" spans="1:5">
      <c r="A42" s="68">
        <v>0.32639000000000001</v>
      </c>
      <c r="B42" s="68">
        <v>0.27533800000000003</v>
      </c>
      <c r="C42" s="68">
        <v>16.252500000000001</v>
      </c>
      <c r="D42" s="68">
        <v>1</v>
      </c>
      <c r="E42" s="68" t="s">
        <v>397</v>
      </c>
    </row>
    <row r="43" spans="1:5">
      <c r="A43" s="68">
        <v>0.32667200000000002</v>
      </c>
      <c r="B43" s="68">
        <v>0.27709299999999998</v>
      </c>
      <c r="C43" s="68">
        <v>16.659600000000001</v>
      </c>
      <c r="D43" s="68">
        <v>1</v>
      </c>
      <c r="E43" s="68" t="s">
        <v>398</v>
      </c>
    </row>
    <row r="44" spans="1:5">
      <c r="A44" s="68">
        <v>0.32713700000000001</v>
      </c>
      <c r="B44" s="68">
        <v>0.27877800000000003</v>
      </c>
      <c r="C44" s="68">
        <v>17.0654</v>
      </c>
      <c r="D44" s="68">
        <v>1</v>
      </c>
      <c r="E44" s="68" t="s">
        <v>399</v>
      </c>
    </row>
    <row r="45" spans="1:5">
      <c r="A45" s="68">
        <v>0.327544</v>
      </c>
      <c r="B45" s="68">
        <v>0.28148499999999999</v>
      </c>
      <c r="C45" s="68">
        <v>17.4712</v>
      </c>
      <c r="D45" s="68">
        <v>1</v>
      </c>
      <c r="E45" s="68" t="s">
        <v>400</v>
      </c>
    </row>
    <row r="46" spans="1:5">
      <c r="A46" s="68">
        <v>0.328154</v>
      </c>
      <c r="B46" s="68">
        <v>0.28384500000000001</v>
      </c>
      <c r="C46" s="68">
        <v>17.877600000000001</v>
      </c>
      <c r="D46" s="68">
        <v>1</v>
      </c>
      <c r="E46" s="68" t="s">
        <v>401</v>
      </c>
    </row>
    <row r="47" spans="1:5">
      <c r="A47" s="68">
        <v>0.32894499999999999</v>
      </c>
      <c r="B47" s="68">
        <v>0.28655900000000001</v>
      </c>
      <c r="C47" s="68">
        <v>18.277999999999999</v>
      </c>
      <c r="D47" s="68">
        <v>1</v>
      </c>
      <c r="E47" s="68" t="s">
        <v>402</v>
      </c>
    </row>
    <row r="48" spans="1:5">
      <c r="A48" s="68">
        <v>0.32981199999999999</v>
      </c>
      <c r="B48" s="68">
        <v>0.28910599999999997</v>
      </c>
      <c r="C48" s="68">
        <v>18.691099999999999</v>
      </c>
      <c r="D48" s="68">
        <v>1</v>
      </c>
      <c r="E48" s="68" t="s">
        <v>403</v>
      </c>
    </row>
    <row r="49" spans="1:5">
      <c r="A49" s="68">
        <v>0.33036300000000002</v>
      </c>
      <c r="B49" s="68">
        <v>0.29214200000000001</v>
      </c>
      <c r="C49" s="68">
        <v>19.097899999999999</v>
      </c>
      <c r="D49" s="68">
        <v>1</v>
      </c>
      <c r="E49" s="68" t="s">
        <v>404</v>
      </c>
    </row>
    <row r="50" spans="1:5">
      <c r="A50" s="68">
        <v>0.33061499999999999</v>
      </c>
      <c r="B50" s="68">
        <v>0.29608800000000002</v>
      </c>
      <c r="C50" s="68">
        <v>19.5029</v>
      </c>
      <c r="D50" s="68">
        <v>1</v>
      </c>
      <c r="E50" s="68" t="s">
        <v>405</v>
      </c>
    </row>
    <row r="51" spans="1:5">
      <c r="A51" s="68">
        <v>0.33085500000000001</v>
      </c>
      <c r="B51" s="68">
        <v>0.29984899999999998</v>
      </c>
      <c r="C51" s="68">
        <v>19.907800000000002</v>
      </c>
      <c r="D51" s="68">
        <v>1</v>
      </c>
      <c r="E51" s="68" t="s">
        <v>406</v>
      </c>
    </row>
    <row r="52" spans="1:5">
      <c r="A52" s="68">
        <v>0.33102300000000001</v>
      </c>
      <c r="B52" s="68">
        <v>0.302367</v>
      </c>
      <c r="C52" s="68">
        <v>20.314699999999998</v>
      </c>
      <c r="D52" s="68">
        <v>1</v>
      </c>
      <c r="E52" s="68" t="s">
        <v>407</v>
      </c>
    </row>
    <row r="53" spans="1:5">
      <c r="A53" s="68">
        <v>0.33130700000000002</v>
      </c>
      <c r="B53" s="68">
        <v>0.305533</v>
      </c>
      <c r="C53" s="68">
        <v>20.718499999999999</v>
      </c>
      <c r="D53" s="68">
        <v>1</v>
      </c>
      <c r="E53" s="68" t="s">
        <v>408</v>
      </c>
    </row>
    <row r="54" spans="1:5">
      <c r="A54" s="68">
        <v>0.33164300000000002</v>
      </c>
      <c r="B54" s="68">
        <v>0.30853900000000001</v>
      </c>
      <c r="C54" s="68">
        <v>21.128399999999999</v>
      </c>
      <c r="D54" s="68">
        <v>1</v>
      </c>
      <c r="E54" s="68" t="s">
        <v>409</v>
      </c>
    </row>
    <row r="55" spans="1:5">
      <c r="A55" s="68">
        <v>0.33197599999999999</v>
      </c>
      <c r="B55" s="68">
        <v>0.311</v>
      </c>
      <c r="C55" s="68">
        <v>21.5365</v>
      </c>
      <c r="D55" s="68">
        <v>1</v>
      </c>
      <c r="E55" s="68" t="s">
        <v>410</v>
      </c>
    </row>
    <row r="56" spans="1:5">
      <c r="A56" s="68">
        <v>0.33213999999999999</v>
      </c>
      <c r="B56" s="68">
        <v>0.31246600000000002</v>
      </c>
      <c r="C56" s="68">
        <v>21.939299999999999</v>
      </c>
      <c r="D56" s="68">
        <v>1</v>
      </c>
      <c r="E56" s="68" t="s">
        <v>411</v>
      </c>
    </row>
    <row r="57" spans="1:5">
      <c r="A57" s="68">
        <v>0.33223999999999998</v>
      </c>
      <c r="B57" s="68">
        <v>0.31326999999999999</v>
      </c>
      <c r="C57" s="68">
        <v>22.3462</v>
      </c>
      <c r="D57" s="68">
        <v>1</v>
      </c>
      <c r="E57" s="68" t="s">
        <v>412</v>
      </c>
    </row>
    <row r="58" spans="1:5">
      <c r="A58" s="68">
        <v>0.332065</v>
      </c>
      <c r="B58" s="68">
        <v>0.314973</v>
      </c>
      <c r="C58" s="68">
        <v>22.7501</v>
      </c>
      <c r="D58" s="68">
        <v>1</v>
      </c>
      <c r="E58" s="68" t="s">
        <v>413</v>
      </c>
    </row>
    <row r="59" spans="1:5">
      <c r="A59" s="68">
        <v>0.33190900000000001</v>
      </c>
      <c r="B59" s="68">
        <v>0.31639899999999999</v>
      </c>
      <c r="C59" s="68">
        <v>23.159099999999999</v>
      </c>
      <c r="D59" s="68">
        <v>1</v>
      </c>
      <c r="E59" s="68" t="s">
        <v>414</v>
      </c>
    </row>
    <row r="60" spans="1:5">
      <c r="A60" s="68">
        <v>0.33172699999999999</v>
      </c>
      <c r="B60" s="68">
        <v>0.31752000000000002</v>
      </c>
      <c r="C60" s="68">
        <v>23.568000000000001</v>
      </c>
      <c r="D60" s="68">
        <v>1</v>
      </c>
      <c r="E60" s="68" t="s">
        <v>415</v>
      </c>
    </row>
    <row r="61" spans="1:5">
      <c r="A61" s="68">
        <v>0.331538</v>
      </c>
      <c r="B61" s="68">
        <v>0.31881599999999999</v>
      </c>
      <c r="C61" s="68">
        <v>23.972799999999999</v>
      </c>
      <c r="D61" s="68">
        <v>1</v>
      </c>
      <c r="E61" s="68" t="s">
        <v>416</v>
      </c>
    </row>
    <row r="62" spans="1:5">
      <c r="A62" s="68">
        <v>0.33108900000000002</v>
      </c>
      <c r="B62" s="68">
        <v>0.32050600000000001</v>
      </c>
      <c r="C62" s="68">
        <v>24.376000000000001</v>
      </c>
      <c r="D62" s="68">
        <v>1</v>
      </c>
      <c r="E62" s="68" t="s">
        <v>417</v>
      </c>
    </row>
    <row r="63" spans="1:5">
      <c r="A63" s="68">
        <v>0.33022699999999999</v>
      </c>
      <c r="B63" s="68">
        <v>0.32228800000000002</v>
      </c>
      <c r="C63" s="68">
        <v>24.779699999999998</v>
      </c>
      <c r="D63" s="68">
        <v>1</v>
      </c>
      <c r="E63" s="68" t="s">
        <v>418</v>
      </c>
    </row>
    <row r="64" spans="1:5">
      <c r="A64" s="68">
        <v>0.32900600000000002</v>
      </c>
      <c r="B64" s="68">
        <v>0.32379000000000002</v>
      </c>
      <c r="C64" s="68">
        <v>25.1935</v>
      </c>
      <c r="D64" s="68">
        <v>1</v>
      </c>
      <c r="E64" s="68" t="s">
        <v>419</v>
      </c>
    </row>
    <row r="65" spans="1:5">
      <c r="A65" s="68">
        <v>0.32758999999999999</v>
      </c>
      <c r="B65" s="68">
        <v>0.32513599999999998</v>
      </c>
      <c r="C65" s="68">
        <v>25.596499999999999</v>
      </c>
      <c r="D65" s="68">
        <v>1</v>
      </c>
      <c r="E65" s="68" t="s">
        <v>420</v>
      </c>
    </row>
    <row r="66" spans="1:5">
      <c r="A66" s="68">
        <v>0.32616200000000001</v>
      </c>
      <c r="B66" s="68">
        <v>0.32688499999999998</v>
      </c>
      <c r="C66" s="68">
        <v>26.003399999999999</v>
      </c>
      <c r="D66" s="68">
        <v>1</v>
      </c>
      <c r="E66" s="68" t="s">
        <v>421</v>
      </c>
    </row>
    <row r="67" spans="1:5">
      <c r="A67" s="68">
        <v>0.32482800000000001</v>
      </c>
      <c r="B67" s="68">
        <v>0.32907999999999998</v>
      </c>
      <c r="C67" s="68">
        <v>26.407900000000001</v>
      </c>
      <c r="D67" s="68">
        <v>1</v>
      </c>
      <c r="E67" s="68" t="s">
        <v>422</v>
      </c>
    </row>
    <row r="68" spans="1:5">
      <c r="A68" s="68">
        <v>0.32347500000000001</v>
      </c>
      <c r="B68" s="68">
        <v>0.33177200000000001</v>
      </c>
      <c r="C68" s="68">
        <v>26.8123</v>
      </c>
      <c r="D68" s="68">
        <v>1</v>
      </c>
      <c r="E68" s="68" t="s">
        <v>423</v>
      </c>
    </row>
    <row r="69" spans="1:5">
      <c r="A69" s="68">
        <v>0.32224199999999997</v>
      </c>
      <c r="B69" s="68">
        <v>0.335283</v>
      </c>
      <c r="C69" s="68">
        <v>27.220099999999999</v>
      </c>
      <c r="D69" s="68">
        <v>1</v>
      </c>
      <c r="E69" s="68" t="s">
        <v>424</v>
      </c>
    </row>
    <row r="70" spans="1:5">
      <c r="A70" s="68">
        <v>0.32101499999999999</v>
      </c>
      <c r="B70" s="68">
        <v>0.338947</v>
      </c>
      <c r="C70" s="68">
        <v>27.625</v>
      </c>
      <c r="D70" s="68">
        <v>1</v>
      </c>
      <c r="E70" s="68" t="s">
        <v>425</v>
      </c>
    </row>
    <row r="71" spans="1:5">
      <c r="A71" s="68">
        <v>0.31993700000000003</v>
      </c>
      <c r="B71" s="68">
        <v>0.34231899999999998</v>
      </c>
      <c r="C71" s="68">
        <v>28.033999999999999</v>
      </c>
      <c r="D71" s="68">
        <v>1</v>
      </c>
      <c r="E71" s="68" t="s">
        <v>426</v>
      </c>
    </row>
    <row r="72" spans="1:5">
      <c r="A72" s="68">
        <v>0.31923299999999999</v>
      </c>
      <c r="B72" s="68">
        <v>0.34460400000000002</v>
      </c>
      <c r="C72" s="68">
        <v>28.441299999999998</v>
      </c>
      <c r="D72" s="68">
        <v>1</v>
      </c>
      <c r="E72" s="68" t="s">
        <v>427</v>
      </c>
    </row>
    <row r="73" spans="1:5">
      <c r="A73" s="68">
        <v>0.31851600000000002</v>
      </c>
      <c r="B73" s="68">
        <v>0.34678100000000001</v>
      </c>
      <c r="C73" s="68">
        <v>28.852900000000002</v>
      </c>
      <c r="D73" s="68">
        <v>1</v>
      </c>
      <c r="E73" s="68" t="s">
        <v>428</v>
      </c>
    </row>
    <row r="74" spans="1:5">
      <c r="A74" s="68">
        <v>0.31784000000000001</v>
      </c>
      <c r="B74" s="68">
        <v>0.34926200000000002</v>
      </c>
      <c r="C74" s="68">
        <v>29.257200000000001</v>
      </c>
      <c r="D74" s="68">
        <v>1</v>
      </c>
      <c r="E74" s="68" t="s">
        <v>429</v>
      </c>
    </row>
    <row r="75" spans="1:5">
      <c r="A75" s="68">
        <v>0.31701000000000001</v>
      </c>
      <c r="B75" s="68">
        <v>0.351132</v>
      </c>
      <c r="C75" s="68">
        <v>29.662600000000001</v>
      </c>
      <c r="D75" s="68">
        <v>1</v>
      </c>
      <c r="E75" s="68" t="s">
        <v>430</v>
      </c>
    </row>
    <row r="76" spans="1:5">
      <c r="A76" s="68">
        <v>0.31620900000000002</v>
      </c>
      <c r="B76" s="68">
        <v>0.35320000000000001</v>
      </c>
      <c r="C76" s="68">
        <v>30.063500000000001</v>
      </c>
      <c r="D76" s="68">
        <v>2</v>
      </c>
      <c r="E76" s="68" t="s">
        <v>431</v>
      </c>
    </row>
    <row r="77" spans="1:5">
      <c r="A77" s="68">
        <v>0.315469</v>
      </c>
      <c r="B77" s="68">
        <v>0.356958</v>
      </c>
      <c r="C77" s="68">
        <v>30.658999999999999</v>
      </c>
      <c r="D77" s="68">
        <v>2</v>
      </c>
      <c r="E77" s="68" t="s">
        <v>432</v>
      </c>
    </row>
    <row r="78" spans="1:5">
      <c r="A78" s="68">
        <v>0.315106</v>
      </c>
      <c r="B78" s="68">
        <v>0.35875400000000002</v>
      </c>
      <c r="C78" s="68">
        <v>31.036000000000001</v>
      </c>
      <c r="D78" s="68">
        <v>2</v>
      </c>
      <c r="E78" s="68" t="s">
        <v>433</v>
      </c>
    </row>
    <row r="79" spans="1:5">
      <c r="A79" s="68">
        <v>0.315104</v>
      </c>
      <c r="B79" s="68">
        <v>0.36016399999999998</v>
      </c>
      <c r="C79" s="68">
        <v>31.405999999999999</v>
      </c>
      <c r="D79" s="68">
        <v>2</v>
      </c>
      <c r="E79" s="68" t="s">
        <v>434</v>
      </c>
    </row>
    <row r="80" spans="1:5">
      <c r="A80" s="68">
        <v>0.31500800000000001</v>
      </c>
      <c r="B80" s="68">
        <v>0.36255700000000002</v>
      </c>
      <c r="C80" s="68">
        <v>31.783200000000001</v>
      </c>
      <c r="D80" s="68">
        <v>2</v>
      </c>
      <c r="E80" s="68" t="s">
        <v>435</v>
      </c>
    </row>
    <row r="81" spans="1:5">
      <c r="A81" s="68">
        <v>0.314718</v>
      </c>
      <c r="B81" s="68">
        <v>0.36530699999999999</v>
      </c>
      <c r="C81" s="68">
        <v>32.158999999999999</v>
      </c>
      <c r="D81" s="68">
        <v>2</v>
      </c>
      <c r="E81" s="68" t="s">
        <v>436</v>
      </c>
    </row>
    <row r="82" spans="1:5">
      <c r="A82" s="68">
        <v>0.31465300000000002</v>
      </c>
      <c r="B82" s="68">
        <v>0.36757299999999998</v>
      </c>
      <c r="C82" s="68">
        <v>32.566000000000003</v>
      </c>
      <c r="D82" s="68">
        <v>2</v>
      </c>
      <c r="E82" s="68" t="s">
        <v>437</v>
      </c>
    </row>
    <row r="83" spans="1:5">
      <c r="A83" s="68">
        <v>0.31468099999999999</v>
      </c>
      <c r="B83" s="68">
        <v>0.36926700000000001</v>
      </c>
      <c r="C83" s="68">
        <v>32.971699999999998</v>
      </c>
      <c r="D83" s="68">
        <v>2</v>
      </c>
      <c r="E83" s="68" t="s">
        <v>438</v>
      </c>
    </row>
    <row r="84" spans="1:5">
      <c r="A84" s="68">
        <v>0.31467699999999998</v>
      </c>
      <c r="B84" s="68">
        <v>0.37102299999999999</v>
      </c>
      <c r="C84" s="68">
        <v>33.375799999999998</v>
      </c>
      <c r="D84" s="68">
        <v>2</v>
      </c>
      <c r="E84" s="68" t="s">
        <v>439</v>
      </c>
    </row>
    <row r="85" spans="1:5">
      <c r="A85" s="68">
        <v>0.31464900000000001</v>
      </c>
      <c r="B85" s="68">
        <v>0.37277399999999999</v>
      </c>
      <c r="C85" s="68">
        <v>33.7819</v>
      </c>
      <c r="D85" s="68">
        <v>2</v>
      </c>
      <c r="E85" s="68" t="s">
        <v>440</v>
      </c>
    </row>
    <row r="86" spans="1:5">
      <c r="A86" s="68">
        <v>0.315027</v>
      </c>
      <c r="B86" s="68">
        <v>0.37382300000000002</v>
      </c>
      <c r="C86" s="68">
        <v>34.1935</v>
      </c>
      <c r="D86" s="68">
        <v>2</v>
      </c>
      <c r="E86" s="68" t="s">
        <v>441</v>
      </c>
    </row>
    <row r="87" spans="1:5">
      <c r="A87" s="68">
        <v>0.31596000000000002</v>
      </c>
      <c r="B87" s="68">
        <v>0.37360900000000002</v>
      </c>
      <c r="C87" s="68">
        <v>34.597700000000003</v>
      </c>
      <c r="D87" s="68">
        <v>2</v>
      </c>
      <c r="E87" s="68" t="s">
        <v>442</v>
      </c>
    </row>
    <row r="88" spans="1:5">
      <c r="A88" s="68">
        <v>0.31703199999999998</v>
      </c>
      <c r="B88" s="68">
        <v>0.37303799999999998</v>
      </c>
      <c r="C88" s="68">
        <v>35.002400000000002</v>
      </c>
      <c r="D88" s="68">
        <v>2</v>
      </c>
      <c r="E88" s="68" t="s">
        <v>443</v>
      </c>
    </row>
    <row r="89" spans="1:5">
      <c r="A89" s="68">
        <v>0.31800400000000001</v>
      </c>
      <c r="B89" s="68">
        <v>0.37328499999999998</v>
      </c>
      <c r="C89" s="68">
        <v>35.409300000000002</v>
      </c>
      <c r="D89" s="68">
        <v>2</v>
      </c>
      <c r="E89" s="68" t="s">
        <v>444</v>
      </c>
    </row>
    <row r="90" spans="1:5">
      <c r="A90" s="68">
        <v>0.31889699999999999</v>
      </c>
      <c r="B90" s="68">
        <v>0.37345400000000001</v>
      </c>
      <c r="C90" s="68">
        <v>35.812399999999997</v>
      </c>
      <c r="D90" s="68">
        <v>2</v>
      </c>
      <c r="E90" s="68" t="s">
        <v>445</v>
      </c>
    </row>
    <row r="91" spans="1:5">
      <c r="A91" s="68">
        <v>0.31978600000000001</v>
      </c>
      <c r="B91" s="68">
        <v>0.37368000000000001</v>
      </c>
      <c r="C91" s="68">
        <v>36.222099999999998</v>
      </c>
      <c r="D91" s="68">
        <v>2</v>
      </c>
      <c r="E91" s="68" t="s">
        <v>446</v>
      </c>
    </row>
    <row r="92" spans="1:5">
      <c r="A92" s="68">
        <v>0.32067000000000001</v>
      </c>
      <c r="B92" s="68">
        <v>0.37343199999999999</v>
      </c>
      <c r="C92" s="68">
        <v>36.628100000000003</v>
      </c>
      <c r="D92" s="68">
        <v>2</v>
      </c>
      <c r="E92" s="68" t="s">
        <v>447</v>
      </c>
    </row>
    <row r="93" spans="1:5">
      <c r="A93" s="68">
        <v>0.321405</v>
      </c>
      <c r="B93" s="68">
        <v>0.372944</v>
      </c>
      <c r="C93" s="68">
        <v>37.033900000000003</v>
      </c>
      <c r="D93" s="68">
        <v>2</v>
      </c>
      <c r="E93" s="68" t="s">
        <v>448</v>
      </c>
    </row>
    <row r="94" spans="1:5">
      <c r="A94" s="68">
        <v>0.32186100000000001</v>
      </c>
      <c r="B94" s="68">
        <v>0.37190400000000001</v>
      </c>
      <c r="C94" s="68">
        <v>37.438000000000002</v>
      </c>
      <c r="D94" s="68">
        <v>2</v>
      </c>
      <c r="E94" s="68" t="s">
        <v>449</v>
      </c>
    </row>
    <row r="95" spans="1:5">
      <c r="A95" s="68">
        <v>0.32220199999999999</v>
      </c>
      <c r="B95" s="68">
        <v>0.37078299999999997</v>
      </c>
      <c r="C95" s="68">
        <v>37.844900000000003</v>
      </c>
      <c r="D95" s="68">
        <v>2</v>
      </c>
      <c r="E95" s="68" t="s">
        <v>450</v>
      </c>
    </row>
    <row r="96" spans="1:5">
      <c r="A96" s="68">
        <v>0.32230700000000001</v>
      </c>
      <c r="B96" s="68">
        <v>0.370087</v>
      </c>
      <c r="C96" s="68">
        <v>38.250700000000002</v>
      </c>
      <c r="D96" s="68">
        <v>2</v>
      </c>
      <c r="E96" s="68" t="s">
        <v>451</v>
      </c>
    </row>
    <row r="97" spans="1:5">
      <c r="A97" s="68">
        <v>0.32224000000000003</v>
      </c>
      <c r="B97" s="68">
        <v>0.36987399999999998</v>
      </c>
      <c r="C97" s="68">
        <v>38.660600000000002</v>
      </c>
      <c r="D97" s="68">
        <v>2</v>
      </c>
      <c r="E97" s="68" t="s">
        <v>452</v>
      </c>
    </row>
    <row r="98" spans="1:5">
      <c r="A98" s="68">
        <v>0.32240999999999997</v>
      </c>
      <c r="B98" s="68">
        <v>0.36960999999999999</v>
      </c>
      <c r="C98" s="68">
        <v>39.067599999999999</v>
      </c>
      <c r="D98" s="68">
        <v>2</v>
      </c>
      <c r="E98" s="68" t="s">
        <v>453</v>
      </c>
    </row>
    <row r="99" spans="1:5">
      <c r="A99" s="68">
        <v>0.32289699999999999</v>
      </c>
      <c r="B99" s="68">
        <v>0.36839899999999998</v>
      </c>
      <c r="C99" s="68">
        <v>39.4724</v>
      </c>
      <c r="D99" s="68">
        <v>2</v>
      </c>
      <c r="E99" s="68" t="s">
        <v>454</v>
      </c>
    </row>
    <row r="100" spans="1:5">
      <c r="A100" s="68">
        <v>0.32355200000000001</v>
      </c>
      <c r="B100" s="68">
        <v>0.36685099999999998</v>
      </c>
      <c r="C100" s="68">
        <v>39.878500000000003</v>
      </c>
      <c r="D100" s="68">
        <v>2</v>
      </c>
      <c r="E100" s="68" t="s">
        <v>455</v>
      </c>
    </row>
    <row r="101" spans="1:5">
      <c r="A101" s="68">
        <v>0.32451400000000002</v>
      </c>
      <c r="B101" s="68">
        <v>0.36494700000000002</v>
      </c>
      <c r="C101" s="68">
        <v>40.286200000000001</v>
      </c>
      <c r="D101" s="68">
        <v>2</v>
      </c>
      <c r="E101" s="68" t="s">
        <v>456</v>
      </c>
    </row>
    <row r="102" spans="1:5">
      <c r="A102" s="68">
        <v>0.32555000000000001</v>
      </c>
      <c r="B102" s="68">
        <v>0.36204599999999998</v>
      </c>
      <c r="C102" s="68">
        <v>40.6905</v>
      </c>
      <c r="D102" s="68">
        <v>2</v>
      </c>
      <c r="E102" s="68" t="s">
        <v>457</v>
      </c>
    </row>
    <row r="103" spans="1:5">
      <c r="A103" s="68">
        <v>0.32680700000000001</v>
      </c>
      <c r="B103" s="68">
        <v>0.35912300000000003</v>
      </c>
      <c r="C103" s="68">
        <v>41.095999999999997</v>
      </c>
      <c r="D103" s="68">
        <v>2</v>
      </c>
      <c r="E103" s="68" t="s">
        <v>458</v>
      </c>
    </row>
    <row r="104" spans="1:5">
      <c r="A104" s="68">
        <v>0.32762799999999997</v>
      </c>
      <c r="B104" s="68">
        <v>0.357483</v>
      </c>
      <c r="C104" s="68">
        <v>41.501899999999999</v>
      </c>
      <c r="D104" s="68">
        <v>2</v>
      </c>
      <c r="E104" s="68" t="s">
        <v>459</v>
      </c>
    </row>
    <row r="105" spans="1:5">
      <c r="A105" s="68">
        <v>0.32824500000000001</v>
      </c>
      <c r="B105" s="68">
        <v>0.35671799999999998</v>
      </c>
      <c r="C105" s="68">
        <v>41.908900000000003</v>
      </c>
      <c r="D105" s="68">
        <v>2</v>
      </c>
      <c r="E105" s="68" t="s">
        <v>460</v>
      </c>
    </row>
    <row r="106" spans="1:5">
      <c r="A106" s="68">
        <v>0.32874900000000001</v>
      </c>
      <c r="B106" s="68">
        <v>0.355991</v>
      </c>
      <c r="C106" s="68">
        <v>42.315800000000003</v>
      </c>
      <c r="D106" s="68">
        <v>2</v>
      </c>
      <c r="E106" s="68" t="s">
        <v>461</v>
      </c>
    </row>
    <row r="107" spans="1:5">
      <c r="A107" s="68">
        <v>0.32953399999999999</v>
      </c>
      <c r="B107" s="68">
        <v>0.35421599999999998</v>
      </c>
      <c r="C107" s="68">
        <v>42.720700000000001</v>
      </c>
      <c r="D107" s="68">
        <v>2</v>
      </c>
      <c r="E107" s="68" t="s">
        <v>462</v>
      </c>
    </row>
    <row r="108" spans="1:5">
      <c r="A108" s="68">
        <v>0.330461</v>
      </c>
      <c r="B108" s="68">
        <v>0.35235300000000003</v>
      </c>
      <c r="C108" s="68">
        <v>43.1297</v>
      </c>
      <c r="D108" s="68">
        <v>2</v>
      </c>
      <c r="E108" s="68" t="s">
        <v>463</v>
      </c>
    </row>
    <row r="109" spans="1:5">
      <c r="A109" s="68">
        <v>0.33148100000000003</v>
      </c>
      <c r="B109" s="68">
        <v>0.349937</v>
      </c>
      <c r="C109" s="68">
        <v>43.533499999999997</v>
      </c>
      <c r="D109" s="68">
        <v>2</v>
      </c>
      <c r="E109" s="68" t="s">
        <v>464</v>
      </c>
    </row>
    <row r="110" spans="1:5">
      <c r="A110" s="68">
        <v>0.33258799999999999</v>
      </c>
      <c r="B110" s="68">
        <v>0.347136</v>
      </c>
      <c r="C110" s="68">
        <v>43.938499999999998</v>
      </c>
      <c r="D110" s="68">
        <v>2</v>
      </c>
      <c r="E110" s="68" t="s">
        <v>465</v>
      </c>
    </row>
    <row r="111" spans="1:5">
      <c r="A111" s="68">
        <v>0.33375500000000002</v>
      </c>
      <c r="B111" s="68">
        <v>0.343773</v>
      </c>
      <c r="C111" s="68">
        <v>44.342599999999997</v>
      </c>
      <c r="D111" s="68">
        <v>2</v>
      </c>
      <c r="E111" s="68" t="s">
        <v>466</v>
      </c>
    </row>
    <row r="112" spans="1:5">
      <c r="A112" s="68">
        <v>0.33482000000000001</v>
      </c>
      <c r="B112" s="68">
        <v>0.340254</v>
      </c>
      <c r="C112" s="68">
        <v>44.753399999999999</v>
      </c>
      <c r="D112" s="68">
        <v>2</v>
      </c>
      <c r="E112" s="68" t="s">
        <v>467</v>
      </c>
    </row>
    <row r="113" spans="1:5">
      <c r="A113" s="68">
        <v>0.33596799999999999</v>
      </c>
      <c r="B113" s="68">
        <v>0.33788899999999999</v>
      </c>
      <c r="C113" s="68">
        <v>45.158299999999997</v>
      </c>
      <c r="D113" s="68">
        <v>2</v>
      </c>
      <c r="E113" s="68" t="s">
        <v>468</v>
      </c>
    </row>
    <row r="114" spans="1:5">
      <c r="A114" s="68">
        <v>0.33739799999999998</v>
      </c>
      <c r="B114" s="68">
        <v>0.33524399999999999</v>
      </c>
      <c r="C114" s="68">
        <v>45.564100000000003</v>
      </c>
      <c r="D114" s="68">
        <v>2</v>
      </c>
      <c r="E114" s="68" t="s">
        <v>469</v>
      </c>
    </row>
    <row r="115" spans="1:5">
      <c r="A115" s="68">
        <v>0.33868900000000002</v>
      </c>
      <c r="B115" s="68">
        <v>0.33275399999999999</v>
      </c>
      <c r="C115" s="68">
        <v>45.97</v>
      </c>
      <c r="D115" s="68">
        <v>2</v>
      </c>
      <c r="E115" s="68" t="s">
        <v>470</v>
      </c>
    </row>
    <row r="116" spans="1:5">
      <c r="A116" s="68">
        <v>0.33971099999999999</v>
      </c>
      <c r="B116" s="68">
        <v>0.33103900000000003</v>
      </c>
      <c r="C116" s="68">
        <v>46.374299999999998</v>
      </c>
      <c r="D116" s="68">
        <v>2</v>
      </c>
      <c r="E116" s="68" t="s">
        <v>471</v>
      </c>
    </row>
    <row r="117" spans="1:5">
      <c r="A117" s="68">
        <v>0.34079900000000002</v>
      </c>
      <c r="B117" s="68">
        <v>0.32886199999999999</v>
      </c>
      <c r="C117" s="68">
        <v>46.7789</v>
      </c>
      <c r="D117" s="68">
        <v>2</v>
      </c>
      <c r="E117" s="68" t="s">
        <v>472</v>
      </c>
    </row>
    <row r="118" spans="1:5">
      <c r="A118" s="68">
        <v>0.341557</v>
      </c>
      <c r="B118" s="68">
        <v>0.32703700000000002</v>
      </c>
      <c r="C118" s="68">
        <v>47.186799999999998</v>
      </c>
      <c r="D118" s="68">
        <v>2</v>
      </c>
      <c r="E118" s="68" t="s">
        <v>473</v>
      </c>
    </row>
    <row r="119" spans="1:5">
      <c r="A119" s="68">
        <v>0.342393</v>
      </c>
      <c r="B119" s="68">
        <v>0.32595200000000002</v>
      </c>
      <c r="C119" s="68">
        <v>47.596699999999998</v>
      </c>
      <c r="D119" s="68">
        <v>2</v>
      </c>
      <c r="E119" s="68" t="s">
        <v>474</v>
      </c>
    </row>
    <row r="120" spans="1:5">
      <c r="A120" s="68">
        <v>0.34334500000000001</v>
      </c>
      <c r="B120" s="68">
        <v>0.324826</v>
      </c>
      <c r="C120" s="68">
        <v>48.003599999999999</v>
      </c>
      <c r="D120" s="68">
        <v>2</v>
      </c>
      <c r="E120" s="68" t="s">
        <v>475</v>
      </c>
    </row>
    <row r="121" spans="1:5">
      <c r="A121" s="68">
        <v>0.34412900000000002</v>
      </c>
      <c r="B121" s="68">
        <v>0.32394099999999998</v>
      </c>
      <c r="C121" s="68">
        <v>48.415599999999998</v>
      </c>
      <c r="D121" s="68">
        <v>2</v>
      </c>
      <c r="E121" s="68" t="s">
        <v>476</v>
      </c>
    </row>
    <row r="122" spans="1:5">
      <c r="A122" s="68">
        <v>0.34488400000000002</v>
      </c>
      <c r="B122" s="68">
        <v>0.323214</v>
      </c>
      <c r="C122" s="68">
        <v>48.817900000000002</v>
      </c>
      <c r="D122" s="68">
        <v>2</v>
      </c>
      <c r="E122" s="68" t="s">
        <v>477</v>
      </c>
    </row>
    <row r="123" spans="1:5">
      <c r="A123" s="68">
        <v>0.34578500000000001</v>
      </c>
      <c r="B123" s="68">
        <v>0.32090099999999999</v>
      </c>
      <c r="C123" s="68">
        <v>49.2226</v>
      </c>
      <c r="D123" s="68">
        <v>2</v>
      </c>
      <c r="E123" s="68" t="s">
        <v>478</v>
      </c>
    </row>
    <row r="124" spans="1:5">
      <c r="A124" s="68">
        <v>0.34660600000000003</v>
      </c>
      <c r="B124" s="68">
        <v>0.318357</v>
      </c>
      <c r="C124" s="68">
        <v>49.629399999999997</v>
      </c>
      <c r="D124" s="68">
        <v>2</v>
      </c>
      <c r="E124" s="68" t="s">
        <v>479</v>
      </c>
    </row>
    <row r="125" spans="1:5">
      <c r="A125" s="68">
        <v>0.34719299999999997</v>
      </c>
      <c r="B125" s="68">
        <v>0.31703199999999998</v>
      </c>
      <c r="C125" s="68">
        <v>50.030299999999997</v>
      </c>
      <c r="D125" s="68">
        <v>2</v>
      </c>
      <c r="E125" s="68" t="s">
        <v>480</v>
      </c>
    </row>
    <row r="126" spans="1:5">
      <c r="A126" s="68">
        <v>0.34758099999999997</v>
      </c>
      <c r="B126" s="68">
        <v>0.31620100000000001</v>
      </c>
      <c r="C126" s="68">
        <v>50.448300000000003</v>
      </c>
      <c r="D126" s="68">
        <v>2</v>
      </c>
      <c r="E126" s="68" t="s">
        <v>481</v>
      </c>
    </row>
    <row r="127" spans="1:5">
      <c r="A127" s="68">
        <v>0.34777200000000003</v>
      </c>
      <c r="B127" s="68">
        <v>0.31563400000000003</v>
      </c>
      <c r="C127" s="68">
        <v>50.845999999999997</v>
      </c>
      <c r="D127" s="68">
        <v>2</v>
      </c>
      <c r="E127" s="68" t="s">
        <v>482</v>
      </c>
    </row>
    <row r="128" spans="1:5">
      <c r="A128" s="68">
        <v>0.34753000000000001</v>
      </c>
      <c r="B128" s="68">
        <v>0.31543500000000002</v>
      </c>
      <c r="C128" s="68">
        <v>51.252099999999999</v>
      </c>
      <c r="D128" s="68">
        <v>2</v>
      </c>
      <c r="E128" s="68" t="s">
        <v>483</v>
      </c>
    </row>
    <row r="129" spans="1:5">
      <c r="A129" s="68">
        <v>0.34740799999999999</v>
      </c>
      <c r="B129" s="68">
        <v>0.314417</v>
      </c>
      <c r="C129" s="68">
        <v>51.660800000000002</v>
      </c>
      <c r="D129" s="68">
        <v>2</v>
      </c>
      <c r="E129" s="68" t="s">
        <v>484</v>
      </c>
    </row>
    <row r="130" spans="1:5">
      <c r="A130" s="68">
        <v>0.34771299999999999</v>
      </c>
      <c r="B130" s="68">
        <v>0.31242900000000001</v>
      </c>
      <c r="C130" s="68">
        <v>52.064799999999998</v>
      </c>
      <c r="D130" s="68">
        <v>2</v>
      </c>
      <c r="E130" s="68" t="s">
        <v>485</v>
      </c>
    </row>
    <row r="131" spans="1:5">
      <c r="A131" s="68">
        <v>0.34828100000000001</v>
      </c>
      <c r="B131" s="68">
        <v>0.31060300000000002</v>
      </c>
      <c r="C131" s="68">
        <v>52.467599999999997</v>
      </c>
      <c r="D131" s="68">
        <v>2</v>
      </c>
      <c r="E131" s="68" t="s">
        <v>486</v>
      </c>
    </row>
    <row r="132" spans="1:5">
      <c r="A132" s="68">
        <v>0.34864299999999998</v>
      </c>
      <c r="B132" s="68">
        <v>0.30948999999999999</v>
      </c>
      <c r="C132" s="68">
        <v>52.876600000000003</v>
      </c>
      <c r="D132" s="68">
        <v>2</v>
      </c>
      <c r="E132" s="68" t="s">
        <v>487</v>
      </c>
    </row>
    <row r="133" spans="1:5">
      <c r="A133" s="68">
        <v>0.34881299999999998</v>
      </c>
      <c r="B133" s="68">
        <v>0.30856800000000001</v>
      </c>
      <c r="C133" s="68">
        <v>53.283499999999997</v>
      </c>
      <c r="D133" s="68">
        <v>2</v>
      </c>
      <c r="E133" s="68" t="s">
        <v>488</v>
      </c>
    </row>
    <row r="134" spans="1:5">
      <c r="A134" s="68">
        <v>0.34896500000000003</v>
      </c>
      <c r="B134" s="68">
        <v>0.30786400000000003</v>
      </c>
      <c r="C134" s="68">
        <v>53.693399999999997</v>
      </c>
      <c r="D134" s="68">
        <v>2</v>
      </c>
      <c r="E134" s="68" t="s">
        <v>489</v>
      </c>
    </row>
    <row r="135" spans="1:5">
      <c r="A135" s="68">
        <v>0.34894700000000001</v>
      </c>
      <c r="B135" s="68">
        <v>0.30764200000000003</v>
      </c>
      <c r="C135" s="68">
        <v>54.0974</v>
      </c>
      <c r="D135" s="68">
        <v>2</v>
      </c>
      <c r="E135" s="68" t="s">
        <v>490</v>
      </c>
    </row>
    <row r="136" spans="1:5">
      <c r="A136" s="68">
        <v>0.34855900000000001</v>
      </c>
      <c r="B136" s="68">
        <v>0.30821500000000002</v>
      </c>
      <c r="C136" s="68">
        <v>54.501600000000003</v>
      </c>
      <c r="D136" s="68">
        <v>2</v>
      </c>
      <c r="E136" s="68" t="s">
        <v>491</v>
      </c>
    </row>
    <row r="137" spans="1:5">
      <c r="A137" s="68">
        <v>0.34778500000000001</v>
      </c>
      <c r="B137" s="68">
        <v>0.30971500000000002</v>
      </c>
      <c r="C137" s="68">
        <v>54.908299999999997</v>
      </c>
      <c r="D137" s="68">
        <v>2</v>
      </c>
      <c r="E137" s="68" t="s">
        <v>492</v>
      </c>
    </row>
    <row r="138" spans="1:5">
      <c r="A138" s="68">
        <v>0.34697</v>
      </c>
      <c r="B138" s="68">
        <v>0.30957299999999999</v>
      </c>
      <c r="C138" s="68">
        <v>55.316000000000003</v>
      </c>
      <c r="D138" s="68">
        <v>2</v>
      </c>
      <c r="E138" s="68" t="s">
        <v>493</v>
      </c>
    </row>
    <row r="139" spans="1:5">
      <c r="A139" s="68">
        <v>0.34584999999999999</v>
      </c>
      <c r="B139" s="68">
        <v>0.30981900000000001</v>
      </c>
      <c r="C139" s="68">
        <v>55.721899999999998</v>
      </c>
      <c r="D139" s="68">
        <v>2</v>
      </c>
      <c r="E139" s="68" t="s">
        <v>494</v>
      </c>
    </row>
    <row r="140" spans="1:5">
      <c r="A140" s="68">
        <v>0.34505599999999997</v>
      </c>
      <c r="B140" s="68">
        <v>0.30999399999999999</v>
      </c>
      <c r="C140" s="68">
        <v>56.124299999999998</v>
      </c>
      <c r="D140" s="68">
        <v>2</v>
      </c>
      <c r="E140" s="68" t="s">
        <v>495</v>
      </c>
    </row>
    <row r="141" spans="1:5">
      <c r="A141" s="68">
        <v>0.34457599999999999</v>
      </c>
      <c r="B141" s="68">
        <v>0.30856499999999998</v>
      </c>
      <c r="C141" s="68">
        <v>56.532899999999998</v>
      </c>
      <c r="D141" s="68">
        <v>2</v>
      </c>
      <c r="E141" s="68" t="s">
        <v>496</v>
      </c>
    </row>
    <row r="142" spans="1:5">
      <c r="A142" s="68">
        <v>0.34340999999999999</v>
      </c>
      <c r="B142" s="68">
        <v>0.30891299999999999</v>
      </c>
      <c r="C142" s="68">
        <v>56.938800000000001</v>
      </c>
      <c r="D142" s="68">
        <v>2</v>
      </c>
      <c r="E142" s="68" t="s">
        <v>497</v>
      </c>
    </row>
    <row r="143" spans="1:5">
      <c r="A143" s="68">
        <v>0.34332000000000001</v>
      </c>
      <c r="B143" s="68">
        <v>0.30830600000000002</v>
      </c>
      <c r="C143" s="68">
        <v>57.3446</v>
      </c>
      <c r="D143" s="68">
        <v>2</v>
      </c>
      <c r="E143" s="68" t="s">
        <v>498</v>
      </c>
    </row>
    <row r="144" spans="1:5">
      <c r="A144" s="68">
        <v>0.34332499999999999</v>
      </c>
      <c r="B144" s="68">
        <v>0.30580499999999999</v>
      </c>
      <c r="C144" s="68">
        <v>57.749899999999997</v>
      </c>
      <c r="D144" s="68">
        <v>2</v>
      </c>
      <c r="E144" s="68" t="s">
        <v>499</v>
      </c>
    </row>
    <row r="145" spans="1:5">
      <c r="A145" s="68">
        <v>0.34329199999999999</v>
      </c>
      <c r="B145" s="68">
        <v>0.30293599999999998</v>
      </c>
      <c r="C145" s="68">
        <v>58.159399999999998</v>
      </c>
      <c r="D145" s="68">
        <v>2</v>
      </c>
      <c r="E145" s="68" t="s">
        <v>500</v>
      </c>
    </row>
    <row r="146" spans="1:5">
      <c r="A146" s="68">
        <v>0.34431099999999998</v>
      </c>
      <c r="B146" s="68">
        <v>0.297703</v>
      </c>
      <c r="C146" s="68">
        <v>58.567399999999999</v>
      </c>
      <c r="D146" s="68">
        <v>2</v>
      </c>
      <c r="E146" s="68" t="s">
        <v>501</v>
      </c>
    </row>
    <row r="147" spans="1:5">
      <c r="A147" s="68">
        <v>0.34567199999999998</v>
      </c>
      <c r="B147" s="68">
        <v>0.28899599999999998</v>
      </c>
      <c r="C147" s="68">
        <v>58.970199999999998</v>
      </c>
      <c r="D147" s="68">
        <v>2</v>
      </c>
      <c r="E147" s="68" t="s">
        <v>502</v>
      </c>
    </row>
    <row r="148" spans="1:5">
      <c r="A148" s="68">
        <v>0.34590399999999999</v>
      </c>
      <c r="B148" s="68">
        <v>0.28383599999999998</v>
      </c>
      <c r="C148" s="68">
        <v>59.377299999999998</v>
      </c>
      <c r="D148" s="68">
        <v>2</v>
      </c>
      <c r="E148" s="68" t="s">
        <v>503</v>
      </c>
    </row>
    <row r="149" spans="1:5">
      <c r="A149" s="68">
        <v>0.34271400000000002</v>
      </c>
      <c r="B149" s="68">
        <v>0.29121000000000002</v>
      </c>
      <c r="C149" s="68">
        <v>59.783299999999997</v>
      </c>
      <c r="D149" s="68">
        <v>2</v>
      </c>
      <c r="E149" s="68" t="s">
        <v>504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505</v>
      </c>
      <c r="B1" s="66" t="s">
        <v>506</v>
      </c>
      <c r="C1" s="66" t="s">
        <v>508</v>
      </c>
      <c r="D1" s="66" t="s">
        <v>509</v>
      </c>
      <c r="E1" s="66" t="s">
        <v>510</v>
      </c>
      <c r="F1" s="66" t="s">
        <v>293</v>
      </c>
      <c r="G1" s="66" t="s">
        <v>294</v>
      </c>
      <c r="H1" s="66" t="s">
        <v>511</v>
      </c>
      <c r="I1" s="66" t="s">
        <v>512</v>
      </c>
      <c r="J1" s="66" t="s">
        <v>513</v>
      </c>
      <c r="K1" s="66" t="s">
        <v>514</v>
      </c>
      <c r="L1" s="66" t="s">
        <v>515</v>
      </c>
      <c r="M1" s="66" t="s">
        <v>516</v>
      </c>
      <c r="N1" s="66"/>
    </row>
    <row r="2" spans="1:14">
      <c r="A2" s="75">
        <v>43606.378668981481</v>
      </c>
      <c r="B2" s="66" t="s">
        <v>507</v>
      </c>
      <c r="C2" s="66"/>
      <c r="D2" s="66"/>
      <c r="E2" s="66">
        <v>4.9234099999999996</v>
      </c>
      <c r="F2" s="66">
        <v>1.6198300000000001</v>
      </c>
      <c r="G2" s="66">
        <v>0.64793699999999999</v>
      </c>
      <c r="H2" s="66">
        <v>0</v>
      </c>
      <c r="I2" s="66">
        <v>85642</v>
      </c>
      <c r="J2" s="66">
        <v>86</v>
      </c>
      <c r="K2" s="66">
        <v>86</v>
      </c>
      <c r="L2" s="66">
        <v>0</v>
      </c>
      <c r="M2" s="66" t="s">
        <v>517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2019-05-21T01:06:17Z</cp:lastPrinted>
  <dcterms:created xsi:type="dcterms:W3CDTF">2010-10-29T12:53:05Z</dcterms:created>
  <dcterms:modified xsi:type="dcterms:W3CDTF">2019-05-21T01:07:48Z</dcterms:modified>
</cp:coreProperties>
</file>