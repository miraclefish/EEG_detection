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<sst xmlns="http://schemas.openxmlformats.org/spreadsheetml/2006/main" count="701" uniqueCount="520">
  <si>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</si>
  <si>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</si>
  <si>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</si>
  <si>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</si>
  <si>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</si>
  <si>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</si>
  <si>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</si>
  <si>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</si>
  <si>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</si>
  <si>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</si>
  <si>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</si>
  <si>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</si>
  <si>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</si>
  <si>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</si>
  <si>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</si>
  <si>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</si>
  <si>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</si>
  <si>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</si>
  <si>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</si>
  <si>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</si>
  <si>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</si>
  <si>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</si>
  <si>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</si>
  <si>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</si>
  <si>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</si>
  <si>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</si>
  <si>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</si>
  <si>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</si>
  <si>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</si>
  <si>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</si>
  <si>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</si>
  <si>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</si>
  <si>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</si>
  <si>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</si>
  <si>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</si>
  <si>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</si>
  <si>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</si>
  <si>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</si>
  <si>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</si>
  <si>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</si>
  <si>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</si>
  <si>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</si>
  <si>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</si>
  <si>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</si>
  <si>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</si>
  <si>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</si>
  <si>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</si>
  <si>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</si>
  <si>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</si>
  <si>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</si>
  <si>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</si>
  <si>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</si>
  <si>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</si>
  <si>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</si>
  <si>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</si>
  <si>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</si>
  <si>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</si>
  <si>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</si>
  <si>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</si>
  <si>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</si>
  <si>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</si>
  <si>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</si>
  <si>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</si>
  <si>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</si>
  <si>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</si>
  <si>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</si>
  <si>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</si>
  <si>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</si>
  <si>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</si>
  <si>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</si>
  <si>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</si>
  <si>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</si>
  <si>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</si>
  <si>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</si>
  <si>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</si>
  <si>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</si>
  <si>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</si>
  <si>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</si>
  <si>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</si>
  <si>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</si>
  <si>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</si>
  <si>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</si>
  <si>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</si>
  <si>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</si>
  <si>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</si>
  <si>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</si>
  <si>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</si>
  <si>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</si>
  <si>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</si>
  <si>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</si>
  <si>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</si>
  <si>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</si>
  <si>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</si>
  <si>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</si>
  <si>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</si>
  <si>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</si>
  <si>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</si>
  <si>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</si>
  <si>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</si>
  <si>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</si>
  <si>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</si>
  <si>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</si>
  <si>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</si>
  <si>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</si>
  <si>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</si>
  <si>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</si>
  <si>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</si>
  <si>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</si>
  <si>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</si>
  <si>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</si>
  <si>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</si>
  <si>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</si>
  <si>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</si>
  <si>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</si>
  <si>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</si>
  <si>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</si>
  <si>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</si>
  <si>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</si>
  <si>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</si>
  <si>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</si>
  <si>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</si>
  <si>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</si>
  <si>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</si>
  <si>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</si>
  <si>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</si>
  <si>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</si>
  <si>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</si>
  <si>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</si>
  <si>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</si>
  <si>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</si>
  <si>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</si>
  <si>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</si>
  <si>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</si>
  <si>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</si>
  <si>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</si>
  <si>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</si>
  <si>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</si>
  <si>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</si>
  <si>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</si>
  <si>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</si>
  <si>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</si>
  <si>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</si>
  <si>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</si>
  <si>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</si>
  <si>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</si>
  <si>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</si>
  <si>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</si>
  <si>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</si>
  <si>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</si>
  <si>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</si>
  <si>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</si>
  <si>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</si>
  <si>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</si>
  <si>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</si>
  <si>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</si>
  <si>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</si>
  <si>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</si>
  <si>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</si>
  <si>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</si>
  <si>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</si>
  <si>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</si>
  <si>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</si>
  <si>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</si>
  <si>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</si>
  <si>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</si>
  <si>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</si>
  <si>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</si>
  <si>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</si>
  <si>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</si>
  <si>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</si>
  <si>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</si>
  <si>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</si>
  <si>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</si>
  <si>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</si>
  <si>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</si>
  <si>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</si>
  <si>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</si>
  <si>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</si>
  <si>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</si>
  <si>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</si>
  <si>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</si>
  <si>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</si>
  <si>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</si>
  <si>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</si>
  <si>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</si>
  <si>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</si>
  <si>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</si>
  <si>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</si>
  <si>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</si>
  <si>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</si>
  <si>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</si>
  <si>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</si>
  <si>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</si>
  <si>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</si>
  <si>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</si>
  <si>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</si>
  <si>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</si>
  <si>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</si>
  <si>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</si>
  <si>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</si>
  <si>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</si>
  <si>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</si>
  <si>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</si>
  <si>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</si>
  <si>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</si>
  <si>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</si>
  <si>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</si>
  <si>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</si>
  <si>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</si>
  <si>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</si>
  <si>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</si>
  <si>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</si>
  <si>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</si>
  <si>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</si>
  <si>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</si>
  <si>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</si>
  <si>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</si>
  <si>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</si>
  <si>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</si>
  <si>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</si>
  <si>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</si>
  <si>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</si>
  <si>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</si>
  <si>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</si>
  <si>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</si>
  <si>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</si>
  <si>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</si>
  <si>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</si>
  <si>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</si>
  <si>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</si>
  <si>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</si>
  <si>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</si>
  <si>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</si>
  <si>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</si>
  <si>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</si>
  <si>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</si>
  <si>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</si>
  <si>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</si>
  <si>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</si>
  <si>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</si>
  <si>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</si>
  <si>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</si>
  <si>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</si>
  <si>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</si>
  <si>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</si>
  <si>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</si>
  <si>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</si>
  <si>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</si>
  <si>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</si>
  <si>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</si>
  <si>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</si>
  <si>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</si>
  <si>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</si>
  <si>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</si>
  <si>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</si>
  <si>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</si>
  <si>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</si>
  <si>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</si>
  <si>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</si>
  <si>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</si>
  <si>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</si>
  <si>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</si>
  <si>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</si>
  <si>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</si>
  <si>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</si>
  <si>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</si>
  <si>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</si>
  <si>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</si>
  <si>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</si>
  <si>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</si>
  <si>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</si>
  <si>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</si>
  <si>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</si>
  <si>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</si>
  <si>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</si>
  <si>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</si>
  <si>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</si>
  <si>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</si>
  <si>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</si>
  <si>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</si>
  <si>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</si>
  <si>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</si>
  <si>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</si>
  <si>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</si>
  <si>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</si>
  <si>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</si>
  <si>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</si>
  <si>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</si>
  <si>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</si>
  <si>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</si>
  <si>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</si>
  <si>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</si>
  <si>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</si>
  <si>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</si>
  <si>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</si>
  <si>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</si>
  <si>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</si>
  <si>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</si>
  <si>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</si>
  <si>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</si>
  <si>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</si>
  <si>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</si>
  <si>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</si>
  <si>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</si>
  <si>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</si>
  <si>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</si>
  <si>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</si>
  <si>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</si>
  <si>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</si>
  <si>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</si>
  <si>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</si>
  <si>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</si>
  <si>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</si>
  <si>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</si>
  <si>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</si>
  <si>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</si>
  <si>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</si>
  <si>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</si>
  <si>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</si>
  <si>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</si>
  <si>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</si>
  <si>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</si>
  <si>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</si>
  <si>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</si>
  <si>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</si>
  <si>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</si>
  <si>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</si>
  <si>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</si>
  <si>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</si>
  <si>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</si>
  <si>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</si>
  <si>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</si>
  <si>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</si>
  <si>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</si>
  <si>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</si>
  <si>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</si>
  <si>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</si>
  <si>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</si>
  <si>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</si>
  <si>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</si>
  <si>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</si>
  <si>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</si>
  <si>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</si>
  <si>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</si>
  <si>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</si>
  <si>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</si>
  <si>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CMax</t>
    <phoneticPr fontId="29" type="noConversion"/>
  </si>
  <si>
    <t>每秒输出帧率</t>
    <phoneticPr fontId="29" type="noConversion"/>
  </si>
  <si>
    <t>A4 (fast)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</si>
  <si>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</si>
  <si>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</si>
  <si>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</si>
  <si>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</si>
  <si>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</si>
  <si>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</si>
  <si>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</si>
  <si>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</si>
  <si>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</si>
  <si>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[0.409295]</t>
  </si>
  <si>
    <t>1 [0.816036]</t>
  </si>
  <si>
    <t>1 [1.219158]</t>
  </si>
  <si>
    <t>1 [1.625365]</t>
  </si>
  <si>
    <t>1 [2.033964]</t>
  </si>
  <si>
    <t>1 [2.439794]</t>
  </si>
  <si>
    <t>1 [2.846898]</t>
  </si>
  <si>
    <t>1 [3.253651]</t>
  </si>
  <si>
    <t>1 [3.653797]</t>
  </si>
  <si>
    <t>1 [4.063692]</t>
  </si>
  <si>
    <t>1 [4.470277]</t>
  </si>
  <si>
    <t>1 [4.877962]</t>
  </si>
  <si>
    <t>1 [5.284294]</t>
  </si>
  <si>
    <t>1 [5.686796]</t>
  </si>
  <si>
    <t>1 [6.095228]</t>
  </si>
  <si>
    <t>1 [6.500995]</t>
  </si>
  <si>
    <t>1 [6.909967]</t>
  </si>
  <si>
    <t>1 [7.315329]</t>
  </si>
  <si>
    <t>1 [7.719819]</t>
  </si>
  <si>
    <t>1 [8.127406]</t>
  </si>
  <si>
    <t>1 [8.535292]</t>
  </si>
  <si>
    <t>1 [8.941643]</t>
  </si>
  <si>
    <t>1 [9.344209]</t>
  </si>
  <si>
    <t>1 [9.748926]</t>
  </si>
  <si>
    <t>1 [10.156263]</t>
  </si>
  <si>
    <t>1 [10.563167]</t>
  </si>
  <si>
    <t>1 [10.970939]</t>
  </si>
  <si>
    <t>1 [11.375266]</t>
  </si>
  <si>
    <t>1 [11.782578]</t>
  </si>
  <si>
    <t>1 [12.190322]</t>
  </si>
  <si>
    <t>1 [12.593283]</t>
  </si>
  <si>
    <t>1 [13.000081]</t>
  </si>
  <si>
    <t>1 [13.407045]</t>
  </si>
  <si>
    <t>1 [13.814576]</t>
  </si>
  <si>
    <t>1 [14.222276]</t>
  </si>
  <si>
    <t>1 [14.625397]</t>
  </si>
  <si>
    <t>1 [15.031529]</t>
  </si>
  <si>
    <t>1 [15.437940]</t>
  </si>
  <si>
    <t>1 [15.848304]</t>
  </si>
  <si>
    <t>1 [16.252591]</t>
  </si>
  <si>
    <t>1 [16.660171]</t>
  </si>
  <si>
    <t>1 [17.061891]</t>
  </si>
  <si>
    <t>1 [17.470678]</t>
  </si>
  <si>
    <t>1 [17.878505]</t>
  </si>
  <si>
    <t>1 [18.283066]</t>
  </si>
  <si>
    <t>1 [18.690397]</t>
  </si>
  <si>
    <t>1 [19.095529]</t>
  </si>
  <si>
    <t>1 [19.503331]</t>
  </si>
  <si>
    <t>1 [19.906346]</t>
  </si>
  <si>
    <t>1 [20.315646]</t>
  </si>
  <si>
    <t>1 [20.721363]</t>
  </si>
  <si>
    <t>1 [21.125285]</t>
  </si>
  <si>
    <t>1 [21.534633]</t>
  </si>
  <si>
    <t>1 [21.936449]</t>
  </si>
  <si>
    <t>1 [22.346101]</t>
  </si>
  <si>
    <t>1 [22.752868]</t>
  </si>
  <si>
    <t>1 [23.157207]</t>
  </si>
  <si>
    <t>1 [23.562599]</t>
  </si>
  <si>
    <t>1 [23.969455]</t>
  </si>
  <si>
    <t>1 [24.376181]</t>
  </si>
  <si>
    <t>1 [24.783766]</t>
  </si>
  <si>
    <t>1 [25.186884]</t>
  </si>
  <si>
    <t>1 [25.591978]</t>
  </si>
  <si>
    <t>1 [26.000223]</t>
  </si>
  <si>
    <t>1 [26.406343]</t>
  </si>
  <si>
    <t>1 [26.814535]</t>
  </si>
  <si>
    <t>1 [27.221051]</t>
  </si>
  <si>
    <t>1 [27.628318]</t>
  </si>
  <si>
    <t>1 [28.032667]</t>
  </si>
  <si>
    <t>1 [28.441084]</t>
  </si>
  <si>
    <t>1 [28.847461]</t>
  </si>
  <si>
    <t>1 [29.252176]</t>
  </si>
  <si>
    <t>1 [29.656961]</t>
  </si>
  <si>
    <t>2 [30.064280]</t>
  </si>
  <si>
    <t>2 [30.500765]</t>
  </si>
  <si>
    <t>2 [30.909834]</t>
  </si>
  <si>
    <t>2 [31.316767]</t>
  </si>
  <si>
    <t>2 [31.718628]</t>
  </si>
  <si>
    <t>2 [32.123893]</t>
  </si>
  <si>
    <t>2 [32.535161]</t>
  </si>
  <si>
    <t>2 [32.940636]</t>
  </si>
  <si>
    <t>2 [33.346854]</t>
  </si>
  <si>
    <t>2 [33.756665]</t>
  </si>
  <si>
    <t>2 [34.153336]</t>
  </si>
  <si>
    <t>2 [34.564161]</t>
  </si>
  <si>
    <t>2 [34.968912]</t>
  </si>
  <si>
    <t>2 [35.376830]</t>
  </si>
  <si>
    <t>2 [35.788580]</t>
  </si>
  <si>
    <t>2 [36.194323]</t>
  </si>
  <si>
    <t>2 [36.596049]</t>
  </si>
  <si>
    <t>2 [36.999582]</t>
  </si>
  <si>
    <t>2 [37.406127]</t>
  </si>
  <si>
    <t>2 [37.813008]</t>
  </si>
  <si>
    <t>2 [38.221342]</t>
  </si>
  <si>
    <t>2 [38.627091]</t>
  </si>
  <si>
    <t>2 [39.031154]</t>
  </si>
  <si>
    <t>2 [39.442862]</t>
  </si>
  <si>
    <t>2 [39.841533]</t>
  </si>
  <si>
    <t>2 [40.255533]</t>
  </si>
  <si>
    <t>2 [40.657779]</t>
  </si>
  <si>
    <t>2 [41.066542]</t>
  </si>
  <si>
    <t>2 [41.469700]</t>
  </si>
  <si>
    <t>2 [41.877043]</t>
  </si>
  <si>
    <t>2 [42.285903]</t>
  </si>
  <si>
    <t>2 [42.690220]</t>
  </si>
  <si>
    <t>2 [43.097408]</t>
  </si>
  <si>
    <t>2 [43.500895]</t>
  </si>
  <si>
    <t>2 [43.907373]</t>
  </si>
  <si>
    <t>2 [44.315750]</t>
  </si>
  <si>
    <t>2 [44.718991]</t>
  </si>
  <si>
    <t>2 [45.126768]</t>
  </si>
  <si>
    <t>2 [45.532103]</t>
  </si>
  <si>
    <t>2 [45.936859]</t>
  </si>
  <si>
    <t>2 [46.349652]</t>
  </si>
  <si>
    <t>2 [46.752088]</t>
  </si>
  <si>
    <t>2 [47.157889]</t>
  </si>
  <si>
    <t>2 [47.562371]</t>
  </si>
  <si>
    <t>2 [47.968525]</t>
  </si>
  <si>
    <t>2 [48.374541]</t>
  </si>
  <si>
    <t>2 [48.783870]</t>
  </si>
  <si>
    <t>2 [49.187136]</t>
  </si>
  <si>
    <t>2 [49.592974]</t>
  </si>
  <si>
    <t>2 [50.001744]</t>
  </si>
  <si>
    <t>2 [50.406430]</t>
  </si>
  <si>
    <t>2 [50.818319]</t>
  </si>
  <si>
    <t>2 [51.220143]</t>
  </si>
  <si>
    <t>2 [51.625866]</t>
  </si>
  <si>
    <t>2 [52.032373]</t>
  </si>
  <si>
    <t>2 [52.437052]</t>
  </si>
  <si>
    <t>2 [52.841896]</t>
  </si>
  <si>
    <t>2 [53.251144]</t>
  </si>
  <si>
    <t>2 [53.657798]</t>
  </si>
  <si>
    <t>2 [54.064309]</t>
  </si>
  <si>
    <t>2 [54.469880]</t>
  </si>
  <si>
    <t>2 [54.877618]</t>
  </si>
  <si>
    <t>2 [55.283427]</t>
  </si>
  <si>
    <t>2 [55.691582]</t>
  </si>
  <si>
    <t>2 [56.094670]</t>
  </si>
  <si>
    <t>2 [56.502584]</t>
  </si>
  <si>
    <t>2 [56.908776]</t>
  </si>
  <si>
    <t>2 [57.315094]</t>
  </si>
  <si>
    <t>2 [57.718518]</t>
  </si>
  <si>
    <t>2 [58.125487]</t>
  </si>
  <si>
    <t>2 [58.532415]</t>
  </si>
  <si>
    <t>2 [58.939715]</t>
  </si>
  <si>
    <t>2 [59.345729]</t>
  </si>
  <si>
    <t>2 [59.749455]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</si>
  <si>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</si>
  <si>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</si>
  <si>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</si>
  <si>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</si>
  <si>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</si>
  <si>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</si>
  <si>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</si>
  <si>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</si>
  <si>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</si>
  <si>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</si>
  <si>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</si>
  <si>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</si>
  <si>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</si>
  <si>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</si>
  <si>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刘洁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</si>
</sst>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46.605499999999999</c:v>
                </c:pt>
                <c:pt idx="1">
                  <c:v>35.395899999999997</c:v>
                </c:pt>
                <c:pt idx="2">
                  <c:v>22.9328</c:v>
                </c:pt>
                <c:pt idx="3">
                  <c:v>34.608499999999999</c:v>
                </c:pt>
                <c:pt idx="4">
                  <c:v>71.085300000000004</c:v>
                </c:pt>
                <c:pt idx="5">
                  <c:v>72.412800000000004</c:v>
                </c:pt>
                <c:pt idx="6">
                  <c:v>27.889900000000001</c:v>
                </c:pt>
                <c:pt idx="7">
                  <c:v>72.212400000000002</c:v>
                </c:pt>
                <c:pt idx="8">
                  <c:v>23.460100000000001</c:v>
                </c:pt>
                <c:pt idx="9">
                  <c:v>28.412299999999998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0.50032132653122008</c:v>
                </c:pt>
                <c:pt idx="1">
                  <c:v>0.28660128953707825</c:v>
                </c:pt>
                <c:pt idx="2">
                  <c:v>0.21307738393170172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2019</c:v>
                </c:pt>
                <c:pt idx="7">
                  <c:v>0</c:v>
                </c:pt>
                <c:pt idx="8">
                  <c:v>3420</c:v>
                </c:pt>
                <c:pt idx="9">
                  <c:v>0</c:v>
                </c:pt>
                <c:pt idx="10">
                  <c:v>0</c:v>
                </c:pt>
                <c:pt idx="11">
                  <c:v>5762</c:v>
                </c:pt>
                <c:pt idx="12">
                  <c:v>0</c:v>
                </c:pt>
                <c:pt idx="13">
                  <c:v>10048</c:v>
                </c:pt>
                <c:pt idx="14">
                  <c:v>0</c:v>
                </c:pt>
                <c:pt idx="15">
                  <c:v>0</c:v>
                </c:pt>
                <c:pt idx="16">
                  <c:v>15201</c:v>
                </c:pt>
                <c:pt idx="17">
                  <c:v>0</c:v>
                </c:pt>
                <c:pt idx="18">
                  <c:v>0</c:v>
                </c:pt>
                <c:pt idx="19">
                  <c:v>23595</c:v>
                </c:pt>
                <c:pt idx="20">
                  <c:v>0</c:v>
                </c:pt>
                <c:pt idx="21">
                  <c:v>26955</c:v>
                </c:pt>
                <c:pt idx="22">
                  <c:v>0</c:v>
                </c:pt>
                <c:pt idx="23">
                  <c:v>0</c:v>
                </c:pt>
                <c:pt idx="24">
                  <c:v>31364</c:v>
                </c:pt>
                <c:pt idx="25">
                  <c:v>0</c:v>
                </c:pt>
                <c:pt idx="26">
                  <c:v>31289</c:v>
                </c:pt>
                <c:pt idx="27">
                  <c:v>0</c:v>
                </c:pt>
                <c:pt idx="28">
                  <c:v>0</c:v>
                </c:pt>
                <c:pt idx="29">
                  <c:v>42837</c:v>
                </c:pt>
                <c:pt idx="30">
                  <c:v>0</c:v>
                </c:pt>
                <c:pt idx="31">
                  <c:v>46228</c:v>
                </c:pt>
                <c:pt idx="32">
                  <c:v>0</c:v>
                </c:pt>
                <c:pt idx="33">
                  <c:v>0</c:v>
                </c:pt>
                <c:pt idx="34">
                  <c:v>50395</c:v>
                </c:pt>
                <c:pt idx="35">
                  <c:v>0</c:v>
                </c:pt>
                <c:pt idx="36">
                  <c:v>0</c:v>
                </c:pt>
                <c:pt idx="37">
                  <c:v>53753</c:v>
                </c:pt>
                <c:pt idx="38">
                  <c:v>0</c:v>
                </c:pt>
                <c:pt idx="39">
                  <c:v>63373</c:v>
                </c:pt>
                <c:pt idx="40">
                  <c:v>0</c:v>
                </c:pt>
                <c:pt idx="41">
                  <c:v>0</c:v>
                </c:pt>
                <c:pt idx="42">
                  <c:v>64701</c:v>
                </c:pt>
                <c:pt idx="43">
                  <c:v>0</c:v>
                </c:pt>
                <c:pt idx="44">
                  <c:v>73817</c:v>
                </c:pt>
                <c:pt idx="45">
                  <c:v>0</c:v>
                </c:pt>
                <c:pt idx="46">
                  <c:v>0</c:v>
                </c:pt>
                <c:pt idx="47">
                  <c:v>88034</c:v>
                </c:pt>
                <c:pt idx="48">
                  <c:v>0</c:v>
                </c:pt>
                <c:pt idx="49">
                  <c:v>90674</c:v>
                </c:pt>
                <c:pt idx="50">
                  <c:v>0</c:v>
                </c:pt>
                <c:pt idx="51">
                  <c:v>0</c:v>
                </c:pt>
                <c:pt idx="52">
                  <c:v>91745</c:v>
                </c:pt>
                <c:pt idx="53">
                  <c:v>0</c:v>
                </c:pt>
                <c:pt idx="54">
                  <c:v>0</c:v>
                </c:pt>
                <c:pt idx="55">
                  <c:v>93636</c:v>
                </c:pt>
                <c:pt idx="56">
                  <c:v>0</c:v>
                </c:pt>
                <c:pt idx="57">
                  <c:v>104540</c:v>
                </c:pt>
                <c:pt idx="58">
                  <c:v>0</c:v>
                </c:pt>
                <c:pt idx="59">
                  <c:v>0</c:v>
                </c:pt>
                <c:pt idx="60">
                  <c:v>109686</c:v>
                </c:pt>
                <c:pt idx="61">
                  <c:v>0</c:v>
                </c:pt>
                <c:pt idx="62">
                  <c:v>114195</c:v>
                </c:pt>
                <c:pt idx="63">
                  <c:v>0</c:v>
                </c:pt>
                <c:pt idx="64">
                  <c:v>0</c:v>
                </c:pt>
                <c:pt idx="65">
                  <c:v>118450</c:v>
                </c:pt>
                <c:pt idx="66">
                  <c:v>0</c:v>
                </c:pt>
                <c:pt idx="67">
                  <c:v>132572</c:v>
                </c:pt>
                <c:pt idx="68">
                  <c:v>0</c:v>
                </c:pt>
                <c:pt idx="69">
                  <c:v>0</c:v>
                </c:pt>
                <c:pt idx="70">
                  <c:v>132747</c:v>
                </c:pt>
                <c:pt idx="71">
                  <c:v>0</c:v>
                </c:pt>
                <c:pt idx="72">
                  <c:v>0</c:v>
                </c:pt>
                <c:pt idx="73">
                  <c:v>134843</c:v>
                </c:pt>
                <c:pt idx="74">
                  <c:v>0</c:v>
                </c:pt>
                <c:pt idx="75">
                  <c:v>148949</c:v>
                </c:pt>
                <c:pt idx="76">
                  <c:v>0</c:v>
                </c:pt>
                <c:pt idx="77">
                  <c:v>0</c:v>
                </c:pt>
                <c:pt idx="78">
                  <c:v>161117</c:v>
                </c:pt>
                <c:pt idx="79">
                  <c:v>0</c:v>
                </c:pt>
                <c:pt idx="80">
                  <c:v>165368</c:v>
                </c:pt>
                <c:pt idx="81">
                  <c:v>0</c:v>
                </c:pt>
                <c:pt idx="82">
                  <c:v>0</c:v>
                </c:pt>
                <c:pt idx="83">
                  <c:v>171328</c:v>
                </c:pt>
                <c:pt idx="84">
                  <c:v>0</c:v>
                </c:pt>
                <c:pt idx="85">
                  <c:v>0</c:v>
                </c:pt>
                <c:pt idx="86">
                  <c:v>182641</c:v>
                </c:pt>
                <c:pt idx="87">
                  <c:v>0</c:v>
                </c:pt>
                <c:pt idx="88">
                  <c:v>186972</c:v>
                </c:pt>
                <c:pt idx="89">
                  <c:v>0</c:v>
                </c:pt>
                <c:pt idx="90">
                  <c:v>0</c:v>
                </c:pt>
                <c:pt idx="91">
                  <c:v>185082</c:v>
                </c:pt>
                <c:pt idx="92">
                  <c:v>0</c:v>
                </c:pt>
                <c:pt idx="93">
                  <c:v>185407</c:v>
                </c:pt>
                <c:pt idx="94">
                  <c:v>0</c:v>
                </c:pt>
                <c:pt idx="95">
                  <c:v>0</c:v>
                </c:pt>
                <c:pt idx="96">
                  <c:v>186928</c:v>
                </c:pt>
                <c:pt idx="97">
                  <c:v>0</c:v>
                </c:pt>
                <c:pt idx="98">
                  <c:v>197525</c:v>
                </c:pt>
                <c:pt idx="99">
                  <c:v>0</c:v>
                </c:pt>
                <c:pt idx="100">
                  <c:v>0</c:v>
                </c:pt>
                <c:pt idx="101">
                  <c:v>205890</c:v>
                </c:pt>
                <c:pt idx="102">
                  <c:v>0</c:v>
                </c:pt>
                <c:pt idx="103">
                  <c:v>0</c:v>
                </c:pt>
                <c:pt idx="104">
                  <c:v>203158</c:v>
                </c:pt>
                <c:pt idx="105">
                  <c:v>0</c:v>
                </c:pt>
                <c:pt idx="106">
                  <c:v>202391</c:v>
                </c:pt>
                <c:pt idx="107">
                  <c:v>0</c:v>
                </c:pt>
                <c:pt idx="108">
                  <c:v>0</c:v>
                </c:pt>
                <c:pt idx="109">
                  <c:v>198477</c:v>
                </c:pt>
                <c:pt idx="110">
                  <c:v>0</c:v>
                </c:pt>
                <c:pt idx="111">
                  <c:v>195832</c:v>
                </c:pt>
                <c:pt idx="112">
                  <c:v>0</c:v>
                </c:pt>
                <c:pt idx="113">
                  <c:v>0</c:v>
                </c:pt>
                <c:pt idx="114">
                  <c:v>194199</c:v>
                </c:pt>
                <c:pt idx="115">
                  <c:v>0</c:v>
                </c:pt>
                <c:pt idx="116">
                  <c:v>188545</c:v>
                </c:pt>
                <c:pt idx="117">
                  <c:v>0</c:v>
                </c:pt>
                <c:pt idx="118">
                  <c:v>0</c:v>
                </c:pt>
                <c:pt idx="119">
                  <c:v>179200</c:v>
                </c:pt>
                <c:pt idx="120">
                  <c:v>0</c:v>
                </c:pt>
                <c:pt idx="121">
                  <c:v>0</c:v>
                </c:pt>
                <c:pt idx="122">
                  <c:v>165989</c:v>
                </c:pt>
                <c:pt idx="123">
                  <c:v>0</c:v>
                </c:pt>
                <c:pt idx="124">
                  <c:v>170926</c:v>
                </c:pt>
                <c:pt idx="125">
                  <c:v>0</c:v>
                </c:pt>
                <c:pt idx="126">
                  <c:v>0</c:v>
                </c:pt>
                <c:pt idx="127">
                  <c:v>165085</c:v>
                </c:pt>
                <c:pt idx="128">
                  <c:v>0</c:v>
                </c:pt>
                <c:pt idx="129">
                  <c:v>166935</c:v>
                </c:pt>
                <c:pt idx="130">
                  <c:v>0</c:v>
                </c:pt>
                <c:pt idx="131">
                  <c:v>0</c:v>
                </c:pt>
                <c:pt idx="132">
                  <c:v>160105</c:v>
                </c:pt>
                <c:pt idx="133">
                  <c:v>0</c:v>
                </c:pt>
                <c:pt idx="134">
                  <c:v>150160</c:v>
                </c:pt>
                <c:pt idx="135">
                  <c:v>0</c:v>
                </c:pt>
                <c:pt idx="136">
                  <c:v>0</c:v>
                </c:pt>
                <c:pt idx="137">
                  <c:v>139266</c:v>
                </c:pt>
                <c:pt idx="138">
                  <c:v>0</c:v>
                </c:pt>
                <c:pt idx="139">
                  <c:v>0</c:v>
                </c:pt>
                <c:pt idx="140">
                  <c:v>131881</c:v>
                </c:pt>
                <c:pt idx="141">
                  <c:v>0</c:v>
                </c:pt>
                <c:pt idx="142">
                  <c:v>125732</c:v>
                </c:pt>
                <c:pt idx="143">
                  <c:v>0</c:v>
                </c:pt>
                <c:pt idx="144">
                  <c:v>0</c:v>
                </c:pt>
                <c:pt idx="145">
                  <c:v>121191</c:v>
                </c:pt>
                <c:pt idx="146">
                  <c:v>0</c:v>
                </c:pt>
                <c:pt idx="147">
                  <c:v>101733</c:v>
                </c:pt>
                <c:pt idx="148">
                  <c:v>0</c:v>
                </c:pt>
                <c:pt idx="149">
                  <c:v>0</c:v>
                </c:pt>
                <c:pt idx="150">
                  <c:v>94792</c:v>
                </c:pt>
                <c:pt idx="151">
                  <c:v>0</c:v>
                </c:pt>
                <c:pt idx="152">
                  <c:v>80508</c:v>
                </c:pt>
                <c:pt idx="153">
                  <c:v>0</c:v>
                </c:pt>
                <c:pt idx="154">
                  <c:v>0</c:v>
                </c:pt>
                <c:pt idx="155">
                  <c:v>76683</c:v>
                </c:pt>
                <c:pt idx="156">
                  <c:v>0</c:v>
                </c:pt>
                <c:pt idx="157">
                  <c:v>0</c:v>
                </c:pt>
                <c:pt idx="158">
                  <c:v>74413</c:v>
                </c:pt>
                <c:pt idx="159">
                  <c:v>0</c:v>
                </c:pt>
                <c:pt idx="160">
                  <c:v>71387</c:v>
                </c:pt>
                <c:pt idx="161">
                  <c:v>0</c:v>
                </c:pt>
                <c:pt idx="162">
                  <c:v>0</c:v>
                </c:pt>
                <c:pt idx="163">
                  <c:v>70014</c:v>
                </c:pt>
                <c:pt idx="164">
                  <c:v>0</c:v>
                </c:pt>
                <c:pt idx="165">
                  <c:v>61086</c:v>
                </c:pt>
                <c:pt idx="166">
                  <c:v>0</c:v>
                </c:pt>
                <c:pt idx="167">
                  <c:v>0</c:v>
                </c:pt>
                <c:pt idx="168">
                  <c:v>55577</c:v>
                </c:pt>
                <c:pt idx="169">
                  <c:v>0</c:v>
                </c:pt>
                <c:pt idx="170">
                  <c:v>0</c:v>
                </c:pt>
                <c:pt idx="171">
                  <c:v>48300</c:v>
                </c:pt>
                <c:pt idx="172">
                  <c:v>0</c:v>
                </c:pt>
                <c:pt idx="173">
                  <c:v>45357</c:v>
                </c:pt>
                <c:pt idx="174">
                  <c:v>0</c:v>
                </c:pt>
                <c:pt idx="175">
                  <c:v>0</c:v>
                </c:pt>
                <c:pt idx="176">
                  <c:v>35775</c:v>
                </c:pt>
                <c:pt idx="177">
                  <c:v>0</c:v>
                </c:pt>
                <c:pt idx="178">
                  <c:v>24977</c:v>
                </c:pt>
                <c:pt idx="179">
                  <c:v>0</c:v>
                </c:pt>
                <c:pt idx="180">
                  <c:v>0</c:v>
                </c:pt>
                <c:pt idx="181">
                  <c:v>14988</c:v>
                </c:pt>
                <c:pt idx="182">
                  <c:v>0</c:v>
                </c:pt>
                <c:pt idx="183">
                  <c:v>9811</c:v>
                </c:pt>
                <c:pt idx="184">
                  <c:v>0</c:v>
                </c:pt>
                <c:pt idx="185">
                  <c:v>0</c:v>
                </c:pt>
                <c:pt idx="186">
                  <c:v>7078</c:v>
                </c:pt>
                <c:pt idx="187">
                  <c:v>0</c:v>
                </c:pt>
                <c:pt idx="188">
                  <c:v>0</c:v>
                </c:pt>
                <c:pt idx="189">
                  <c:v>5265</c:v>
                </c:pt>
                <c:pt idx="190">
                  <c:v>0</c:v>
                </c:pt>
                <c:pt idx="191">
                  <c:v>3111</c:v>
                </c:pt>
                <c:pt idx="192">
                  <c:v>0</c:v>
                </c:pt>
                <c:pt idx="193">
                  <c:v>0</c:v>
                </c:pt>
                <c:pt idx="194">
                  <c:v>1766</c:v>
                </c:pt>
                <c:pt idx="195">
                  <c:v>0</c:v>
                </c:pt>
                <c:pt idx="196">
                  <c:v>867</c:v>
                </c:pt>
                <c:pt idx="197">
                  <c:v>0</c:v>
                </c:pt>
                <c:pt idx="198">
                  <c:v>0</c:v>
                </c:pt>
                <c:pt idx="199">
                  <c:v>464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  <c:pt idx="74">
                  <c:v>4.3460200000000002</c:v>
                </c:pt>
                <c:pt idx="75">
                  <c:v>4.3289299999999997</c:v>
                </c:pt>
                <c:pt idx="76">
                  <c:v>4.3072800000000004</c:v>
                </c:pt>
                <c:pt idx="77">
                  <c:v>4.2828400000000002</c:v>
                </c:pt>
                <c:pt idx="78">
                  <c:v>4.2554699999999999</c:v>
                </c:pt>
                <c:pt idx="79">
                  <c:v>4.2324799999999998</c:v>
                </c:pt>
                <c:pt idx="80">
                  <c:v>4.2118500000000001</c:v>
                </c:pt>
                <c:pt idx="81">
                  <c:v>4.1934800000000001</c:v>
                </c:pt>
                <c:pt idx="82">
                  <c:v>4.1757799999999996</c:v>
                </c:pt>
                <c:pt idx="83">
                  <c:v>4.1582299999999996</c:v>
                </c:pt>
                <c:pt idx="84">
                  <c:v>4.1421799999999998</c:v>
                </c:pt>
                <c:pt idx="85">
                  <c:v>4.1261900000000002</c:v>
                </c:pt>
                <c:pt idx="86">
                  <c:v>4.1120200000000002</c:v>
                </c:pt>
                <c:pt idx="87">
                  <c:v>4.1033599999999995</c:v>
                </c:pt>
                <c:pt idx="88">
                  <c:v>4.09802</c:v>
                </c:pt>
                <c:pt idx="89">
                  <c:v>4.09544</c:v>
                </c:pt>
                <c:pt idx="90">
                  <c:v>4.1009099999999998</c:v>
                </c:pt>
                <c:pt idx="91">
                  <c:v>4.1098099999999995</c:v>
                </c:pt>
                <c:pt idx="92">
                  <c:v>4.1187399999999998</c:v>
                </c:pt>
                <c:pt idx="93">
                  <c:v>4.1297299999999995</c:v>
                </c:pt>
                <c:pt idx="94">
                  <c:v>4.1401300000000001</c:v>
                </c:pt>
                <c:pt idx="95">
                  <c:v>4.1503899999999998</c:v>
                </c:pt>
                <c:pt idx="96">
                  <c:v>4.1569000000000003</c:v>
                </c:pt>
                <c:pt idx="97">
                  <c:v>4.15984</c:v>
                </c:pt>
                <c:pt idx="98">
                  <c:v>4.15951</c:v>
                </c:pt>
                <c:pt idx="99">
                  <c:v>4.1604900000000002</c:v>
                </c:pt>
                <c:pt idx="100">
                  <c:v>4.1624600000000003</c:v>
                </c:pt>
                <c:pt idx="101">
                  <c:v>4.1688700000000001</c:v>
                </c:pt>
                <c:pt idx="102">
                  <c:v>4.1755199999999997</c:v>
                </c:pt>
                <c:pt idx="103">
                  <c:v>4.1866900000000005</c:v>
                </c:pt>
                <c:pt idx="104">
                  <c:v>4.2022900000000005</c:v>
                </c:pt>
                <c:pt idx="105">
                  <c:v>4.2202900000000003</c:v>
                </c:pt>
                <c:pt idx="106">
                  <c:v>4.2399800000000001</c:v>
                </c:pt>
                <c:pt idx="107">
                  <c:v>4.2600300000000004</c:v>
                </c:pt>
                <c:pt idx="108">
                  <c:v>4.2810899999999998</c:v>
                </c:pt>
                <c:pt idx="109">
                  <c:v>4.3014299999999999</c:v>
                </c:pt>
                <c:pt idx="110">
                  <c:v>4.3214399999999999</c:v>
                </c:pt>
                <c:pt idx="111">
                  <c:v>4.3437799999999998</c:v>
                </c:pt>
                <c:pt idx="112">
                  <c:v>4.3612900000000003</c:v>
                </c:pt>
                <c:pt idx="113">
                  <c:v>4.3795900000000003</c:v>
                </c:pt>
                <c:pt idx="114">
                  <c:v>4.3989200000000004</c:v>
                </c:pt>
                <c:pt idx="115">
                  <c:v>4.4148399999999999</c:v>
                </c:pt>
                <c:pt idx="116">
                  <c:v>4.43011</c:v>
                </c:pt>
                <c:pt idx="117">
                  <c:v>4.4458799999999998</c:v>
                </c:pt>
                <c:pt idx="118">
                  <c:v>4.4577400000000003</c:v>
                </c:pt>
                <c:pt idx="119">
                  <c:v>4.4729999999999999</c:v>
                </c:pt>
                <c:pt idx="120">
                  <c:v>4.4883800000000003</c:v>
                </c:pt>
                <c:pt idx="121">
                  <c:v>4.5057999999999998</c:v>
                </c:pt>
                <c:pt idx="122">
                  <c:v>4.5206</c:v>
                </c:pt>
                <c:pt idx="123">
                  <c:v>4.5377700000000001</c:v>
                </c:pt>
                <c:pt idx="124">
                  <c:v>4.5552000000000001</c:v>
                </c:pt>
                <c:pt idx="125">
                  <c:v>4.5740799999999995</c:v>
                </c:pt>
                <c:pt idx="126">
                  <c:v>4.5912100000000002</c:v>
                </c:pt>
                <c:pt idx="127">
                  <c:v>4.6086899999999993</c:v>
                </c:pt>
                <c:pt idx="128">
                  <c:v>4.6231200000000001</c:v>
                </c:pt>
                <c:pt idx="129">
                  <c:v>4.6328200000000006</c:v>
                </c:pt>
                <c:pt idx="130">
                  <c:v>4.6398799999999998</c:v>
                </c:pt>
                <c:pt idx="131">
                  <c:v>4.6440799999999998</c:v>
                </c:pt>
                <c:pt idx="132">
                  <c:v>4.6479100000000004</c:v>
                </c:pt>
                <c:pt idx="133">
                  <c:v>4.6456799999999996</c:v>
                </c:pt>
                <c:pt idx="134">
                  <c:v>4.6427899999999998</c:v>
                </c:pt>
                <c:pt idx="135">
                  <c:v>4.6414999999999997</c:v>
                </c:pt>
                <c:pt idx="136">
                  <c:v>4.6379399999999995</c:v>
                </c:pt>
                <c:pt idx="137">
                  <c:v>4.6370000000000005</c:v>
                </c:pt>
                <c:pt idx="138">
                  <c:v>4.6349999999999998</c:v>
                </c:pt>
                <c:pt idx="139">
                  <c:v>4.6318399999999995</c:v>
                </c:pt>
                <c:pt idx="140">
                  <c:v>4.6291700000000002</c:v>
                </c:pt>
                <c:pt idx="141">
                  <c:v>4.6194299999999995</c:v>
                </c:pt>
                <c:pt idx="142">
                  <c:v>4.6038699999999997</c:v>
                </c:pt>
                <c:pt idx="143">
                  <c:v>4.5928699999999996</c:v>
                </c:pt>
                <c:pt idx="144">
                  <c:v>4.5753500000000003</c:v>
                </c:pt>
                <c:pt idx="145">
                  <c:v>4.5581700000000005</c:v>
                </c:pt>
                <c:pt idx="146">
                  <c:v>4.5262500000000001</c:v>
                </c:pt>
                <c:pt idx="147">
                  <c:v>4.5492699999999999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  <c:pt idx="74">
                  <c:v>35.790499999999994</c:v>
                </c:pt>
                <c:pt idx="75">
                  <c:v>36.003700000000002</c:v>
                </c:pt>
                <c:pt idx="76">
                  <c:v>36.186700000000002</c:v>
                </c:pt>
                <c:pt idx="77">
                  <c:v>36.409399999999998</c:v>
                </c:pt>
                <c:pt idx="78">
                  <c:v>36.645499999999998</c:v>
                </c:pt>
                <c:pt idx="79">
                  <c:v>36.872999999999998</c:v>
                </c:pt>
                <c:pt idx="80">
                  <c:v>37.081499999999998</c:v>
                </c:pt>
                <c:pt idx="81">
                  <c:v>37.189799999999998</c:v>
                </c:pt>
                <c:pt idx="82">
                  <c:v>37.300699999999999</c:v>
                </c:pt>
                <c:pt idx="83">
                  <c:v>37.483499999999999</c:v>
                </c:pt>
                <c:pt idx="84">
                  <c:v>37.5869</c:v>
                </c:pt>
                <c:pt idx="85">
                  <c:v>37.6691</c:v>
                </c:pt>
                <c:pt idx="86">
                  <c:v>37.708000000000006</c:v>
                </c:pt>
                <c:pt idx="87">
                  <c:v>37.695</c:v>
                </c:pt>
                <c:pt idx="88">
                  <c:v>37.665799999999997</c:v>
                </c:pt>
                <c:pt idx="89">
                  <c:v>37.627000000000002</c:v>
                </c:pt>
                <c:pt idx="90">
                  <c:v>37.566100000000006</c:v>
                </c:pt>
                <c:pt idx="91">
                  <c:v>37.451000000000001</c:v>
                </c:pt>
                <c:pt idx="92">
                  <c:v>37.353700000000003</c:v>
                </c:pt>
                <c:pt idx="93">
                  <c:v>37.190899999999999</c:v>
                </c:pt>
                <c:pt idx="94">
                  <c:v>37.1021</c:v>
                </c:pt>
                <c:pt idx="95">
                  <c:v>37.064599999999999</c:v>
                </c:pt>
                <c:pt idx="96">
                  <c:v>37.079900000000002</c:v>
                </c:pt>
                <c:pt idx="97">
                  <c:v>37.100899999999996</c:v>
                </c:pt>
                <c:pt idx="98">
                  <c:v>37.154800000000002</c:v>
                </c:pt>
                <c:pt idx="99">
                  <c:v>37.216200000000001</c:v>
                </c:pt>
                <c:pt idx="100">
                  <c:v>37.279499999999999</c:v>
                </c:pt>
                <c:pt idx="101">
                  <c:v>37.372999999999998</c:v>
                </c:pt>
                <c:pt idx="102">
                  <c:v>37.485199999999999</c:v>
                </c:pt>
                <c:pt idx="103">
                  <c:v>37.633400000000002</c:v>
                </c:pt>
                <c:pt idx="104">
                  <c:v>37.678400000000003</c:v>
                </c:pt>
                <c:pt idx="105">
                  <c:v>37.6479</c:v>
                </c:pt>
                <c:pt idx="106">
                  <c:v>37.614399999999996</c:v>
                </c:pt>
                <c:pt idx="107">
                  <c:v>37.5456</c:v>
                </c:pt>
                <c:pt idx="108">
                  <c:v>37.419999999999995</c:v>
                </c:pt>
                <c:pt idx="109">
                  <c:v>37.352999999999994</c:v>
                </c:pt>
                <c:pt idx="110">
                  <c:v>37.318300000000001</c:v>
                </c:pt>
                <c:pt idx="111">
                  <c:v>37.321199999999997</c:v>
                </c:pt>
                <c:pt idx="112">
                  <c:v>37.3367</c:v>
                </c:pt>
                <c:pt idx="113">
                  <c:v>37.339599999999997</c:v>
                </c:pt>
                <c:pt idx="114">
                  <c:v>37.322600000000001</c:v>
                </c:pt>
                <c:pt idx="115">
                  <c:v>37.308400000000006</c:v>
                </c:pt>
                <c:pt idx="116">
                  <c:v>37.305599999999998</c:v>
                </c:pt>
                <c:pt idx="117">
                  <c:v>37.338000000000001</c:v>
                </c:pt>
                <c:pt idx="118">
                  <c:v>37.459800000000001</c:v>
                </c:pt>
                <c:pt idx="119">
                  <c:v>37.595700000000001</c:v>
                </c:pt>
                <c:pt idx="120">
                  <c:v>37.785000000000004</c:v>
                </c:pt>
                <c:pt idx="121">
                  <c:v>38.058700000000002</c:v>
                </c:pt>
                <c:pt idx="122">
                  <c:v>38.415500000000002</c:v>
                </c:pt>
                <c:pt idx="123">
                  <c:v>38.664700000000003</c:v>
                </c:pt>
                <c:pt idx="124">
                  <c:v>38.823099999999997</c:v>
                </c:pt>
                <c:pt idx="125">
                  <c:v>38.990499999999997</c:v>
                </c:pt>
                <c:pt idx="126">
                  <c:v>39.169399999999996</c:v>
                </c:pt>
                <c:pt idx="127">
                  <c:v>39.372800000000005</c:v>
                </c:pt>
                <c:pt idx="128">
                  <c:v>39.504800000000003</c:v>
                </c:pt>
                <c:pt idx="129">
                  <c:v>39.630900000000004</c:v>
                </c:pt>
                <c:pt idx="130">
                  <c:v>39.7744</c:v>
                </c:pt>
                <c:pt idx="131">
                  <c:v>39.909499999999994</c:v>
                </c:pt>
                <c:pt idx="132">
                  <c:v>40.058100000000003</c:v>
                </c:pt>
                <c:pt idx="133">
                  <c:v>40.220700000000001</c:v>
                </c:pt>
                <c:pt idx="134">
                  <c:v>40.380300000000005</c:v>
                </c:pt>
                <c:pt idx="135">
                  <c:v>40.583500000000001</c:v>
                </c:pt>
                <c:pt idx="136">
                  <c:v>40.772000000000006</c:v>
                </c:pt>
                <c:pt idx="137">
                  <c:v>40.992899999999999</c:v>
                </c:pt>
                <c:pt idx="138">
                  <c:v>41.273400000000002</c:v>
                </c:pt>
                <c:pt idx="139">
                  <c:v>41.615400000000001</c:v>
                </c:pt>
                <c:pt idx="140">
                  <c:v>41.962200000000003</c:v>
                </c:pt>
                <c:pt idx="141">
                  <c:v>42.371900000000004</c:v>
                </c:pt>
                <c:pt idx="142">
                  <c:v>42.801099999999998</c:v>
                </c:pt>
                <c:pt idx="143">
                  <c:v>43.144100000000002</c:v>
                </c:pt>
                <c:pt idx="144">
                  <c:v>43.651200000000003</c:v>
                </c:pt>
                <c:pt idx="145">
                  <c:v>44.0901</c:v>
                </c:pt>
                <c:pt idx="146">
                  <c:v>44.385799999999996</c:v>
                </c:pt>
                <c:pt idx="147">
                  <c:v>44.009599999999999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4.3609100000000005</c:v>
                </c:pt>
                <c:pt idx="1">
                  <c:v>4.3460200000000002</c:v>
                </c:pt>
                <c:pt idx="2">
                  <c:v>4.3289299999999997</c:v>
                </c:pt>
                <c:pt idx="3">
                  <c:v>4.3072800000000004</c:v>
                </c:pt>
                <c:pt idx="4">
                  <c:v>4.2828400000000002</c:v>
                </c:pt>
                <c:pt idx="5">
                  <c:v>4.2554699999999999</c:v>
                </c:pt>
                <c:pt idx="6">
                  <c:v>4.2324799999999998</c:v>
                </c:pt>
                <c:pt idx="7">
                  <c:v>4.2118500000000001</c:v>
                </c:pt>
                <c:pt idx="8">
                  <c:v>4.1934800000000001</c:v>
                </c:pt>
                <c:pt idx="9">
                  <c:v>4.1757799999999996</c:v>
                </c:pt>
                <c:pt idx="10">
                  <c:v>4.1582299999999996</c:v>
                </c:pt>
                <c:pt idx="11">
                  <c:v>4.1421799999999998</c:v>
                </c:pt>
                <c:pt idx="12">
                  <c:v>4.1261900000000002</c:v>
                </c:pt>
                <c:pt idx="13">
                  <c:v>4.1120200000000002</c:v>
                </c:pt>
                <c:pt idx="14">
                  <c:v>4.1033599999999995</c:v>
                </c:pt>
                <c:pt idx="15">
                  <c:v>4.09802</c:v>
                </c:pt>
                <c:pt idx="16">
                  <c:v>4.09544</c:v>
                </c:pt>
                <c:pt idx="17">
                  <c:v>4.1009099999999998</c:v>
                </c:pt>
                <c:pt idx="18">
                  <c:v>4.1098099999999995</c:v>
                </c:pt>
                <c:pt idx="19">
                  <c:v>4.1187399999999998</c:v>
                </c:pt>
                <c:pt idx="20">
                  <c:v>4.1297299999999995</c:v>
                </c:pt>
                <c:pt idx="21">
                  <c:v>4.1401300000000001</c:v>
                </c:pt>
                <c:pt idx="22">
                  <c:v>4.1503899999999998</c:v>
                </c:pt>
                <c:pt idx="23">
                  <c:v>4.1569000000000003</c:v>
                </c:pt>
                <c:pt idx="24">
                  <c:v>4.15984</c:v>
                </c:pt>
                <c:pt idx="25">
                  <c:v>4.15951</c:v>
                </c:pt>
                <c:pt idx="26">
                  <c:v>4.1604900000000002</c:v>
                </c:pt>
                <c:pt idx="27">
                  <c:v>4.1624600000000003</c:v>
                </c:pt>
                <c:pt idx="28">
                  <c:v>4.1688700000000001</c:v>
                </c:pt>
                <c:pt idx="29">
                  <c:v>4.1755199999999997</c:v>
                </c:pt>
                <c:pt idx="30">
                  <c:v>4.1866900000000005</c:v>
                </c:pt>
                <c:pt idx="31">
                  <c:v>4.2022900000000005</c:v>
                </c:pt>
                <c:pt idx="32">
                  <c:v>4.2202900000000003</c:v>
                </c:pt>
                <c:pt idx="33">
                  <c:v>4.2399800000000001</c:v>
                </c:pt>
                <c:pt idx="34">
                  <c:v>4.2600300000000004</c:v>
                </c:pt>
                <c:pt idx="35">
                  <c:v>4.2810899999999998</c:v>
                </c:pt>
                <c:pt idx="36">
                  <c:v>4.3014299999999999</c:v>
                </c:pt>
                <c:pt idx="37">
                  <c:v>4.3214399999999999</c:v>
                </c:pt>
                <c:pt idx="38">
                  <c:v>4.3437799999999998</c:v>
                </c:pt>
                <c:pt idx="39">
                  <c:v>4.3612900000000003</c:v>
                </c:pt>
                <c:pt idx="40">
                  <c:v>4.3795900000000003</c:v>
                </c:pt>
                <c:pt idx="41">
                  <c:v>4.3989200000000004</c:v>
                </c:pt>
                <c:pt idx="42">
                  <c:v>4.4148399999999999</c:v>
                </c:pt>
                <c:pt idx="43">
                  <c:v>4.43011</c:v>
                </c:pt>
                <c:pt idx="44">
                  <c:v>4.4458799999999998</c:v>
                </c:pt>
                <c:pt idx="45">
                  <c:v>4.4577400000000003</c:v>
                </c:pt>
                <c:pt idx="46">
                  <c:v>4.4729999999999999</c:v>
                </c:pt>
                <c:pt idx="47">
                  <c:v>4.4883800000000003</c:v>
                </c:pt>
                <c:pt idx="48">
                  <c:v>4.5057999999999998</c:v>
                </c:pt>
                <c:pt idx="49">
                  <c:v>4.5206</c:v>
                </c:pt>
                <c:pt idx="50">
                  <c:v>4.5377700000000001</c:v>
                </c:pt>
                <c:pt idx="51">
                  <c:v>4.5552000000000001</c:v>
                </c:pt>
                <c:pt idx="52">
                  <c:v>4.5740799999999995</c:v>
                </c:pt>
                <c:pt idx="53">
                  <c:v>4.5912100000000002</c:v>
                </c:pt>
                <c:pt idx="54">
                  <c:v>4.6086899999999993</c:v>
                </c:pt>
                <c:pt idx="55">
                  <c:v>4.6231200000000001</c:v>
                </c:pt>
                <c:pt idx="56">
                  <c:v>4.6328200000000006</c:v>
                </c:pt>
                <c:pt idx="57">
                  <c:v>4.6398799999999998</c:v>
                </c:pt>
                <c:pt idx="58">
                  <c:v>4.6440799999999998</c:v>
                </c:pt>
                <c:pt idx="59">
                  <c:v>4.6479100000000004</c:v>
                </c:pt>
                <c:pt idx="60">
                  <c:v>4.6456799999999996</c:v>
                </c:pt>
                <c:pt idx="61">
                  <c:v>4.6427899999999998</c:v>
                </c:pt>
                <c:pt idx="62">
                  <c:v>4.6414999999999997</c:v>
                </c:pt>
                <c:pt idx="63">
                  <c:v>4.6379399999999995</c:v>
                </c:pt>
                <c:pt idx="64">
                  <c:v>4.6370000000000005</c:v>
                </c:pt>
                <c:pt idx="65">
                  <c:v>4.6349999999999998</c:v>
                </c:pt>
                <c:pt idx="66">
                  <c:v>4.6318399999999995</c:v>
                </c:pt>
                <c:pt idx="67">
                  <c:v>4.6291700000000002</c:v>
                </c:pt>
                <c:pt idx="68">
                  <c:v>4.6194299999999995</c:v>
                </c:pt>
                <c:pt idx="69">
                  <c:v>4.6038699999999997</c:v>
                </c:pt>
                <c:pt idx="70">
                  <c:v>4.5928699999999996</c:v>
                </c:pt>
                <c:pt idx="71">
                  <c:v>4.5753500000000003</c:v>
                </c:pt>
                <c:pt idx="72">
                  <c:v>4.5581700000000005</c:v>
                </c:pt>
                <c:pt idx="73">
                  <c:v>4.5262500000000001</c:v>
                </c:pt>
                <c:pt idx="74">
                  <c:v>4.5492699999999999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35.574199999999998</c:v>
                </c:pt>
                <c:pt idx="1">
                  <c:v>35.790499999999994</c:v>
                </c:pt>
                <c:pt idx="2">
                  <c:v>36.003700000000002</c:v>
                </c:pt>
                <c:pt idx="3">
                  <c:v>36.186700000000002</c:v>
                </c:pt>
                <c:pt idx="4">
                  <c:v>36.409399999999998</c:v>
                </c:pt>
                <c:pt idx="5">
                  <c:v>36.645499999999998</c:v>
                </c:pt>
                <c:pt idx="6">
                  <c:v>36.872999999999998</c:v>
                </c:pt>
                <c:pt idx="7">
                  <c:v>37.081499999999998</c:v>
                </c:pt>
                <c:pt idx="8">
                  <c:v>37.189799999999998</c:v>
                </c:pt>
                <c:pt idx="9">
                  <c:v>37.300699999999999</c:v>
                </c:pt>
                <c:pt idx="10">
                  <c:v>37.483499999999999</c:v>
                </c:pt>
                <c:pt idx="11">
                  <c:v>37.5869</c:v>
                </c:pt>
                <c:pt idx="12">
                  <c:v>37.6691</c:v>
                </c:pt>
                <c:pt idx="13">
                  <c:v>37.708000000000006</c:v>
                </c:pt>
                <c:pt idx="14">
                  <c:v>37.695</c:v>
                </c:pt>
                <c:pt idx="15">
                  <c:v>37.665799999999997</c:v>
                </c:pt>
                <c:pt idx="16">
                  <c:v>37.627000000000002</c:v>
                </c:pt>
                <c:pt idx="17">
                  <c:v>37.566100000000006</c:v>
                </c:pt>
                <c:pt idx="18">
                  <c:v>37.451000000000001</c:v>
                </c:pt>
                <c:pt idx="19">
                  <c:v>37.353700000000003</c:v>
                </c:pt>
                <c:pt idx="20">
                  <c:v>37.190899999999999</c:v>
                </c:pt>
                <c:pt idx="21">
                  <c:v>37.1021</c:v>
                </c:pt>
                <c:pt idx="22">
                  <c:v>37.064599999999999</c:v>
                </c:pt>
                <c:pt idx="23">
                  <c:v>37.079900000000002</c:v>
                </c:pt>
                <c:pt idx="24">
                  <c:v>37.100899999999996</c:v>
                </c:pt>
                <c:pt idx="25">
                  <c:v>37.154800000000002</c:v>
                </c:pt>
                <c:pt idx="26">
                  <c:v>37.216200000000001</c:v>
                </c:pt>
                <c:pt idx="27">
                  <c:v>37.279499999999999</c:v>
                </c:pt>
                <c:pt idx="28">
                  <c:v>37.372999999999998</c:v>
                </c:pt>
                <c:pt idx="29">
                  <c:v>37.485199999999999</c:v>
                </c:pt>
                <c:pt idx="30">
                  <c:v>37.633400000000002</c:v>
                </c:pt>
                <c:pt idx="31">
                  <c:v>37.678400000000003</c:v>
                </c:pt>
                <c:pt idx="32">
                  <c:v>37.6479</c:v>
                </c:pt>
                <c:pt idx="33">
                  <c:v>37.614399999999996</c:v>
                </c:pt>
                <c:pt idx="34">
                  <c:v>37.5456</c:v>
                </c:pt>
                <c:pt idx="35">
                  <c:v>37.419999999999995</c:v>
                </c:pt>
                <c:pt idx="36">
                  <c:v>37.352999999999994</c:v>
                </c:pt>
                <c:pt idx="37">
                  <c:v>37.318300000000001</c:v>
                </c:pt>
                <c:pt idx="38">
                  <c:v>37.321199999999997</c:v>
                </c:pt>
                <c:pt idx="39">
                  <c:v>37.3367</c:v>
                </c:pt>
                <c:pt idx="40">
                  <c:v>37.339599999999997</c:v>
                </c:pt>
                <c:pt idx="41">
                  <c:v>37.322600000000001</c:v>
                </c:pt>
                <c:pt idx="42">
                  <c:v>37.308400000000006</c:v>
                </c:pt>
                <c:pt idx="43">
                  <c:v>37.305599999999998</c:v>
                </c:pt>
                <c:pt idx="44">
                  <c:v>37.338000000000001</c:v>
                </c:pt>
                <c:pt idx="45">
                  <c:v>37.459800000000001</c:v>
                </c:pt>
                <c:pt idx="46">
                  <c:v>37.595700000000001</c:v>
                </c:pt>
                <c:pt idx="47">
                  <c:v>37.785000000000004</c:v>
                </c:pt>
                <c:pt idx="48">
                  <c:v>38.058700000000002</c:v>
                </c:pt>
                <c:pt idx="49">
                  <c:v>38.415500000000002</c:v>
                </c:pt>
                <c:pt idx="50">
                  <c:v>38.664700000000003</c:v>
                </c:pt>
                <c:pt idx="51">
                  <c:v>38.823099999999997</c:v>
                </c:pt>
                <c:pt idx="52">
                  <c:v>38.990499999999997</c:v>
                </c:pt>
                <c:pt idx="53">
                  <c:v>39.169399999999996</c:v>
                </c:pt>
                <c:pt idx="54">
                  <c:v>39.372800000000005</c:v>
                </c:pt>
                <c:pt idx="55">
                  <c:v>39.504800000000003</c:v>
                </c:pt>
                <c:pt idx="56">
                  <c:v>39.630900000000004</c:v>
                </c:pt>
                <c:pt idx="57">
                  <c:v>39.7744</c:v>
                </c:pt>
                <c:pt idx="58">
                  <c:v>39.909499999999994</c:v>
                </c:pt>
                <c:pt idx="59">
                  <c:v>40.058100000000003</c:v>
                </c:pt>
                <c:pt idx="60">
                  <c:v>40.220700000000001</c:v>
                </c:pt>
                <c:pt idx="61">
                  <c:v>40.380300000000005</c:v>
                </c:pt>
                <c:pt idx="62">
                  <c:v>40.583500000000001</c:v>
                </c:pt>
                <c:pt idx="63">
                  <c:v>40.772000000000006</c:v>
                </c:pt>
                <c:pt idx="64">
                  <c:v>40.992899999999999</c:v>
                </c:pt>
                <c:pt idx="65">
                  <c:v>41.273400000000002</c:v>
                </c:pt>
                <c:pt idx="66">
                  <c:v>41.615400000000001</c:v>
                </c:pt>
                <c:pt idx="67">
                  <c:v>41.962200000000003</c:v>
                </c:pt>
                <c:pt idx="68">
                  <c:v>42.371900000000004</c:v>
                </c:pt>
                <c:pt idx="69">
                  <c:v>42.801099999999998</c:v>
                </c:pt>
                <c:pt idx="70">
                  <c:v>43.144100000000002</c:v>
                </c:pt>
                <c:pt idx="71">
                  <c:v>43.651200000000003</c:v>
                </c:pt>
                <c:pt idx="72">
                  <c:v>44.0901</c:v>
                </c:pt>
                <c:pt idx="73">
                  <c:v>44.385799999999996</c:v>
                </c:pt>
                <c:pt idx="74">
                  <c:v>44.009599999999999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3.7879879729729726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35.082464864864846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4.3713098648648643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38.571408108108095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4.3713098648648643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38.571408108108095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0.20110991579692494</c:v>
                </c:pt>
                <c:pt idx="1">
                  <c:v>0.30780276900783704</c:v>
                </c:pt>
                <c:pt idx="2">
                  <c:v>0.49108731519523791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  <c:pt idx="74">
                  <c:v>30.064299999999999</c:v>
                </c:pt>
                <c:pt idx="75">
                  <c:v>30.500800000000002</c:v>
                </c:pt>
                <c:pt idx="76">
                  <c:v>30.909800000000001</c:v>
                </c:pt>
                <c:pt idx="77">
                  <c:v>31.316800000000001</c:v>
                </c:pt>
                <c:pt idx="78">
                  <c:v>31.718599999999999</c:v>
                </c:pt>
                <c:pt idx="79">
                  <c:v>32.123899999999999</c:v>
                </c:pt>
                <c:pt idx="80">
                  <c:v>32.535200000000003</c:v>
                </c:pt>
                <c:pt idx="81">
                  <c:v>32.940600000000003</c:v>
                </c:pt>
                <c:pt idx="82">
                  <c:v>33.346899999999998</c:v>
                </c:pt>
                <c:pt idx="83">
                  <c:v>33.756700000000002</c:v>
                </c:pt>
                <c:pt idx="84">
                  <c:v>34.153300000000002</c:v>
                </c:pt>
                <c:pt idx="85">
                  <c:v>34.5642</c:v>
                </c:pt>
                <c:pt idx="86">
                  <c:v>34.968899999999998</c:v>
                </c:pt>
                <c:pt idx="87">
                  <c:v>35.376800000000003</c:v>
                </c:pt>
                <c:pt idx="88">
                  <c:v>35.788600000000002</c:v>
                </c:pt>
                <c:pt idx="89">
                  <c:v>36.194299999999998</c:v>
                </c:pt>
                <c:pt idx="90">
                  <c:v>36.595999999999997</c:v>
                </c:pt>
                <c:pt idx="91">
                  <c:v>36.999600000000001</c:v>
                </c:pt>
                <c:pt idx="92">
                  <c:v>37.406100000000002</c:v>
                </c:pt>
                <c:pt idx="93">
                  <c:v>37.813000000000002</c:v>
                </c:pt>
                <c:pt idx="94">
                  <c:v>38.221299999999999</c:v>
                </c:pt>
                <c:pt idx="95">
                  <c:v>38.627099999999999</c:v>
                </c:pt>
                <c:pt idx="96">
                  <c:v>39.031199999999998</c:v>
                </c:pt>
                <c:pt idx="97">
                  <c:v>39.442900000000002</c:v>
                </c:pt>
                <c:pt idx="98">
                  <c:v>39.841500000000003</c:v>
                </c:pt>
                <c:pt idx="99">
                  <c:v>40.255499999999998</c:v>
                </c:pt>
                <c:pt idx="100">
                  <c:v>40.657800000000002</c:v>
                </c:pt>
                <c:pt idx="101">
                  <c:v>41.066499999999998</c:v>
                </c:pt>
                <c:pt idx="102">
                  <c:v>41.469700000000003</c:v>
                </c:pt>
                <c:pt idx="103">
                  <c:v>41.877000000000002</c:v>
                </c:pt>
                <c:pt idx="104">
                  <c:v>42.285899999999998</c:v>
                </c:pt>
                <c:pt idx="105">
                  <c:v>42.690199999999997</c:v>
                </c:pt>
                <c:pt idx="106">
                  <c:v>43.0974</c:v>
                </c:pt>
                <c:pt idx="107">
                  <c:v>43.500900000000001</c:v>
                </c:pt>
                <c:pt idx="108">
                  <c:v>43.907400000000003</c:v>
                </c:pt>
                <c:pt idx="109">
                  <c:v>44.315800000000003</c:v>
                </c:pt>
                <c:pt idx="110">
                  <c:v>44.719000000000001</c:v>
                </c:pt>
                <c:pt idx="111">
                  <c:v>45.126800000000003</c:v>
                </c:pt>
                <c:pt idx="112">
                  <c:v>45.5321</c:v>
                </c:pt>
                <c:pt idx="113">
                  <c:v>45.936900000000001</c:v>
                </c:pt>
                <c:pt idx="114">
                  <c:v>46.349699999999999</c:v>
                </c:pt>
                <c:pt idx="115">
                  <c:v>46.752099999999999</c:v>
                </c:pt>
                <c:pt idx="116">
                  <c:v>47.157899999999998</c:v>
                </c:pt>
                <c:pt idx="117">
                  <c:v>47.562399999999997</c:v>
                </c:pt>
                <c:pt idx="118">
                  <c:v>47.968499999999999</c:v>
                </c:pt>
                <c:pt idx="119">
                  <c:v>48.374499999999998</c:v>
                </c:pt>
                <c:pt idx="120">
                  <c:v>48.783900000000003</c:v>
                </c:pt>
                <c:pt idx="121">
                  <c:v>49.187100000000001</c:v>
                </c:pt>
                <c:pt idx="122">
                  <c:v>49.593000000000004</c:v>
                </c:pt>
                <c:pt idx="123">
                  <c:v>50.0017</c:v>
                </c:pt>
                <c:pt idx="124">
                  <c:v>50.406399999999998</c:v>
                </c:pt>
                <c:pt idx="125">
                  <c:v>50.818300000000001</c:v>
                </c:pt>
                <c:pt idx="126">
                  <c:v>51.220100000000002</c:v>
                </c:pt>
                <c:pt idx="127">
                  <c:v>51.625900000000001</c:v>
                </c:pt>
                <c:pt idx="128">
                  <c:v>52.032400000000003</c:v>
                </c:pt>
                <c:pt idx="129">
                  <c:v>52.437100000000001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53.657800000000002</c:v>
                </c:pt>
                <c:pt idx="133">
                  <c:v>54.064300000000003</c:v>
                </c:pt>
                <c:pt idx="134">
                  <c:v>54.469900000000003</c:v>
                </c:pt>
                <c:pt idx="135">
                  <c:v>54.877600000000001</c:v>
                </c:pt>
                <c:pt idx="136">
                  <c:v>55.2834</c:v>
                </c:pt>
                <c:pt idx="137">
                  <c:v>55.691600000000001</c:v>
                </c:pt>
                <c:pt idx="138">
                  <c:v>56.094700000000003</c:v>
                </c:pt>
                <c:pt idx="139">
                  <c:v>56.502600000000001</c:v>
                </c:pt>
                <c:pt idx="140">
                  <c:v>56.908799999999999</c:v>
                </c:pt>
                <c:pt idx="141">
                  <c:v>57.315100000000001</c:v>
                </c:pt>
                <c:pt idx="142">
                  <c:v>57.718499999999999</c:v>
                </c:pt>
                <c:pt idx="143">
                  <c:v>58.125500000000002</c:v>
                </c:pt>
                <c:pt idx="144">
                  <c:v>58.532400000000003</c:v>
                </c:pt>
                <c:pt idx="145">
                  <c:v>58.939700000000002</c:v>
                </c:pt>
                <c:pt idx="146">
                  <c:v>59.345700000000001</c:v>
                </c:pt>
                <c:pt idx="147">
                  <c:v>59.749499999999998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  <c:pt idx="74">
                  <c:v>4.3460200000000002</c:v>
                </c:pt>
                <c:pt idx="75">
                  <c:v>4.3289299999999997</c:v>
                </c:pt>
                <c:pt idx="76">
                  <c:v>4.3072800000000004</c:v>
                </c:pt>
                <c:pt idx="77">
                  <c:v>4.2828400000000002</c:v>
                </c:pt>
                <c:pt idx="78">
                  <c:v>4.2554699999999999</c:v>
                </c:pt>
                <c:pt idx="79">
                  <c:v>4.2324799999999998</c:v>
                </c:pt>
                <c:pt idx="80">
                  <c:v>4.2118500000000001</c:v>
                </c:pt>
                <c:pt idx="81">
                  <c:v>4.1934800000000001</c:v>
                </c:pt>
                <c:pt idx="82">
                  <c:v>4.1757799999999996</c:v>
                </c:pt>
                <c:pt idx="83">
                  <c:v>4.1582299999999996</c:v>
                </c:pt>
                <c:pt idx="84">
                  <c:v>4.1421799999999998</c:v>
                </c:pt>
                <c:pt idx="85">
                  <c:v>4.1261900000000002</c:v>
                </c:pt>
                <c:pt idx="86">
                  <c:v>4.1120200000000002</c:v>
                </c:pt>
                <c:pt idx="87">
                  <c:v>4.1033599999999995</c:v>
                </c:pt>
                <c:pt idx="88">
                  <c:v>4.09802</c:v>
                </c:pt>
                <c:pt idx="89">
                  <c:v>4.09544</c:v>
                </c:pt>
                <c:pt idx="90">
                  <c:v>4.1009099999999998</c:v>
                </c:pt>
                <c:pt idx="91">
                  <c:v>4.1098099999999995</c:v>
                </c:pt>
                <c:pt idx="92">
                  <c:v>4.1187399999999998</c:v>
                </c:pt>
                <c:pt idx="93">
                  <c:v>4.1297299999999995</c:v>
                </c:pt>
                <c:pt idx="94">
                  <c:v>4.1401300000000001</c:v>
                </c:pt>
                <c:pt idx="95">
                  <c:v>4.1503899999999998</c:v>
                </c:pt>
                <c:pt idx="96">
                  <c:v>4.1569000000000003</c:v>
                </c:pt>
                <c:pt idx="97">
                  <c:v>4.15984</c:v>
                </c:pt>
                <c:pt idx="98">
                  <c:v>4.15951</c:v>
                </c:pt>
                <c:pt idx="99">
                  <c:v>4.1604900000000002</c:v>
                </c:pt>
                <c:pt idx="100">
                  <c:v>4.1624600000000003</c:v>
                </c:pt>
                <c:pt idx="101">
                  <c:v>4.1688700000000001</c:v>
                </c:pt>
                <c:pt idx="102">
                  <c:v>4.1755199999999997</c:v>
                </c:pt>
                <c:pt idx="103">
                  <c:v>4.1866900000000005</c:v>
                </c:pt>
                <c:pt idx="104">
                  <c:v>4.2022900000000005</c:v>
                </c:pt>
                <c:pt idx="105">
                  <c:v>4.2202900000000003</c:v>
                </c:pt>
                <c:pt idx="106">
                  <c:v>4.2399800000000001</c:v>
                </c:pt>
                <c:pt idx="107">
                  <c:v>4.2600300000000004</c:v>
                </c:pt>
                <c:pt idx="108">
                  <c:v>4.2810899999999998</c:v>
                </c:pt>
                <c:pt idx="109">
                  <c:v>4.3014299999999999</c:v>
                </c:pt>
                <c:pt idx="110">
                  <c:v>4.3214399999999999</c:v>
                </c:pt>
                <c:pt idx="111">
                  <c:v>4.3437799999999998</c:v>
                </c:pt>
                <c:pt idx="112">
                  <c:v>4.3612900000000003</c:v>
                </c:pt>
                <c:pt idx="113">
                  <c:v>4.3795900000000003</c:v>
                </c:pt>
                <c:pt idx="114">
                  <c:v>4.3989200000000004</c:v>
                </c:pt>
                <c:pt idx="115">
                  <c:v>4.4148399999999999</c:v>
                </c:pt>
                <c:pt idx="116">
                  <c:v>4.43011</c:v>
                </c:pt>
                <c:pt idx="117">
                  <c:v>4.4458799999999998</c:v>
                </c:pt>
                <c:pt idx="118">
                  <c:v>4.4577400000000003</c:v>
                </c:pt>
                <c:pt idx="119">
                  <c:v>4.4729999999999999</c:v>
                </c:pt>
                <c:pt idx="120">
                  <c:v>4.4883800000000003</c:v>
                </c:pt>
                <c:pt idx="121">
                  <c:v>4.5057999999999998</c:v>
                </c:pt>
                <c:pt idx="122">
                  <c:v>4.5206</c:v>
                </c:pt>
                <c:pt idx="123">
                  <c:v>4.5377700000000001</c:v>
                </c:pt>
                <c:pt idx="124">
                  <c:v>4.5552000000000001</c:v>
                </c:pt>
                <c:pt idx="125">
                  <c:v>4.5740799999999995</c:v>
                </c:pt>
                <c:pt idx="126">
                  <c:v>4.5912100000000002</c:v>
                </c:pt>
                <c:pt idx="127">
                  <c:v>4.6086899999999993</c:v>
                </c:pt>
                <c:pt idx="128">
                  <c:v>4.6231200000000001</c:v>
                </c:pt>
                <c:pt idx="129">
                  <c:v>4.6328200000000006</c:v>
                </c:pt>
                <c:pt idx="130">
                  <c:v>4.6398799999999998</c:v>
                </c:pt>
                <c:pt idx="131">
                  <c:v>4.6440799999999998</c:v>
                </c:pt>
                <c:pt idx="132">
                  <c:v>4.6479100000000004</c:v>
                </c:pt>
                <c:pt idx="133">
                  <c:v>4.6456799999999996</c:v>
                </c:pt>
                <c:pt idx="134">
                  <c:v>4.6427899999999998</c:v>
                </c:pt>
                <c:pt idx="135">
                  <c:v>4.6414999999999997</c:v>
                </c:pt>
                <c:pt idx="136">
                  <c:v>4.6379399999999995</c:v>
                </c:pt>
                <c:pt idx="137">
                  <c:v>4.6370000000000005</c:v>
                </c:pt>
                <c:pt idx="138">
                  <c:v>4.6349999999999998</c:v>
                </c:pt>
                <c:pt idx="139">
                  <c:v>4.6318399999999995</c:v>
                </c:pt>
                <c:pt idx="140">
                  <c:v>4.6291700000000002</c:v>
                </c:pt>
                <c:pt idx="141">
                  <c:v>4.6194299999999995</c:v>
                </c:pt>
                <c:pt idx="142">
                  <c:v>4.6038699999999997</c:v>
                </c:pt>
                <c:pt idx="143">
                  <c:v>4.5928699999999996</c:v>
                </c:pt>
                <c:pt idx="144">
                  <c:v>4.5753500000000003</c:v>
                </c:pt>
                <c:pt idx="145">
                  <c:v>4.5581700000000005</c:v>
                </c:pt>
                <c:pt idx="146">
                  <c:v>4.5262500000000001</c:v>
                </c:pt>
                <c:pt idx="147">
                  <c:v>4.5492699999999999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</c:v>
                </c:pt>
                <c:pt idx="1">
                  <c:v>30.064299999999999</c:v>
                </c:pt>
                <c:pt idx="2">
                  <c:v>30.500800000000002</c:v>
                </c:pt>
                <c:pt idx="3">
                  <c:v>30.909800000000001</c:v>
                </c:pt>
                <c:pt idx="4">
                  <c:v>31.316800000000001</c:v>
                </c:pt>
                <c:pt idx="5">
                  <c:v>31.718599999999999</c:v>
                </c:pt>
                <c:pt idx="6">
                  <c:v>32.123899999999999</c:v>
                </c:pt>
                <c:pt idx="7">
                  <c:v>32.535200000000003</c:v>
                </c:pt>
                <c:pt idx="8">
                  <c:v>32.940600000000003</c:v>
                </c:pt>
                <c:pt idx="9">
                  <c:v>33.346899999999998</c:v>
                </c:pt>
                <c:pt idx="10">
                  <c:v>33.756700000000002</c:v>
                </c:pt>
                <c:pt idx="11">
                  <c:v>34.153300000000002</c:v>
                </c:pt>
                <c:pt idx="12">
                  <c:v>34.5642</c:v>
                </c:pt>
                <c:pt idx="13">
                  <c:v>34.968899999999998</c:v>
                </c:pt>
                <c:pt idx="14">
                  <c:v>35.376800000000003</c:v>
                </c:pt>
                <c:pt idx="15">
                  <c:v>35.788600000000002</c:v>
                </c:pt>
                <c:pt idx="16">
                  <c:v>36.194299999999998</c:v>
                </c:pt>
                <c:pt idx="17">
                  <c:v>36.595999999999997</c:v>
                </c:pt>
                <c:pt idx="18">
                  <c:v>36.999600000000001</c:v>
                </c:pt>
                <c:pt idx="19">
                  <c:v>37.406100000000002</c:v>
                </c:pt>
                <c:pt idx="20">
                  <c:v>37.813000000000002</c:v>
                </c:pt>
                <c:pt idx="21">
                  <c:v>38.221299999999999</c:v>
                </c:pt>
                <c:pt idx="22">
                  <c:v>38.627099999999999</c:v>
                </c:pt>
                <c:pt idx="23">
                  <c:v>39.031199999999998</c:v>
                </c:pt>
                <c:pt idx="24">
                  <c:v>39.442900000000002</c:v>
                </c:pt>
                <c:pt idx="25">
                  <c:v>39.841500000000003</c:v>
                </c:pt>
                <c:pt idx="26">
                  <c:v>40.255499999999998</c:v>
                </c:pt>
                <c:pt idx="27">
                  <c:v>40.657800000000002</c:v>
                </c:pt>
                <c:pt idx="28">
                  <c:v>41.066499999999998</c:v>
                </c:pt>
                <c:pt idx="29">
                  <c:v>41.469700000000003</c:v>
                </c:pt>
                <c:pt idx="30">
                  <c:v>41.877000000000002</c:v>
                </c:pt>
                <c:pt idx="31">
                  <c:v>42.285899999999998</c:v>
                </c:pt>
                <c:pt idx="32">
                  <c:v>42.690199999999997</c:v>
                </c:pt>
                <c:pt idx="33">
                  <c:v>43.0974</c:v>
                </c:pt>
                <c:pt idx="34">
                  <c:v>43.500900000000001</c:v>
                </c:pt>
                <c:pt idx="35">
                  <c:v>43.907400000000003</c:v>
                </c:pt>
                <c:pt idx="36">
                  <c:v>44.315800000000003</c:v>
                </c:pt>
                <c:pt idx="37">
                  <c:v>44.719000000000001</c:v>
                </c:pt>
                <c:pt idx="38">
                  <c:v>45.126800000000003</c:v>
                </c:pt>
                <c:pt idx="39">
                  <c:v>45.5321</c:v>
                </c:pt>
                <c:pt idx="40">
                  <c:v>45.936900000000001</c:v>
                </c:pt>
                <c:pt idx="41">
                  <c:v>46.349699999999999</c:v>
                </c:pt>
                <c:pt idx="42">
                  <c:v>46.752099999999999</c:v>
                </c:pt>
                <c:pt idx="43">
                  <c:v>47.157899999999998</c:v>
                </c:pt>
                <c:pt idx="44">
                  <c:v>47.562399999999997</c:v>
                </c:pt>
                <c:pt idx="45">
                  <c:v>47.968499999999999</c:v>
                </c:pt>
                <c:pt idx="46">
                  <c:v>48.374499999999998</c:v>
                </c:pt>
                <c:pt idx="47">
                  <c:v>48.783900000000003</c:v>
                </c:pt>
                <c:pt idx="48">
                  <c:v>49.187100000000001</c:v>
                </c:pt>
                <c:pt idx="49">
                  <c:v>49.593000000000004</c:v>
                </c:pt>
                <c:pt idx="50">
                  <c:v>50.0017</c:v>
                </c:pt>
                <c:pt idx="51">
                  <c:v>50.406399999999998</c:v>
                </c:pt>
                <c:pt idx="52">
                  <c:v>50.818300000000001</c:v>
                </c:pt>
                <c:pt idx="53">
                  <c:v>51.220100000000002</c:v>
                </c:pt>
                <c:pt idx="54">
                  <c:v>51.625900000000001</c:v>
                </c:pt>
                <c:pt idx="55">
                  <c:v>52.032400000000003</c:v>
                </c:pt>
                <c:pt idx="56">
                  <c:v>52.437100000000001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53.657800000000002</c:v>
                </c:pt>
                <c:pt idx="60">
                  <c:v>54.064300000000003</c:v>
                </c:pt>
                <c:pt idx="61">
                  <c:v>54.469900000000003</c:v>
                </c:pt>
                <c:pt idx="62">
                  <c:v>54.877600000000001</c:v>
                </c:pt>
                <c:pt idx="63">
                  <c:v>55.2834</c:v>
                </c:pt>
                <c:pt idx="64">
                  <c:v>55.691600000000001</c:v>
                </c:pt>
                <c:pt idx="65">
                  <c:v>56.094700000000003</c:v>
                </c:pt>
                <c:pt idx="66">
                  <c:v>56.502600000000001</c:v>
                </c:pt>
                <c:pt idx="67">
                  <c:v>56.908799999999999</c:v>
                </c:pt>
                <c:pt idx="68">
                  <c:v>57.315100000000001</c:v>
                </c:pt>
                <c:pt idx="69">
                  <c:v>57.718499999999999</c:v>
                </c:pt>
                <c:pt idx="70">
                  <c:v>58.125500000000002</c:v>
                </c:pt>
                <c:pt idx="71">
                  <c:v>58.532400000000003</c:v>
                </c:pt>
                <c:pt idx="72">
                  <c:v>58.939700000000002</c:v>
                </c:pt>
                <c:pt idx="73">
                  <c:v>59.345700000000001</c:v>
                </c:pt>
                <c:pt idx="74">
                  <c:v>59.749499999999998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4.3609100000000005</c:v>
                </c:pt>
                <c:pt idx="1">
                  <c:v>4.3460200000000002</c:v>
                </c:pt>
                <c:pt idx="2">
                  <c:v>4.3289299999999997</c:v>
                </c:pt>
                <c:pt idx="3">
                  <c:v>4.3072800000000004</c:v>
                </c:pt>
                <c:pt idx="4">
                  <c:v>4.2828400000000002</c:v>
                </c:pt>
                <c:pt idx="5">
                  <c:v>4.2554699999999999</c:v>
                </c:pt>
                <c:pt idx="6">
                  <c:v>4.2324799999999998</c:v>
                </c:pt>
                <c:pt idx="7">
                  <c:v>4.2118500000000001</c:v>
                </c:pt>
                <c:pt idx="8">
                  <c:v>4.1934800000000001</c:v>
                </c:pt>
                <c:pt idx="9">
                  <c:v>4.1757799999999996</c:v>
                </c:pt>
                <c:pt idx="10">
                  <c:v>4.1582299999999996</c:v>
                </c:pt>
                <c:pt idx="11">
                  <c:v>4.1421799999999998</c:v>
                </c:pt>
                <c:pt idx="12">
                  <c:v>4.1261900000000002</c:v>
                </c:pt>
                <c:pt idx="13">
                  <c:v>4.1120200000000002</c:v>
                </c:pt>
                <c:pt idx="14">
                  <c:v>4.1033599999999995</c:v>
                </c:pt>
                <c:pt idx="15">
                  <c:v>4.09802</c:v>
                </c:pt>
                <c:pt idx="16">
                  <c:v>4.09544</c:v>
                </c:pt>
                <c:pt idx="17">
                  <c:v>4.1009099999999998</c:v>
                </c:pt>
                <c:pt idx="18">
                  <c:v>4.1098099999999995</c:v>
                </c:pt>
                <c:pt idx="19">
                  <c:v>4.1187399999999998</c:v>
                </c:pt>
                <c:pt idx="20">
                  <c:v>4.1297299999999995</c:v>
                </c:pt>
                <c:pt idx="21">
                  <c:v>4.1401300000000001</c:v>
                </c:pt>
                <c:pt idx="22">
                  <c:v>4.1503899999999998</c:v>
                </c:pt>
                <c:pt idx="23">
                  <c:v>4.1569000000000003</c:v>
                </c:pt>
                <c:pt idx="24">
                  <c:v>4.15984</c:v>
                </c:pt>
                <c:pt idx="25">
                  <c:v>4.15951</c:v>
                </c:pt>
                <c:pt idx="26">
                  <c:v>4.1604900000000002</c:v>
                </c:pt>
                <c:pt idx="27">
                  <c:v>4.1624600000000003</c:v>
                </c:pt>
                <c:pt idx="28">
                  <c:v>4.1688700000000001</c:v>
                </c:pt>
                <c:pt idx="29">
                  <c:v>4.1755199999999997</c:v>
                </c:pt>
                <c:pt idx="30">
                  <c:v>4.1866900000000005</c:v>
                </c:pt>
                <c:pt idx="31">
                  <c:v>4.2022900000000005</c:v>
                </c:pt>
                <c:pt idx="32">
                  <c:v>4.2202900000000003</c:v>
                </c:pt>
                <c:pt idx="33">
                  <c:v>4.2399800000000001</c:v>
                </c:pt>
                <c:pt idx="34">
                  <c:v>4.2600300000000004</c:v>
                </c:pt>
                <c:pt idx="35">
                  <c:v>4.2810899999999998</c:v>
                </c:pt>
                <c:pt idx="36">
                  <c:v>4.3014299999999999</c:v>
                </c:pt>
                <c:pt idx="37">
                  <c:v>4.3214399999999999</c:v>
                </c:pt>
                <c:pt idx="38">
                  <c:v>4.3437799999999998</c:v>
                </c:pt>
                <c:pt idx="39">
                  <c:v>4.3612900000000003</c:v>
                </c:pt>
                <c:pt idx="40">
                  <c:v>4.3795900000000003</c:v>
                </c:pt>
                <c:pt idx="41">
                  <c:v>4.3989200000000004</c:v>
                </c:pt>
                <c:pt idx="42">
                  <c:v>4.4148399999999999</c:v>
                </c:pt>
                <c:pt idx="43">
                  <c:v>4.43011</c:v>
                </c:pt>
                <c:pt idx="44">
                  <c:v>4.4458799999999998</c:v>
                </c:pt>
                <c:pt idx="45">
                  <c:v>4.4577400000000003</c:v>
                </c:pt>
                <c:pt idx="46">
                  <c:v>4.4729999999999999</c:v>
                </c:pt>
                <c:pt idx="47">
                  <c:v>4.4883800000000003</c:v>
                </c:pt>
                <c:pt idx="48">
                  <c:v>4.5057999999999998</c:v>
                </c:pt>
                <c:pt idx="49">
                  <c:v>4.5206</c:v>
                </c:pt>
                <c:pt idx="50">
                  <c:v>4.5377700000000001</c:v>
                </c:pt>
                <c:pt idx="51">
                  <c:v>4.5552000000000001</c:v>
                </c:pt>
                <c:pt idx="52">
                  <c:v>4.5740799999999995</c:v>
                </c:pt>
                <c:pt idx="53">
                  <c:v>4.5912100000000002</c:v>
                </c:pt>
                <c:pt idx="54">
                  <c:v>4.6086899999999993</c:v>
                </c:pt>
                <c:pt idx="55">
                  <c:v>4.6231200000000001</c:v>
                </c:pt>
                <c:pt idx="56">
                  <c:v>4.6328200000000006</c:v>
                </c:pt>
                <c:pt idx="57">
                  <c:v>4.6398799999999998</c:v>
                </c:pt>
                <c:pt idx="58">
                  <c:v>4.6440799999999998</c:v>
                </c:pt>
                <c:pt idx="59">
                  <c:v>4.6479100000000004</c:v>
                </c:pt>
                <c:pt idx="60">
                  <c:v>4.6456799999999996</c:v>
                </c:pt>
                <c:pt idx="61">
                  <c:v>4.6427899999999998</c:v>
                </c:pt>
                <c:pt idx="62">
                  <c:v>4.6414999999999997</c:v>
                </c:pt>
                <c:pt idx="63">
                  <c:v>4.6379399999999995</c:v>
                </c:pt>
                <c:pt idx="64">
                  <c:v>4.6370000000000005</c:v>
                </c:pt>
                <c:pt idx="65">
                  <c:v>4.6349999999999998</c:v>
                </c:pt>
                <c:pt idx="66">
                  <c:v>4.6318399999999995</c:v>
                </c:pt>
                <c:pt idx="67">
                  <c:v>4.6291700000000002</c:v>
                </c:pt>
                <c:pt idx="68">
                  <c:v>4.6194299999999995</c:v>
                </c:pt>
                <c:pt idx="69">
                  <c:v>4.6038699999999997</c:v>
                </c:pt>
                <c:pt idx="70">
                  <c:v>4.5928699999999996</c:v>
                </c:pt>
                <c:pt idx="71">
                  <c:v>4.5753500000000003</c:v>
                </c:pt>
                <c:pt idx="72">
                  <c:v>4.5581700000000005</c:v>
                </c:pt>
                <c:pt idx="73">
                  <c:v>4.5262500000000001</c:v>
                </c:pt>
                <c:pt idx="74">
                  <c:v>4.5492699999999999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14.937374999999999</c:v>
                </c:pt>
                <c:pt idx="1">
                  <c:v>44.812124999999995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3.7879879729729726</c:v>
                </c:pt>
                <c:pt idx="1">
                  <c:v>4.3713098648648643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  <c:pt idx="74">
                  <c:v>30.064299999999999</c:v>
                </c:pt>
                <c:pt idx="75">
                  <c:v>30.500800000000002</c:v>
                </c:pt>
                <c:pt idx="76">
                  <c:v>30.909800000000001</c:v>
                </c:pt>
                <c:pt idx="77">
                  <c:v>31.316800000000001</c:v>
                </c:pt>
                <c:pt idx="78">
                  <c:v>31.718599999999999</c:v>
                </c:pt>
                <c:pt idx="79">
                  <c:v>32.123899999999999</c:v>
                </c:pt>
                <c:pt idx="80">
                  <c:v>32.535200000000003</c:v>
                </c:pt>
                <c:pt idx="81">
                  <c:v>32.940600000000003</c:v>
                </c:pt>
                <c:pt idx="82">
                  <c:v>33.346899999999998</c:v>
                </c:pt>
                <c:pt idx="83">
                  <c:v>33.756700000000002</c:v>
                </c:pt>
                <c:pt idx="84">
                  <c:v>34.153300000000002</c:v>
                </c:pt>
                <c:pt idx="85">
                  <c:v>34.5642</c:v>
                </c:pt>
                <c:pt idx="86">
                  <c:v>34.968899999999998</c:v>
                </c:pt>
                <c:pt idx="87">
                  <c:v>35.376800000000003</c:v>
                </c:pt>
                <c:pt idx="88">
                  <c:v>35.788600000000002</c:v>
                </c:pt>
                <c:pt idx="89">
                  <c:v>36.194299999999998</c:v>
                </c:pt>
                <c:pt idx="90">
                  <c:v>36.595999999999997</c:v>
                </c:pt>
                <c:pt idx="91">
                  <c:v>36.999600000000001</c:v>
                </c:pt>
                <c:pt idx="92">
                  <c:v>37.406100000000002</c:v>
                </c:pt>
                <c:pt idx="93">
                  <c:v>37.813000000000002</c:v>
                </c:pt>
                <c:pt idx="94">
                  <c:v>38.221299999999999</c:v>
                </c:pt>
                <c:pt idx="95">
                  <c:v>38.627099999999999</c:v>
                </c:pt>
                <c:pt idx="96">
                  <c:v>39.031199999999998</c:v>
                </c:pt>
                <c:pt idx="97">
                  <c:v>39.442900000000002</c:v>
                </c:pt>
                <c:pt idx="98">
                  <c:v>39.841500000000003</c:v>
                </c:pt>
                <c:pt idx="99">
                  <c:v>40.255499999999998</c:v>
                </c:pt>
                <c:pt idx="100">
                  <c:v>40.657800000000002</c:v>
                </c:pt>
                <c:pt idx="101">
                  <c:v>41.066499999999998</c:v>
                </c:pt>
                <c:pt idx="102">
                  <c:v>41.469700000000003</c:v>
                </c:pt>
                <c:pt idx="103">
                  <c:v>41.877000000000002</c:v>
                </c:pt>
                <c:pt idx="104">
                  <c:v>42.285899999999998</c:v>
                </c:pt>
                <c:pt idx="105">
                  <c:v>42.690199999999997</c:v>
                </c:pt>
                <c:pt idx="106">
                  <c:v>43.0974</c:v>
                </c:pt>
                <c:pt idx="107">
                  <c:v>43.500900000000001</c:v>
                </c:pt>
                <c:pt idx="108">
                  <c:v>43.907400000000003</c:v>
                </c:pt>
                <c:pt idx="109">
                  <c:v>44.315800000000003</c:v>
                </c:pt>
                <c:pt idx="110">
                  <c:v>44.719000000000001</c:v>
                </c:pt>
                <c:pt idx="111">
                  <c:v>45.126800000000003</c:v>
                </c:pt>
                <c:pt idx="112">
                  <c:v>45.5321</c:v>
                </c:pt>
                <c:pt idx="113">
                  <c:v>45.936900000000001</c:v>
                </c:pt>
                <c:pt idx="114">
                  <c:v>46.349699999999999</c:v>
                </c:pt>
                <c:pt idx="115">
                  <c:v>46.752099999999999</c:v>
                </c:pt>
                <c:pt idx="116">
                  <c:v>47.157899999999998</c:v>
                </c:pt>
                <c:pt idx="117">
                  <c:v>47.562399999999997</c:v>
                </c:pt>
                <c:pt idx="118">
                  <c:v>47.968499999999999</c:v>
                </c:pt>
                <c:pt idx="119">
                  <c:v>48.374499999999998</c:v>
                </c:pt>
                <c:pt idx="120">
                  <c:v>48.783900000000003</c:v>
                </c:pt>
                <c:pt idx="121">
                  <c:v>49.187100000000001</c:v>
                </c:pt>
                <c:pt idx="122">
                  <c:v>49.593000000000004</c:v>
                </c:pt>
                <c:pt idx="123">
                  <c:v>50.0017</c:v>
                </c:pt>
                <c:pt idx="124">
                  <c:v>50.406399999999998</c:v>
                </c:pt>
                <c:pt idx="125">
                  <c:v>50.818300000000001</c:v>
                </c:pt>
                <c:pt idx="126">
                  <c:v>51.220100000000002</c:v>
                </c:pt>
                <c:pt idx="127">
                  <c:v>51.625900000000001</c:v>
                </c:pt>
                <c:pt idx="128">
                  <c:v>52.032400000000003</c:v>
                </c:pt>
                <c:pt idx="129">
                  <c:v>52.437100000000001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53.657800000000002</c:v>
                </c:pt>
                <c:pt idx="133">
                  <c:v>54.064300000000003</c:v>
                </c:pt>
                <c:pt idx="134">
                  <c:v>54.469900000000003</c:v>
                </c:pt>
                <c:pt idx="135">
                  <c:v>54.877600000000001</c:v>
                </c:pt>
                <c:pt idx="136">
                  <c:v>55.2834</c:v>
                </c:pt>
                <c:pt idx="137">
                  <c:v>55.691600000000001</c:v>
                </c:pt>
                <c:pt idx="138">
                  <c:v>56.094700000000003</c:v>
                </c:pt>
                <c:pt idx="139">
                  <c:v>56.502600000000001</c:v>
                </c:pt>
                <c:pt idx="140">
                  <c:v>56.908799999999999</c:v>
                </c:pt>
                <c:pt idx="141">
                  <c:v>57.315100000000001</c:v>
                </c:pt>
                <c:pt idx="142">
                  <c:v>57.718499999999999</c:v>
                </c:pt>
                <c:pt idx="143">
                  <c:v>58.125500000000002</c:v>
                </c:pt>
                <c:pt idx="144">
                  <c:v>58.532400000000003</c:v>
                </c:pt>
                <c:pt idx="145">
                  <c:v>58.939700000000002</c:v>
                </c:pt>
                <c:pt idx="146">
                  <c:v>59.345700000000001</c:v>
                </c:pt>
                <c:pt idx="147">
                  <c:v>59.749499999999998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  <c:pt idx="74">
                  <c:v>35.790499999999994</c:v>
                </c:pt>
                <c:pt idx="75">
                  <c:v>36.003700000000002</c:v>
                </c:pt>
                <c:pt idx="76">
                  <c:v>36.186700000000002</c:v>
                </c:pt>
                <c:pt idx="77">
                  <c:v>36.409399999999998</c:v>
                </c:pt>
                <c:pt idx="78">
                  <c:v>36.645499999999998</c:v>
                </c:pt>
                <c:pt idx="79">
                  <c:v>36.872999999999998</c:v>
                </c:pt>
                <c:pt idx="80">
                  <c:v>37.081499999999998</c:v>
                </c:pt>
                <c:pt idx="81">
                  <c:v>37.189799999999998</c:v>
                </c:pt>
                <c:pt idx="82">
                  <c:v>37.300699999999999</c:v>
                </c:pt>
                <c:pt idx="83">
                  <c:v>37.483499999999999</c:v>
                </c:pt>
                <c:pt idx="84">
                  <c:v>37.5869</c:v>
                </c:pt>
                <c:pt idx="85">
                  <c:v>37.6691</c:v>
                </c:pt>
                <c:pt idx="86">
                  <c:v>37.708000000000006</c:v>
                </c:pt>
                <c:pt idx="87">
                  <c:v>37.695</c:v>
                </c:pt>
                <c:pt idx="88">
                  <c:v>37.665799999999997</c:v>
                </c:pt>
                <c:pt idx="89">
                  <c:v>37.627000000000002</c:v>
                </c:pt>
                <c:pt idx="90">
                  <c:v>37.566100000000006</c:v>
                </c:pt>
                <c:pt idx="91">
                  <c:v>37.451000000000001</c:v>
                </c:pt>
                <c:pt idx="92">
                  <c:v>37.353700000000003</c:v>
                </c:pt>
                <c:pt idx="93">
                  <c:v>37.190899999999999</c:v>
                </c:pt>
                <c:pt idx="94">
                  <c:v>37.1021</c:v>
                </c:pt>
                <c:pt idx="95">
                  <c:v>37.064599999999999</c:v>
                </c:pt>
                <c:pt idx="96">
                  <c:v>37.079900000000002</c:v>
                </c:pt>
                <c:pt idx="97">
                  <c:v>37.100899999999996</c:v>
                </c:pt>
                <c:pt idx="98">
                  <c:v>37.154800000000002</c:v>
                </c:pt>
                <c:pt idx="99">
                  <c:v>37.216200000000001</c:v>
                </c:pt>
                <c:pt idx="100">
                  <c:v>37.279499999999999</c:v>
                </c:pt>
                <c:pt idx="101">
                  <c:v>37.372999999999998</c:v>
                </c:pt>
                <c:pt idx="102">
                  <c:v>37.485199999999999</c:v>
                </c:pt>
                <c:pt idx="103">
                  <c:v>37.633400000000002</c:v>
                </c:pt>
                <c:pt idx="104">
                  <c:v>37.678400000000003</c:v>
                </c:pt>
                <c:pt idx="105">
                  <c:v>37.6479</c:v>
                </c:pt>
                <c:pt idx="106">
                  <c:v>37.614399999999996</c:v>
                </c:pt>
                <c:pt idx="107">
                  <c:v>37.5456</c:v>
                </c:pt>
                <c:pt idx="108">
                  <c:v>37.419999999999995</c:v>
                </c:pt>
                <c:pt idx="109">
                  <c:v>37.352999999999994</c:v>
                </c:pt>
                <c:pt idx="110">
                  <c:v>37.318300000000001</c:v>
                </c:pt>
                <c:pt idx="111">
                  <c:v>37.321199999999997</c:v>
                </c:pt>
                <c:pt idx="112">
                  <c:v>37.3367</c:v>
                </c:pt>
                <c:pt idx="113">
                  <c:v>37.339599999999997</c:v>
                </c:pt>
                <c:pt idx="114">
                  <c:v>37.322600000000001</c:v>
                </c:pt>
                <c:pt idx="115">
                  <c:v>37.308400000000006</c:v>
                </c:pt>
                <c:pt idx="116">
                  <c:v>37.305599999999998</c:v>
                </c:pt>
                <c:pt idx="117">
                  <c:v>37.338000000000001</c:v>
                </c:pt>
                <c:pt idx="118">
                  <c:v>37.459800000000001</c:v>
                </c:pt>
                <c:pt idx="119">
                  <c:v>37.595700000000001</c:v>
                </c:pt>
                <c:pt idx="120">
                  <c:v>37.785000000000004</c:v>
                </c:pt>
                <c:pt idx="121">
                  <c:v>38.058700000000002</c:v>
                </c:pt>
                <c:pt idx="122">
                  <c:v>38.415500000000002</c:v>
                </c:pt>
                <c:pt idx="123">
                  <c:v>38.664700000000003</c:v>
                </c:pt>
                <c:pt idx="124">
                  <c:v>38.823099999999997</c:v>
                </c:pt>
                <c:pt idx="125">
                  <c:v>38.990499999999997</c:v>
                </c:pt>
                <c:pt idx="126">
                  <c:v>39.169399999999996</c:v>
                </c:pt>
                <c:pt idx="127">
                  <c:v>39.372800000000005</c:v>
                </c:pt>
                <c:pt idx="128">
                  <c:v>39.504800000000003</c:v>
                </c:pt>
                <c:pt idx="129">
                  <c:v>39.630900000000004</c:v>
                </c:pt>
                <c:pt idx="130">
                  <c:v>39.7744</c:v>
                </c:pt>
                <c:pt idx="131">
                  <c:v>39.909499999999994</c:v>
                </c:pt>
                <c:pt idx="132">
                  <c:v>40.058100000000003</c:v>
                </c:pt>
                <c:pt idx="133">
                  <c:v>40.220700000000001</c:v>
                </c:pt>
                <c:pt idx="134">
                  <c:v>40.380300000000005</c:v>
                </c:pt>
                <c:pt idx="135">
                  <c:v>40.583500000000001</c:v>
                </c:pt>
                <c:pt idx="136">
                  <c:v>40.772000000000006</c:v>
                </c:pt>
                <c:pt idx="137">
                  <c:v>40.992899999999999</c:v>
                </c:pt>
                <c:pt idx="138">
                  <c:v>41.273400000000002</c:v>
                </c:pt>
                <c:pt idx="139">
                  <c:v>41.615400000000001</c:v>
                </c:pt>
                <c:pt idx="140">
                  <c:v>41.962200000000003</c:v>
                </c:pt>
                <c:pt idx="141">
                  <c:v>42.371900000000004</c:v>
                </c:pt>
                <c:pt idx="142">
                  <c:v>42.801099999999998</c:v>
                </c:pt>
                <c:pt idx="143">
                  <c:v>43.144100000000002</c:v>
                </c:pt>
                <c:pt idx="144">
                  <c:v>43.651200000000003</c:v>
                </c:pt>
                <c:pt idx="145">
                  <c:v>44.0901</c:v>
                </c:pt>
                <c:pt idx="146">
                  <c:v>44.385799999999996</c:v>
                </c:pt>
                <c:pt idx="147">
                  <c:v>44.009599999999999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</c:v>
                </c:pt>
                <c:pt idx="1">
                  <c:v>30.064299999999999</c:v>
                </c:pt>
                <c:pt idx="2">
                  <c:v>30.500800000000002</c:v>
                </c:pt>
                <c:pt idx="3">
                  <c:v>30.909800000000001</c:v>
                </c:pt>
                <c:pt idx="4">
                  <c:v>31.316800000000001</c:v>
                </c:pt>
                <c:pt idx="5">
                  <c:v>31.718599999999999</c:v>
                </c:pt>
                <c:pt idx="6">
                  <c:v>32.123899999999999</c:v>
                </c:pt>
                <c:pt idx="7">
                  <c:v>32.535200000000003</c:v>
                </c:pt>
                <c:pt idx="8">
                  <c:v>32.940600000000003</c:v>
                </c:pt>
                <c:pt idx="9">
                  <c:v>33.346899999999998</c:v>
                </c:pt>
                <c:pt idx="10">
                  <c:v>33.756700000000002</c:v>
                </c:pt>
                <c:pt idx="11">
                  <c:v>34.153300000000002</c:v>
                </c:pt>
                <c:pt idx="12">
                  <c:v>34.5642</c:v>
                </c:pt>
                <c:pt idx="13">
                  <c:v>34.968899999999998</c:v>
                </c:pt>
                <c:pt idx="14">
                  <c:v>35.376800000000003</c:v>
                </c:pt>
                <c:pt idx="15">
                  <c:v>35.788600000000002</c:v>
                </c:pt>
                <c:pt idx="16">
                  <c:v>36.194299999999998</c:v>
                </c:pt>
                <c:pt idx="17">
                  <c:v>36.595999999999997</c:v>
                </c:pt>
                <c:pt idx="18">
                  <c:v>36.999600000000001</c:v>
                </c:pt>
                <c:pt idx="19">
                  <c:v>37.406100000000002</c:v>
                </c:pt>
                <c:pt idx="20">
                  <c:v>37.813000000000002</c:v>
                </c:pt>
                <c:pt idx="21">
                  <c:v>38.221299999999999</c:v>
                </c:pt>
                <c:pt idx="22">
                  <c:v>38.627099999999999</c:v>
                </c:pt>
                <c:pt idx="23">
                  <c:v>39.031199999999998</c:v>
                </c:pt>
                <c:pt idx="24">
                  <c:v>39.442900000000002</c:v>
                </c:pt>
                <c:pt idx="25">
                  <c:v>39.841500000000003</c:v>
                </c:pt>
                <c:pt idx="26">
                  <c:v>40.255499999999998</c:v>
                </c:pt>
                <c:pt idx="27">
                  <c:v>40.657800000000002</c:v>
                </c:pt>
                <c:pt idx="28">
                  <c:v>41.066499999999998</c:v>
                </c:pt>
                <c:pt idx="29">
                  <c:v>41.469700000000003</c:v>
                </c:pt>
                <c:pt idx="30">
                  <c:v>41.877000000000002</c:v>
                </c:pt>
                <c:pt idx="31">
                  <c:v>42.285899999999998</c:v>
                </c:pt>
                <c:pt idx="32">
                  <c:v>42.690199999999997</c:v>
                </c:pt>
                <c:pt idx="33">
                  <c:v>43.0974</c:v>
                </c:pt>
                <c:pt idx="34">
                  <c:v>43.500900000000001</c:v>
                </c:pt>
                <c:pt idx="35">
                  <c:v>43.907400000000003</c:v>
                </c:pt>
                <c:pt idx="36">
                  <c:v>44.315800000000003</c:v>
                </c:pt>
                <c:pt idx="37">
                  <c:v>44.719000000000001</c:v>
                </c:pt>
                <c:pt idx="38">
                  <c:v>45.126800000000003</c:v>
                </c:pt>
                <c:pt idx="39">
                  <c:v>45.5321</c:v>
                </c:pt>
                <c:pt idx="40">
                  <c:v>45.936900000000001</c:v>
                </c:pt>
                <c:pt idx="41">
                  <c:v>46.349699999999999</c:v>
                </c:pt>
                <c:pt idx="42">
                  <c:v>46.752099999999999</c:v>
                </c:pt>
                <c:pt idx="43">
                  <c:v>47.157899999999998</c:v>
                </c:pt>
                <c:pt idx="44">
                  <c:v>47.562399999999997</c:v>
                </c:pt>
                <c:pt idx="45">
                  <c:v>47.968499999999999</c:v>
                </c:pt>
                <c:pt idx="46">
                  <c:v>48.374499999999998</c:v>
                </c:pt>
                <c:pt idx="47">
                  <c:v>48.783900000000003</c:v>
                </c:pt>
                <c:pt idx="48">
                  <c:v>49.187100000000001</c:v>
                </c:pt>
                <c:pt idx="49">
                  <c:v>49.593000000000004</c:v>
                </c:pt>
                <c:pt idx="50">
                  <c:v>50.0017</c:v>
                </c:pt>
                <c:pt idx="51">
                  <c:v>50.406399999999998</c:v>
                </c:pt>
                <c:pt idx="52">
                  <c:v>50.818300000000001</c:v>
                </c:pt>
                <c:pt idx="53">
                  <c:v>51.220100000000002</c:v>
                </c:pt>
                <c:pt idx="54">
                  <c:v>51.625900000000001</c:v>
                </c:pt>
                <c:pt idx="55">
                  <c:v>52.032400000000003</c:v>
                </c:pt>
                <c:pt idx="56">
                  <c:v>52.437100000000001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53.657800000000002</c:v>
                </c:pt>
                <c:pt idx="60">
                  <c:v>54.064300000000003</c:v>
                </c:pt>
                <c:pt idx="61">
                  <c:v>54.469900000000003</c:v>
                </c:pt>
                <c:pt idx="62">
                  <c:v>54.877600000000001</c:v>
                </c:pt>
                <c:pt idx="63">
                  <c:v>55.2834</c:v>
                </c:pt>
                <c:pt idx="64">
                  <c:v>55.691600000000001</c:v>
                </c:pt>
                <c:pt idx="65">
                  <c:v>56.094700000000003</c:v>
                </c:pt>
                <c:pt idx="66">
                  <c:v>56.502600000000001</c:v>
                </c:pt>
                <c:pt idx="67">
                  <c:v>56.908799999999999</c:v>
                </c:pt>
                <c:pt idx="68">
                  <c:v>57.315100000000001</c:v>
                </c:pt>
                <c:pt idx="69">
                  <c:v>57.718499999999999</c:v>
                </c:pt>
                <c:pt idx="70">
                  <c:v>58.125500000000002</c:v>
                </c:pt>
                <c:pt idx="71">
                  <c:v>58.532400000000003</c:v>
                </c:pt>
                <c:pt idx="72">
                  <c:v>58.939700000000002</c:v>
                </c:pt>
                <c:pt idx="73">
                  <c:v>59.345700000000001</c:v>
                </c:pt>
                <c:pt idx="74">
                  <c:v>59.749499999999998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35.574199999999998</c:v>
                </c:pt>
                <c:pt idx="1">
                  <c:v>35.790499999999994</c:v>
                </c:pt>
                <c:pt idx="2">
                  <c:v>36.003700000000002</c:v>
                </c:pt>
                <c:pt idx="3">
                  <c:v>36.186700000000002</c:v>
                </c:pt>
                <c:pt idx="4">
                  <c:v>36.409399999999998</c:v>
                </c:pt>
                <c:pt idx="5">
                  <c:v>36.645499999999998</c:v>
                </c:pt>
                <c:pt idx="6">
                  <c:v>36.872999999999998</c:v>
                </c:pt>
                <c:pt idx="7">
                  <c:v>37.081499999999998</c:v>
                </c:pt>
                <c:pt idx="8">
                  <c:v>37.189799999999998</c:v>
                </c:pt>
                <c:pt idx="9">
                  <c:v>37.300699999999999</c:v>
                </c:pt>
                <c:pt idx="10">
                  <c:v>37.483499999999999</c:v>
                </c:pt>
                <c:pt idx="11">
                  <c:v>37.5869</c:v>
                </c:pt>
                <c:pt idx="12">
                  <c:v>37.6691</c:v>
                </c:pt>
                <c:pt idx="13">
                  <c:v>37.708000000000006</c:v>
                </c:pt>
                <c:pt idx="14">
                  <c:v>37.695</c:v>
                </c:pt>
                <c:pt idx="15">
                  <c:v>37.665799999999997</c:v>
                </c:pt>
                <c:pt idx="16">
                  <c:v>37.627000000000002</c:v>
                </c:pt>
                <c:pt idx="17">
                  <c:v>37.566100000000006</c:v>
                </c:pt>
                <c:pt idx="18">
                  <c:v>37.451000000000001</c:v>
                </c:pt>
                <c:pt idx="19">
                  <c:v>37.353700000000003</c:v>
                </c:pt>
                <c:pt idx="20">
                  <c:v>37.190899999999999</c:v>
                </c:pt>
                <c:pt idx="21">
                  <c:v>37.1021</c:v>
                </c:pt>
                <c:pt idx="22">
                  <c:v>37.064599999999999</c:v>
                </c:pt>
                <c:pt idx="23">
                  <c:v>37.079900000000002</c:v>
                </c:pt>
                <c:pt idx="24">
                  <c:v>37.100899999999996</c:v>
                </c:pt>
                <c:pt idx="25">
                  <c:v>37.154800000000002</c:v>
                </c:pt>
                <c:pt idx="26">
                  <c:v>37.216200000000001</c:v>
                </c:pt>
                <c:pt idx="27">
                  <c:v>37.279499999999999</c:v>
                </c:pt>
                <c:pt idx="28">
                  <c:v>37.372999999999998</c:v>
                </c:pt>
                <c:pt idx="29">
                  <c:v>37.485199999999999</c:v>
                </c:pt>
                <c:pt idx="30">
                  <c:v>37.633400000000002</c:v>
                </c:pt>
                <c:pt idx="31">
                  <c:v>37.678400000000003</c:v>
                </c:pt>
                <c:pt idx="32">
                  <c:v>37.6479</c:v>
                </c:pt>
                <c:pt idx="33">
                  <c:v>37.614399999999996</c:v>
                </c:pt>
                <c:pt idx="34">
                  <c:v>37.5456</c:v>
                </c:pt>
                <c:pt idx="35">
                  <c:v>37.419999999999995</c:v>
                </c:pt>
                <c:pt idx="36">
                  <c:v>37.352999999999994</c:v>
                </c:pt>
                <c:pt idx="37">
                  <c:v>37.318300000000001</c:v>
                </c:pt>
                <c:pt idx="38">
                  <c:v>37.321199999999997</c:v>
                </c:pt>
                <c:pt idx="39">
                  <c:v>37.3367</c:v>
                </c:pt>
                <c:pt idx="40">
                  <c:v>37.339599999999997</c:v>
                </c:pt>
                <c:pt idx="41">
                  <c:v>37.322600000000001</c:v>
                </c:pt>
                <c:pt idx="42">
                  <c:v>37.308400000000006</c:v>
                </c:pt>
                <c:pt idx="43">
                  <c:v>37.305599999999998</c:v>
                </c:pt>
                <c:pt idx="44">
                  <c:v>37.338000000000001</c:v>
                </c:pt>
                <c:pt idx="45">
                  <c:v>37.459800000000001</c:v>
                </c:pt>
                <c:pt idx="46">
                  <c:v>37.595700000000001</c:v>
                </c:pt>
                <c:pt idx="47">
                  <c:v>37.785000000000004</c:v>
                </c:pt>
                <c:pt idx="48">
                  <c:v>38.058700000000002</c:v>
                </c:pt>
                <c:pt idx="49">
                  <c:v>38.415500000000002</c:v>
                </c:pt>
                <c:pt idx="50">
                  <c:v>38.664700000000003</c:v>
                </c:pt>
                <c:pt idx="51">
                  <c:v>38.823099999999997</c:v>
                </c:pt>
                <c:pt idx="52">
                  <c:v>38.990499999999997</c:v>
                </c:pt>
                <c:pt idx="53">
                  <c:v>39.169399999999996</c:v>
                </c:pt>
                <c:pt idx="54">
                  <c:v>39.372800000000005</c:v>
                </c:pt>
                <c:pt idx="55">
                  <c:v>39.504800000000003</c:v>
                </c:pt>
                <c:pt idx="56">
                  <c:v>39.630900000000004</c:v>
                </c:pt>
                <c:pt idx="57">
                  <c:v>39.7744</c:v>
                </c:pt>
                <c:pt idx="58">
                  <c:v>39.909499999999994</c:v>
                </c:pt>
                <c:pt idx="59">
                  <c:v>40.058100000000003</c:v>
                </c:pt>
                <c:pt idx="60">
                  <c:v>40.220700000000001</c:v>
                </c:pt>
                <c:pt idx="61">
                  <c:v>40.380300000000005</c:v>
                </c:pt>
                <c:pt idx="62">
                  <c:v>40.583500000000001</c:v>
                </c:pt>
                <c:pt idx="63">
                  <c:v>40.772000000000006</c:v>
                </c:pt>
                <c:pt idx="64">
                  <c:v>40.992899999999999</c:v>
                </c:pt>
                <c:pt idx="65">
                  <c:v>41.273400000000002</c:v>
                </c:pt>
                <c:pt idx="66">
                  <c:v>41.615400000000001</c:v>
                </c:pt>
                <c:pt idx="67">
                  <c:v>41.962200000000003</c:v>
                </c:pt>
                <c:pt idx="68">
                  <c:v>42.371900000000004</c:v>
                </c:pt>
                <c:pt idx="69">
                  <c:v>42.801099999999998</c:v>
                </c:pt>
                <c:pt idx="70">
                  <c:v>43.144100000000002</c:v>
                </c:pt>
                <c:pt idx="71">
                  <c:v>43.651200000000003</c:v>
                </c:pt>
                <c:pt idx="72">
                  <c:v>44.0901</c:v>
                </c:pt>
                <c:pt idx="73">
                  <c:v>44.385799999999996</c:v>
                </c:pt>
                <c:pt idx="74">
                  <c:v>44.009599999999999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14.937374999999999</c:v>
                </c:pt>
                <c:pt idx="1">
                  <c:v>44.812124999999995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35.082464864864846</c:v>
                </c:pt>
                <c:pt idx="1">
                  <c:v>38.571408108108095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46.942700000000002</c:v>
                </c:pt>
                <c:pt idx="1">
                  <c:v>36.833199999999998</c:v>
                </c:pt>
                <c:pt idx="2">
                  <c:v>22.12</c:v>
                </c:pt>
                <c:pt idx="3">
                  <c:v>32.414099999999998</c:v>
                </c:pt>
                <c:pt idx="4">
                  <c:v>69.892799999999994</c:v>
                </c:pt>
                <c:pt idx="5">
                  <c:v>74.229399999999998</c:v>
                </c:pt>
                <c:pt idx="6">
                  <c:v>24.761399999999998</c:v>
                </c:pt>
                <c:pt idx="7">
                  <c:v>71.9923</c:v>
                </c:pt>
                <c:pt idx="8">
                  <c:v>22.5183</c:v>
                </c:pt>
                <c:pt idx="9">
                  <c:v>29.602599999999999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46.257899999999999</c:v>
                </c:pt>
                <c:pt idx="1">
                  <c:v>34.822299999999998</c:v>
                </c:pt>
                <c:pt idx="2">
                  <c:v>23.144300000000001</c:v>
                </c:pt>
                <c:pt idx="3">
                  <c:v>35.272799999999997</c:v>
                </c:pt>
                <c:pt idx="4">
                  <c:v>71.987700000000004</c:v>
                </c:pt>
                <c:pt idx="5">
                  <c:v>72.250699999999995</c:v>
                </c:pt>
                <c:pt idx="6">
                  <c:v>30.6921</c:v>
                </c:pt>
                <c:pt idx="7">
                  <c:v>72.314499999999995</c:v>
                </c:pt>
                <c:pt idx="8">
                  <c:v>23.904599999999999</c:v>
                </c:pt>
                <c:pt idx="9">
                  <c:v>24.409099999999999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0.49826664876671317</c:v>
                </c:pt>
                <c:pt idx="1">
                  <c:v>0.28610276159185749</c:v>
                </c:pt>
                <c:pt idx="2">
                  <c:v>0.21563058964142931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1231</c:v>
                </c:pt>
                <c:pt idx="7">
                  <c:v>0</c:v>
                </c:pt>
                <c:pt idx="8">
                  <c:v>2811</c:v>
                </c:pt>
                <c:pt idx="9">
                  <c:v>0</c:v>
                </c:pt>
                <c:pt idx="10">
                  <c:v>0</c:v>
                </c:pt>
                <c:pt idx="11">
                  <c:v>4386</c:v>
                </c:pt>
                <c:pt idx="12">
                  <c:v>0</c:v>
                </c:pt>
                <c:pt idx="13">
                  <c:v>7880</c:v>
                </c:pt>
                <c:pt idx="14">
                  <c:v>0</c:v>
                </c:pt>
                <c:pt idx="15">
                  <c:v>0</c:v>
                </c:pt>
                <c:pt idx="16">
                  <c:v>12111</c:v>
                </c:pt>
                <c:pt idx="17">
                  <c:v>0</c:v>
                </c:pt>
                <c:pt idx="18">
                  <c:v>0</c:v>
                </c:pt>
                <c:pt idx="19">
                  <c:v>16831</c:v>
                </c:pt>
                <c:pt idx="20">
                  <c:v>0</c:v>
                </c:pt>
                <c:pt idx="21">
                  <c:v>19757</c:v>
                </c:pt>
                <c:pt idx="22">
                  <c:v>0</c:v>
                </c:pt>
                <c:pt idx="23">
                  <c:v>0</c:v>
                </c:pt>
                <c:pt idx="24">
                  <c:v>21877</c:v>
                </c:pt>
                <c:pt idx="25">
                  <c:v>0</c:v>
                </c:pt>
                <c:pt idx="26">
                  <c:v>23484</c:v>
                </c:pt>
                <c:pt idx="27">
                  <c:v>0</c:v>
                </c:pt>
                <c:pt idx="28">
                  <c:v>0</c:v>
                </c:pt>
                <c:pt idx="29">
                  <c:v>30078</c:v>
                </c:pt>
                <c:pt idx="30">
                  <c:v>0</c:v>
                </c:pt>
                <c:pt idx="31">
                  <c:v>34263</c:v>
                </c:pt>
                <c:pt idx="32">
                  <c:v>0</c:v>
                </c:pt>
                <c:pt idx="33">
                  <c:v>0</c:v>
                </c:pt>
                <c:pt idx="34">
                  <c:v>37735</c:v>
                </c:pt>
                <c:pt idx="35">
                  <c:v>0</c:v>
                </c:pt>
                <c:pt idx="36">
                  <c:v>0</c:v>
                </c:pt>
                <c:pt idx="37">
                  <c:v>42682</c:v>
                </c:pt>
                <c:pt idx="38">
                  <c:v>0</c:v>
                </c:pt>
                <c:pt idx="39">
                  <c:v>53876</c:v>
                </c:pt>
                <c:pt idx="40">
                  <c:v>0</c:v>
                </c:pt>
                <c:pt idx="41">
                  <c:v>0</c:v>
                </c:pt>
                <c:pt idx="42">
                  <c:v>52666</c:v>
                </c:pt>
                <c:pt idx="43">
                  <c:v>0</c:v>
                </c:pt>
                <c:pt idx="44">
                  <c:v>58313</c:v>
                </c:pt>
                <c:pt idx="45">
                  <c:v>0</c:v>
                </c:pt>
                <c:pt idx="46">
                  <c:v>0</c:v>
                </c:pt>
                <c:pt idx="47">
                  <c:v>70037</c:v>
                </c:pt>
                <c:pt idx="48">
                  <c:v>0</c:v>
                </c:pt>
                <c:pt idx="49">
                  <c:v>71940</c:v>
                </c:pt>
                <c:pt idx="50">
                  <c:v>0</c:v>
                </c:pt>
                <c:pt idx="51">
                  <c:v>0</c:v>
                </c:pt>
                <c:pt idx="52">
                  <c:v>71394</c:v>
                </c:pt>
                <c:pt idx="53">
                  <c:v>0</c:v>
                </c:pt>
                <c:pt idx="54">
                  <c:v>0</c:v>
                </c:pt>
                <c:pt idx="55">
                  <c:v>70969</c:v>
                </c:pt>
                <c:pt idx="56">
                  <c:v>0</c:v>
                </c:pt>
                <c:pt idx="57">
                  <c:v>76624</c:v>
                </c:pt>
                <c:pt idx="58">
                  <c:v>0</c:v>
                </c:pt>
                <c:pt idx="59">
                  <c:v>0</c:v>
                </c:pt>
                <c:pt idx="60">
                  <c:v>78599</c:v>
                </c:pt>
                <c:pt idx="61">
                  <c:v>0</c:v>
                </c:pt>
                <c:pt idx="62">
                  <c:v>80446</c:v>
                </c:pt>
                <c:pt idx="63">
                  <c:v>0</c:v>
                </c:pt>
                <c:pt idx="64">
                  <c:v>0</c:v>
                </c:pt>
                <c:pt idx="65">
                  <c:v>81886</c:v>
                </c:pt>
                <c:pt idx="66">
                  <c:v>0</c:v>
                </c:pt>
                <c:pt idx="67">
                  <c:v>89709</c:v>
                </c:pt>
                <c:pt idx="68">
                  <c:v>0</c:v>
                </c:pt>
                <c:pt idx="69">
                  <c:v>0</c:v>
                </c:pt>
                <c:pt idx="70">
                  <c:v>88733</c:v>
                </c:pt>
                <c:pt idx="71">
                  <c:v>0</c:v>
                </c:pt>
                <c:pt idx="72">
                  <c:v>0</c:v>
                </c:pt>
                <c:pt idx="73">
                  <c:v>83818</c:v>
                </c:pt>
                <c:pt idx="74">
                  <c:v>0</c:v>
                </c:pt>
                <c:pt idx="75">
                  <c:v>88176</c:v>
                </c:pt>
                <c:pt idx="76">
                  <c:v>0</c:v>
                </c:pt>
                <c:pt idx="77">
                  <c:v>0</c:v>
                </c:pt>
                <c:pt idx="78">
                  <c:v>90276</c:v>
                </c:pt>
                <c:pt idx="79">
                  <c:v>0</c:v>
                </c:pt>
                <c:pt idx="80">
                  <c:v>83349</c:v>
                </c:pt>
                <c:pt idx="81">
                  <c:v>0</c:v>
                </c:pt>
                <c:pt idx="82">
                  <c:v>0</c:v>
                </c:pt>
                <c:pt idx="83">
                  <c:v>81362</c:v>
                </c:pt>
                <c:pt idx="84">
                  <c:v>0</c:v>
                </c:pt>
                <c:pt idx="85">
                  <c:v>0</c:v>
                </c:pt>
                <c:pt idx="86">
                  <c:v>81153</c:v>
                </c:pt>
                <c:pt idx="87">
                  <c:v>0</c:v>
                </c:pt>
                <c:pt idx="88">
                  <c:v>76621</c:v>
                </c:pt>
                <c:pt idx="89">
                  <c:v>0</c:v>
                </c:pt>
                <c:pt idx="90">
                  <c:v>0</c:v>
                </c:pt>
                <c:pt idx="91">
                  <c:v>76218</c:v>
                </c:pt>
                <c:pt idx="92">
                  <c:v>0</c:v>
                </c:pt>
                <c:pt idx="93">
                  <c:v>71673</c:v>
                </c:pt>
                <c:pt idx="94">
                  <c:v>0</c:v>
                </c:pt>
                <c:pt idx="95">
                  <c:v>0</c:v>
                </c:pt>
                <c:pt idx="96">
                  <c:v>70632</c:v>
                </c:pt>
                <c:pt idx="97">
                  <c:v>0</c:v>
                </c:pt>
                <c:pt idx="98">
                  <c:v>75348</c:v>
                </c:pt>
                <c:pt idx="99">
                  <c:v>0</c:v>
                </c:pt>
                <c:pt idx="100">
                  <c:v>0</c:v>
                </c:pt>
                <c:pt idx="101">
                  <c:v>76812</c:v>
                </c:pt>
                <c:pt idx="102">
                  <c:v>0</c:v>
                </c:pt>
                <c:pt idx="103">
                  <c:v>0</c:v>
                </c:pt>
                <c:pt idx="104">
                  <c:v>76376</c:v>
                </c:pt>
                <c:pt idx="105">
                  <c:v>0</c:v>
                </c:pt>
                <c:pt idx="106">
                  <c:v>74030</c:v>
                </c:pt>
                <c:pt idx="107">
                  <c:v>0</c:v>
                </c:pt>
                <c:pt idx="108">
                  <c:v>0</c:v>
                </c:pt>
                <c:pt idx="109">
                  <c:v>72312</c:v>
                </c:pt>
                <c:pt idx="110">
                  <c:v>0</c:v>
                </c:pt>
                <c:pt idx="111">
                  <c:v>70196</c:v>
                </c:pt>
                <c:pt idx="112">
                  <c:v>0</c:v>
                </c:pt>
                <c:pt idx="113">
                  <c:v>0</c:v>
                </c:pt>
                <c:pt idx="114">
                  <c:v>64099</c:v>
                </c:pt>
                <c:pt idx="115">
                  <c:v>0</c:v>
                </c:pt>
                <c:pt idx="116">
                  <c:v>63054</c:v>
                </c:pt>
                <c:pt idx="117">
                  <c:v>0</c:v>
                </c:pt>
                <c:pt idx="118">
                  <c:v>0</c:v>
                </c:pt>
                <c:pt idx="119">
                  <c:v>61649</c:v>
                </c:pt>
                <c:pt idx="120">
                  <c:v>0</c:v>
                </c:pt>
                <c:pt idx="121">
                  <c:v>0</c:v>
                </c:pt>
                <c:pt idx="122">
                  <c:v>61677</c:v>
                </c:pt>
                <c:pt idx="123">
                  <c:v>0</c:v>
                </c:pt>
                <c:pt idx="124">
                  <c:v>65108</c:v>
                </c:pt>
                <c:pt idx="125">
                  <c:v>0</c:v>
                </c:pt>
                <c:pt idx="126">
                  <c:v>0</c:v>
                </c:pt>
                <c:pt idx="127">
                  <c:v>58170</c:v>
                </c:pt>
                <c:pt idx="128">
                  <c:v>0</c:v>
                </c:pt>
                <c:pt idx="129">
                  <c:v>58189</c:v>
                </c:pt>
                <c:pt idx="130">
                  <c:v>0</c:v>
                </c:pt>
                <c:pt idx="131">
                  <c:v>0</c:v>
                </c:pt>
                <c:pt idx="132">
                  <c:v>52535</c:v>
                </c:pt>
                <c:pt idx="133">
                  <c:v>0</c:v>
                </c:pt>
                <c:pt idx="134">
                  <c:v>47886</c:v>
                </c:pt>
                <c:pt idx="135">
                  <c:v>0</c:v>
                </c:pt>
                <c:pt idx="136">
                  <c:v>0</c:v>
                </c:pt>
                <c:pt idx="137">
                  <c:v>43087</c:v>
                </c:pt>
                <c:pt idx="138">
                  <c:v>0</c:v>
                </c:pt>
                <c:pt idx="139">
                  <c:v>0</c:v>
                </c:pt>
                <c:pt idx="140">
                  <c:v>40977</c:v>
                </c:pt>
                <c:pt idx="141">
                  <c:v>0</c:v>
                </c:pt>
                <c:pt idx="142">
                  <c:v>36212</c:v>
                </c:pt>
                <c:pt idx="143">
                  <c:v>0</c:v>
                </c:pt>
                <c:pt idx="144">
                  <c:v>0</c:v>
                </c:pt>
                <c:pt idx="145">
                  <c:v>33134</c:v>
                </c:pt>
                <c:pt idx="146">
                  <c:v>0</c:v>
                </c:pt>
                <c:pt idx="147">
                  <c:v>25425</c:v>
                </c:pt>
                <c:pt idx="148">
                  <c:v>0</c:v>
                </c:pt>
                <c:pt idx="149">
                  <c:v>0</c:v>
                </c:pt>
                <c:pt idx="150">
                  <c:v>24961</c:v>
                </c:pt>
                <c:pt idx="151">
                  <c:v>0</c:v>
                </c:pt>
                <c:pt idx="152">
                  <c:v>22344</c:v>
                </c:pt>
                <c:pt idx="153">
                  <c:v>0</c:v>
                </c:pt>
                <c:pt idx="154">
                  <c:v>0</c:v>
                </c:pt>
                <c:pt idx="155">
                  <c:v>24832</c:v>
                </c:pt>
                <c:pt idx="156">
                  <c:v>0</c:v>
                </c:pt>
                <c:pt idx="157">
                  <c:v>0</c:v>
                </c:pt>
                <c:pt idx="158">
                  <c:v>25497</c:v>
                </c:pt>
                <c:pt idx="159">
                  <c:v>0</c:v>
                </c:pt>
                <c:pt idx="160">
                  <c:v>26598</c:v>
                </c:pt>
                <c:pt idx="161">
                  <c:v>0</c:v>
                </c:pt>
                <c:pt idx="162">
                  <c:v>0</c:v>
                </c:pt>
                <c:pt idx="163">
                  <c:v>24614</c:v>
                </c:pt>
                <c:pt idx="164">
                  <c:v>0</c:v>
                </c:pt>
                <c:pt idx="165">
                  <c:v>22200</c:v>
                </c:pt>
                <c:pt idx="166">
                  <c:v>0</c:v>
                </c:pt>
                <c:pt idx="167">
                  <c:v>0</c:v>
                </c:pt>
                <c:pt idx="168">
                  <c:v>21672</c:v>
                </c:pt>
                <c:pt idx="169">
                  <c:v>0</c:v>
                </c:pt>
                <c:pt idx="170">
                  <c:v>0</c:v>
                </c:pt>
                <c:pt idx="171">
                  <c:v>20135</c:v>
                </c:pt>
                <c:pt idx="172">
                  <c:v>0</c:v>
                </c:pt>
                <c:pt idx="173">
                  <c:v>17671</c:v>
                </c:pt>
                <c:pt idx="174">
                  <c:v>0</c:v>
                </c:pt>
                <c:pt idx="175">
                  <c:v>0</c:v>
                </c:pt>
                <c:pt idx="176">
                  <c:v>11382</c:v>
                </c:pt>
                <c:pt idx="177">
                  <c:v>0</c:v>
                </c:pt>
                <c:pt idx="178">
                  <c:v>9850</c:v>
                </c:pt>
                <c:pt idx="179">
                  <c:v>0</c:v>
                </c:pt>
                <c:pt idx="180">
                  <c:v>0</c:v>
                </c:pt>
                <c:pt idx="181">
                  <c:v>7696</c:v>
                </c:pt>
                <c:pt idx="182">
                  <c:v>0</c:v>
                </c:pt>
                <c:pt idx="183">
                  <c:v>6711</c:v>
                </c:pt>
                <c:pt idx="184">
                  <c:v>0</c:v>
                </c:pt>
                <c:pt idx="185">
                  <c:v>0</c:v>
                </c:pt>
                <c:pt idx="186">
                  <c:v>4467</c:v>
                </c:pt>
                <c:pt idx="187">
                  <c:v>0</c:v>
                </c:pt>
                <c:pt idx="188">
                  <c:v>0</c:v>
                </c:pt>
                <c:pt idx="189">
                  <c:v>2507</c:v>
                </c:pt>
                <c:pt idx="190">
                  <c:v>0</c:v>
                </c:pt>
                <c:pt idx="191">
                  <c:v>1537</c:v>
                </c:pt>
                <c:pt idx="192">
                  <c:v>0</c:v>
                </c:pt>
                <c:pt idx="193">
                  <c:v>0</c:v>
                </c:pt>
                <c:pt idx="194">
                  <c:v>1050</c:v>
                </c:pt>
                <c:pt idx="195">
                  <c:v>0</c:v>
                </c:pt>
                <c:pt idx="196">
                  <c:v>762</c:v>
                </c:pt>
                <c:pt idx="197">
                  <c:v>0</c:v>
                </c:pt>
                <c:pt idx="198">
                  <c:v>0</c:v>
                </c:pt>
                <c:pt idx="199">
                  <c:v>464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820</c:v>
                </c:pt>
                <c:pt idx="7">
                  <c:v>0</c:v>
                </c:pt>
                <c:pt idx="8">
                  <c:v>633</c:v>
                </c:pt>
                <c:pt idx="9">
                  <c:v>0</c:v>
                </c:pt>
                <c:pt idx="10">
                  <c:v>0</c:v>
                </c:pt>
                <c:pt idx="11">
                  <c:v>1428</c:v>
                </c:pt>
                <c:pt idx="12">
                  <c:v>0</c:v>
                </c:pt>
                <c:pt idx="13">
                  <c:v>2212</c:v>
                </c:pt>
                <c:pt idx="14">
                  <c:v>0</c:v>
                </c:pt>
                <c:pt idx="15">
                  <c:v>0</c:v>
                </c:pt>
                <c:pt idx="16">
                  <c:v>3256</c:v>
                </c:pt>
                <c:pt idx="17">
                  <c:v>0</c:v>
                </c:pt>
                <c:pt idx="18">
                  <c:v>0</c:v>
                </c:pt>
                <c:pt idx="19">
                  <c:v>6886</c:v>
                </c:pt>
                <c:pt idx="20">
                  <c:v>0</c:v>
                </c:pt>
                <c:pt idx="21">
                  <c:v>7363</c:v>
                </c:pt>
                <c:pt idx="22">
                  <c:v>0</c:v>
                </c:pt>
                <c:pt idx="23">
                  <c:v>0</c:v>
                </c:pt>
                <c:pt idx="24">
                  <c:v>9879</c:v>
                </c:pt>
                <c:pt idx="25">
                  <c:v>0</c:v>
                </c:pt>
                <c:pt idx="26">
                  <c:v>8204</c:v>
                </c:pt>
                <c:pt idx="27">
                  <c:v>0</c:v>
                </c:pt>
                <c:pt idx="28">
                  <c:v>0</c:v>
                </c:pt>
                <c:pt idx="29">
                  <c:v>13296</c:v>
                </c:pt>
                <c:pt idx="30">
                  <c:v>0</c:v>
                </c:pt>
                <c:pt idx="31">
                  <c:v>12289</c:v>
                </c:pt>
                <c:pt idx="32">
                  <c:v>0</c:v>
                </c:pt>
                <c:pt idx="33">
                  <c:v>0</c:v>
                </c:pt>
                <c:pt idx="34">
                  <c:v>12840</c:v>
                </c:pt>
                <c:pt idx="35">
                  <c:v>0</c:v>
                </c:pt>
                <c:pt idx="36">
                  <c:v>0</c:v>
                </c:pt>
                <c:pt idx="37">
                  <c:v>11333</c:v>
                </c:pt>
                <c:pt idx="38">
                  <c:v>0</c:v>
                </c:pt>
                <c:pt idx="39">
                  <c:v>9738</c:v>
                </c:pt>
                <c:pt idx="40">
                  <c:v>0</c:v>
                </c:pt>
                <c:pt idx="41">
                  <c:v>0</c:v>
                </c:pt>
                <c:pt idx="42">
                  <c:v>12627</c:v>
                </c:pt>
                <c:pt idx="43">
                  <c:v>0</c:v>
                </c:pt>
                <c:pt idx="44">
                  <c:v>16202</c:v>
                </c:pt>
                <c:pt idx="45">
                  <c:v>0</c:v>
                </c:pt>
                <c:pt idx="46">
                  <c:v>0</c:v>
                </c:pt>
                <c:pt idx="47">
                  <c:v>18850</c:v>
                </c:pt>
                <c:pt idx="48">
                  <c:v>0</c:v>
                </c:pt>
                <c:pt idx="49">
                  <c:v>19616</c:v>
                </c:pt>
                <c:pt idx="50">
                  <c:v>0</c:v>
                </c:pt>
                <c:pt idx="51">
                  <c:v>0</c:v>
                </c:pt>
                <c:pt idx="52">
                  <c:v>21237</c:v>
                </c:pt>
                <c:pt idx="53">
                  <c:v>0</c:v>
                </c:pt>
                <c:pt idx="54">
                  <c:v>0</c:v>
                </c:pt>
                <c:pt idx="55">
                  <c:v>23461</c:v>
                </c:pt>
                <c:pt idx="56">
                  <c:v>0</c:v>
                </c:pt>
                <c:pt idx="57">
                  <c:v>28597</c:v>
                </c:pt>
                <c:pt idx="58">
                  <c:v>0</c:v>
                </c:pt>
                <c:pt idx="59">
                  <c:v>0</c:v>
                </c:pt>
                <c:pt idx="60">
                  <c:v>31991</c:v>
                </c:pt>
                <c:pt idx="61">
                  <c:v>0</c:v>
                </c:pt>
                <c:pt idx="62">
                  <c:v>34868</c:v>
                </c:pt>
                <c:pt idx="63">
                  <c:v>0</c:v>
                </c:pt>
                <c:pt idx="64">
                  <c:v>0</c:v>
                </c:pt>
                <c:pt idx="65">
                  <c:v>37967</c:v>
                </c:pt>
                <c:pt idx="66">
                  <c:v>0</c:v>
                </c:pt>
                <c:pt idx="67">
                  <c:v>44435</c:v>
                </c:pt>
                <c:pt idx="68">
                  <c:v>0</c:v>
                </c:pt>
                <c:pt idx="69">
                  <c:v>0</c:v>
                </c:pt>
                <c:pt idx="70">
                  <c:v>45222</c:v>
                </c:pt>
                <c:pt idx="71">
                  <c:v>0</c:v>
                </c:pt>
                <c:pt idx="72">
                  <c:v>0</c:v>
                </c:pt>
                <c:pt idx="73">
                  <c:v>52583</c:v>
                </c:pt>
                <c:pt idx="74">
                  <c:v>0</c:v>
                </c:pt>
                <c:pt idx="75">
                  <c:v>62582</c:v>
                </c:pt>
                <c:pt idx="76">
                  <c:v>0</c:v>
                </c:pt>
                <c:pt idx="77">
                  <c:v>0</c:v>
                </c:pt>
                <c:pt idx="78">
                  <c:v>72662</c:v>
                </c:pt>
                <c:pt idx="79">
                  <c:v>0</c:v>
                </c:pt>
                <c:pt idx="80">
                  <c:v>84310</c:v>
                </c:pt>
                <c:pt idx="81">
                  <c:v>0</c:v>
                </c:pt>
                <c:pt idx="82">
                  <c:v>0</c:v>
                </c:pt>
                <c:pt idx="83">
                  <c:v>92432</c:v>
                </c:pt>
                <c:pt idx="84">
                  <c:v>0</c:v>
                </c:pt>
                <c:pt idx="85">
                  <c:v>0</c:v>
                </c:pt>
                <c:pt idx="86">
                  <c:v>103874</c:v>
                </c:pt>
                <c:pt idx="87">
                  <c:v>0</c:v>
                </c:pt>
                <c:pt idx="88">
                  <c:v>113331</c:v>
                </c:pt>
                <c:pt idx="89">
                  <c:v>0</c:v>
                </c:pt>
                <c:pt idx="90">
                  <c:v>0</c:v>
                </c:pt>
                <c:pt idx="91">
                  <c:v>111498</c:v>
                </c:pt>
                <c:pt idx="92">
                  <c:v>0</c:v>
                </c:pt>
                <c:pt idx="93">
                  <c:v>115702</c:v>
                </c:pt>
                <c:pt idx="94">
                  <c:v>0</c:v>
                </c:pt>
                <c:pt idx="95">
                  <c:v>0</c:v>
                </c:pt>
                <c:pt idx="96">
                  <c:v>118554</c:v>
                </c:pt>
                <c:pt idx="97">
                  <c:v>0</c:v>
                </c:pt>
                <c:pt idx="98">
                  <c:v>125052</c:v>
                </c:pt>
                <c:pt idx="99">
                  <c:v>0</c:v>
                </c:pt>
                <c:pt idx="100">
                  <c:v>0</c:v>
                </c:pt>
                <c:pt idx="101">
                  <c:v>132517</c:v>
                </c:pt>
                <c:pt idx="102">
                  <c:v>0</c:v>
                </c:pt>
                <c:pt idx="103">
                  <c:v>0</c:v>
                </c:pt>
                <c:pt idx="104">
                  <c:v>129120</c:v>
                </c:pt>
                <c:pt idx="105">
                  <c:v>0</c:v>
                </c:pt>
                <c:pt idx="106">
                  <c:v>130584</c:v>
                </c:pt>
                <c:pt idx="107">
                  <c:v>0</c:v>
                </c:pt>
                <c:pt idx="108">
                  <c:v>0</c:v>
                </c:pt>
                <c:pt idx="109">
                  <c:v>128663</c:v>
                </c:pt>
                <c:pt idx="110">
                  <c:v>0</c:v>
                </c:pt>
                <c:pt idx="111">
                  <c:v>127944</c:v>
                </c:pt>
                <c:pt idx="112">
                  <c:v>0</c:v>
                </c:pt>
                <c:pt idx="113">
                  <c:v>0</c:v>
                </c:pt>
                <c:pt idx="114">
                  <c:v>132910</c:v>
                </c:pt>
                <c:pt idx="115">
                  <c:v>0</c:v>
                </c:pt>
                <c:pt idx="116">
                  <c:v>127751</c:v>
                </c:pt>
                <c:pt idx="117">
                  <c:v>0</c:v>
                </c:pt>
                <c:pt idx="118">
                  <c:v>0</c:v>
                </c:pt>
                <c:pt idx="119">
                  <c:v>119540</c:v>
                </c:pt>
                <c:pt idx="120">
                  <c:v>0</c:v>
                </c:pt>
                <c:pt idx="121">
                  <c:v>0</c:v>
                </c:pt>
                <c:pt idx="122">
                  <c:v>106502</c:v>
                </c:pt>
                <c:pt idx="123">
                  <c:v>0</c:v>
                </c:pt>
                <c:pt idx="124">
                  <c:v>109300</c:v>
                </c:pt>
                <c:pt idx="125">
                  <c:v>0</c:v>
                </c:pt>
                <c:pt idx="126">
                  <c:v>0</c:v>
                </c:pt>
                <c:pt idx="127">
                  <c:v>110235</c:v>
                </c:pt>
                <c:pt idx="128">
                  <c:v>0</c:v>
                </c:pt>
                <c:pt idx="129">
                  <c:v>112475</c:v>
                </c:pt>
                <c:pt idx="130">
                  <c:v>0</c:v>
                </c:pt>
                <c:pt idx="131">
                  <c:v>0</c:v>
                </c:pt>
                <c:pt idx="132">
                  <c:v>111083</c:v>
                </c:pt>
                <c:pt idx="133">
                  <c:v>0</c:v>
                </c:pt>
                <c:pt idx="134">
                  <c:v>104643</c:v>
                </c:pt>
                <c:pt idx="135">
                  <c:v>0</c:v>
                </c:pt>
                <c:pt idx="136">
                  <c:v>0</c:v>
                </c:pt>
                <c:pt idx="137">
                  <c:v>98919</c:v>
                </c:pt>
                <c:pt idx="138">
                  <c:v>0</c:v>
                </c:pt>
                <c:pt idx="139">
                  <c:v>0</c:v>
                </c:pt>
                <c:pt idx="140">
                  <c:v>93704</c:v>
                </c:pt>
                <c:pt idx="141">
                  <c:v>0</c:v>
                </c:pt>
                <c:pt idx="142">
                  <c:v>92904</c:v>
                </c:pt>
                <c:pt idx="143">
                  <c:v>0</c:v>
                </c:pt>
                <c:pt idx="144">
                  <c:v>0</c:v>
                </c:pt>
                <c:pt idx="145">
                  <c:v>92084</c:v>
                </c:pt>
                <c:pt idx="146">
                  <c:v>0</c:v>
                </c:pt>
                <c:pt idx="147">
                  <c:v>78845</c:v>
                </c:pt>
                <c:pt idx="148">
                  <c:v>0</c:v>
                </c:pt>
                <c:pt idx="149">
                  <c:v>0</c:v>
                </c:pt>
                <c:pt idx="150">
                  <c:v>72765</c:v>
                </c:pt>
                <c:pt idx="151">
                  <c:v>0</c:v>
                </c:pt>
                <c:pt idx="152">
                  <c:v>59154</c:v>
                </c:pt>
                <c:pt idx="153">
                  <c:v>0</c:v>
                </c:pt>
                <c:pt idx="154">
                  <c:v>0</c:v>
                </c:pt>
                <c:pt idx="155">
                  <c:v>53760</c:v>
                </c:pt>
                <c:pt idx="156">
                  <c:v>0</c:v>
                </c:pt>
                <c:pt idx="157">
                  <c:v>0</c:v>
                </c:pt>
                <c:pt idx="158">
                  <c:v>51732</c:v>
                </c:pt>
                <c:pt idx="159">
                  <c:v>0</c:v>
                </c:pt>
                <c:pt idx="160">
                  <c:v>47809</c:v>
                </c:pt>
                <c:pt idx="161">
                  <c:v>0</c:v>
                </c:pt>
                <c:pt idx="162">
                  <c:v>0</c:v>
                </c:pt>
                <c:pt idx="163">
                  <c:v>46714</c:v>
                </c:pt>
                <c:pt idx="164">
                  <c:v>0</c:v>
                </c:pt>
                <c:pt idx="165">
                  <c:v>40012</c:v>
                </c:pt>
                <c:pt idx="166">
                  <c:v>0</c:v>
                </c:pt>
                <c:pt idx="167">
                  <c:v>0</c:v>
                </c:pt>
                <c:pt idx="168">
                  <c:v>35403</c:v>
                </c:pt>
                <c:pt idx="169">
                  <c:v>0</c:v>
                </c:pt>
                <c:pt idx="170">
                  <c:v>0</c:v>
                </c:pt>
                <c:pt idx="171">
                  <c:v>29304</c:v>
                </c:pt>
                <c:pt idx="172">
                  <c:v>0</c:v>
                </c:pt>
                <c:pt idx="173">
                  <c:v>29104</c:v>
                </c:pt>
                <c:pt idx="174">
                  <c:v>0</c:v>
                </c:pt>
                <c:pt idx="175">
                  <c:v>0</c:v>
                </c:pt>
                <c:pt idx="176">
                  <c:v>24863</c:v>
                </c:pt>
                <c:pt idx="177">
                  <c:v>0</c:v>
                </c:pt>
                <c:pt idx="178">
                  <c:v>15420</c:v>
                </c:pt>
                <c:pt idx="179">
                  <c:v>0</c:v>
                </c:pt>
                <c:pt idx="180">
                  <c:v>0</c:v>
                </c:pt>
                <c:pt idx="181">
                  <c:v>7292</c:v>
                </c:pt>
                <c:pt idx="182">
                  <c:v>0</c:v>
                </c:pt>
                <c:pt idx="183">
                  <c:v>3100</c:v>
                </c:pt>
                <c:pt idx="184">
                  <c:v>0</c:v>
                </c:pt>
                <c:pt idx="185">
                  <c:v>0</c:v>
                </c:pt>
                <c:pt idx="186">
                  <c:v>2611</c:v>
                </c:pt>
                <c:pt idx="187">
                  <c:v>0</c:v>
                </c:pt>
                <c:pt idx="188">
                  <c:v>0</c:v>
                </c:pt>
                <c:pt idx="189">
                  <c:v>2758</c:v>
                </c:pt>
                <c:pt idx="190">
                  <c:v>0</c:v>
                </c:pt>
                <c:pt idx="191">
                  <c:v>1574</c:v>
                </c:pt>
                <c:pt idx="192">
                  <c:v>0</c:v>
                </c:pt>
                <c:pt idx="193">
                  <c:v>0</c:v>
                </c:pt>
                <c:pt idx="194">
                  <c:v>716</c:v>
                </c:pt>
                <c:pt idx="195">
                  <c:v>0</c:v>
                </c:pt>
                <c:pt idx="196">
                  <c:v>105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0.20722827927631618</c:v>
                </c:pt>
                <c:pt idx="1">
                  <c:v>0.3417624449241905</c:v>
                </c:pt>
                <c:pt idx="2">
                  <c:v>0.45100927579949329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0.51150289312714481</c:v>
                </c:pt>
                <c:pt idx="1">
                  <c:v>0.28859338928360634</c:v>
                </c:pt>
                <c:pt idx="2">
                  <c:v>0.19990371758924896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4.0833700000000004</c:v>
                </c:pt>
                <c:pt idx="1">
                  <c:v>8.9485349999999997</c:v>
                </c:pt>
                <c:pt idx="2">
                  <c:v>24.601000000000003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  <c:pt idx="74">
                  <c:v>30.064299999999999</c:v>
                </c:pt>
                <c:pt idx="75">
                  <c:v>30.500800000000002</c:v>
                </c:pt>
                <c:pt idx="76">
                  <c:v>30.909800000000001</c:v>
                </c:pt>
                <c:pt idx="77">
                  <c:v>31.316800000000001</c:v>
                </c:pt>
                <c:pt idx="78">
                  <c:v>31.718599999999999</c:v>
                </c:pt>
                <c:pt idx="79">
                  <c:v>32.123899999999999</c:v>
                </c:pt>
                <c:pt idx="80">
                  <c:v>32.535200000000003</c:v>
                </c:pt>
                <c:pt idx="81">
                  <c:v>32.940600000000003</c:v>
                </c:pt>
                <c:pt idx="82">
                  <c:v>33.346899999999998</c:v>
                </c:pt>
                <c:pt idx="83">
                  <c:v>33.756700000000002</c:v>
                </c:pt>
                <c:pt idx="84">
                  <c:v>34.153300000000002</c:v>
                </c:pt>
                <c:pt idx="85">
                  <c:v>34.5642</c:v>
                </c:pt>
                <c:pt idx="86">
                  <c:v>34.968899999999998</c:v>
                </c:pt>
                <c:pt idx="87">
                  <c:v>35.376800000000003</c:v>
                </c:pt>
                <c:pt idx="88">
                  <c:v>35.788600000000002</c:v>
                </c:pt>
                <c:pt idx="89">
                  <c:v>36.194299999999998</c:v>
                </c:pt>
                <c:pt idx="90">
                  <c:v>36.595999999999997</c:v>
                </c:pt>
                <c:pt idx="91">
                  <c:v>36.999600000000001</c:v>
                </c:pt>
                <c:pt idx="92">
                  <c:v>37.406100000000002</c:v>
                </c:pt>
                <c:pt idx="93">
                  <c:v>37.813000000000002</c:v>
                </c:pt>
                <c:pt idx="94">
                  <c:v>38.221299999999999</c:v>
                </c:pt>
                <c:pt idx="95">
                  <c:v>38.627099999999999</c:v>
                </c:pt>
                <c:pt idx="96">
                  <c:v>39.031199999999998</c:v>
                </c:pt>
                <c:pt idx="97">
                  <c:v>39.442900000000002</c:v>
                </c:pt>
                <c:pt idx="98">
                  <c:v>39.841500000000003</c:v>
                </c:pt>
                <c:pt idx="99">
                  <c:v>40.255499999999998</c:v>
                </c:pt>
                <c:pt idx="100">
                  <c:v>40.657800000000002</c:v>
                </c:pt>
                <c:pt idx="101">
                  <c:v>41.066499999999998</c:v>
                </c:pt>
                <c:pt idx="102">
                  <c:v>41.469700000000003</c:v>
                </c:pt>
                <c:pt idx="103">
                  <c:v>41.877000000000002</c:v>
                </c:pt>
                <c:pt idx="104">
                  <c:v>42.285899999999998</c:v>
                </c:pt>
                <c:pt idx="105">
                  <c:v>42.690199999999997</c:v>
                </c:pt>
                <c:pt idx="106">
                  <c:v>43.0974</c:v>
                </c:pt>
                <c:pt idx="107">
                  <c:v>43.500900000000001</c:v>
                </c:pt>
                <c:pt idx="108">
                  <c:v>43.907400000000003</c:v>
                </c:pt>
                <c:pt idx="109">
                  <c:v>44.315800000000003</c:v>
                </c:pt>
                <c:pt idx="110">
                  <c:v>44.719000000000001</c:v>
                </c:pt>
                <c:pt idx="111">
                  <c:v>45.126800000000003</c:v>
                </c:pt>
                <c:pt idx="112">
                  <c:v>45.5321</c:v>
                </c:pt>
                <c:pt idx="113">
                  <c:v>45.936900000000001</c:v>
                </c:pt>
                <c:pt idx="114">
                  <c:v>46.349699999999999</c:v>
                </c:pt>
                <c:pt idx="115">
                  <c:v>46.752099999999999</c:v>
                </c:pt>
                <c:pt idx="116">
                  <c:v>47.157899999999998</c:v>
                </c:pt>
                <c:pt idx="117">
                  <c:v>47.562399999999997</c:v>
                </c:pt>
                <c:pt idx="118">
                  <c:v>47.968499999999999</c:v>
                </c:pt>
                <c:pt idx="119">
                  <c:v>48.374499999999998</c:v>
                </c:pt>
                <c:pt idx="120">
                  <c:v>48.783900000000003</c:v>
                </c:pt>
                <c:pt idx="121">
                  <c:v>49.187100000000001</c:v>
                </c:pt>
                <c:pt idx="122">
                  <c:v>49.593000000000004</c:v>
                </c:pt>
                <c:pt idx="123">
                  <c:v>50.0017</c:v>
                </c:pt>
                <c:pt idx="124">
                  <c:v>50.406399999999998</c:v>
                </c:pt>
                <c:pt idx="125">
                  <c:v>50.818300000000001</c:v>
                </c:pt>
                <c:pt idx="126">
                  <c:v>51.220100000000002</c:v>
                </c:pt>
                <c:pt idx="127">
                  <c:v>51.625900000000001</c:v>
                </c:pt>
                <c:pt idx="128">
                  <c:v>52.032400000000003</c:v>
                </c:pt>
                <c:pt idx="129">
                  <c:v>52.437100000000001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53.657800000000002</c:v>
                </c:pt>
                <c:pt idx="133">
                  <c:v>54.064300000000003</c:v>
                </c:pt>
                <c:pt idx="134">
                  <c:v>54.469900000000003</c:v>
                </c:pt>
                <c:pt idx="135">
                  <c:v>54.877600000000001</c:v>
                </c:pt>
                <c:pt idx="136">
                  <c:v>55.2834</c:v>
                </c:pt>
                <c:pt idx="137">
                  <c:v>55.691600000000001</c:v>
                </c:pt>
                <c:pt idx="138">
                  <c:v>56.094700000000003</c:v>
                </c:pt>
                <c:pt idx="139">
                  <c:v>56.502600000000001</c:v>
                </c:pt>
                <c:pt idx="140">
                  <c:v>56.908799999999999</c:v>
                </c:pt>
                <c:pt idx="141">
                  <c:v>57.315100000000001</c:v>
                </c:pt>
                <c:pt idx="142">
                  <c:v>57.718499999999999</c:v>
                </c:pt>
                <c:pt idx="143">
                  <c:v>58.125500000000002</c:v>
                </c:pt>
                <c:pt idx="144">
                  <c:v>58.532400000000003</c:v>
                </c:pt>
                <c:pt idx="145">
                  <c:v>58.939700000000002</c:v>
                </c:pt>
                <c:pt idx="146">
                  <c:v>59.345700000000001</c:v>
                </c:pt>
                <c:pt idx="147">
                  <c:v>59.749499999999998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  <c:pt idx="74">
                  <c:v>4.3460200000000002</c:v>
                </c:pt>
                <c:pt idx="75">
                  <c:v>4.3289299999999997</c:v>
                </c:pt>
                <c:pt idx="76">
                  <c:v>4.3072800000000004</c:v>
                </c:pt>
                <c:pt idx="77">
                  <c:v>4.2828400000000002</c:v>
                </c:pt>
                <c:pt idx="78">
                  <c:v>4.2554699999999999</c:v>
                </c:pt>
                <c:pt idx="79">
                  <c:v>4.2324799999999998</c:v>
                </c:pt>
                <c:pt idx="80">
                  <c:v>4.2118500000000001</c:v>
                </c:pt>
                <c:pt idx="81">
                  <c:v>4.1934800000000001</c:v>
                </c:pt>
                <c:pt idx="82">
                  <c:v>4.1757799999999996</c:v>
                </c:pt>
                <c:pt idx="83">
                  <c:v>4.1582299999999996</c:v>
                </c:pt>
                <c:pt idx="84">
                  <c:v>4.1421799999999998</c:v>
                </c:pt>
                <c:pt idx="85">
                  <c:v>4.1261900000000002</c:v>
                </c:pt>
                <c:pt idx="86">
                  <c:v>4.1120200000000002</c:v>
                </c:pt>
                <c:pt idx="87">
                  <c:v>4.1033599999999995</c:v>
                </c:pt>
                <c:pt idx="88">
                  <c:v>4.09802</c:v>
                </c:pt>
                <c:pt idx="89">
                  <c:v>4.09544</c:v>
                </c:pt>
                <c:pt idx="90">
                  <c:v>4.1009099999999998</c:v>
                </c:pt>
                <c:pt idx="91">
                  <c:v>4.1098099999999995</c:v>
                </c:pt>
                <c:pt idx="92">
                  <c:v>4.1187399999999998</c:v>
                </c:pt>
                <c:pt idx="93">
                  <c:v>4.1297299999999995</c:v>
                </c:pt>
                <c:pt idx="94">
                  <c:v>4.1401300000000001</c:v>
                </c:pt>
                <c:pt idx="95">
                  <c:v>4.1503899999999998</c:v>
                </c:pt>
                <c:pt idx="96">
                  <c:v>4.1569000000000003</c:v>
                </c:pt>
                <c:pt idx="97">
                  <c:v>4.15984</c:v>
                </c:pt>
                <c:pt idx="98">
                  <c:v>4.15951</c:v>
                </c:pt>
                <c:pt idx="99">
                  <c:v>4.1604900000000002</c:v>
                </c:pt>
                <c:pt idx="100">
                  <c:v>4.1624600000000003</c:v>
                </c:pt>
                <c:pt idx="101">
                  <c:v>4.1688700000000001</c:v>
                </c:pt>
                <c:pt idx="102">
                  <c:v>4.1755199999999997</c:v>
                </c:pt>
                <c:pt idx="103">
                  <c:v>4.1866900000000005</c:v>
                </c:pt>
                <c:pt idx="104">
                  <c:v>4.2022900000000005</c:v>
                </c:pt>
                <c:pt idx="105">
                  <c:v>4.2202900000000003</c:v>
                </c:pt>
                <c:pt idx="106">
                  <c:v>4.2399800000000001</c:v>
                </c:pt>
                <c:pt idx="107">
                  <c:v>4.2600300000000004</c:v>
                </c:pt>
                <c:pt idx="108">
                  <c:v>4.2810899999999998</c:v>
                </c:pt>
                <c:pt idx="109">
                  <c:v>4.3014299999999999</c:v>
                </c:pt>
                <c:pt idx="110">
                  <c:v>4.3214399999999999</c:v>
                </c:pt>
                <c:pt idx="111">
                  <c:v>4.3437799999999998</c:v>
                </c:pt>
                <c:pt idx="112">
                  <c:v>4.3612900000000003</c:v>
                </c:pt>
                <c:pt idx="113">
                  <c:v>4.3795900000000003</c:v>
                </c:pt>
                <c:pt idx="114">
                  <c:v>4.3989200000000004</c:v>
                </c:pt>
                <c:pt idx="115">
                  <c:v>4.4148399999999999</c:v>
                </c:pt>
                <c:pt idx="116">
                  <c:v>4.43011</c:v>
                </c:pt>
                <c:pt idx="117">
                  <c:v>4.4458799999999998</c:v>
                </c:pt>
                <c:pt idx="118">
                  <c:v>4.4577400000000003</c:v>
                </c:pt>
                <c:pt idx="119">
                  <c:v>4.4729999999999999</c:v>
                </c:pt>
                <c:pt idx="120">
                  <c:v>4.4883800000000003</c:v>
                </c:pt>
                <c:pt idx="121">
                  <c:v>4.5057999999999998</c:v>
                </c:pt>
                <c:pt idx="122">
                  <c:v>4.5206</c:v>
                </c:pt>
                <c:pt idx="123">
                  <c:v>4.5377700000000001</c:v>
                </c:pt>
                <c:pt idx="124">
                  <c:v>4.5552000000000001</c:v>
                </c:pt>
                <c:pt idx="125">
                  <c:v>4.5740799999999995</c:v>
                </c:pt>
                <c:pt idx="126">
                  <c:v>4.5912100000000002</c:v>
                </c:pt>
                <c:pt idx="127">
                  <c:v>4.6086899999999993</c:v>
                </c:pt>
                <c:pt idx="128">
                  <c:v>4.6231200000000001</c:v>
                </c:pt>
                <c:pt idx="129">
                  <c:v>4.6328200000000006</c:v>
                </c:pt>
                <c:pt idx="130">
                  <c:v>4.6398799999999998</c:v>
                </c:pt>
                <c:pt idx="131">
                  <c:v>4.6440799999999998</c:v>
                </c:pt>
                <c:pt idx="132">
                  <c:v>4.6479100000000004</c:v>
                </c:pt>
                <c:pt idx="133">
                  <c:v>4.6456799999999996</c:v>
                </c:pt>
                <c:pt idx="134">
                  <c:v>4.6427899999999998</c:v>
                </c:pt>
                <c:pt idx="135">
                  <c:v>4.6414999999999997</c:v>
                </c:pt>
                <c:pt idx="136">
                  <c:v>4.6379399999999995</c:v>
                </c:pt>
                <c:pt idx="137">
                  <c:v>4.6370000000000005</c:v>
                </c:pt>
                <c:pt idx="138">
                  <c:v>4.6349999999999998</c:v>
                </c:pt>
                <c:pt idx="139">
                  <c:v>4.6318399999999995</c:v>
                </c:pt>
                <c:pt idx="140">
                  <c:v>4.6291700000000002</c:v>
                </c:pt>
                <c:pt idx="141">
                  <c:v>4.6194299999999995</c:v>
                </c:pt>
                <c:pt idx="142">
                  <c:v>4.6038699999999997</c:v>
                </c:pt>
                <c:pt idx="143">
                  <c:v>4.5928699999999996</c:v>
                </c:pt>
                <c:pt idx="144">
                  <c:v>4.5753500000000003</c:v>
                </c:pt>
                <c:pt idx="145">
                  <c:v>4.5581700000000005</c:v>
                </c:pt>
                <c:pt idx="146">
                  <c:v>4.5262500000000001</c:v>
                </c:pt>
                <c:pt idx="147">
                  <c:v>4.5492699999999999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</c:v>
                </c:pt>
                <c:pt idx="1">
                  <c:v>30.064299999999999</c:v>
                </c:pt>
                <c:pt idx="2">
                  <c:v>30.500800000000002</c:v>
                </c:pt>
                <c:pt idx="3">
                  <c:v>30.909800000000001</c:v>
                </c:pt>
                <c:pt idx="4">
                  <c:v>31.316800000000001</c:v>
                </c:pt>
                <c:pt idx="5">
                  <c:v>31.718599999999999</c:v>
                </c:pt>
                <c:pt idx="6">
                  <c:v>32.123899999999999</c:v>
                </c:pt>
                <c:pt idx="7">
                  <c:v>32.535200000000003</c:v>
                </c:pt>
                <c:pt idx="8">
                  <c:v>32.940600000000003</c:v>
                </c:pt>
                <c:pt idx="9">
                  <c:v>33.346899999999998</c:v>
                </c:pt>
                <c:pt idx="10">
                  <c:v>33.756700000000002</c:v>
                </c:pt>
                <c:pt idx="11">
                  <c:v>34.153300000000002</c:v>
                </c:pt>
                <c:pt idx="12">
                  <c:v>34.5642</c:v>
                </c:pt>
                <c:pt idx="13">
                  <c:v>34.968899999999998</c:v>
                </c:pt>
                <c:pt idx="14">
                  <c:v>35.376800000000003</c:v>
                </c:pt>
                <c:pt idx="15">
                  <c:v>35.788600000000002</c:v>
                </c:pt>
                <c:pt idx="16">
                  <c:v>36.194299999999998</c:v>
                </c:pt>
                <c:pt idx="17">
                  <c:v>36.595999999999997</c:v>
                </c:pt>
                <c:pt idx="18">
                  <c:v>36.999600000000001</c:v>
                </c:pt>
                <c:pt idx="19">
                  <c:v>37.406100000000002</c:v>
                </c:pt>
                <c:pt idx="20">
                  <c:v>37.813000000000002</c:v>
                </c:pt>
                <c:pt idx="21">
                  <c:v>38.221299999999999</c:v>
                </c:pt>
                <c:pt idx="22">
                  <c:v>38.627099999999999</c:v>
                </c:pt>
                <c:pt idx="23">
                  <c:v>39.031199999999998</c:v>
                </c:pt>
                <c:pt idx="24">
                  <c:v>39.442900000000002</c:v>
                </c:pt>
                <c:pt idx="25">
                  <c:v>39.841500000000003</c:v>
                </c:pt>
                <c:pt idx="26">
                  <c:v>40.255499999999998</c:v>
                </c:pt>
                <c:pt idx="27">
                  <c:v>40.657800000000002</c:v>
                </c:pt>
                <c:pt idx="28">
                  <c:v>41.066499999999998</c:v>
                </c:pt>
                <c:pt idx="29">
                  <c:v>41.469700000000003</c:v>
                </c:pt>
                <c:pt idx="30">
                  <c:v>41.877000000000002</c:v>
                </c:pt>
                <c:pt idx="31">
                  <c:v>42.285899999999998</c:v>
                </c:pt>
                <c:pt idx="32">
                  <c:v>42.690199999999997</c:v>
                </c:pt>
                <c:pt idx="33">
                  <c:v>43.0974</c:v>
                </c:pt>
                <c:pt idx="34">
                  <c:v>43.500900000000001</c:v>
                </c:pt>
                <c:pt idx="35">
                  <c:v>43.907400000000003</c:v>
                </c:pt>
                <c:pt idx="36">
                  <c:v>44.315800000000003</c:v>
                </c:pt>
                <c:pt idx="37">
                  <c:v>44.719000000000001</c:v>
                </c:pt>
                <c:pt idx="38">
                  <c:v>45.126800000000003</c:v>
                </c:pt>
                <c:pt idx="39">
                  <c:v>45.5321</c:v>
                </c:pt>
                <c:pt idx="40">
                  <c:v>45.936900000000001</c:v>
                </c:pt>
                <c:pt idx="41">
                  <c:v>46.349699999999999</c:v>
                </c:pt>
                <c:pt idx="42">
                  <c:v>46.752099999999999</c:v>
                </c:pt>
                <c:pt idx="43">
                  <c:v>47.157899999999998</c:v>
                </c:pt>
                <c:pt idx="44">
                  <c:v>47.562399999999997</c:v>
                </c:pt>
                <c:pt idx="45">
                  <c:v>47.968499999999999</c:v>
                </c:pt>
                <c:pt idx="46">
                  <c:v>48.374499999999998</c:v>
                </c:pt>
                <c:pt idx="47">
                  <c:v>48.783900000000003</c:v>
                </c:pt>
                <c:pt idx="48">
                  <c:v>49.187100000000001</c:v>
                </c:pt>
                <c:pt idx="49">
                  <c:v>49.593000000000004</c:v>
                </c:pt>
                <c:pt idx="50">
                  <c:v>50.0017</c:v>
                </c:pt>
                <c:pt idx="51">
                  <c:v>50.406399999999998</c:v>
                </c:pt>
                <c:pt idx="52">
                  <c:v>50.818300000000001</c:v>
                </c:pt>
                <c:pt idx="53">
                  <c:v>51.220100000000002</c:v>
                </c:pt>
                <c:pt idx="54">
                  <c:v>51.625900000000001</c:v>
                </c:pt>
                <c:pt idx="55">
                  <c:v>52.032400000000003</c:v>
                </c:pt>
                <c:pt idx="56">
                  <c:v>52.437100000000001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53.657800000000002</c:v>
                </c:pt>
                <c:pt idx="60">
                  <c:v>54.064300000000003</c:v>
                </c:pt>
                <c:pt idx="61">
                  <c:v>54.469900000000003</c:v>
                </c:pt>
                <c:pt idx="62">
                  <c:v>54.877600000000001</c:v>
                </c:pt>
                <c:pt idx="63">
                  <c:v>55.2834</c:v>
                </c:pt>
                <c:pt idx="64">
                  <c:v>55.691600000000001</c:v>
                </c:pt>
                <c:pt idx="65">
                  <c:v>56.094700000000003</c:v>
                </c:pt>
                <c:pt idx="66">
                  <c:v>56.502600000000001</c:v>
                </c:pt>
                <c:pt idx="67">
                  <c:v>56.908799999999999</c:v>
                </c:pt>
                <c:pt idx="68">
                  <c:v>57.315100000000001</c:v>
                </c:pt>
                <c:pt idx="69">
                  <c:v>57.718499999999999</c:v>
                </c:pt>
                <c:pt idx="70">
                  <c:v>58.125500000000002</c:v>
                </c:pt>
                <c:pt idx="71">
                  <c:v>58.532400000000003</c:v>
                </c:pt>
                <c:pt idx="72">
                  <c:v>58.939700000000002</c:v>
                </c:pt>
                <c:pt idx="73">
                  <c:v>59.345700000000001</c:v>
                </c:pt>
                <c:pt idx="74">
                  <c:v>59.749499999999998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4.3609100000000005</c:v>
                </c:pt>
                <c:pt idx="1">
                  <c:v>4.3460200000000002</c:v>
                </c:pt>
                <c:pt idx="2">
                  <c:v>4.3289299999999997</c:v>
                </c:pt>
                <c:pt idx="3">
                  <c:v>4.3072800000000004</c:v>
                </c:pt>
                <c:pt idx="4">
                  <c:v>4.2828400000000002</c:v>
                </c:pt>
                <c:pt idx="5">
                  <c:v>4.2554699999999999</c:v>
                </c:pt>
                <c:pt idx="6">
                  <c:v>4.2324799999999998</c:v>
                </c:pt>
                <c:pt idx="7">
                  <c:v>4.2118500000000001</c:v>
                </c:pt>
                <c:pt idx="8">
                  <c:v>4.1934800000000001</c:v>
                </c:pt>
                <c:pt idx="9">
                  <c:v>4.1757799999999996</c:v>
                </c:pt>
                <c:pt idx="10">
                  <c:v>4.1582299999999996</c:v>
                </c:pt>
                <c:pt idx="11">
                  <c:v>4.1421799999999998</c:v>
                </c:pt>
                <c:pt idx="12">
                  <c:v>4.1261900000000002</c:v>
                </c:pt>
                <c:pt idx="13">
                  <c:v>4.1120200000000002</c:v>
                </c:pt>
                <c:pt idx="14">
                  <c:v>4.1033599999999995</c:v>
                </c:pt>
                <c:pt idx="15">
                  <c:v>4.09802</c:v>
                </c:pt>
                <c:pt idx="16">
                  <c:v>4.09544</c:v>
                </c:pt>
                <c:pt idx="17">
                  <c:v>4.1009099999999998</c:v>
                </c:pt>
                <c:pt idx="18">
                  <c:v>4.1098099999999995</c:v>
                </c:pt>
                <c:pt idx="19">
                  <c:v>4.1187399999999998</c:v>
                </c:pt>
                <c:pt idx="20">
                  <c:v>4.1297299999999995</c:v>
                </c:pt>
                <c:pt idx="21">
                  <c:v>4.1401300000000001</c:v>
                </c:pt>
                <c:pt idx="22">
                  <c:v>4.1503899999999998</c:v>
                </c:pt>
                <c:pt idx="23">
                  <c:v>4.1569000000000003</c:v>
                </c:pt>
                <c:pt idx="24">
                  <c:v>4.15984</c:v>
                </c:pt>
                <c:pt idx="25">
                  <c:v>4.15951</c:v>
                </c:pt>
                <c:pt idx="26">
                  <c:v>4.1604900000000002</c:v>
                </c:pt>
                <c:pt idx="27">
                  <c:v>4.1624600000000003</c:v>
                </c:pt>
                <c:pt idx="28">
                  <c:v>4.1688700000000001</c:v>
                </c:pt>
                <c:pt idx="29">
                  <c:v>4.1755199999999997</c:v>
                </c:pt>
                <c:pt idx="30">
                  <c:v>4.1866900000000005</c:v>
                </c:pt>
                <c:pt idx="31">
                  <c:v>4.2022900000000005</c:v>
                </c:pt>
                <c:pt idx="32">
                  <c:v>4.2202900000000003</c:v>
                </c:pt>
                <c:pt idx="33">
                  <c:v>4.2399800000000001</c:v>
                </c:pt>
                <c:pt idx="34">
                  <c:v>4.2600300000000004</c:v>
                </c:pt>
                <c:pt idx="35">
                  <c:v>4.2810899999999998</c:v>
                </c:pt>
                <c:pt idx="36">
                  <c:v>4.3014299999999999</c:v>
                </c:pt>
                <c:pt idx="37">
                  <c:v>4.3214399999999999</c:v>
                </c:pt>
                <c:pt idx="38">
                  <c:v>4.3437799999999998</c:v>
                </c:pt>
                <c:pt idx="39">
                  <c:v>4.3612900000000003</c:v>
                </c:pt>
                <c:pt idx="40">
                  <c:v>4.3795900000000003</c:v>
                </c:pt>
                <c:pt idx="41">
                  <c:v>4.3989200000000004</c:v>
                </c:pt>
                <c:pt idx="42">
                  <c:v>4.4148399999999999</c:v>
                </c:pt>
                <c:pt idx="43">
                  <c:v>4.43011</c:v>
                </c:pt>
                <c:pt idx="44">
                  <c:v>4.4458799999999998</c:v>
                </c:pt>
                <c:pt idx="45">
                  <c:v>4.4577400000000003</c:v>
                </c:pt>
                <c:pt idx="46">
                  <c:v>4.4729999999999999</c:v>
                </c:pt>
                <c:pt idx="47">
                  <c:v>4.4883800000000003</c:v>
                </c:pt>
                <c:pt idx="48">
                  <c:v>4.5057999999999998</c:v>
                </c:pt>
                <c:pt idx="49">
                  <c:v>4.5206</c:v>
                </c:pt>
                <c:pt idx="50">
                  <c:v>4.5377700000000001</c:v>
                </c:pt>
                <c:pt idx="51">
                  <c:v>4.5552000000000001</c:v>
                </c:pt>
                <c:pt idx="52">
                  <c:v>4.5740799999999995</c:v>
                </c:pt>
                <c:pt idx="53">
                  <c:v>4.5912100000000002</c:v>
                </c:pt>
                <c:pt idx="54">
                  <c:v>4.6086899999999993</c:v>
                </c:pt>
                <c:pt idx="55">
                  <c:v>4.6231200000000001</c:v>
                </c:pt>
                <c:pt idx="56">
                  <c:v>4.6328200000000006</c:v>
                </c:pt>
                <c:pt idx="57">
                  <c:v>4.6398799999999998</c:v>
                </c:pt>
                <c:pt idx="58">
                  <c:v>4.6440799999999998</c:v>
                </c:pt>
                <c:pt idx="59">
                  <c:v>4.6479100000000004</c:v>
                </c:pt>
                <c:pt idx="60">
                  <c:v>4.6456799999999996</c:v>
                </c:pt>
                <c:pt idx="61">
                  <c:v>4.6427899999999998</c:v>
                </c:pt>
                <c:pt idx="62">
                  <c:v>4.6414999999999997</c:v>
                </c:pt>
                <c:pt idx="63">
                  <c:v>4.6379399999999995</c:v>
                </c:pt>
                <c:pt idx="64">
                  <c:v>4.6370000000000005</c:v>
                </c:pt>
                <c:pt idx="65">
                  <c:v>4.6349999999999998</c:v>
                </c:pt>
                <c:pt idx="66">
                  <c:v>4.6318399999999995</c:v>
                </c:pt>
                <c:pt idx="67">
                  <c:v>4.6291700000000002</c:v>
                </c:pt>
                <c:pt idx="68">
                  <c:v>4.6194299999999995</c:v>
                </c:pt>
                <c:pt idx="69">
                  <c:v>4.6038699999999997</c:v>
                </c:pt>
                <c:pt idx="70">
                  <c:v>4.5928699999999996</c:v>
                </c:pt>
                <c:pt idx="71">
                  <c:v>4.5753500000000003</c:v>
                </c:pt>
                <c:pt idx="72">
                  <c:v>4.5581700000000005</c:v>
                </c:pt>
                <c:pt idx="73">
                  <c:v>4.5262500000000001</c:v>
                </c:pt>
                <c:pt idx="74">
                  <c:v>4.5492699999999999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14.937374999999999</c:v>
                </c:pt>
                <c:pt idx="1">
                  <c:v>44.812124999999995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3.7879879729729726</c:v>
                </c:pt>
                <c:pt idx="1">
                  <c:v>4.3713098648648643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  <c:pt idx="74">
                  <c:v>30.064299999999999</c:v>
                </c:pt>
                <c:pt idx="75">
                  <c:v>30.500800000000002</c:v>
                </c:pt>
                <c:pt idx="76">
                  <c:v>30.909800000000001</c:v>
                </c:pt>
                <c:pt idx="77">
                  <c:v>31.316800000000001</c:v>
                </c:pt>
                <c:pt idx="78">
                  <c:v>31.718599999999999</c:v>
                </c:pt>
                <c:pt idx="79">
                  <c:v>32.123899999999999</c:v>
                </c:pt>
                <c:pt idx="80">
                  <c:v>32.535200000000003</c:v>
                </c:pt>
                <c:pt idx="81">
                  <c:v>32.940600000000003</c:v>
                </c:pt>
                <c:pt idx="82">
                  <c:v>33.346899999999998</c:v>
                </c:pt>
                <c:pt idx="83">
                  <c:v>33.756700000000002</c:v>
                </c:pt>
                <c:pt idx="84">
                  <c:v>34.153300000000002</c:v>
                </c:pt>
                <c:pt idx="85">
                  <c:v>34.5642</c:v>
                </c:pt>
                <c:pt idx="86">
                  <c:v>34.968899999999998</c:v>
                </c:pt>
                <c:pt idx="87">
                  <c:v>35.376800000000003</c:v>
                </c:pt>
                <c:pt idx="88">
                  <c:v>35.788600000000002</c:v>
                </c:pt>
                <c:pt idx="89">
                  <c:v>36.194299999999998</c:v>
                </c:pt>
                <c:pt idx="90">
                  <c:v>36.595999999999997</c:v>
                </c:pt>
                <c:pt idx="91">
                  <c:v>36.999600000000001</c:v>
                </c:pt>
                <c:pt idx="92">
                  <c:v>37.406100000000002</c:v>
                </c:pt>
                <c:pt idx="93">
                  <c:v>37.813000000000002</c:v>
                </c:pt>
                <c:pt idx="94">
                  <c:v>38.221299999999999</c:v>
                </c:pt>
                <c:pt idx="95">
                  <c:v>38.627099999999999</c:v>
                </c:pt>
                <c:pt idx="96">
                  <c:v>39.031199999999998</c:v>
                </c:pt>
                <c:pt idx="97">
                  <c:v>39.442900000000002</c:v>
                </c:pt>
                <c:pt idx="98">
                  <c:v>39.841500000000003</c:v>
                </c:pt>
                <c:pt idx="99">
                  <c:v>40.255499999999998</c:v>
                </c:pt>
                <c:pt idx="100">
                  <c:v>40.657800000000002</c:v>
                </c:pt>
                <c:pt idx="101">
                  <c:v>41.066499999999998</c:v>
                </c:pt>
                <c:pt idx="102">
                  <c:v>41.469700000000003</c:v>
                </c:pt>
                <c:pt idx="103">
                  <c:v>41.877000000000002</c:v>
                </c:pt>
                <c:pt idx="104">
                  <c:v>42.285899999999998</c:v>
                </c:pt>
                <c:pt idx="105">
                  <c:v>42.690199999999997</c:v>
                </c:pt>
                <c:pt idx="106">
                  <c:v>43.0974</c:v>
                </c:pt>
                <c:pt idx="107">
                  <c:v>43.500900000000001</c:v>
                </c:pt>
                <c:pt idx="108">
                  <c:v>43.907400000000003</c:v>
                </c:pt>
                <c:pt idx="109">
                  <c:v>44.315800000000003</c:v>
                </c:pt>
                <c:pt idx="110">
                  <c:v>44.719000000000001</c:v>
                </c:pt>
                <c:pt idx="111">
                  <c:v>45.126800000000003</c:v>
                </c:pt>
                <c:pt idx="112">
                  <c:v>45.5321</c:v>
                </c:pt>
                <c:pt idx="113">
                  <c:v>45.936900000000001</c:v>
                </c:pt>
                <c:pt idx="114">
                  <c:v>46.349699999999999</c:v>
                </c:pt>
                <c:pt idx="115">
                  <c:v>46.752099999999999</c:v>
                </c:pt>
                <c:pt idx="116">
                  <c:v>47.157899999999998</c:v>
                </c:pt>
                <c:pt idx="117">
                  <c:v>47.562399999999997</c:v>
                </c:pt>
                <c:pt idx="118">
                  <c:v>47.968499999999999</c:v>
                </c:pt>
                <c:pt idx="119">
                  <c:v>48.374499999999998</c:v>
                </c:pt>
                <c:pt idx="120">
                  <c:v>48.783900000000003</c:v>
                </c:pt>
                <c:pt idx="121">
                  <c:v>49.187100000000001</c:v>
                </c:pt>
                <c:pt idx="122">
                  <c:v>49.593000000000004</c:v>
                </c:pt>
                <c:pt idx="123">
                  <c:v>50.0017</c:v>
                </c:pt>
                <c:pt idx="124">
                  <c:v>50.406399999999998</c:v>
                </c:pt>
                <c:pt idx="125">
                  <c:v>50.818300000000001</c:v>
                </c:pt>
                <c:pt idx="126">
                  <c:v>51.220100000000002</c:v>
                </c:pt>
                <c:pt idx="127">
                  <c:v>51.625900000000001</c:v>
                </c:pt>
                <c:pt idx="128">
                  <c:v>52.032400000000003</c:v>
                </c:pt>
                <c:pt idx="129">
                  <c:v>52.437100000000001</c:v>
                </c:pt>
                <c:pt idx="130">
                  <c:v>52.841900000000003</c:v>
                </c:pt>
                <c:pt idx="131">
                  <c:v>53.251100000000001</c:v>
                </c:pt>
                <c:pt idx="132">
                  <c:v>53.657800000000002</c:v>
                </c:pt>
                <c:pt idx="133">
                  <c:v>54.064300000000003</c:v>
                </c:pt>
                <c:pt idx="134">
                  <c:v>54.469900000000003</c:v>
                </c:pt>
                <c:pt idx="135">
                  <c:v>54.877600000000001</c:v>
                </c:pt>
                <c:pt idx="136">
                  <c:v>55.2834</c:v>
                </c:pt>
                <c:pt idx="137">
                  <c:v>55.691600000000001</c:v>
                </c:pt>
                <c:pt idx="138">
                  <c:v>56.094700000000003</c:v>
                </c:pt>
                <c:pt idx="139">
                  <c:v>56.502600000000001</c:v>
                </c:pt>
                <c:pt idx="140">
                  <c:v>56.908799999999999</c:v>
                </c:pt>
                <c:pt idx="141">
                  <c:v>57.315100000000001</c:v>
                </c:pt>
                <c:pt idx="142">
                  <c:v>57.718499999999999</c:v>
                </c:pt>
                <c:pt idx="143">
                  <c:v>58.125500000000002</c:v>
                </c:pt>
                <c:pt idx="144">
                  <c:v>58.532400000000003</c:v>
                </c:pt>
                <c:pt idx="145">
                  <c:v>58.939700000000002</c:v>
                </c:pt>
                <c:pt idx="146">
                  <c:v>59.345700000000001</c:v>
                </c:pt>
                <c:pt idx="147">
                  <c:v>59.749499999999998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  <c:pt idx="74">
                  <c:v>35.790499999999994</c:v>
                </c:pt>
                <c:pt idx="75">
                  <c:v>36.003700000000002</c:v>
                </c:pt>
                <c:pt idx="76">
                  <c:v>36.186700000000002</c:v>
                </c:pt>
                <c:pt idx="77">
                  <c:v>36.409399999999998</c:v>
                </c:pt>
                <c:pt idx="78">
                  <c:v>36.645499999999998</c:v>
                </c:pt>
                <c:pt idx="79">
                  <c:v>36.872999999999998</c:v>
                </c:pt>
                <c:pt idx="80">
                  <c:v>37.081499999999998</c:v>
                </c:pt>
                <c:pt idx="81">
                  <c:v>37.189799999999998</c:v>
                </c:pt>
                <c:pt idx="82">
                  <c:v>37.300699999999999</c:v>
                </c:pt>
                <c:pt idx="83">
                  <c:v>37.483499999999999</c:v>
                </c:pt>
                <c:pt idx="84">
                  <c:v>37.5869</c:v>
                </c:pt>
                <c:pt idx="85">
                  <c:v>37.6691</c:v>
                </c:pt>
                <c:pt idx="86">
                  <c:v>37.708000000000006</c:v>
                </c:pt>
                <c:pt idx="87">
                  <c:v>37.695</c:v>
                </c:pt>
                <c:pt idx="88">
                  <c:v>37.665799999999997</c:v>
                </c:pt>
                <c:pt idx="89">
                  <c:v>37.627000000000002</c:v>
                </c:pt>
                <c:pt idx="90">
                  <c:v>37.566100000000006</c:v>
                </c:pt>
                <c:pt idx="91">
                  <c:v>37.451000000000001</c:v>
                </c:pt>
                <c:pt idx="92">
                  <c:v>37.353700000000003</c:v>
                </c:pt>
                <c:pt idx="93">
                  <c:v>37.190899999999999</c:v>
                </c:pt>
                <c:pt idx="94">
                  <c:v>37.1021</c:v>
                </c:pt>
                <c:pt idx="95">
                  <c:v>37.064599999999999</c:v>
                </c:pt>
                <c:pt idx="96">
                  <c:v>37.079900000000002</c:v>
                </c:pt>
                <c:pt idx="97">
                  <c:v>37.100899999999996</c:v>
                </c:pt>
                <c:pt idx="98">
                  <c:v>37.154800000000002</c:v>
                </c:pt>
                <c:pt idx="99">
                  <c:v>37.216200000000001</c:v>
                </c:pt>
                <c:pt idx="100">
                  <c:v>37.279499999999999</c:v>
                </c:pt>
                <c:pt idx="101">
                  <c:v>37.372999999999998</c:v>
                </c:pt>
                <c:pt idx="102">
                  <c:v>37.485199999999999</c:v>
                </c:pt>
                <c:pt idx="103">
                  <c:v>37.633400000000002</c:v>
                </c:pt>
                <c:pt idx="104">
                  <c:v>37.678400000000003</c:v>
                </c:pt>
                <c:pt idx="105">
                  <c:v>37.6479</c:v>
                </c:pt>
                <c:pt idx="106">
                  <c:v>37.614399999999996</c:v>
                </c:pt>
                <c:pt idx="107">
                  <c:v>37.5456</c:v>
                </c:pt>
                <c:pt idx="108">
                  <c:v>37.419999999999995</c:v>
                </c:pt>
                <c:pt idx="109">
                  <c:v>37.352999999999994</c:v>
                </c:pt>
                <c:pt idx="110">
                  <c:v>37.318300000000001</c:v>
                </c:pt>
                <c:pt idx="111">
                  <c:v>37.321199999999997</c:v>
                </c:pt>
                <c:pt idx="112">
                  <c:v>37.3367</c:v>
                </c:pt>
                <c:pt idx="113">
                  <c:v>37.339599999999997</c:v>
                </c:pt>
                <c:pt idx="114">
                  <c:v>37.322600000000001</c:v>
                </c:pt>
                <c:pt idx="115">
                  <c:v>37.308400000000006</c:v>
                </c:pt>
                <c:pt idx="116">
                  <c:v>37.305599999999998</c:v>
                </c:pt>
                <c:pt idx="117">
                  <c:v>37.338000000000001</c:v>
                </c:pt>
                <c:pt idx="118">
                  <c:v>37.459800000000001</c:v>
                </c:pt>
                <c:pt idx="119">
                  <c:v>37.595700000000001</c:v>
                </c:pt>
                <c:pt idx="120">
                  <c:v>37.785000000000004</c:v>
                </c:pt>
                <c:pt idx="121">
                  <c:v>38.058700000000002</c:v>
                </c:pt>
                <c:pt idx="122">
                  <c:v>38.415500000000002</c:v>
                </c:pt>
                <c:pt idx="123">
                  <c:v>38.664700000000003</c:v>
                </c:pt>
                <c:pt idx="124">
                  <c:v>38.823099999999997</c:v>
                </c:pt>
                <c:pt idx="125">
                  <c:v>38.990499999999997</c:v>
                </c:pt>
                <c:pt idx="126">
                  <c:v>39.169399999999996</c:v>
                </c:pt>
                <c:pt idx="127">
                  <c:v>39.372800000000005</c:v>
                </c:pt>
                <c:pt idx="128">
                  <c:v>39.504800000000003</c:v>
                </c:pt>
                <c:pt idx="129">
                  <c:v>39.630900000000004</c:v>
                </c:pt>
                <c:pt idx="130">
                  <c:v>39.7744</c:v>
                </c:pt>
                <c:pt idx="131">
                  <c:v>39.909499999999994</c:v>
                </c:pt>
                <c:pt idx="132">
                  <c:v>40.058100000000003</c:v>
                </c:pt>
                <c:pt idx="133">
                  <c:v>40.220700000000001</c:v>
                </c:pt>
                <c:pt idx="134">
                  <c:v>40.380300000000005</c:v>
                </c:pt>
                <c:pt idx="135">
                  <c:v>40.583500000000001</c:v>
                </c:pt>
                <c:pt idx="136">
                  <c:v>40.772000000000006</c:v>
                </c:pt>
                <c:pt idx="137">
                  <c:v>40.992899999999999</c:v>
                </c:pt>
                <c:pt idx="138">
                  <c:v>41.273400000000002</c:v>
                </c:pt>
                <c:pt idx="139">
                  <c:v>41.615400000000001</c:v>
                </c:pt>
                <c:pt idx="140">
                  <c:v>41.962200000000003</c:v>
                </c:pt>
                <c:pt idx="141">
                  <c:v>42.371900000000004</c:v>
                </c:pt>
                <c:pt idx="142">
                  <c:v>42.801099999999998</c:v>
                </c:pt>
                <c:pt idx="143">
                  <c:v>43.144100000000002</c:v>
                </c:pt>
                <c:pt idx="144">
                  <c:v>43.651200000000003</c:v>
                </c:pt>
                <c:pt idx="145">
                  <c:v>44.0901</c:v>
                </c:pt>
                <c:pt idx="146">
                  <c:v>44.385799999999996</c:v>
                </c:pt>
                <c:pt idx="147">
                  <c:v>44.009599999999999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0.40929500000000002</c:v>
                </c:pt>
                <c:pt idx="2">
                  <c:v>0.81603599999999998</c:v>
                </c:pt>
                <c:pt idx="3">
                  <c:v>1.21916</c:v>
                </c:pt>
                <c:pt idx="4">
                  <c:v>1.62537</c:v>
                </c:pt>
                <c:pt idx="5">
                  <c:v>2.03396</c:v>
                </c:pt>
                <c:pt idx="6">
                  <c:v>2.4397899999999999</c:v>
                </c:pt>
                <c:pt idx="7">
                  <c:v>2.8469000000000002</c:v>
                </c:pt>
                <c:pt idx="8">
                  <c:v>3.2536499999999999</c:v>
                </c:pt>
                <c:pt idx="9">
                  <c:v>3.6537999999999999</c:v>
                </c:pt>
                <c:pt idx="10">
                  <c:v>4.0636900000000002</c:v>
                </c:pt>
                <c:pt idx="11">
                  <c:v>4.4702799999999998</c:v>
                </c:pt>
                <c:pt idx="12">
                  <c:v>4.8779599999999999</c:v>
                </c:pt>
                <c:pt idx="13">
                  <c:v>5.2842900000000004</c:v>
                </c:pt>
                <c:pt idx="14">
                  <c:v>5.6867999999999999</c:v>
                </c:pt>
                <c:pt idx="15">
                  <c:v>6.0952299999999999</c:v>
                </c:pt>
                <c:pt idx="16">
                  <c:v>6.5010000000000003</c:v>
                </c:pt>
                <c:pt idx="17">
                  <c:v>6.9099700000000004</c:v>
                </c:pt>
                <c:pt idx="18">
                  <c:v>7.3153300000000003</c:v>
                </c:pt>
                <c:pt idx="19">
                  <c:v>7.7198200000000003</c:v>
                </c:pt>
                <c:pt idx="20">
                  <c:v>8.1274099999999994</c:v>
                </c:pt>
                <c:pt idx="21">
                  <c:v>8.5352899999999998</c:v>
                </c:pt>
                <c:pt idx="22">
                  <c:v>8.9416399999999996</c:v>
                </c:pt>
                <c:pt idx="23">
                  <c:v>9.3442100000000003</c:v>
                </c:pt>
                <c:pt idx="24">
                  <c:v>9.7489299999999997</c:v>
                </c:pt>
                <c:pt idx="25">
                  <c:v>10.1563</c:v>
                </c:pt>
                <c:pt idx="26">
                  <c:v>10.5632</c:v>
                </c:pt>
                <c:pt idx="27">
                  <c:v>10.9709</c:v>
                </c:pt>
                <c:pt idx="28">
                  <c:v>11.375299999999999</c:v>
                </c:pt>
                <c:pt idx="29">
                  <c:v>11.7826</c:v>
                </c:pt>
                <c:pt idx="30">
                  <c:v>12.190300000000001</c:v>
                </c:pt>
                <c:pt idx="31">
                  <c:v>12.593299999999999</c:v>
                </c:pt>
                <c:pt idx="32">
                  <c:v>13.0001</c:v>
                </c:pt>
                <c:pt idx="33">
                  <c:v>13.407</c:v>
                </c:pt>
                <c:pt idx="34">
                  <c:v>13.8146</c:v>
                </c:pt>
                <c:pt idx="35">
                  <c:v>14.222300000000001</c:v>
                </c:pt>
                <c:pt idx="36">
                  <c:v>14.625400000000001</c:v>
                </c:pt>
                <c:pt idx="37">
                  <c:v>15.031499999999999</c:v>
                </c:pt>
                <c:pt idx="38">
                  <c:v>15.437900000000001</c:v>
                </c:pt>
                <c:pt idx="39">
                  <c:v>15.8483</c:v>
                </c:pt>
                <c:pt idx="40">
                  <c:v>16.252600000000001</c:v>
                </c:pt>
                <c:pt idx="41">
                  <c:v>16.6602</c:v>
                </c:pt>
                <c:pt idx="42">
                  <c:v>17.061900000000001</c:v>
                </c:pt>
                <c:pt idx="43">
                  <c:v>17.470700000000001</c:v>
                </c:pt>
                <c:pt idx="44">
                  <c:v>17.878499999999999</c:v>
                </c:pt>
                <c:pt idx="45">
                  <c:v>18.283100000000001</c:v>
                </c:pt>
                <c:pt idx="46">
                  <c:v>18.6904</c:v>
                </c:pt>
                <c:pt idx="47">
                  <c:v>19.095500000000001</c:v>
                </c:pt>
                <c:pt idx="48">
                  <c:v>19.503299999999999</c:v>
                </c:pt>
                <c:pt idx="49">
                  <c:v>19.906300000000002</c:v>
                </c:pt>
                <c:pt idx="50">
                  <c:v>20.3156</c:v>
                </c:pt>
                <c:pt idx="51">
                  <c:v>20.721399999999999</c:v>
                </c:pt>
                <c:pt idx="52">
                  <c:v>21.125299999999999</c:v>
                </c:pt>
                <c:pt idx="53">
                  <c:v>21.534600000000001</c:v>
                </c:pt>
                <c:pt idx="54">
                  <c:v>21.936399999999999</c:v>
                </c:pt>
                <c:pt idx="55">
                  <c:v>22.3461</c:v>
                </c:pt>
                <c:pt idx="56">
                  <c:v>22.7529</c:v>
                </c:pt>
                <c:pt idx="57">
                  <c:v>23.1572</c:v>
                </c:pt>
                <c:pt idx="58">
                  <c:v>23.5626</c:v>
                </c:pt>
                <c:pt idx="59">
                  <c:v>23.9695</c:v>
                </c:pt>
                <c:pt idx="60">
                  <c:v>24.376200000000001</c:v>
                </c:pt>
                <c:pt idx="61">
                  <c:v>24.783799999999999</c:v>
                </c:pt>
                <c:pt idx="62">
                  <c:v>25.186900000000001</c:v>
                </c:pt>
                <c:pt idx="63">
                  <c:v>25.591999999999999</c:v>
                </c:pt>
                <c:pt idx="64">
                  <c:v>26.0002</c:v>
                </c:pt>
                <c:pt idx="65">
                  <c:v>26.406300000000002</c:v>
                </c:pt>
                <c:pt idx="66">
                  <c:v>26.814499999999999</c:v>
                </c:pt>
                <c:pt idx="67">
                  <c:v>27.2211</c:v>
                </c:pt>
                <c:pt idx="68">
                  <c:v>27.628299999999999</c:v>
                </c:pt>
                <c:pt idx="69">
                  <c:v>28.032699999999998</c:v>
                </c:pt>
                <c:pt idx="70">
                  <c:v>28.441099999999999</c:v>
                </c:pt>
                <c:pt idx="71">
                  <c:v>28.8475</c:v>
                </c:pt>
                <c:pt idx="72">
                  <c:v>29.252199999999998</c:v>
                </c:pt>
                <c:pt idx="73">
                  <c:v>29.657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</c:v>
                </c:pt>
                <c:pt idx="1">
                  <c:v>30.064299999999999</c:v>
                </c:pt>
                <c:pt idx="2">
                  <c:v>30.500800000000002</c:v>
                </c:pt>
                <c:pt idx="3">
                  <c:v>30.909800000000001</c:v>
                </c:pt>
                <c:pt idx="4">
                  <c:v>31.316800000000001</c:v>
                </c:pt>
                <c:pt idx="5">
                  <c:v>31.718599999999999</c:v>
                </c:pt>
                <c:pt idx="6">
                  <c:v>32.123899999999999</c:v>
                </c:pt>
                <c:pt idx="7">
                  <c:v>32.535200000000003</c:v>
                </c:pt>
                <c:pt idx="8">
                  <c:v>32.940600000000003</c:v>
                </c:pt>
                <c:pt idx="9">
                  <c:v>33.346899999999998</c:v>
                </c:pt>
                <c:pt idx="10">
                  <c:v>33.756700000000002</c:v>
                </c:pt>
                <c:pt idx="11">
                  <c:v>34.153300000000002</c:v>
                </c:pt>
                <c:pt idx="12">
                  <c:v>34.5642</c:v>
                </c:pt>
                <c:pt idx="13">
                  <c:v>34.968899999999998</c:v>
                </c:pt>
                <c:pt idx="14">
                  <c:v>35.376800000000003</c:v>
                </c:pt>
                <c:pt idx="15">
                  <c:v>35.788600000000002</c:v>
                </c:pt>
                <c:pt idx="16">
                  <c:v>36.194299999999998</c:v>
                </c:pt>
                <c:pt idx="17">
                  <c:v>36.595999999999997</c:v>
                </c:pt>
                <c:pt idx="18">
                  <c:v>36.999600000000001</c:v>
                </c:pt>
                <c:pt idx="19">
                  <c:v>37.406100000000002</c:v>
                </c:pt>
                <c:pt idx="20">
                  <c:v>37.813000000000002</c:v>
                </c:pt>
                <c:pt idx="21">
                  <c:v>38.221299999999999</c:v>
                </c:pt>
                <c:pt idx="22">
                  <c:v>38.627099999999999</c:v>
                </c:pt>
                <c:pt idx="23">
                  <c:v>39.031199999999998</c:v>
                </c:pt>
                <c:pt idx="24">
                  <c:v>39.442900000000002</c:v>
                </c:pt>
                <c:pt idx="25">
                  <c:v>39.841500000000003</c:v>
                </c:pt>
                <c:pt idx="26">
                  <c:v>40.255499999999998</c:v>
                </c:pt>
                <c:pt idx="27">
                  <c:v>40.657800000000002</c:v>
                </c:pt>
                <c:pt idx="28">
                  <c:v>41.066499999999998</c:v>
                </c:pt>
                <c:pt idx="29">
                  <c:v>41.469700000000003</c:v>
                </c:pt>
                <c:pt idx="30">
                  <c:v>41.877000000000002</c:v>
                </c:pt>
                <c:pt idx="31">
                  <c:v>42.285899999999998</c:v>
                </c:pt>
                <c:pt idx="32">
                  <c:v>42.690199999999997</c:v>
                </c:pt>
                <c:pt idx="33">
                  <c:v>43.0974</c:v>
                </c:pt>
                <c:pt idx="34">
                  <c:v>43.500900000000001</c:v>
                </c:pt>
                <c:pt idx="35">
                  <c:v>43.907400000000003</c:v>
                </c:pt>
                <c:pt idx="36">
                  <c:v>44.315800000000003</c:v>
                </c:pt>
                <c:pt idx="37">
                  <c:v>44.719000000000001</c:v>
                </c:pt>
                <c:pt idx="38">
                  <c:v>45.126800000000003</c:v>
                </c:pt>
                <c:pt idx="39">
                  <c:v>45.5321</c:v>
                </c:pt>
                <c:pt idx="40">
                  <c:v>45.936900000000001</c:v>
                </c:pt>
                <c:pt idx="41">
                  <c:v>46.349699999999999</c:v>
                </c:pt>
                <c:pt idx="42">
                  <c:v>46.752099999999999</c:v>
                </c:pt>
                <c:pt idx="43">
                  <c:v>47.157899999999998</c:v>
                </c:pt>
                <c:pt idx="44">
                  <c:v>47.562399999999997</c:v>
                </c:pt>
                <c:pt idx="45">
                  <c:v>47.968499999999999</c:v>
                </c:pt>
                <c:pt idx="46">
                  <c:v>48.374499999999998</c:v>
                </c:pt>
                <c:pt idx="47">
                  <c:v>48.783900000000003</c:v>
                </c:pt>
                <c:pt idx="48">
                  <c:v>49.187100000000001</c:v>
                </c:pt>
                <c:pt idx="49">
                  <c:v>49.593000000000004</c:v>
                </c:pt>
                <c:pt idx="50">
                  <c:v>50.0017</c:v>
                </c:pt>
                <c:pt idx="51">
                  <c:v>50.406399999999998</c:v>
                </c:pt>
                <c:pt idx="52">
                  <c:v>50.818300000000001</c:v>
                </c:pt>
                <c:pt idx="53">
                  <c:v>51.220100000000002</c:v>
                </c:pt>
                <c:pt idx="54">
                  <c:v>51.625900000000001</c:v>
                </c:pt>
                <c:pt idx="55">
                  <c:v>52.032400000000003</c:v>
                </c:pt>
                <c:pt idx="56">
                  <c:v>52.437100000000001</c:v>
                </c:pt>
                <c:pt idx="57">
                  <c:v>52.841900000000003</c:v>
                </c:pt>
                <c:pt idx="58">
                  <c:v>53.251100000000001</c:v>
                </c:pt>
                <c:pt idx="59">
                  <c:v>53.657800000000002</c:v>
                </c:pt>
                <c:pt idx="60">
                  <c:v>54.064300000000003</c:v>
                </c:pt>
                <c:pt idx="61">
                  <c:v>54.469900000000003</c:v>
                </c:pt>
                <c:pt idx="62">
                  <c:v>54.877600000000001</c:v>
                </c:pt>
                <c:pt idx="63">
                  <c:v>55.2834</c:v>
                </c:pt>
                <c:pt idx="64">
                  <c:v>55.691600000000001</c:v>
                </c:pt>
                <c:pt idx="65">
                  <c:v>56.094700000000003</c:v>
                </c:pt>
                <c:pt idx="66">
                  <c:v>56.502600000000001</c:v>
                </c:pt>
                <c:pt idx="67">
                  <c:v>56.908799999999999</c:v>
                </c:pt>
                <c:pt idx="68">
                  <c:v>57.315100000000001</c:v>
                </c:pt>
                <c:pt idx="69">
                  <c:v>57.718499999999999</c:v>
                </c:pt>
                <c:pt idx="70">
                  <c:v>58.125500000000002</c:v>
                </c:pt>
                <c:pt idx="71">
                  <c:v>58.532400000000003</c:v>
                </c:pt>
                <c:pt idx="72">
                  <c:v>58.939700000000002</c:v>
                </c:pt>
                <c:pt idx="73">
                  <c:v>59.345700000000001</c:v>
                </c:pt>
                <c:pt idx="74">
                  <c:v>59.749499999999998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35.574199999999998</c:v>
                </c:pt>
                <c:pt idx="1">
                  <c:v>35.790499999999994</c:v>
                </c:pt>
                <c:pt idx="2">
                  <c:v>36.003700000000002</c:v>
                </c:pt>
                <c:pt idx="3">
                  <c:v>36.186700000000002</c:v>
                </c:pt>
                <c:pt idx="4">
                  <c:v>36.409399999999998</c:v>
                </c:pt>
                <c:pt idx="5">
                  <c:v>36.645499999999998</c:v>
                </c:pt>
                <c:pt idx="6">
                  <c:v>36.872999999999998</c:v>
                </c:pt>
                <c:pt idx="7">
                  <c:v>37.081499999999998</c:v>
                </c:pt>
                <c:pt idx="8">
                  <c:v>37.189799999999998</c:v>
                </c:pt>
                <c:pt idx="9">
                  <c:v>37.300699999999999</c:v>
                </c:pt>
                <c:pt idx="10">
                  <c:v>37.483499999999999</c:v>
                </c:pt>
                <c:pt idx="11">
                  <c:v>37.5869</c:v>
                </c:pt>
                <c:pt idx="12">
                  <c:v>37.6691</c:v>
                </c:pt>
                <c:pt idx="13">
                  <c:v>37.708000000000006</c:v>
                </c:pt>
                <c:pt idx="14">
                  <c:v>37.695</c:v>
                </c:pt>
                <c:pt idx="15">
                  <c:v>37.665799999999997</c:v>
                </c:pt>
                <c:pt idx="16">
                  <c:v>37.627000000000002</c:v>
                </c:pt>
                <c:pt idx="17">
                  <c:v>37.566100000000006</c:v>
                </c:pt>
                <c:pt idx="18">
                  <c:v>37.451000000000001</c:v>
                </c:pt>
                <c:pt idx="19">
                  <c:v>37.353700000000003</c:v>
                </c:pt>
                <c:pt idx="20">
                  <c:v>37.190899999999999</c:v>
                </c:pt>
                <c:pt idx="21">
                  <c:v>37.1021</c:v>
                </c:pt>
                <c:pt idx="22">
                  <c:v>37.064599999999999</c:v>
                </c:pt>
                <c:pt idx="23">
                  <c:v>37.079900000000002</c:v>
                </c:pt>
                <c:pt idx="24">
                  <c:v>37.100899999999996</c:v>
                </c:pt>
                <c:pt idx="25">
                  <c:v>37.154800000000002</c:v>
                </c:pt>
                <c:pt idx="26">
                  <c:v>37.216200000000001</c:v>
                </c:pt>
                <c:pt idx="27">
                  <c:v>37.279499999999999</c:v>
                </c:pt>
                <c:pt idx="28">
                  <c:v>37.372999999999998</c:v>
                </c:pt>
                <c:pt idx="29">
                  <c:v>37.485199999999999</c:v>
                </c:pt>
                <c:pt idx="30">
                  <c:v>37.633400000000002</c:v>
                </c:pt>
                <c:pt idx="31">
                  <c:v>37.678400000000003</c:v>
                </c:pt>
                <c:pt idx="32">
                  <c:v>37.6479</c:v>
                </c:pt>
                <c:pt idx="33">
                  <c:v>37.614399999999996</c:v>
                </c:pt>
                <c:pt idx="34">
                  <c:v>37.5456</c:v>
                </c:pt>
                <c:pt idx="35">
                  <c:v>37.419999999999995</c:v>
                </c:pt>
                <c:pt idx="36">
                  <c:v>37.352999999999994</c:v>
                </c:pt>
                <c:pt idx="37">
                  <c:v>37.318300000000001</c:v>
                </c:pt>
                <c:pt idx="38">
                  <c:v>37.321199999999997</c:v>
                </c:pt>
                <c:pt idx="39">
                  <c:v>37.3367</c:v>
                </c:pt>
                <c:pt idx="40">
                  <c:v>37.339599999999997</c:v>
                </c:pt>
                <c:pt idx="41">
                  <c:v>37.322600000000001</c:v>
                </c:pt>
                <c:pt idx="42">
                  <c:v>37.308400000000006</c:v>
                </c:pt>
                <c:pt idx="43">
                  <c:v>37.305599999999998</c:v>
                </c:pt>
                <c:pt idx="44">
                  <c:v>37.338000000000001</c:v>
                </c:pt>
                <c:pt idx="45">
                  <c:v>37.459800000000001</c:v>
                </c:pt>
                <c:pt idx="46">
                  <c:v>37.595700000000001</c:v>
                </c:pt>
                <c:pt idx="47">
                  <c:v>37.785000000000004</c:v>
                </c:pt>
                <c:pt idx="48">
                  <c:v>38.058700000000002</c:v>
                </c:pt>
                <c:pt idx="49">
                  <c:v>38.415500000000002</c:v>
                </c:pt>
                <c:pt idx="50">
                  <c:v>38.664700000000003</c:v>
                </c:pt>
                <c:pt idx="51">
                  <c:v>38.823099999999997</c:v>
                </c:pt>
                <c:pt idx="52">
                  <c:v>38.990499999999997</c:v>
                </c:pt>
                <c:pt idx="53">
                  <c:v>39.169399999999996</c:v>
                </c:pt>
                <c:pt idx="54">
                  <c:v>39.372800000000005</c:v>
                </c:pt>
                <c:pt idx="55">
                  <c:v>39.504800000000003</c:v>
                </c:pt>
                <c:pt idx="56">
                  <c:v>39.630900000000004</c:v>
                </c:pt>
                <c:pt idx="57">
                  <c:v>39.7744</c:v>
                </c:pt>
                <c:pt idx="58">
                  <c:v>39.909499999999994</c:v>
                </c:pt>
                <c:pt idx="59">
                  <c:v>40.058100000000003</c:v>
                </c:pt>
                <c:pt idx="60">
                  <c:v>40.220700000000001</c:v>
                </c:pt>
                <c:pt idx="61">
                  <c:v>40.380300000000005</c:v>
                </c:pt>
                <c:pt idx="62">
                  <c:v>40.583500000000001</c:v>
                </c:pt>
                <c:pt idx="63">
                  <c:v>40.772000000000006</c:v>
                </c:pt>
                <c:pt idx="64">
                  <c:v>40.992899999999999</c:v>
                </c:pt>
                <c:pt idx="65">
                  <c:v>41.273400000000002</c:v>
                </c:pt>
                <c:pt idx="66">
                  <c:v>41.615400000000001</c:v>
                </c:pt>
                <c:pt idx="67">
                  <c:v>41.962200000000003</c:v>
                </c:pt>
                <c:pt idx="68">
                  <c:v>42.371900000000004</c:v>
                </c:pt>
                <c:pt idx="69">
                  <c:v>42.801099999999998</c:v>
                </c:pt>
                <c:pt idx="70">
                  <c:v>43.144100000000002</c:v>
                </c:pt>
                <c:pt idx="71">
                  <c:v>43.651200000000003</c:v>
                </c:pt>
                <c:pt idx="72">
                  <c:v>44.0901</c:v>
                </c:pt>
                <c:pt idx="73">
                  <c:v>44.385799999999996</c:v>
                </c:pt>
                <c:pt idx="74">
                  <c:v>44.009599999999999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14.937374999999999</c:v>
                </c:pt>
                <c:pt idx="1">
                  <c:v>44.812124999999995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35.082464864864846</c:v>
                </c:pt>
                <c:pt idx="1">
                  <c:v>38.571408108108095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  <c:pt idx="74">
                  <c:v>4.3460200000000002</c:v>
                </c:pt>
                <c:pt idx="75">
                  <c:v>4.3289299999999997</c:v>
                </c:pt>
                <c:pt idx="76">
                  <c:v>4.3072800000000004</c:v>
                </c:pt>
                <c:pt idx="77">
                  <c:v>4.2828400000000002</c:v>
                </c:pt>
                <c:pt idx="78">
                  <c:v>4.2554699999999999</c:v>
                </c:pt>
                <c:pt idx="79">
                  <c:v>4.2324799999999998</c:v>
                </c:pt>
                <c:pt idx="80">
                  <c:v>4.2118500000000001</c:v>
                </c:pt>
                <c:pt idx="81">
                  <c:v>4.1934800000000001</c:v>
                </c:pt>
                <c:pt idx="82">
                  <c:v>4.1757799999999996</c:v>
                </c:pt>
                <c:pt idx="83">
                  <c:v>4.1582299999999996</c:v>
                </c:pt>
                <c:pt idx="84">
                  <c:v>4.1421799999999998</c:v>
                </c:pt>
                <c:pt idx="85">
                  <c:v>4.1261900000000002</c:v>
                </c:pt>
                <c:pt idx="86">
                  <c:v>4.1120200000000002</c:v>
                </c:pt>
                <c:pt idx="87">
                  <c:v>4.1033599999999995</c:v>
                </c:pt>
                <c:pt idx="88">
                  <c:v>4.09802</c:v>
                </c:pt>
                <c:pt idx="89">
                  <c:v>4.09544</c:v>
                </c:pt>
                <c:pt idx="90">
                  <c:v>4.1009099999999998</c:v>
                </c:pt>
                <c:pt idx="91">
                  <c:v>4.1098099999999995</c:v>
                </c:pt>
                <c:pt idx="92">
                  <c:v>4.1187399999999998</c:v>
                </c:pt>
                <c:pt idx="93">
                  <c:v>4.1297299999999995</c:v>
                </c:pt>
                <c:pt idx="94">
                  <c:v>4.1401300000000001</c:v>
                </c:pt>
                <c:pt idx="95">
                  <c:v>4.1503899999999998</c:v>
                </c:pt>
                <c:pt idx="96">
                  <c:v>4.1569000000000003</c:v>
                </c:pt>
                <c:pt idx="97">
                  <c:v>4.15984</c:v>
                </c:pt>
                <c:pt idx="98">
                  <c:v>4.15951</c:v>
                </c:pt>
                <c:pt idx="99">
                  <c:v>4.1604900000000002</c:v>
                </c:pt>
                <c:pt idx="100">
                  <c:v>4.1624600000000003</c:v>
                </c:pt>
                <c:pt idx="101">
                  <c:v>4.1688700000000001</c:v>
                </c:pt>
                <c:pt idx="102">
                  <c:v>4.1755199999999997</c:v>
                </c:pt>
                <c:pt idx="103">
                  <c:v>4.1866900000000005</c:v>
                </c:pt>
                <c:pt idx="104">
                  <c:v>4.2022900000000005</c:v>
                </c:pt>
                <c:pt idx="105">
                  <c:v>4.2202900000000003</c:v>
                </c:pt>
                <c:pt idx="106">
                  <c:v>4.2399800000000001</c:v>
                </c:pt>
                <c:pt idx="107">
                  <c:v>4.2600300000000004</c:v>
                </c:pt>
                <c:pt idx="108">
                  <c:v>4.2810899999999998</c:v>
                </c:pt>
                <c:pt idx="109">
                  <c:v>4.3014299999999999</c:v>
                </c:pt>
                <c:pt idx="110">
                  <c:v>4.3214399999999999</c:v>
                </c:pt>
                <c:pt idx="111">
                  <c:v>4.3437799999999998</c:v>
                </c:pt>
                <c:pt idx="112">
                  <c:v>4.3612900000000003</c:v>
                </c:pt>
                <c:pt idx="113">
                  <c:v>4.3795900000000003</c:v>
                </c:pt>
                <c:pt idx="114">
                  <c:v>4.3989200000000004</c:v>
                </c:pt>
                <c:pt idx="115">
                  <c:v>4.4148399999999999</c:v>
                </c:pt>
                <c:pt idx="116">
                  <c:v>4.43011</c:v>
                </c:pt>
                <c:pt idx="117">
                  <c:v>4.4458799999999998</c:v>
                </c:pt>
                <c:pt idx="118">
                  <c:v>4.4577400000000003</c:v>
                </c:pt>
                <c:pt idx="119">
                  <c:v>4.4729999999999999</c:v>
                </c:pt>
                <c:pt idx="120">
                  <c:v>4.4883800000000003</c:v>
                </c:pt>
                <c:pt idx="121">
                  <c:v>4.5057999999999998</c:v>
                </c:pt>
                <c:pt idx="122">
                  <c:v>4.5206</c:v>
                </c:pt>
                <c:pt idx="123">
                  <c:v>4.5377700000000001</c:v>
                </c:pt>
                <c:pt idx="124">
                  <c:v>4.5552000000000001</c:v>
                </c:pt>
                <c:pt idx="125">
                  <c:v>4.5740799999999995</c:v>
                </c:pt>
                <c:pt idx="126">
                  <c:v>4.5912100000000002</c:v>
                </c:pt>
                <c:pt idx="127">
                  <c:v>4.6086899999999993</c:v>
                </c:pt>
                <c:pt idx="128">
                  <c:v>4.6231200000000001</c:v>
                </c:pt>
                <c:pt idx="129">
                  <c:v>4.6328200000000006</c:v>
                </c:pt>
                <c:pt idx="130">
                  <c:v>4.6398799999999998</c:v>
                </c:pt>
                <c:pt idx="131">
                  <c:v>4.6440799999999998</c:v>
                </c:pt>
                <c:pt idx="132">
                  <c:v>4.6479100000000004</c:v>
                </c:pt>
                <c:pt idx="133">
                  <c:v>4.6456799999999996</c:v>
                </c:pt>
                <c:pt idx="134">
                  <c:v>4.6427899999999998</c:v>
                </c:pt>
                <c:pt idx="135">
                  <c:v>4.6414999999999997</c:v>
                </c:pt>
                <c:pt idx="136">
                  <c:v>4.6379399999999995</c:v>
                </c:pt>
                <c:pt idx="137">
                  <c:v>4.6370000000000005</c:v>
                </c:pt>
                <c:pt idx="138">
                  <c:v>4.6349999999999998</c:v>
                </c:pt>
                <c:pt idx="139">
                  <c:v>4.6318399999999995</c:v>
                </c:pt>
                <c:pt idx="140">
                  <c:v>4.6291700000000002</c:v>
                </c:pt>
                <c:pt idx="141">
                  <c:v>4.6194299999999995</c:v>
                </c:pt>
                <c:pt idx="142">
                  <c:v>4.6038699999999997</c:v>
                </c:pt>
                <c:pt idx="143">
                  <c:v>4.5928699999999996</c:v>
                </c:pt>
                <c:pt idx="144">
                  <c:v>4.5753500000000003</c:v>
                </c:pt>
                <c:pt idx="145">
                  <c:v>4.5581700000000005</c:v>
                </c:pt>
                <c:pt idx="146">
                  <c:v>4.5262500000000001</c:v>
                </c:pt>
                <c:pt idx="147">
                  <c:v>4.5492699999999999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  <c:pt idx="74">
                  <c:v>35.790499999999994</c:v>
                </c:pt>
                <c:pt idx="75">
                  <c:v>36.003700000000002</c:v>
                </c:pt>
                <c:pt idx="76">
                  <c:v>36.186700000000002</c:v>
                </c:pt>
                <c:pt idx="77">
                  <c:v>36.409399999999998</c:v>
                </c:pt>
                <c:pt idx="78">
                  <c:v>36.645499999999998</c:v>
                </c:pt>
                <c:pt idx="79">
                  <c:v>36.872999999999998</c:v>
                </c:pt>
                <c:pt idx="80">
                  <c:v>37.081499999999998</c:v>
                </c:pt>
                <c:pt idx="81">
                  <c:v>37.189799999999998</c:v>
                </c:pt>
                <c:pt idx="82">
                  <c:v>37.300699999999999</c:v>
                </c:pt>
                <c:pt idx="83">
                  <c:v>37.483499999999999</c:v>
                </c:pt>
                <c:pt idx="84">
                  <c:v>37.5869</c:v>
                </c:pt>
                <c:pt idx="85">
                  <c:v>37.6691</c:v>
                </c:pt>
                <c:pt idx="86">
                  <c:v>37.708000000000006</c:v>
                </c:pt>
                <c:pt idx="87">
                  <c:v>37.695</c:v>
                </c:pt>
                <c:pt idx="88">
                  <c:v>37.665799999999997</c:v>
                </c:pt>
                <c:pt idx="89">
                  <c:v>37.627000000000002</c:v>
                </c:pt>
                <c:pt idx="90">
                  <c:v>37.566100000000006</c:v>
                </c:pt>
                <c:pt idx="91">
                  <c:v>37.451000000000001</c:v>
                </c:pt>
                <c:pt idx="92">
                  <c:v>37.353700000000003</c:v>
                </c:pt>
                <c:pt idx="93">
                  <c:v>37.190899999999999</c:v>
                </c:pt>
                <c:pt idx="94">
                  <c:v>37.1021</c:v>
                </c:pt>
                <c:pt idx="95">
                  <c:v>37.064599999999999</c:v>
                </c:pt>
                <c:pt idx="96">
                  <c:v>37.079900000000002</c:v>
                </c:pt>
                <c:pt idx="97">
                  <c:v>37.100899999999996</c:v>
                </c:pt>
                <c:pt idx="98">
                  <c:v>37.154800000000002</c:v>
                </c:pt>
                <c:pt idx="99">
                  <c:v>37.216200000000001</c:v>
                </c:pt>
                <c:pt idx="100">
                  <c:v>37.279499999999999</c:v>
                </c:pt>
                <c:pt idx="101">
                  <c:v>37.372999999999998</c:v>
                </c:pt>
                <c:pt idx="102">
                  <c:v>37.485199999999999</c:v>
                </c:pt>
                <c:pt idx="103">
                  <c:v>37.633400000000002</c:v>
                </c:pt>
                <c:pt idx="104">
                  <c:v>37.678400000000003</c:v>
                </c:pt>
                <c:pt idx="105">
                  <c:v>37.6479</c:v>
                </c:pt>
                <c:pt idx="106">
                  <c:v>37.614399999999996</c:v>
                </c:pt>
                <c:pt idx="107">
                  <c:v>37.5456</c:v>
                </c:pt>
                <c:pt idx="108">
                  <c:v>37.419999999999995</c:v>
                </c:pt>
                <c:pt idx="109">
                  <c:v>37.352999999999994</c:v>
                </c:pt>
                <c:pt idx="110">
                  <c:v>37.318300000000001</c:v>
                </c:pt>
                <c:pt idx="111">
                  <c:v>37.321199999999997</c:v>
                </c:pt>
                <c:pt idx="112">
                  <c:v>37.3367</c:v>
                </c:pt>
                <c:pt idx="113">
                  <c:v>37.339599999999997</c:v>
                </c:pt>
                <c:pt idx="114">
                  <c:v>37.322600000000001</c:v>
                </c:pt>
                <c:pt idx="115">
                  <c:v>37.308400000000006</c:v>
                </c:pt>
                <c:pt idx="116">
                  <c:v>37.305599999999998</c:v>
                </c:pt>
                <c:pt idx="117">
                  <c:v>37.338000000000001</c:v>
                </c:pt>
                <c:pt idx="118">
                  <c:v>37.459800000000001</c:v>
                </c:pt>
                <c:pt idx="119">
                  <c:v>37.595700000000001</c:v>
                </c:pt>
                <c:pt idx="120">
                  <c:v>37.785000000000004</c:v>
                </c:pt>
                <c:pt idx="121">
                  <c:v>38.058700000000002</c:v>
                </c:pt>
                <c:pt idx="122">
                  <c:v>38.415500000000002</c:v>
                </c:pt>
                <c:pt idx="123">
                  <c:v>38.664700000000003</c:v>
                </c:pt>
                <c:pt idx="124">
                  <c:v>38.823099999999997</c:v>
                </c:pt>
                <c:pt idx="125">
                  <c:v>38.990499999999997</c:v>
                </c:pt>
                <c:pt idx="126">
                  <c:v>39.169399999999996</c:v>
                </c:pt>
                <c:pt idx="127">
                  <c:v>39.372800000000005</c:v>
                </c:pt>
                <c:pt idx="128">
                  <c:v>39.504800000000003</c:v>
                </c:pt>
                <c:pt idx="129">
                  <c:v>39.630900000000004</c:v>
                </c:pt>
                <c:pt idx="130">
                  <c:v>39.7744</c:v>
                </c:pt>
                <c:pt idx="131">
                  <c:v>39.909499999999994</c:v>
                </c:pt>
                <c:pt idx="132">
                  <c:v>40.058100000000003</c:v>
                </c:pt>
                <c:pt idx="133">
                  <c:v>40.220700000000001</c:v>
                </c:pt>
                <c:pt idx="134">
                  <c:v>40.380300000000005</c:v>
                </c:pt>
                <c:pt idx="135">
                  <c:v>40.583500000000001</c:v>
                </c:pt>
                <c:pt idx="136">
                  <c:v>40.772000000000006</c:v>
                </c:pt>
                <c:pt idx="137">
                  <c:v>40.992899999999999</c:v>
                </c:pt>
                <c:pt idx="138">
                  <c:v>41.273400000000002</c:v>
                </c:pt>
                <c:pt idx="139">
                  <c:v>41.615400000000001</c:v>
                </c:pt>
                <c:pt idx="140">
                  <c:v>41.962200000000003</c:v>
                </c:pt>
                <c:pt idx="141">
                  <c:v>42.371900000000004</c:v>
                </c:pt>
                <c:pt idx="142">
                  <c:v>42.801099999999998</c:v>
                </c:pt>
                <c:pt idx="143">
                  <c:v>43.144100000000002</c:v>
                </c:pt>
                <c:pt idx="144">
                  <c:v>43.651200000000003</c:v>
                </c:pt>
                <c:pt idx="145">
                  <c:v>44.0901</c:v>
                </c:pt>
                <c:pt idx="146">
                  <c:v>44.385799999999996</c:v>
                </c:pt>
                <c:pt idx="147">
                  <c:v>44.009599999999999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2.2159300000000002</c:v>
                </c:pt>
                <c:pt idx="1">
                  <c:v>2.2810800000000002</c:v>
                </c:pt>
                <c:pt idx="2">
                  <c:v>2.3470800000000001</c:v>
                </c:pt>
                <c:pt idx="3">
                  <c:v>2.4111699999999998</c:v>
                </c:pt>
                <c:pt idx="4">
                  <c:v>2.4761800000000003</c:v>
                </c:pt>
                <c:pt idx="5">
                  <c:v>2.5420500000000001</c:v>
                </c:pt>
                <c:pt idx="6">
                  <c:v>2.60832</c:v>
                </c:pt>
                <c:pt idx="7">
                  <c:v>2.6757499999999999</c:v>
                </c:pt>
                <c:pt idx="8">
                  <c:v>2.7417899999999999</c:v>
                </c:pt>
                <c:pt idx="9">
                  <c:v>2.8062100000000001</c:v>
                </c:pt>
                <c:pt idx="10">
                  <c:v>2.8700100000000002</c:v>
                </c:pt>
                <c:pt idx="11">
                  <c:v>2.9375800000000001</c:v>
                </c:pt>
                <c:pt idx="12">
                  <c:v>3.0062199999999999</c:v>
                </c:pt>
                <c:pt idx="13">
                  <c:v>3.07118</c:v>
                </c:pt>
                <c:pt idx="14">
                  <c:v>3.1380999999999997</c:v>
                </c:pt>
                <c:pt idx="15">
                  <c:v>3.2052300000000002</c:v>
                </c:pt>
                <c:pt idx="16">
                  <c:v>3.27237</c:v>
                </c:pt>
                <c:pt idx="17">
                  <c:v>3.3320499999999997</c:v>
                </c:pt>
                <c:pt idx="18">
                  <c:v>3.3884999999999996</c:v>
                </c:pt>
                <c:pt idx="19">
                  <c:v>3.4448099999999999</c:v>
                </c:pt>
                <c:pt idx="20">
                  <c:v>3.4996</c:v>
                </c:pt>
                <c:pt idx="21">
                  <c:v>3.5538699999999999</c:v>
                </c:pt>
                <c:pt idx="22">
                  <c:v>3.6032500000000001</c:v>
                </c:pt>
                <c:pt idx="23">
                  <c:v>3.6482399999999999</c:v>
                </c:pt>
                <c:pt idx="24">
                  <c:v>3.69102</c:v>
                </c:pt>
                <c:pt idx="25">
                  <c:v>3.73475</c:v>
                </c:pt>
                <c:pt idx="26">
                  <c:v>3.7771400000000002</c:v>
                </c:pt>
                <c:pt idx="27">
                  <c:v>3.8130500000000001</c:v>
                </c:pt>
                <c:pt idx="28">
                  <c:v>3.8454300000000003</c:v>
                </c:pt>
                <c:pt idx="29">
                  <c:v>3.8767499999999999</c:v>
                </c:pt>
                <c:pt idx="30">
                  <c:v>3.9055600000000004</c:v>
                </c:pt>
                <c:pt idx="31">
                  <c:v>3.9338299999999999</c:v>
                </c:pt>
                <c:pt idx="32">
                  <c:v>3.9607199999999998</c:v>
                </c:pt>
                <c:pt idx="33">
                  <c:v>3.9850699999999999</c:v>
                </c:pt>
                <c:pt idx="34">
                  <c:v>4.0058199999999999</c:v>
                </c:pt>
                <c:pt idx="35">
                  <c:v>4.0240799999999997</c:v>
                </c:pt>
                <c:pt idx="36">
                  <c:v>4.0423100000000005</c:v>
                </c:pt>
                <c:pt idx="37">
                  <c:v>4.0557300000000005</c:v>
                </c:pt>
                <c:pt idx="38">
                  <c:v>4.0684199999999997</c:v>
                </c:pt>
                <c:pt idx="39">
                  <c:v>4.07944</c:v>
                </c:pt>
                <c:pt idx="40">
                  <c:v>4.0884499999999999</c:v>
                </c:pt>
                <c:pt idx="41">
                  <c:v>4.0939500000000004</c:v>
                </c:pt>
                <c:pt idx="42">
                  <c:v>4.1040299999999998</c:v>
                </c:pt>
                <c:pt idx="43">
                  <c:v>4.1160200000000007</c:v>
                </c:pt>
                <c:pt idx="44">
                  <c:v>4.1314600000000006</c:v>
                </c:pt>
                <c:pt idx="45">
                  <c:v>4.1450500000000003</c:v>
                </c:pt>
                <c:pt idx="46">
                  <c:v>4.1593299999999997</c:v>
                </c:pt>
                <c:pt idx="47">
                  <c:v>4.1749999999999998</c:v>
                </c:pt>
                <c:pt idx="48">
                  <c:v>4.1896899999999997</c:v>
                </c:pt>
                <c:pt idx="49">
                  <c:v>4.2065799999999998</c:v>
                </c:pt>
                <c:pt idx="50">
                  <c:v>4.2209700000000003</c:v>
                </c:pt>
                <c:pt idx="51">
                  <c:v>4.2380000000000004</c:v>
                </c:pt>
                <c:pt idx="52">
                  <c:v>4.26227</c:v>
                </c:pt>
                <c:pt idx="53">
                  <c:v>4.29026</c:v>
                </c:pt>
                <c:pt idx="54">
                  <c:v>4.3129200000000001</c:v>
                </c:pt>
                <c:pt idx="55">
                  <c:v>4.3331900000000001</c:v>
                </c:pt>
                <c:pt idx="56">
                  <c:v>4.3498299999999999</c:v>
                </c:pt>
                <c:pt idx="57">
                  <c:v>4.3645199999999997</c:v>
                </c:pt>
                <c:pt idx="58">
                  <c:v>4.3824300000000003</c:v>
                </c:pt>
                <c:pt idx="59">
                  <c:v>4.4007199999999997</c:v>
                </c:pt>
                <c:pt idx="60">
                  <c:v>4.4178800000000003</c:v>
                </c:pt>
                <c:pt idx="61">
                  <c:v>4.4283799999999998</c:v>
                </c:pt>
                <c:pt idx="62">
                  <c:v>4.4384100000000002</c:v>
                </c:pt>
                <c:pt idx="63">
                  <c:v>4.44428</c:v>
                </c:pt>
                <c:pt idx="64">
                  <c:v>4.44564</c:v>
                </c:pt>
                <c:pt idx="65">
                  <c:v>4.4430199999999997</c:v>
                </c:pt>
                <c:pt idx="66">
                  <c:v>4.4408500000000002</c:v>
                </c:pt>
                <c:pt idx="67">
                  <c:v>4.4374500000000001</c:v>
                </c:pt>
                <c:pt idx="68">
                  <c:v>4.4321099999999998</c:v>
                </c:pt>
                <c:pt idx="69">
                  <c:v>4.4185699999999999</c:v>
                </c:pt>
                <c:pt idx="70">
                  <c:v>4.4036100000000005</c:v>
                </c:pt>
                <c:pt idx="71">
                  <c:v>4.38706</c:v>
                </c:pt>
                <c:pt idx="72">
                  <c:v>4.3725800000000001</c:v>
                </c:pt>
                <c:pt idx="73">
                  <c:v>4.3609100000000005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55.735700000000001</c:v>
                </c:pt>
                <c:pt idx="1">
                  <c:v>54.835699999999996</c:v>
                </c:pt>
                <c:pt idx="2">
                  <c:v>53.853300000000004</c:v>
                </c:pt>
                <c:pt idx="3">
                  <c:v>52.792099999999998</c:v>
                </c:pt>
                <c:pt idx="4">
                  <c:v>51.636800000000008</c:v>
                </c:pt>
                <c:pt idx="5">
                  <c:v>50.449600000000004</c:v>
                </c:pt>
                <c:pt idx="6">
                  <c:v>49.188500000000005</c:v>
                </c:pt>
                <c:pt idx="7">
                  <c:v>47.889700000000005</c:v>
                </c:pt>
                <c:pt idx="8">
                  <c:v>46.595700000000001</c:v>
                </c:pt>
                <c:pt idx="9">
                  <c:v>45.297699999999999</c:v>
                </c:pt>
                <c:pt idx="10">
                  <c:v>43.886399999999995</c:v>
                </c:pt>
                <c:pt idx="11">
                  <c:v>42.4054</c:v>
                </c:pt>
                <c:pt idx="12">
                  <c:v>41.005800000000001</c:v>
                </c:pt>
                <c:pt idx="13">
                  <c:v>39.692300000000003</c:v>
                </c:pt>
                <c:pt idx="14">
                  <c:v>38.416600000000003</c:v>
                </c:pt>
                <c:pt idx="15">
                  <c:v>37.343399999999995</c:v>
                </c:pt>
                <c:pt idx="16">
                  <c:v>36.432199999999995</c:v>
                </c:pt>
                <c:pt idx="17">
                  <c:v>35.781500000000001</c:v>
                </c:pt>
                <c:pt idx="18">
                  <c:v>35.232500000000002</c:v>
                </c:pt>
                <c:pt idx="19">
                  <c:v>34.785600000000002</c:v>
                </c:pt>
                <c:pt idx="20">
                  <c:v>34.330399999999997</c:v>
                </c:pt>
                <c:pt idx="21">
                  <c:v>33.940599999999996</c:v>
                </c:pt>
                <c:pt idx="22">
                  <c:v>33.665599999999998</c:v>
                </c:pt>
                <c:pt idx="23">
                  <c:v>33.399699999999996</c:v>
                </c:pt>
                <c:pt idx="24">
                  <c:v>33.1843</c:v>
                </c:pt>
                <c:pt idx="25">
                  <c:v>32.856099999999998</c:v>
                </c:pt>
                <c:pt idx="26">
                  <c:v>32.564100000000003</c:v>
                </c:pt>
                <c:pt idx="27">
                  <c:v>32.350099999999998</c:v>
                </c:pt>
                <c:pt idx="28">
                  <c:v>32.207599999999999</c:v>
                </c:pt>
                <c:pt idx="29">
                  <c:v>32.091500000000003</c:v>
                </c:pt>
                <c:pt idx="30">
                  <c:v>31.930500000000002</c:v>
                </c:pt>
                <c:pt idx="31">
                  <c:v>31.735900000000001</c:v>
                </c:pt>
                <c:pt idx="32">
                  <c:v>31.522299999999998</c:v>
                </c:pt>
                <c:pt idx="33">
                  <c:v>31.3492</c:v>
                </c:pt>
                <c:pt idx="34">
                  <c:v>31.246299999999998</c:v>
                </c:pt>
                <c:pt idx="35">
                  <c:v>31.208799999999997</c:v>
                </c:pt>
                <c:pt idx="36">
                  <c:v>31.150200000000002</c:v>
                </c:pt>
                <c:pt idx="37">
                  <c:v>31.0504</c:v>
                </c:pt>
                <c:pt idx="38">
                  <c:v>30.844999999999999</c:v>
                </c:pt>
                <c:pt idx="39">
                  <c:v>30.610799999999998</c:v>
                </c:pt>
                <c:pt idx="40">
                  <c:v>30.3599</c:v>
                </c:pt>
                <c:pt idx="41">
                  <c:v>30.141299999999998</c:v>
                </c:pt>
                <c:pt idx="42">
                  <c:v>30.020400000000002</c:v>
                </c:pt>
                <c:pt idx="43">
                  <c:v>29.957000000000001</c:v>
                </c:pt>
                <c:pt idx="44">
                  <c:v>29.819000000000003</c:v>
                </c:pt>
                <c:pt idx="45">
                  <c:v>29.750300000000003</c:v>
                </c:pt>
                <c:pt idx="46">
                  <c:v>29.547099999999997</c:v>
                </c:pt>
                <c:pt idx="47">
                  <c:v>29.402299999999997</c:v>
                </c:pt>
                <c:pt idx="48">
                  <c:v>29.337999999999997</c:v>
                </c:pt>
                <c:pt idx="49">
                  <c:v>29.262599999999999</c:v>
                </c:pt>
                <c:pt idx="50">
                  <c:v>29.240500000000004</c:v>
                </c:pt>
                <c:pt idx="51">
                  <c:v>29.180899999999998</c:v>
                </c:pt>
                <c:pt idx="52">
                  <c:v>29.094199999999997</c:v>
                </c:pt>
                <c:pt idx="53">
                  <c:v>29.027399999999997</c:v>
                </c:pt>
                <c:pt idx="54">
                  <c:v>29.014699999999998</c:v>
                </c:pt>
                <c:pt idx="55">
                  <c:v>29.116099999999999</c:v>
                </c:pt>
                <c:pt idx="56">
                  <c:v>29.3429</c:v>
                </c:pt>
                <c:pt idx="57">
                  <c:v>29.658000000000001</c:v>
                </c:pt>
                <c:pt idx="58">
                  <c:v>29.965799999999998</c:v>
                </c:pt>
                <c:pt idx="59">
                  <c:v>30.343999999999998</c:v>
                </c:pt>
                <c:pt idx="60">
                  <c:v>30.731399999999997</c:v>
                </c:pt>
                <c:pt idx="61">
                  <c:v>31.090899999999998</c:v>
                </c:pt>
                <c:pt idx="62">
                  <c:v>31.514599999999998</c:v>
                </c:pt>
                <c:pt idx="63">
                  <c:v>32.0124</c:v>
                </c:pt>
                <c:pt idx="64">
                  <c:v>32.545699999999997</c:v>
                </c:pt>
                <c:pt idx="65">
                  <c:v>33.032499999999999</c:v>
                </c:pt>
                <c:pt idx="66">
                  <c:v>33.494</c:v>
                </c:pt>
                <c:pt idx="67">
                  <c:v>33.880500000000005</c:v>
                </c:pt>
                <c:pt idx="68">
                  <c:v>34.259799999999998</c:v>
                </c:pt>
                <c:pt idx="69">
                  <c:v>34.576499999999996</c:v>
                </c:pt>
                <c:pt idx="70">
                  <c:v>34.8247</c:v>
                </c:pt>
                <c:pt idx="71">
                  <c:v>35.115600000000001</c:v>
                </c:pt>
                <c:pt idx="72">
                  <c:v>35.371299999999998</c:v>
                </c:pt>
                <c:pt idx="73">
                  <c:v>35.574199999999998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4.3609100000000005</c:v>
                </c:pt>
                <c:pt idx="1">
                  <c:v>4.3460200000000002</c:v>
                </c:pt>
                <c:pt idx="2">
                  <c:v>4.3289299999999997</c:v>
                </c:pt>
                <c:pt idx="3">
                  <c:v>4.3072800000000004</c:v>
                </c:pt>
                <c:pt idx="4">
                  <c:v>4.2828400000000002</c:v>
                </c:pt>
                <c:pt idx="5">
                  <c:v>4.2554699999999999</c:v>
                </c:pt>
                <c:pt idx="6">
                  <c:v>4.2324799999999998</c:v>
                </c:pt>
                <c:pt idx="7">
                  <c:v>4.2118500000000001</c:v>
                </c:pt>
                <c:pt idx="8">
                  <c:v>4.1934800000000001</c:v>
                </c:pt>
                <c:pt idx="9">
                  <c:v>4.1757799999999996</c:v>
                </c:pt>
                <c:pt idx="10">
                  <c:v>4.1582299999999996</c:v>
                </c:pt>
                <c:pt idx="11">
                  <c:v>4.1421799999999998</c:v>
                </c:pt>
                <c:pt idx="12">
                  <c:v>4.1261900000000002</c:v>
                </c:pt>
                <c:pt idx="13">
                  <c:v>4.1120200000000002</c:v>
                </c:pt>
                <c:pt idx="14">
                  <c:v>4.1033599999999995</c:v>
                </c:pt>
                <c:pt idx="15">
                  <c:v>4.09802</c:v>
                </c:pt>
                <c:pt idx="16">
                  <c:v>4.09544</c:v>
                </c:pt>
                <c:pt idx="17">
                  <c:v>4.1009099999999998</c:v>
                </c:pt>
                <c:pt idx="18">
                  <c:v>4.1098099999999995</c:v>
                </c:pt>
                <c:pt idx="19">
                  <c:v>4.1187399999999998</c:v>
                </c:pt>
                <c:pt idx="20">
                  <c:v>4.1297299999999995</c:v>
                </c:pt>
                <c:pt idx="21">
                  <c:v>4.1401300000000001</c:v>
                </c:pt>
                <c:pt idx="22">
                  <c:v>4.1503899999999998</c:v>
                </c:pt>
                <c:pt idx="23">
                  <c:v>4.1569000000000003</c:v>
                </c:pt>
                <c:pt idx="24">
                  <c:v>4.15984</c:v>
                </c:pt>
                <c:pt idx="25">
                  <c:v>4.15951</c:v>
                </c:pt>
                <c:pt idx="26">
                  <c:v>4.1604900000000002</c:v>
                </c:pt>
                <c:pt idx="27">
                  <c:v>4.1624600000000003</c:v>
                </c:pt>
                <c:pt idx="28">
                  <c:v>4.1688700000000001</c:v>
                </c:pt>
                <c:pt idx="29">
                  <c:v>4.1755199999999997</c:v>
                </c:pt>
                <c:pt idx="30">
                  <c:v>4.1866900000000005</c:v>
                </c:pt>
                <c:pt idx="31">
                  <c:v>4.2022900000000005</c:v>
                </c:pt>
                <c:pt idx="32">
                  <c:v>4.2202900000000003</c:v>
                </c:pt>
                <c:pt idx="33">
                  <c:v>4.2399800000000001</c:v>
                </c:pt>
                <c:pt idx="34">
                  <c:v>4.2600300000000004</c:v>
                </c:pt>
                <c:pt idx="35">
                  <c:v>4.2810899999999998</c:v>
                </c:pt>
                <c:pt idx="36">
                  <c:v>4.3014299999999999</c:v>
                </c:pt>
                <c:pt idx="37">
                  <c:v>4.3214399999999999</c:v>
                </c:pt>
                <c:pt idx="38">
                  <c:v>4.3437799999999998</c:v>
                </c:pt>
                <c:pt idx="39">
                  <c:v>4.3612900000000003</c:v>
                </c:pt>
                <c:pt idx="40">
                  <c:v>4.3795900000000003</c:v>
                </c:pt>
                <c:pt idx="41">
                  <c:v>4.3989200000000004</c:v>
                </c:pt>
                <c:pt idx="42">
                  <c:v>4.4148399999999999</c:v>
                </c:pt>
                <c:pt idx="43">
                  <c:v>4.43011</c:v>
                </c:pt>
                <c:pt idx="44">
                  <c:v>4.4458799999999998</c:v>
                </c:pt>
                <c:pt idx="45">
                  <c:v>4.4577400000000003</c:v>
                </c:pt>
                <c:pt idx="46">
                  <c:v>4.4729999999999999</c:v>
                </c:pt>
                <c:pt idx="47">
                  <c:v>4.4883800000000003</c:v>
                </c:pt>
                <c:pt idx="48">
                  <c:v>4.5057999999999998</c:v>
                </c:pt>
                <c:pt idx="49">
                  <c:v>4.5206</c:v>
                </c:pt>
                <c:pt idx="50">
                  <c:v>4.5377700000000001</c:v>
                </c:pt>
                <c:pt idx="51">
                  <c:v>4.5552000000000001</c:v>
                </c:pt>
                <c:pt idx="52">
                  <c:v>4.5740799999999995</c:v>
                </c:pt>
                <c:pt idx="53">
                  <c:v>4.5912100000000002</c:v>
                </c:pt>
                <c:pt idx="54">
                  <c:v>4.6086899999999993</c:v>
                </c:pt>
                <c:pt idx="55">
                  <c:v>4.6231200000000001</c:v>
                </c:pt>
                <c:pt idx="56">
                  <c:v>4.6328200000000006</c:v>
                </c:pt>
                <c:pt idx="57">
                  <c:v>4.6398799999999998</c:v>
                </c:pt>
                <c:pt idx="58">
                  <c:v>4.6440799999999998</c:v>
                </c:pt>
                <c:pt idx="59">
                  <c:v>4.6479100000000004</c:v>
                </c:pt>
                <c:pt idx="60">
                  <c:v>4.6456799999999996</c:v>
                </c:pt>
                <c:pt idx="61">
                  <c:v>4.6427899999999998</c:v>
                </c:pt>
                <c:pt idx="62">
                  <c:v>4.6414999999999997</c:v>
                </c:pt>
                <c:pt idx="63">
                  <c:v>4.6379399999999995</c:v>
                </c:pt>
                <c:pt idx="64">
                  <c:v>4.6370000000000005</c:v>
                </c:pt>
                <c:pt idx="65">
                  <c:v>4.6349999999999998</c:v>
                </c:pt>
                <c:pt idx="66">
                  <c:v>4.6318399999999995</c:v>
                </c:pt>
                <c:pt idx="67">
                  <c:v>4.6291700000000002</c:v>
                </c:pt>
                <c:pt idx="68">
                  <c:v>4.6194299999999995</c:v>
                </c:pt>
                <c:pt idx="69">
                  <c:v>4.6038699999999997</c:v>
                </c:pt>
                <c:pt idx="70">
                  <c:v>4.5928699999999996</c:v>
                </c:pt>
                <c:pt idx="71">
                  <c:v>4.5753500000000003</c:v>
                </c:pt>
                <c:pt idx="72">
                  <c:v>4.5581700000000005</c:v>
                </c:pt>
                <c:pt idx="73">
                  <c:v>4.5262500000000001</c:v>
                </c:pt>
                <c:pt idx="74">
                  <c:v>4.5492699999999999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35.574199999999998</c:v>
                </c:pt>
                <c:pt idx="1">
                  <c:v>35.790499999999994</c:v>
                </c:pt>
                <c:pt idx="2">
                  <c:v>36.003700000000002</c:v>
                </c:pt>
                <c:pt idx="3">
                  <c:v>36.186700000000002</c:v>
                </c:pt>
                <c:pt idx="4">
                  <c:v>36.409399999999998</c:v>
                </c:pt>
                <c:pt idx="5">
                  <c:v>36.645499999999998</c:v>
                </c:pt>
                <c:pt idx="6">
                  <c:v>36.872999999999998</c:v>
                </c:pt>
                <c:pt idx="7">
                  <c:v>37.081499999999998</c:v>
                </c:pt>
                <c:pt idx="8">
                  <c:v>37.189799999999998</c:v>
                </c:pt>
                <c:pt idx="9">
                  <c:v>37.300699999999999</c:v>
                </c:pt>
                <c:pt idx="10">
                  <c:v>37.483499999999999</c:v>
                </c:pt>
                <c:pt idx="11">
                  <c:v>37.5869</c:v>
                </c:pt>
                <c:pt idx="12">
                  <c:v>37.6691</c:v>
                </c:pt>
                <c:pt idx="13">
                  <c:v>37.708000000000006</c:v>
                </c:pt>
                <c:pt idx="14">
                  <c:v>37.695</c:v>
                </c:pt>
                <c:pt idx="15">
                  <c:v>37.665799999999997</c:v>
                </c:pt>
                <c:pt idx="16">
                  <c:v>37.627000000000002</c:v>
                </c:pt>
                <c:pt idx="17">
                  <c:v>37.566100000000006</c:v>
                </c:pt>
                <c:pt idx="18">
                  <c:v>37.451000000000001</c:v>
                </c:pt>
                <c:pt idx="19">
                  <c:v>37.353700000000003</c:v>
                </c:pt>
                <c:pt idx="20">
                  <c:v>37.190899999999999</c:v>
                </c:pt>
                <c:pt idx="21">
                  <c:v>37.1021</c:v>
                </c:pt>
                <c:pt idx="22">
                  <c:v>37.064599999999999</c:v>
                </c:pt>
                <c:pt idx="23">
                  <c:v>37.079900000000002</c:v>
                </c:pt>
                <c:pt idx="24">
                  <c:v>37.100899999999996</c:v>
                </c:pt>
                <c:pt idx="25">
                  <c:v>37.154800000000002</c:v>
                </c:pt>
                <c:pt idx="26">
                  <c:v>37.216200000000001</c:v>
                </c:pt>
                <c:pt idx="27">
                  <c:v>37.279499999999999</c:v>
                </c:pt>
                <c:pt idx="28">
                  <c:v>37.372999999999998</c:v>
                </c:pt>
                <c:pt idx="29">
                  <c:v>37.485199999999999</c:v>
                </c:pt>
                <c:pt idx="30">
                  <c:v>37.633400000000002</c:v>
                </c:pt>
                <c:pt idx="31">
                  <c:v>37.678400000000003</c:v>
                </c:pt>
                <c:pt idx="32">
                  <c:v>37.6479</c:v>
                </c:pt>
                <c:pt idx="33">
                  <c:v>37.614399999999996</c:v>
                </c:pt>
                <c:pt idx="34">
                  <c:v>37.5456</c:v>
                </c:pt>
                <c:pt idx="35">
                  <c:v>37.419999999999995</c:v>
                </c:pt>
                <c:pt idx="36">
                  <c:v>37.352999999999994</c:v>
                </c:pt>
                <c:pt idx="37">
                  <c:v>37.318300000000001</c:v>
                </c:pt>
                <c:pt idx="38">
                  <c:v>37.321199999999997</c:v>
                </c:pt>
                <c:pt idx="39">
                  <c:v>37.3367</c:v>
                </c:pt>
                <c:pt idx="40">
                  <c:v>37.339599999999997</c:v>
                </c:pt>
                <c:pt idx="41">
                  <c:v>37.322600000000001</c:v>
                </c:pt>
                <c:pt idx="42">
                  <c:v>37.308400000000006</c:v>
                </c:pt>
                <c:pt idx="43">
                  <c:v>37.305599999999998</c:v>
                </c:pt>
                <c:pt idx="44">
                  <c:v>37.338000000000001</c:v>
                </c:pt>
                <c:pt idx="45">
                  <c:v>37.459800000000001</c:v>
                </c:pt>
                <c:pt idx="46">
                  <c:v>37.595700000000001</c:v>
                </c:pt>
                <c:pt idx="47">
                  <c:v>37.785000000000004</c:v>
                </c:pt>
                <c:pt idx="48">
                  <c:v>38.058700000000002</c:v>
                </c:pt>
                <c:pt idx="49">
                  <c:v>38.415500000000002</c:v>
                </c:pt>
                <c:pt idx="50">
                  <c:v>38.664700000000003</c:v>
                </c:pt>
                <c:pt idx="51">
                  <c:v>38.823099999999997</c:v>
                </c:pt>
                <c:pt idx="52">
                  <c:v>38.990499999999997</c:v>
                </c:pt>
                <c:pt idx="53">
                  <c:v>39.169399999999996</c:v>
                </c:pt>
                <c:pt idx="54">
                  <c:v>39.372800000000005</c:v>
                </c:pt>
                <c:pt idx="55">
                  <c:v>39.504800000000003</c:v>
                </c:pt>
                <c:pt idx="56">
                  <c:v>39.630900000000004</c:v>
                </c:pt>
                <c:pt idx="57">
                  <c:v>39.7744</c:v>
                </c:pt>
                <c:pt idx="58">
                  <c:v>39.909499999999994</c:v>
                </c:pt>
                <c:pt idx="59">
                  <c:v>40.058100000000003</c:v>
                </c:pt>
                <c:pt idx="60">
                  <c:v>40.220700000000001</c:v>
                </c:pt>
                <c:pt idx="61">
                  <c:v>40.380300000000005</c:v>
                </c:pt>
                <c:pt idx="62">
                  <c:v>40.583500000000001</c:v>
                </c:pt>
                <c:pt idx="63">
                  <c:v>40.772000000000006</c:v>
                </c:pt>
                <c:pt idx="64">
                  <c:v>40.992899999999999</c:v>
                </c:pt>
                <c:pt idx="65">
                  <c:v>41.273400000000002</c:v>
                </c:pt>
                <c:pt idx="66">
                  <c:v>41.615400000000001</c:v>
                </c:pt>
                <c:pt idx="67">
                  <c:v>41.962200000000003</c:v>
                </c:pt>
                <c:pt idx="68">
                  <c:v>42.371900000000004</c:v>
                </c:pt>
                <c:pt idx="69">
                  <c:v>42.801099999999998</c:v>
                </c:pt>
                <c:pt idx="70">
                  <c:v>43.144100000000002</c:v>
                </c:pt>
                <c:pt idx="71">
                  <c:v>43.651200000000003</c:v>
                </c:pt>
                <c:pt idx="72">
                  <c:v>44.0901</c:v>
                </c:pt>
                <c:pt idx="73">
                  <c:v>44.385799999999996</c:v>
                </c:pt>
                <c:pt idx="74">
                  <c:v>44.009599999999999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2.2159300000000002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55.735700000000001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3.7879879729729726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35.082464864864846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4.3713098648648643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38.571408108108095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4.3713098648648643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38.571408108108095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519</v>
      </c>
      <c r="D5" s="151"/>
      <c r="E5" s="151"/>
      <c r="F5" s="152"/>
      <c r="G5" s="48" t="str">
        <f>lang!B27</f>
        <v>编号</v>
      </c>
      <c r="H5" s="150">
        <v>8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518</v>
      </c>
      <c r="D6" s="188"/>
      <c r="E6" s="188"/>
      <c r="F6" s="189"/>
      <c r="G6" s="49" t="str">
        <f>lang!B28</f>
        <v xml:space="preserve"> 日期</v>
      </c>
      <c r="H6" s="172">
        <f>FH_info!A2</f>
        <v>43621.396516203706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29</v>
      </c>
      <c r="D7" s="191"/>
      <c r="E7" s="191"/>
      <c r="F7" s="192"/>
      <c r="G7" s="50" t="str">
        <f>lang!B29</f>
        <v>误差率（%）</v>
      </c>
      <c r="H7" s="175">
        <f>M!B17*1</f>
        <v>14.902100000000001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46.605499999999999</v>
      </c>
      <c r="O8" s="59">
        <f>M!C5*1</f>
        <v>9.8843499999999995</v>
      </c>
      <c r="P8" s="59">
        <f>M!D5*1</f>
        <v>21.208500000000001</v>
      </c>
      <c r="Q8" s="59">
        <f>M!E5*1</f>
        <v>20</v>
      </c>
      <c r="R8" s="59">
        <f>M!F5*1</f>
        <v>13.653600000000001</v>
      </c>
      <c r="S8" s="59">
        <f>M!G5*1</f>
        <v>50</v>
      </c>
      <c r="T8" s="59">
        <f>M!H5*1</f>
        <v>56.848700000000001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35.395899999999997</v>
      </c>
      <c r="O9" s="59">
        <f>M!C6*1</f>
        <v>2.84151</v>
      </c>
      <c r="P9" s="59">
        <f>M!D6*1</f>
        <v>8.0277999999999992</v>
      </c>
      <c r="Q9" s="59">
        <f>M!E6*1</f>
        <v>20</v>
      </c>
      <c r="R9" s="59">
        <f>M!F6*1</f>
        <v>28.4695</v>
      </c>
      <c r="S9" s="59">
        <f>M!G6*1</f>
        <v>40</v>
      </c>
      <c r="T9" s="59">
        <f>M!H6*1</f>
        <v>42.017600000000002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13.653600000000001</v>
      </c>
      <c r="D10" s="99">
        <f>N8</f>
        <v>46.605499999999999</v>
      </c>
      <c r="E10" s="100">
        <f>T8</f>
        <v>56.848700000000001</v>
      </c>
      <c r="F10" s="91">
        <f>P8</f>
        <v>21.208500000000001</v>
      </c>
      <c r="G10" s="81" t="str">
        <f>CONCATENATE(M9,"
(20 ~ 40)")</f>
        <v>压力
(20 ~ 40)</v>
      </c>
      <c r="H10" s="98">
        <f>R9</f>
        <v>28.4695</v>
      </c>
      <c r="I10" s="108">
        <f>N9</f>
        <v>35.395899999999997</v>
      </c>
      <c r="J10" s="98">
        <f>T9</f>
        <v>42.017600000000002</v>
      </c>
      <c r="K10" s="92">
        <f>P9</f>
        <v>8.0277999999999992</v>
      </c>
      <c r="L10" s="6"/>
      <c r="M10" s="27" t="str">
        <f>lang!B16</f>
        <v>焦虑</v>
      </c>
      <c r="N10" s="59">
        <f>M!B7*1</f>
        <v>22.9328</v>
      </c>
      <c r="O10" s="59">
        <f>M!C7*1</f>
        <v>4.7687600000000003</v>
      </c>
      <c r="P10" s="59">
        <f>M!D7*1</f>
        <v>20.794499999999999</v>
      </c>
      <c r="Q10" s="59">
        <f>M!E7*1</f>
        <v>15</v>
      </c>
      <c r="R10" s="59">
        <f>M!F7*1</f>
        <v>11.153</v>
      </c>
      <c r="S10" s="59">
        <f>M!G7*1</f>
        <v>40</v>
      </c>
      <c r="T10" s="59">
        <f>M!H7*1</f>
        <v>33.938200000000002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11.153</v>
      </c>
      <c r="D11" s="102">
        <f>N10</f>
        <v>22.9328</v>
      </c>
      <c r="E11" s="103">
        <f>T10</f>
        <v>33.938200000000002</v>
      </c>
      <c r="F11" s="94">
        <f>P10</f>
        <v>20.794499999999999</v>
      </c>
      <c r="G11" s="52" t="str">
        <f>CONCATENATE(M11,"
(20 ~ 50)")</f>
        <v>可疑
(20 ~ 50)</v>
      </c>
      <c r="H11" s="101">
        <f>R11</f>
        <v>22.974399999999999</v>
      </c>
      <c r="I11" s="104">
        <f>N11</f>
        <v>34.608499999999999</v>
      </c>
      <c r="J11" s="101">
        <f>T11</f>
        <v>39.349699999999999</v>
      </c>
      <c r="K11" s="95">
        <f>P11</f>
        <v>10.7668</v>
      </c>
      <c r="L11" s="4"/>
      <c r="M11" s="27" t="str">
        <f>lang!B17</f>
        <v>可疑</v>
      </c>
      <c r="N11" s="59">
        <f>M!B8*1</f>
        <v>34.608499999999999</v>
      </c>
      <c r="O11" s="59">
        <f>M!C8*1</f>
        <v>3.7262200000000001</v>
      </c>
      <c r="P11" s="59">
        <f>M!D8*1</f>
        <v>10.7668</v>
      </c>
      <c r="Q11" s="59">
        <f>M!E8*1</f>
        <v>20</v>
      </c>
      <c r="R11" s="59">
        <f>M!F8*1</f>
        <v>22.974399999999999</v>
      </c>
      <c r="S11" s="59">
        <f>M!G8*1</f>
        <v>50</v>
      </c>
      <c r="T11" s="59">
        <f>M!H8*1</f>
        <v>39.349699999999999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62.170200000000001</v>
      </c>
      <c r="D12" s="104">
        <f>N12</f>
        <v>71.085300000000004</v>
      </c>
      <c r="E12" s="101">
        <f>T12</f>
        <v>80.133499999999998</v>
      </c>
      <c r="F12" s="93">
        <f>P12</f>
        <v>4.2859400000000001</v>
      </c>
      <c r="G12" s="52" t="str">
        <f>CONCATENATE(M13,"
(40 ~ 100)")</f>
        <v>自信
(40 ~ 100)</v>
      </c>
      <c r="H12" s="101">
        <f>R13</f>
        <v>60.761800000000001</v>
      </c>
      <c r="I12" s="104">
        <f>N13</f>
        <v>72.412800000000004</v>
      </c>
      <c r="J12" s="101">
        <f>T13</f>
        <v>84.869699999999995</v>
      </c>
      <c r="K12" s="95">
        <f>P13</f>
        <v>7.5711199999999996</v>
      </c>
      <c r="L12" s="4"/>
      <c r="M12" s="27" t="str">
        <f>lang!B18</f>
        <v>平衡</v>
      </c>
      <c r="N12" s="59">
        <f>M!B9*1</f>
        <v>71.085300000000004</v>
      </c>
      <c r="O12" s="59">
        <f>M!C9*1</f>
        <v>3.0466700000000002</v>
      </c>
      <c r="P12" s="59">
        <f>M!D9*1</f>
        <v>4.2859400000000001</v>
      </c>
      <c r="Q12" s="59">
        <f>M!E9*1</f>
        <v>50</v>
      </c>
      <c r="R12" s="59">
        <f>M!F9*1</f>
        <v>62.170200000000001</v>
      </c>
      <c r="S12" s="59">
        <f>M!G9*1</f>
        <v>100</v>
      </c>
      <c r="T12" s="59">
        <f>M!H9*1</f>
        <v>80.133499999999998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7.6662400000000002</v>
      </c>
      <c r="D13" s="102">
        <f>N14</f>
        <v>27.889900000000001</v>
      </c>
      <c r="E13" s="103">
        <f>T14</f>
        <v>35.136200000000002</v>
      </c>
      <c r="F13" s="94">
        <f>P14</f>
        <v>23.199400000000001</v>
      </c>
      <c r="G13" s="52" t="str">
        <f>CONCATENATE(M15,"
(50 ~ 100)")</f>
        <v>自我调节
(50 ~ 100)</v>
      </c>
      <c r="H13" s="101">
        <f>R15</f>
        <v>63.622399999999999</v>
      </c>
      <c r="I13" s="104">
        <f>N15</f>
        <v>72.212400000000002</v>
      </c>
      <c r="J13" s="101">
        <f>T15</f>
        <v>81.402900000000002</v>
      </c>
      <c r="K13" s="95">
        <f>P15</f>
        <v>4.6670299999999996</v>
      </c>
      <c r="L13" s="4"/>
      <c r="M13" s="27" t="str">
        <f>lang!B19</f>
        <v>自信</v>
      </c>
      <c r="N13" s="59">
        <f>M!B10*1</f>
        <v>72.412800000000004</v>
      </c>
      <c r="O13" s="59">
        <f>M!C10*1</f>
        <v>5.4824700000000002</v>
      </c>
      <c r="P13" s="59">
        <f>M!D10*1</f>
        <v>7.5711199999999996</v>
      </c>
      <c r="Q13" s="59">
        <f>M!E10*1</f>
        <v>40</v>
      </c>
      <c r="R13" s="59">
        <f>M!F10*1</f>
        <v>60.761800000000001</v>
      </c>
      <c r="S13" s="59">
        <f>M!G10*1</f>
        <v>100</v>
      </c>
      <c r="T13" s="59">
        <f>M!H10*1</f>
        <v>84.869699999999995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14.747400000000001</v>
      </c>
      <c r="D14" s="106">
        <f>N16</f>
        <v>23.460100000000001</v>
      </c>
      <c r="E14" s="107">
        <f>T16</f>
        <v>35.302300000000002</v>
      </c>
      <c r="F14" s="96">
        <f>P16</f>
        <v>12.110900000000001</v>
      </c>
      <c r="G14" s="112" t="str">
        <f>CONCATENATE(M17,"
(10 ~ 50)")</f>
        <v>神经质
(10 ~ 50)</v>
      </c>
      <c r="H14" s="105">
        <f>R17</f>
        <v>2.0697399999999999</v>
      </c>
      <c r="I14" s="106">
        <f>N17</f>
        <v>28.412299999999998</v>
      </c>
      <c r="J14" s="107">
        <f>T17</f>
        <v>52.275599999999997</v>
      </c>
      <c r="K14" s="97">
        <f>P17</f>
        <v>36.389200000000002</v>
      </c>
      <c r="M14" s="27" t="str">
        <f>lang!B20</f>
        <v>活力</v>
      </c>
      <c r="N14" s="59">
        <f>M!B11*1</f>
        <v>27.889900000000001</v>
      </c>
      <c r="O14" s="59">
        <f>M!C11*1</f>
        <v>6.4702999999999999</v>
      </c>
      <c r="P14" s="59">
        <f>M!D11*1</f>
        <v>23.199400000000001</v>
      </c>
      <c r="Q14" s="59">
        <f>M!E11*1</f>
        <v>10</v>
      </c>
      <c r="R14" s="59">
        <f>M!F11*1</f>
        <v>7.6662400000000002</v>
      </c>
      <c r="S14" s="59">
        <f>M!G11*1</f>
        <v>50</v>
      </c>
      <c r="T14" s="59">
        <f>M!H11*1</f>
        <v>35.136200000000002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72.212400000000002</v>
      </c>
      <c r="O15" s="59">
        <f>M!C12*1</f>
        <v>3.3701699999999999</v>
      </c>
      <c r="P15" s="59">
        <f>M!D12*1</f>
        <v>4.6670299999999996</v>
      </c>
      <c r="Q15" s="59">
        <f>M!E12*1</f>
        <v>50</v>
      </c>
      <c r="R15" s="59">
        <f>M!F12*1</f>
        <v>63.622399999999999</v>
      </c>
      <c r="S15" s="59">
        <f>M!G12*1</f>
        <v>100</v>
      </c>
      <c r="T15" s="59">
        <f>M!H12*1</f>
        <v>81.402900000000002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23.460100000000001</v>
      </c>
      <c r="O16" s="59">
        <f>M!C13*1</f>
        <v>2.8412299999999999</v>
      </c>
      <c r="P16" s="59">
        <f>M!D13*1</f>
        <v>12.110900000000001</v>
      </c>
      <c r="Q16" s="59">
        <f>M!E13*1</f>
        <v>10</v>
      </c>
      <c r="R16" s="59">
        <f>M!F13*1</f>
        <v>14.747400000000001</v>
      </c>
      <c r="S16" s="59">
        <f>M!G13*1</f>
        <v>25</v>
      </c>
      <c r="T16" s="59">
        <f>M!H13*1</f>
        <v>35.302300000000002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28.412299999999998</v>
      </c>
      <c r="O17" s="59">
        <f>M!C14*1</f>
        <v>10.339</v>
      </c>
      <c r="P17" s="59">
        <f>M!D14*1</f>
        <v>36.389200000000002</v>
      </c>
      <c r="Q17" s="59">
        <f>M!E14*1</f>
        <v>10</v>
      </c>
      <c r="R17" s="59">
        <f>M!F14*1</f>
        <v>2.0697399999999999</v>
      </c>
      <c r="S17" s="59">
        <f>M!G14*1</f>
        <v>50</v>
      </c>
      <c r="T17" s="59">
        <f>M!H14*1</f>
        <v>52.275599999999997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60.900100000000009</v>
      </c>
      <c r="O18" s="22">
        <f>N18/(N18+N19+N20)</f>
        <v>0.50032132653122008</v>
      </c>
      <c r="P18" s="65">
        <f>SUM(P12:P15)/4</f>
        <v>9.9308724999999995</v>
      </c>
      <c r="Q18" s="22">
        <f>P18/(P18+P19+P20)</f>
        <v>0.20110991579692494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34.885674999999999</v>
      </c>
      <c r="O19" s="22">
        <f>N19/(N18+N19+N20)</f>
        <v>0.28660128953707825</v>
      </c>
      <c r="P19" s="18">
        <f>SUM(P8:P11)/4</f>
        <v>15.199400000000001</v>
      </c>
      <c r="Q19" s="22">
        <f>P19/(P18+P19+P20)</f>
        <v>0.30780276900783704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25.936199999999999</v>
      </c>
      <c r="O20" s="22">
        <f>N20/(N18+N19+N20)</f>
        <v>0.21307738393170172</v>
      </c>
      <c r="P20" s="18">
        <f>(P16+P17)/2</f>
        <v>24.250050000000002</v>
      </c>
      <c r="Q20" s="22">
        <f>P20/(P18+P19+P20)</f>
        <v>0.49108731519523791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-2.3442756756756666E-2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1.9598313381495109</v>
      </c>
      <c r="D25" s="44" t="str">
        <f>lang!B11</f>
        <v>频率方差</v>
      </c>
      <c r="E25" s="142">
        <f ca="1">FH!L3</f>
        <v>0.70639365916057828</v>
      </c>
      <c r="F25" s="143"/>
      <c r="G25" s="134" t="str">
        <f>lang!B12</f>
        <v>生理变化率</v>
      </c>
      <c r="H25" s="135"/>
      <c r="I25" s="62" t="str">
        <f ca="1">CONCATENATE(info!M7,"-",info!M8)</f>
        <v>29-55.7</v>
      </c>
      <c r="J25" s="42" t="str">
        <f>lang!B13</f>
        <v>千卡l/分钟</v>
      </c>
      <c r="K25" s="41" t="str">
        <f ca="1">CONCATENATE(info!M5,"-",info!M6)</f>
        <v>2.2-4.6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36.996299999999998</v>
      </c>
      <c r="F28" s="164"/>
      <c r="G28" s="178" t="str">
        <f>lang!B33</f>
        <v>稳定性</v>
      </c>
      <c r="H28" s="179"/>
      <c r="I28" s="180"/>
      <c r="J28" s="181">
        <f>M!B19*100</f>
        <v>57.270600000000002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43621.396516203706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-0.68480000000000274</v>
      </c>
      <c r="O7" s="59">
        <f t="shared" ref="O7:T7" si="2">AG7-X7</f>
        <v>-8.3302200000000006</v>
      </c>
      <c r="P7" s="59">
        <f t="shared" si="2"/>
        <v>-17.613320000000002</v>
      </c>
      <c r="Q7" s="59">
        <f t="shared" si="2"/>
        <v>0</v>
      </c>
      <c r="R7" s="59">
        <f t="shared" si="2"/>
        <v>26.630700000000001</v>
      </c>
      <c r="S7" s="59">
        <f t="shared" si="2"/>
        <v>0</v>
      </c>
      <c r="T7" s="59">
        <f t="shared" si="2"/>
        <v>-0.28569999999999851</v>
      </c>
      <c r="U7" s="14"/>
      <c r="V7" s="27" t="str">
        <f>M7</f>
        <v>攻击性</v>
      </c>
      <c r="W7" s="59">
        <f>'M1'!B5*1</f>
        <v>46.942700000000002</v>
      </c>
      <c r="X7" s="59">
        <f>'M1'!C5*1</f>
        <v>12.523300000000001</v>
      </c>
      <c r="Y7" s="59">
        <f>'M1'!D5*1</f>
        <v>26.677900000000001</v>
      </c>
      <c r="Z7" s="59">
        <f>'M1'!E5*1</f>
        <v>20</v>
      </c>
      <c r="AA7" s="59">
        <f>'M1'!F5*1</f>
        <v>13.653600000000001</v>
      </c>
      <c r="AB7" s="59">
        <f>'M1'!G5*1</f>
        <v>50</v>
      </c>
      <c r="AC7" s="59">
        <f>'M1'!H5*1</f>
        <v>56.848700000000001</v>
      </c>
      <c r="AE7" s="27" t="str">
        <f>V7</f>
        <v>攻击性</v>
      </c>
      <c r="AF7" s="59">
        <f>'M2'!B5*1</f>
        <v>46.257899999999999</v>
      </c>
      <c r="AG7" s="59">
        <f>'M2'!C5*1</f>
        <v>4.1930800000000001</v>
      </c>
      <c r="AH7" s="59">
        <f>'M2'!D5*1</f>
        <v>9.0645799999999994</v>
      </c>
      <c r="AI7" s="59">
        <f>'M2'!E5*1</f>
        <v>20</v>
      </c>
      <c r="AJ7" s="59">
        <f>'M2'!F5*1</f>
        <v>40.284300000000002</v>
      </c>
      <c r="AK7" s="59">
        <f>'M2'!G5*1</f>
        <v>50</v>
      </c>
      <c r="AL7" s="59">
        <f>'M2'!H5*1</f>
        <v>56.563000000000002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-2.0108999999999995</v>
      </c>
      <c r="O8" s="59">
        <f t="shared" ref="O8:O16" si="5">AG8-X8</f>
        <v>-1.8532199999999999</v>
      </c>
      <c r="P8" s="59">
        <f t="shared" ref="P8:P16" si="6">AH8-Y8</f>
        <v>-4.7640399999999996</v>
      </c>
      <c r="Q8" s="59">
        <f t="shared" ref="Q8:Q16" si="7">AI8-Z8</f>
        <v>0</v>
      </c>
      <c r="R8" s="59">
        <f t="shared" ref="R8:R16" si="8">AJ8-AA8</f>
        <v>4.1194000000000024</v>
      </c>
      <c r="S8" s="59">
        <f t="shared" ref="S8:S16" si="9">AK8-AB8</f>
        <v>0</v>
      </c>
      <c r="T8" s="59">
        <f t="shared" ref="T8:T16" si="10">AL8-AC8</f>
        <v>-2.2126000000000019</v>
      </c>
      <c r="U8" s="15"/>
      <c r="V8" s="27" t="str">
        <f t="shared" ref="V8:V16" si="11">M8</f>
        <v>压力</v>
      </c>
      <c r="W8" s="59">
        <f>'M1'!B6*1</f>
        <v>36.833199999999998</v>
      </c>
      <c r="X8" s="59">
        <f>'M1'!C6*1</f>
        <v>3.5583999999999998</v>
      </c>
      <c r="Y8" s="59">
        <f>'M1'!D6*1</f>
        <v>9.6608499999999999</v>
      </c>
      <c r="Z8" s="59">
        <f>'M1'!E6*1</f>
        <v>20</v>
      </c>
      <c r="AA8" s="59">
        <f>'M1'!F6*1</f>
        <v>28.4695</v>
      </c>
      <c r="AB8" s="59">
        <f>'M1'!G6*1</f>
        <v>40</v>
      </c>
      <c r="AC8" s="59">
        <f>'M1'!H6*1</f>
        <v>42.017600000000002</v>
      </c>
      <c r="AE8" s="27" t="str">
        <f t="shared" ref="AE8:AE16" si="12">V8</f>
        <v>压力</v>
      </c>
      <c r="AF8" s="59">
        <f>'M2'!B6*1</f>
        <v>34.822299999999998</v>
      </c>
      <c r="AG8" s="59">
        <f>'M2'!C6*1</f>
        <v>1.7051799999999999</v>
      </c>
      <c r="AH8" s="59">
        <f>'M2'!D6*1</f>
        <v>4.8968100000000003</v>
      </c>
      <c r="AI8" s="59">
        <f>'M2'!E6*1</f>
        <v>20</v>
      </c>
      <c r="AJ8" s="59">
        <f>'M2'!F6*1</f>
        <v>32.588900000000002</v>
      </c>
      <c r="AK8" s="59">
        <f>'M2'!G6*1</f>
        <v>40</v>
      </c>
      <c r="AL8" s="59">
        <f>'M2'!H6*1</f>
        <v>39.805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26.630700000000001</v>
      </c>
      <c r="D9" s="78">
        <f>N7</f>
        <v>-0.68480000000000274</v>
      </c>
      <c r="E9" s="79">
        <f>T7</f>
        <v>-0.28569999999999851</v>
      </c>
      <c r="F9" s="79">
        <f>P7</f>
        <v>-17.613320000000002</v>
      </c>
      <c r="G9" s="80" t="str">
        <f>CONCATENATE(M8,"
(20 ~ 40)")</f>
        <v>压力
(20 ~ 40)</v>
      </c>
      <c r="H9" s="77">
        <f>R8</f>
        <v>4.1194000000000024</v>
      </c>
      <c r="I9" s="81">
        <f>N8</f>
        <v>-2.0108999999999995</v>
      </c>
      <c r="J9" s="77">
        <f>T8</f>
        <v>-2.2126000000000019</v>
      </c>
      <c r="K9" s="82">
        <f>P8</f>
        <v>-4.7640399999999996</v>
      </c>
      <c r="L9" s="6"/>
      <c r="M9" s="27" t="str">
        <f>lang!B16</f>
        <v>焦虑</v>
      </c>
      <c r="N9" s="59">
        <f t="shared" si="4"/>
        <v>1.0243000000000002</v>
      </c>
      <c r="O9" s="59">
        <f t="shared" si="5"/>
        <v>-1.4972099999999999</v>
      </c>
      <c r="P9" s="59">
        <f t="shared" si="6"/>
        <v>-7.5608000000000004</v>
      </c>
      <c r="Q9" s="59">
        <f t="shared" si="7"/>
        <v>0</v>
      </c>
      <c r="R9" s="59">
        <f t="shared" si="8"/>
        <v>0.87739999999999974</v>
      </c>
      <c r="S9" s="59">
        <f t="shared" si="9"/>
        <v>0</v>
      </c>
      <c r="T9" s="59">
        <f t="shared" si="10"/>
        <v>-1.6857000000000042</v>
      </c>
      <c r="U9" s="14"/>
      <c r="V9" s="27" t="str">
        <f t="shared" si="11"/>
        <v>焦虑</v>
      </c>
      <c r="W9" s="59">
        <f>'M1'!B7*1</f>
        <v>22.12</v>
      </c>
      <c r="X9" s="59">
        <f>'M1'!C7*1</f>
        <v>5.4572799999999999</v>
      </c>
      <c r="Y9" s="59">
        <f>'M1'!D7*1</f>
        <v>24.671199999999999</v>
      </c>
      <c r="Z9" s="59">
        <f>'M1'!E7*1</f>
        <v>15</v>
      </c>
      <c r="AA9" s="59">
        <f>'M1'!F7*1</f>
        <v>11.153</v>
      </c>
      <c r="AB9" s="59">
        <f>'M1'!G7*1</f>
        <v>40</v>
      </c>
      <c r="AC9" s="59">
        <f>'M1'!H7*1</f>
        <v>33.938200000000002</v>
      </c>
      <c r="AE9" s="27" t="str">
        <f t="shared" si="12"/>
        <v>焦虑</v>
      </c>
      <c r="AF9" s="59">
        <f>'M2'!B7*1</f>
        <v>23.144300000000001</v>
      </c>
      <c r="AG9" s="59">
        <f>'M2'!C7*1</f>
        <v>3.96007</v>
      </c>
      <c r="AH9" s="59">
        <f>'M2'!D7*1</f>
        <v>17.110399999999998</v>
      </c>
      <c r="AI9" s="59">
        <f>'M2'!E7*1</f>
        <v>15</v>
      </c>
      <c r="AJ9" s="59">
        <f>'M2'!F7*1</f>
        <v>12.0304</v>
      </c>
      <c r="AK9" s="59">
        <f>'M2'!G7*1</f>
        <v>40</v>
      </c>
      <c r="AL9" s="59">
        <f>'M2'!H7*1</f>
        <v>32.252499999999998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0.87739999999999974</v>
      </c>
      <c r="D10" s="51">
        <f>N9</f>
        <v>1.0243000000000002</v>
      </c>
      <c r="E10" s="53">
        <f>T9</f>
        <v>-1.6857000000000042</v>
      </c>
      <c r="F10" s="53">
        <f>P9</f>
        <v>-7.5608000000000004</v>
      </c>
      <c r="G10" s="73" t="str">
        <f>CONCATENATE(M10,"
(20 ~ 50)")</f>
        <v>可疑
(20 ~ 50)</v>
      </c>
      <c r="H10" s="24">
        <f>R10</f>
        <v>8.7593999999999994</v>
      </c>
      <c r="I10" s="52">
        <f>N10</f>
        <v>2.8586999999999989</v>
      </c>
      <c r="J10" s="24">
        <f>T10</f>
        <v>-1.1805999999999983</v>
      </c>
      <c r="K10" s="25">
        <f>P10</f>
        <v>-9.7374499999999991</v>
      </c>
      <c r="L10" s="4"/>
      <c r="M10" s="27" t="str">
        <f>lang!B17</f>
        <v>可疑</v>
      </c>
      <c r="N10" s="59">
        <f t="shared" si="4"/>
        <v>2.8586999999999989</v>
      </c>
      <c r="O10" s="59">
        <f t="shared" si="5"/>
        <v>-3.0213200000000002</v>
      </c>
      <c r="P10" s="59">
        <f t="shared" si="6"/>
        <v>-9.7374499999999991</v>
      </c>
      <c r="Q10" s="59">
        <f t="shared" si="7"/>
        <v>0</v>
      </c>
      <c r="R10" s="59">
        <f t="shared" si="8"/>
        <v>8.7593999999999994</v>
      </c>
      <c r="S10" s="59">
        <f t="shared" si="9"/>
        <v>0</v>
      </c>
      <c r="T10" s="59">
        <f t="shared" si="10"/>
        <v>-1.1805999999999983</v>
      </c>
      <c r="U10" s="14"/>
      <c r="V10" s="27" t="str">
        <f t="shared" si="11"/>
        <v>可疑</v>
      </c>
      <c r="W10" s="59">
        <f>'M1'!B8*1</f>
        <v>32.414099999999998</v>
      </c>
      <c r="X10" s="59">
        <f>'M1'!C8*1</f>
        <v>4.68703</v>
      </c>
      <c r="Y10" s="59">
        <f>'M1'!D8*1</f>
        <v>14.4598</v>
      </c>
      <c r="Z10" s="59">
        <f>'M1'!E8*1</f>
        <v>20</v>
      </c>
      <c r="AA10" s="59">
        <f>'M1'!F8*1</f>
        <v>22.974399999999999</v>
      </c>
      <c r="AB10" s="59">
        <f>'M1'!G8*1</f>
        <v>50</v>
      </c>
      <c r="AC10" s="59">
        <f>'M1'!H8*1</f>
        <v>39.349699999999999</v>
      </c>
      <c r="AE10" s="27" t="str">
        <f t="shared" si="12"/>
        <v>可疑</v>
      </c>
      <c r="AF10" s="59">
        <f>'M2'!B8*1</f>
        <v>35.272799999999997</v>
      </c>
      <c r="AG10" s="59">
        <f>'M2'!C8*1</f>
        <v>1.66571</v>
      </c>
      <c r="AH10" s="59">
        <f>'M2'!D8*1</f>
        <v>4.7223499999999996</v>
      </c>
      <c r="AI10" s="59">
        <f>'M2'!E8*1</f>
        <v>20</v>
      </c>
      <c r="AJ10" s="59">
        <f>'M2'!F8*1</f>
        <v>31.733799999999999</v>
      </c>
      <c r="AK10" s="59">
        <f>'M2'!G8*1</f>
        <v>50</v>
      </c>
      <c r="AL10" s="59">
        <f>'M2'!H8*1</f>
        <v>38.1691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-1.071399999999997</v>
      </c>
      <c r="D11" s="52">
        <f>N11</f>
        <v>2.0949000000000098</v>
      </c>
      <c r="E11" s="24">
        <f>T11</f>
        <v>-0.28749999999999432</v>
      </c>
      <c r="F11" s="24">
        <f>P11</f>
        <v>-0.69222000000000028</v>
      </c>
      <c r="G11" s="73" t="str">
        <f>CONCATENATE(M12,"
(40 ~ 100)")</f>
        <v>自信
(40 ~ 100)</v>
      </c>
      <c r="H11" s="24">
        <f>R12</f>
        <v>9.0834000000000046</v>
      </c>
      <c r="I11" s="52">
        <f>N12</f>
        <v>-1.9787000000000035</v>
      </c>
      <c r="J11" s="24">
        <f>T12</f>
        <v>-8.4054000000000002</v>
      </c>
      <c r="K11" s="25">
        <f>P12</f>
        <v>-7.976049999999999</v>
      </c>
      <c r="L11" s="4"/>
      <c r="M11" s="27" t="str">
        <f>lang!B18</f>
        <v>平衡</v>
      </c>
      <c r="N11" s="59">
        <f t="shared" si="4"/>
        <v>2.0949000000000098</v>
      </c>
      <c r="O11" s="59">
        <f t="shared" si="5"/>
        <v>-0.40424000000000015</v>
      </c>
      <c r="P11" s="59">
        <f t="shared" si="6"/>
        <v>-0.69222000000000028</v>
      </c>
      <c r="Q11" s="59">
        <f t="shared" si="7"/>
        <v>0</v>
      </c>
      <c r="R11" s="59">
        <f t="shared" si="8"/>
        <v>-1.071399999999997</v>
      </c>
      <c r="S11" s="59">
        <f t="shared" si="9"/>
        <v>0</v>
      </c>
      <c r="T11" s="59">
        <f t="shared" si="10"/>
        <v>-0.28749999999999432</v>
      </c>
      <c r="U11" s="14"/>
      <c r="V11" s="27" t="str">
        <f t="shared" si="11"/>
        <v>平衡</v>
      </c>
      <c r="W11" s="59">
        <f>'M1'!B9*1</f>
        <v>69.892799999999994</v>
      </c>
      <c r="X11" s="59">
        <f>'M1'!C9*1</f>
        <v>3.13849</v>
      </c>
      <c r="Y11" s="59">
        <f>'M1'!D9*1</f>
        <v>4.4904400000000004</v>
      </c>
      <c r="Z11" s="59">
        <f>'M1'!E9*1</f>
        <v>50</v>
      </c>
      <c r="AA11" s="59">
        <f>'M1'!F9*1</f>
        <v>63.241599999999998</v>
      </c>
      <c r="AB11" s="59">
        <f>'M1'!G9*1</f>
        <v>100</v>
      </c>
      <c r="AC11" s="59">
        <f>'M1'!H9*1</f>
        <v>80.133499999999998</v>
      </c>
      <c r="AE11" s="27" t="str">
        <f t="shared" si="12"/>
        <v>平衡</v>
      </c>
      <c r="AF11" s="59">
        <f>'M2'!B9*1</f>
        <v>71.987700000000004</v>
      </c>
      <c r="AG11" s="59">
        <f>'M2'!C9*1</f>
        <v>2.7342499999999998</v>
      </c>
      <c r="AH11" s="59">
        <f>'M2'!D9*1</f>
        <v>3.7982200000000002</v>
      </c>
      <c r="AI11" s="59">
        <f>'M2'!E9*1</f>
        <v>50</v>
      </c>
      <c r="AJ11" s="59">
        <f>'M2'!F9*1</f>
        <v>62.170200000000001</v>
      </c>
      <c r="AK11" s="59">
        <f>'M2'!G9*1</f>
        <v>100</v>
      </c>
      <c r="AL11" s="59">
        <f>'M2'!H9*1</f>
        <v>79.846000000000004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19.405459999999998</v>
      </c>
      <c r="D12" s="51">
        <f>N13</f>
        <v>5.9307000000000016</v>
      </c>
      <c r="E12" s="53">
        <f>T13</f>
        <v>4.6136000000000017</v>
      </c>
      <c r="F12" s="53">
        <f>P13</f>
        <v>-16.922310000000003</v>
      </c>
      <c r="G12" s="73" t="str">
        <f>CONCATENATE(M14,"
(50 ~ 100)")</f>
        <v>自我调节
(50 ~ 100)</v>
      </c>
      <c r="H12" s="24">
        <f>R14</f>
        <v>3.8131999999999948</v>
      </c>
      <c r="I12" s="52">
        <f>N14</f>
        <v>0.32219999999999516</v>
      </c>
      <c r="J12" s="24">
        <f>T14</f>
        <v>-5.7665999999999968</v>
      </c>
      <c r="K12" s="25">
        <f>P14</f>
        <v>-3.8371600000000003</v>
      </c>
      <c r="L12" s="4"/>
      <c r="M12" s="27" t="str">
        <f>lang!B19</f>
        <v>自信</v>
      </c>
      <c r="N12" s="59">
        <f t="shared" si="4"/>
        <v>-1.9787000000000035</v>
      </c>
      <c r="O12" s="59">
        <f t="shared" si="5"/>
        <v>-5.9639199999999999</v>
      </c>
      <c r="P12" s="59">
        <f t="shared" si="6"/>
        <v>-7.976049999999999</v>
      </c>
      <c r="Q12" s="59">
        <f t="shared" si="7"/>
        <v>0</v>
      </c>
      <c r="R12" s="59">
        <f t="shared" si="8"/>
        <v>9.0834000000000046</v>
      </c>
      <c r="S12" s="59">
        <f t="shared" si="9"/>
        <v>0</v>
      </c>
      <c r="T12" s="59">
        <f t="shared" si="10"/>
        <v>-8.4054000000000002</v>
      </c>
      <c r="U12" s="15"/>
      <c r="V12" s="27" t="str">
        <f t="shared" si="11"/>
        <v>自信</v>
      </c>
      <c r="W12" s="59">
        <f>'M1'!B10*1</f>
        <v>74.229399999999998</v>
      </c>
      <c r="X12" s="59">
        <f>'M1'!C10*1</f>
        <v>7.5453799999999998</v>
      </c>
      <c r="Y12" s="59">
        <f>'M1'!D10*1</f>
        <v>10.164899999999999</v>
      </c>
      <c r="Z12" s="59">
        <f>'M1'!E10*1</f>
        <v>40</v>
      </c>
      <c r="AA12" s="59">
        <f>'M1'!F10*1</f>
        <v>60.761800000000001</v>
      </c>
      <c r="AB12" s="59">
        <f>'M1'!G10*1</f>
        <v>100</v>
      </c>
      <c r="AC12" s="59">
        <f>'M1'!H10*1</f>
        <v>84.869699999999995</v>
      </c>
      <c r="AE12" s="27" t="str">
        <f t="shared" si="12"/>
        <v>自信</v>
      </c>
      <c r="AF12" s="59">
        <f>'M2'!B10*1</f>
        <v>72.250699999999995</v>
      </c>
      <c r="AG12" s="59">
        <f>'M2'!C10*1</f>
        <v>1.5814600000000001</v>
      </c>
      <c r="AH12" s="59">
        <f>'M2'!D10*1</f>
        <v>2.18885</v>
      </c>
      <c r="AI12" s="59">
        <f>'M2'!E10*1</f>
        <v>40</v>
      </c>
      <c r="AJ12" s="59">
        <f>'M2'!F10*1</f>
        <v>69.845200000000006</v>
      </c>
      <c r="AK12" s="59">
        <f>'M2'!G10*1</f>
        <v>100</v>
      </c>
      <c r="AL12" s="59">
        <f>'M2'!H10*1</f>
        <v>76.464299999999994</v>
      </c>
    </row>
    <row r="13" spans="2:38" ht="25.5" customHeight="1" thickBot="1">
      <c r="B13" s="72" t="str">
        <f>CONCATENATE(M15,"
(10 ~ 25)")</f>
        <v>抑郁
(10 ~ 25)</v>
      </c>
      <c r="C13" s="54">
        <f>R15</f>
        <v>4.8206000000000007</v>
      </c>
      <c r="D13" s="55">
        <f>N15</f>
        <v>1.3862999999999985</v>
      </c>
      <c r="E13" s="56">
        <f>T15</f>
        <v>7.1060000000000016</v>
      </c>
      <c r="F13" s="56">
        <f>P15</f>
        <v>-2.9349000000000007</v>
      </c>
      <c r="G13" s="74" t="str">
        <f>CONCATENATE(M16,"
(10 ~ 50)")</f>
        <v>神经质
(10 ~ 50)</v>
      </c>
      <c r="H13" s="54">
        <f>R16</f>
        <v>1.8208299999999999</v>
      </c>
      <c r="I13" s="55">
        <f>N16</f>
        <v>-5.1935000000000002</v>
      </c>
      <c r="J13" s="56">
        <f>T16</f>
        <v>12.4848</v>
      </c>
      <c r="K13" s="57">
        <f>P16</f>
        <v>2.3398000000000039</v>
      </c>
      <c r="M13" s="27" t="str">
        <f>lang!B20</f>
        <v>活力</v>
      </c>
      <c r="N13" s="59">
        <f t="shared" si="4"/>
        <v>5.9307000000000016</v>
      </c>
      <c r="O13" s="59">
        <f t="shared" si="5"/>
        <v>-3.71522</v>
      </c>
      <c r="P13" s="59">
        <f t="shared" si="6"/>
        <v>-16.922310000000003</v>
      </c>
      <c r="Q13" s="59">
        <f t="shared" si="7"/>
        <v>0</v>
      </c>
      <c r="R13" s="59">
        <f t="shared" si="8"/>
        <v>19.405459999999998</v>
      </c>
      <c r="S13" s="59">
        <f t="shared" si="9"/>
        <v>0</v>
      </c>
      <c r="T13" s="59">
        <f t="shared" si="10"/>
        <v>4.6136000000000017</v>
      </c>
      <c r="U13" s="14"/>
      <c r="V13" s="27" t="str">
        <f t="shared" si="11"/>
        <v>活力</v>
      </c>
      <c r="W13" s="59">
        <f>'M1'!B11*1</f>
        <v>24.761399999999998</v>
      </c>
      <c r="X13" s="59">
        <f>'M1'!C11*1</f>
        <v>6.1733099999999999</v>
      </c>
      <c r="Y13" s="59">
        <f>'M1'!D11*1</f>
        <v>24.9312</v>
      </c>
      <c r="Z13" s="59">
        <f>'M1'!E11*1</f>
        <v>10</v>
      </c>
      <c r="AA13" s="59">
        <f>'M1'!F11*1</f>
        <v>7.6662400000000002</v>
      </c>
      <c r="AB13" s="59">
        <f>'M1'!G11*1</f>
        <v>50</v>
      </c>
      <c r="AC13" s="59">
        <f>'M1'!H11*1</f>
        <v>30.522600000000001</v>
      </c>
      <c r="AE13" s="27" t="str">
        <f t="shared" si="12"/>
        <v>活力</v>
      </c>
      <c r="AF13" s="59">
        <f>'M2'!B11*1</f>
        <v>30.6921</v>
      </c>
      <c r="AG13" s="59">
        <f>'M2'!C11*1</f>
        <v>2.4580899999999999</v>
      </c>
      <c r="AH13" s="59">
        <f>'M2'!D11*1</f>
        <v>8.0088899999999992</v>
      </c>
      <c r="AI13" s="59">
        <f>'M2'!E11*1</f>
        <v>10</v>
      </c>
      <c r="AJ13" s="59">
        <f>'M2'!F11*1</f>
        <v>27.0717</v>
      </c>
      <c r="AK13" s="59">
        <f>'M2'!G11*1</f>
        <v>50</v>
      </c>
      <c r="AL13" s="59">
        <f>'M2'!H11*1</f>
        <v>35.136200000000002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0.32219999999999516</v>
      </c>
      <c r="O14" s="59">
        <f t="shared" si="5"/>
        <v>-2.7549200000000003</v>
      </c>
      <c r="P14" s="59">
        <f t="shared" si="6"/>
        <v>-3.8371600000000003</v>
      </c>
      <c r="Q14" s="59">
        <f t="shared" si="7"/>
        <v>0</v>
      </c>
      <c r="R14" s="59">
        <f t="shared" si="8"/>
        <v>3.8131999999999948</v>
      </c>
      <c r="S14" s="59">
        <f t="shared" si="9"/>
        <v>0</v>
      </c>
      <c r="T14" s="59">
        <f t="shared" si="10"/>
        <v>-5.7665999999999968</v>
      </c>
      <c r="U14" s="14"/>
      <c r="V14" s="27" t="str">
        <f t="shared" si="11"/>
        <v>自我调节</v>
      </c>
      <c r="W14" s="59">
        <f>'M1'!B12*1</f>
        <v>71.9923</v>
      </c>
      <c r="X14" s="59">
        <f>'M1'!C12*1</f>
        <v>4.44529</v>
      </c>
      <c r="Y14" s="59">
        <f>'M1'!D12*1</f>
        <v>6.1746800000000004</v>
      </c>
      <c r="Z14" s="59">
        <f>'M1'!E12*1</f>
        <v>50</v>
      </c>
      <c r="AA14" s="59">
        <f>'M1'!F12*1</f>
        <v>63.622399999999999</v>
      </c>
      <c r="AB14" s="59">
        <f>'M1'!G12*1</f>
        <v>100</v>
      </c>
      <c r="AC14" s="59">
        <f>'M1'!H12*1</f>
        <v>81.402900000000002</v>
      </c>
      <c r="AE14" s="27" t="str">
        <f t="shared" si="12"/>
        <v>自我调节</v>
      </c>
      <c r="AF14" s="59">
        <f>'M2'!B12*1</f>
        <v>72.314499999999995</v>
      </c>
      <c r="AG14" s="59">
        <f>'M2'!C12*1</f>
        <v>1.6903699999999999</v>
      </c>
      <c r="AH14" s="59">
        <f>'M2'!D12*1</f>
        <v>2.33752</v>
      </c>
      <c r="AI14" s="59">
        <f>'M2'!E12*1</f>
        <v>50</v>
      </c>
      <c r="AJ14" s="59">
        <f>'M2'!F12*1</f>
        <v>67.435599999999994</v>
      </c>
      <c r="AK14" s="59">
        <f>'M2'!G12*1</f>
        <v>100</v>
      </c>
      <c r="AL14" s="59">
        <f>'M2'!H12*1</f>
        <v>75.636300000000006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1.3862999999999985</v>
      </c>
      <c r="O15" s="59">
        <f t="shared" si="5"/>
        <v>-0.51934999999999976</v>
      </c>
      <c r="P15" s="59">
        <f t="shared" si="6"/>
        <v>-2.9349000000000007</v>
      </c>
      <c r="Q15" s="59">
        <f t="shared" si="7"/>
        <v>0</v>
      </c>
      <c r="R15" s="59">
        <f t="shared" si="8"/>
        <v>4.8206000000000007</v>
      </c>
      <c r="S15" s="59">
        <f t="shared" si="9"/>
        <v>0</v>
      </c>
      <c r="T15" s="59">
        <f t="shared" si="10"/>
        <v>7.1060000000000016</v>
      </c>
      <c r="U15" s="14"/>
      <c r="V15" s="27" t="str">
        <f t="shared" si="11"/>
        <v>抑郁</v>
      </c>
      <c r="W15" s="59">
        <f>'M1'!B13*1</f>
        <v>22.5183</v>
      </c>
      <c r="X15" s="59">
        <f>'M1'!C13*1</f>
        <v>2.9602599999999999</v>
      </c>
      <c r="Y15" s="59">
        <f>'M1'!D13*1</f>
        <v>13.146000000000001</v>
      </c>
      <c r="Z15" s="59">
        <f>'M1'!E13*1</f>
        <v>10</v>
      </c>
      <c r="AA15" s="59">
        <f>'M1'!F13*1</f>
        <v>14.747400000000001</v>
      </c>
      <c r="AB15" s="59">
        <f>'M1'!G13*1</f>
        <v>25</v>
      </c>
      <c r="AC15" s="59">
        <f>'M1'!H13*1</f>
        <v>28.196300000000001</v>
      </c>
      <c r="AE15" s="27" t="str">
        <f t="shared" si="12"/>
        <v>抑郁</v>
      </c>
      <c r="AF15" s="59">
        <f>'M2'!B13*1</f>
        <v>23.904599999999999</v>
      </c>
      <c r="AG15" s="59">
        <f>'M2'!C13*1</f>
        <v>2.4409100000000001</v>
      </c>
      <c r="AH15" s="59">
        <f>'M2'!D13*1</f>
        <v>10.2111</v>
      </c>
      <c r="AI15" s="59">
        <f>'M2'!E13*1</f>
        <v>10</v>
      </c>
      <c r="AJ15" s="59">
        <f>'M2'!F13*1</f>
        <v>19.568000000000001</v>
      </c>
      <c r="AK15" s="59">
        <f>'M2'!G13*1</f>
        <v>25</v>
      </c>
      <c r="AL15" s="59">
        <f>'M2'!H13*1</f>
        <v>35.302300000000002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-5.1935000000000002</v>
      </c>
      <c r="O16" s="59">
        <f t="shared" si="5"/>
        <v>-1.3323599999999995</v>
      </c>
      <c r="P16" s="59">
        <f t="shared" si="6"/>
        <v>2.3398000000000039</v>
      </c>
      <c r="Q16" s="59">
        <f t="shared" si="7"/>
        <v>0</v>
      </c>
      <c r="R16" s="59">
        <f t="shared" si="8"/>
        <v>1.8208299999999999</v>
      </c>
      <c r="S16" s="59">
        <f t="shared" si="9"/>
        <v>0</v>
      </c>
      <c r="T16" s="59">
        <f t="shared" si="10"/>
        <v>12.4848</v>
      </c>
      <c r="U16" s="15"/>
      <c r="V16" s="27" t="str">
        <f t="shared" si="11"/>
        <v>神经质</v>
      </c>
      <c r="W16" s="59">
        <f>'M1'!B14*1</f>
        <v>29.602599999999999</v>
      </c>
      <c r="X16" s="59">
        <f>'M1'!C14*1</f>
        <v>10.8497</v>
      </c>
      <c r="Y16" s="59">
        <f>'M1'!D14*1</f>
        <v>36.6511</v>
      </c>
      <c r="Z16" s="59">
        <f>'M1'!E14*1</f>
        <v>10</v>
      </c>
      <c r="AA16" s="59">
        <f>'M1'!F14*1</f>
        <v>2.0697399999999999</v>
      </c>
      <c r="AB16" s="59">
        <f>'M1'!G14*1</f>
        <v>50</v>
      </c>
      <c r="AC16" s="59">
        <f>'M1'!H14*1</f>
        <v>39.790799999999997</v>
      </c>
      <c r="AE16" s="27" t="str">
        <f t="shared" si="12"/>
        <v>神经质</v>
      </c>
      <c r="AF16" s="59">
        <f>'M2'!B14*1</f>
        <v>24.409099999999999</v>
      </c>
      <c r="AG16" s="59">
        <f>'M2'!C14*1</f>
        <v>9.5173400000000008</v>
      </c>
      <c r="AH16" s="59">
        <f>'M2'!D14*1</f>
        <v>38.990900000000003</v>
      </c>
      <c r="AI16" s="59">
        <f>'M2'!E14*1</f>
        <v>10</v>
      </c>
      <c r="AJ16" s="59">
        <f>'M2'!F14*1</f>
        <v>3.8905699999999999</v>
      </c>
      <c r="AK16" s="59">
        <f>'M2'!G14*1</f>
        <v>50</v>
      </c>
      <c r="AL16" s="59">
        <f>'M2'!H14*1</f>
        <v>52.275599999999997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1.5922750000000008</v>
      </c>
      <c r="O17" s="22">
        <f>N17/(N17+N18+N19)</f>
        <v>-109.81206896551089</v>
      </c>
      <c r="P17" s="65">
        <f>SUM(P11:P14)/4</f>
        <v>-7.3569350000000009</v>
      </c>
      <c r="Q17" s="22">
        <f>P17/(P17+P18+P19)</f>
        <v>0.41864068609424343</v>
      </c>
      <c r="R17" s="14"/>
      <c r="S17" s="14"/>
      <c r="T17" s="14"/>
      <c r="U17" s="14"/>
      <c r="V17" s="21" t="str">
        <f>M17</f>
        <v>Positive</v>
      </c>
      <c r="W17" s="65">
        <f>SUM(W11:W14)/4</f>
        <v>60.218975</v>
      </c>
      <c r="X17" s="22">
        <f>W17/(W17+W18+W19)</f>
        <v>0.49826664876671317</v>
      </c>
      <c r="Y17" s="65">
        <f>SUM(Y11:Y14)/4</f>
        <v>11.440305</v>
      </c>
      <c r="Z17" s="22">
        <f>Y17/(Y17+Y18+Y19)</f>
        <v>0.20722827927631618</v>
      </c>
      <c r="AA17" s="14"/>
      <c r="AB17" s="14"/>
      <c r="AC17" s="14"/>
      <c r="AE17" s="21" t="str">
        <f>V17</f>
        <v>Positive</v>
      </c>
      <c r="AF17" s="65">
        <f>SUM(AF11:AF14)/4</f>
        <v>61.811250000000001</v>
      </c>
      <c r="AG17" s="22">
        <f>AF17/(AF17+AF18+AF19)</f>
        <v>0.51150289312714481</v>
      </c>
      <c r="AH17" s="65">
        <f>SUM(AH11:AH14)/4</f>
        <v>4.0833700000000004</v>
      </c>
      <c r="AI17" s="22">
        <f>AH17/(AH17+AH18+AH19)</f>
        <v>0.10850530938283931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0.29682499999999923</v>
      </c>
      <c r="O18" s="22">
        <f>N18/(N17+N18+N19)</f>
        <v>-20.470689655171167</v>
      </c>
      <c r="P18" s="18">
        <f>SUM(P7:P10)/4</f>
        <v>-9.9189025000000015</v>
      </c>
      <c r="Q18" s="22">
        <f>P18/(P17+P18+P19)</f>
        <v>0.56442746169456526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34.577500000000001</v>
      </c>
      <c r="X18" s="22">
        <f>W18/(W17+W18+W19)</f>
        <v>0.28610276159185749</v>
      </c>
      <c r="Y18" s="18">
        <f>SUM(Y7:Y10)/4</f>
        <v>18.867437500000001</v>
      </c>
      <c r="Z18" s="22">
        <f>Y18/(Y17+Y18+Y19)</f>
        <v>0.3417624449241905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34.874324999999999</v>
      </c>
      <c r="AG18" s="22">
        <f>AF18/(AF17+AF18+AF19)</f>
        <v>0.28859338928360634</v>
      </c>
      <c r="AH18" s="18">
        <f>SUM(AH7:AH10)/4</f>
        <v>8.9485349999999997</v>
      </c>
      <c r="AI18" s="22">
        <f>AH18/(AH17+AH18+AH19)</f>
        <v>0.23778485875592117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-1.9036000000000008</v>
      </c>
      <c r="O19" s="22">
        <f>N19/(N17+N18+N19)</f>
        <v>131.28275862068205</v>
      </c>
      <c r="P19" s="18">
        <f>(P15+P16)/2</f>
        <v>-0.29754999999999843</v>
      </c>
      <c r="Q19" s="22">
        <f>P19/(P17+P18+P19)</f>
        <v>1.6931852211191409E-2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26.060449999999999</v>
      </c>
      <c r="X19" s="22">
        <f>W19/(W17+W18+W19)</f>
        <v>0.21563058964142931</v>
      </c>
      <c r="Y19" s="18">
        <f>(Y15+Y16)/2</f>
        <v>24.89855</v>
      </c>
      <c r="Z19" s="22">
        <f>Y19/(Y17+Y18+Y19)</f>
        <v>0.45100927579949329</v>
      </c>
      <c r="AA19" s="14"/>
      <c r="AB19" s="14"/>
      <c r="AC19" s="14"/>
      <c r="AE19" s="21" t="str">
        <f t="shared" si="14"/>
        <v>Physiological</v>
      </c>
      <c r="AF19" s="18">
        <f>(AF15+AF16)/2</f>
        <v>24.156849999999999</v>
      </c>
      <c r="AG19" s="22">
        <f>AF19/(AF17+AF18+AF19)</f>
        <v>0.19990371758924896</v>
      </c>
      <c r="AH19" s="18">
        <f>(AH15+AH16)/2</f>
        <v>24.601000000000003</v>
      </c>
      <c r="AI19" s="22">
        <f>AH19/(AH17+AH18+AH19)</f>
        <v>0.65370983186123954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1.74/2.14</v>
      </c>
      <c r="D24" s="44" t="str">
        <f>lang!B11</f>
        <v>频率方差</v>
      </c>
      <c r="E24" s="142" t="str">
        <f ca="1">CONCATENATE(ROUND('FH1'!L3,2),"/",ROUND('FH2'!L3,2))</f>
        <v>0.74/0.62</v>
      </c>
      <c r="F24" s="143"/>
      <c r="G24" s="134" t="str">
        <f>lang!B12</f>
        <v>生理变化率</v>
      </c>
      <c r="H24" s="135"/>
      <c r="I24" s="62" t="str">
        <f ca="1">CONCATENATE(info!M7,"-",info!M8)</f>
        <v>29-55.7</v>
      </c>
      <c r="J24" s="42" t="str">
        <f>lang!B13</f>
        <v>千卡l/分钟</v>
      </c>
      <c r="K24" s="41" t="str">
        <f ca="1">CONCATENATE(info!M5,"-",info!M6)</f>
        <v>2.2-4.6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-11.096900000000003</v>
      </c>
      <c r="F27" s="164"/>
      <c r="G27" s="178" t="str">
        <f>lang!B33</f>
        <v>稳定性</v>
      </c>
      <c r="H27" s="179"/>
      <c r="I27" s="180"/>
      <c r="J27" s="181">
        <f>dM!B19*100</f>
        <v>11.895600000000005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-0.90161032982012024</v>
      </c>
      <c r="C2">
        <f t="array" aca="1" ref="C2" ca="1">CORREL(FT_E02,FT_PH02)</f>
        <v>0.70095426561286645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2.2159300000000002</v>
      </c>
      <c r="G2" s="61">
        <f>IF(FT!B2&lt;&gt;"",FT!B2*100,"")</f>
        <v>55.735700000000001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2.2810800000000002</v>
      </c>
      <c r="G3" s="61">
        <f>IF(FT!B3&lt;&gt;"",FT!B3*100,"")</f>
        <v>54.835699999999996</v>
      </c>
      <c r="H3" s="61">
        <f t="shared" ref="H3:H66" si="1">(IF(F3&lt;&gt;"",1,""))</f>
        <v>1</v>
      </c>
      <c r="I3" t="str">
        <f>IF(FT!B3&lt;&gt;"",FT!E3,"")</f>
        <v>1 [0.409295]</v>
      </c>
      <c r="J3">
        <f>IF(FT!B3&lt;&gt;"",FT!C3,"")</f>
        <v>0.40929500000000002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0.35082464864864848</v>
      </c>
      <c r="V3">
        <f ca="1">AVERAGE(OFFSET(FT!B2,info!$L$3/2,0,info!$L$3/2,1))</f>
        <v>0.38571408108108096</v>
      </c>
      <c r="W3">
        <f ca="1">AVERAGE(OFFSET(FT!A2,0,0,info!$L$3/2,1))</f>
        <v>0.37879879729729726</v>
      </c>
      <c r="X3">
        <f ca="1">AVERAGE(OFFSET(FT!A2,info!$L$3/2,0,info!$L$3/2,1))</f>
        <v>0.43713098648648641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2.3470800000000001</v>
      </c>
      <c r="G4" s="61">
        <f>IF(FT!B4&lt;&gt;"",FT!B4*100,"")</f>
        <v>53.853300000000004</v>
      </c>
      <c r="H4" s="61">
        <f t="shared" si="1"/>
        <v>1</v>
      </c>
      <c r="I4" t="str">
        <f>IF(FT!B4&lt;&gt;"",FT!E4,"")</f>
        <v>1 [0.816036]</v>
      </c>
      <c r="J4">
        <f>IF(FT!B4&lt;&gt;"",FT!C4,"")</f>
        <v>0.81603599999999998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14.937374999999999</v>
      </c>
      <c r="V4">
        <f>U4*3</f>
        <v>44.812124999999995</v>
      </c>
      <c r="W4">
        <f>U4</f>
        <v>14.937374999999999</v>
      </c>
      <c r="X4">
        <f>V4</f>
        <v>44.812124999999995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2.4111699999999998</v>
      </c>
      <c r="G5" s="61">
        <f>IF(FT!B5&lt;&gt;"",FT!B5*100,"")</f>
        <v>52.792099999999998</v>
      </c>
      <c r="H5" s="61">
        <f t="shared" si="1"/>
        <v>1</v>
      </c>
      <c r="I5" t="str">
        <f>IF(FT!B5&lt;&gt;"",FT!E5,"")</f>
        <v>1 [1.219158]</v>
      </c>
      <c r="J5">
        <f>IF(FT!B5&lt;&gt;"",FT!C5,"")</f>
        <v>1.21916</v>
      </c>
      <c r="K5" t="s">
        <v>53</v>
      </c>
      <c r="L5" s="63">
        <f ca="1">MIN(FT_E)</f>
        <v>2.2159300000000002</v>
      </c>
      <c r="M5" s="63">
        <f ca="1">ROUND(L5,1)</f>
        <v>2.2000000000000002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35.082464864864846</v>
      </c>
      <c r="V5">
        <f ca="1">V3*100</f>
        <v>38.571408108108095</v>
      </c>
      <c r="W5">
        <f ca="1">W3*10</f>
        <v>3.7879879729729726</v>
      </c>
      <c r="X5">
        <f ca="1">X3*10</f>
        <v>4.3713098648648643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2.4761800000000003</v>
      </c>
      <c r="G6" s="61">
        <f>IF(FT!B6&lt;&gt;"",FT!B6*100,"")</f>
        <v>51.636800000000008</v>
      </c>
      <c r="H6" s="61">
        <f t="shared" si="1"/>
        <v>1</v>
      </c>
      <c r="I6" t="str">
        <f>IF(FT!B6&lt;&gt;"",FT!E6,"")</f>
        <v>1 [1.625365]</v>
      </c>
      <c r="J6">
        <f>IF(FT!B6&lt;&gt;"",FT!C6,"")</f>
        <v>1.62537</v>
      </c>
      <c r="K6" t="s">
        <v>54</v>
      </c>
      <c r="L6" s="63">
        <f ca="1">MAX(FT_E)</f>
        <v>4.6479100000000004</v>
      </c>
      <c r="M6" s="63">
        <f ca="1">ROUND(L6,1)</f>
        <v>4.5999999999999996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2.5420500000000001</v>
      </c>
      <c r="G7" s="61">
        <f>IF(FT!B7&lt;&gt;"",FT!B7*100,"")</f>
        <v>50.449600000000004</v>
      </c>
      <c r="H7" s="61">
        <f t="shared" si="1"/>
        <v>1</v>
      </c>
      <c r="I7" t="str">
        <f>IF(FT!B7&lt;&gt;"",FT!E7,"")</f>
        <v>1 [2.033964]</v>
      </c>
      <c r="J7">
        <f>IF(FT!B7&lt;&gt;"",FT!C7,"")</f>
        <v>2.03396</v>
      </c>
      <c r="K7" t="s">
        <v>55</v>
      </c>
      <c r="L7" s="63">
        <f ca="1">MIN(FT_PH)</f>
        <v>29.014699999999998</v>
      </c>
      <c r="M7" s="63">
        <f ca="1">ROUND(L7,1)</f>
        <v>29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2019</v>
      </c>
      <c r="D8" s="61">
        <f>FH!B8*1</f>
        <v>2019</v>
      </c>
      <c r="E8">
        <f t="shared" si="3"/>
        <v>6</v>
      </c>
      <c r="F8" s="61">
        <f>IF(FT!A8&lt;&gt;"",FT!A8*10,"")</f>
        <v>2.60832</v>
      </c>
      <c r="G8" s="61">
        <f>IF(FT!B8&lt;&gt;"",FT!B8*100,"")</f>
        <v>49.188500000000005</v>
      </c>
      <c r="H8" s="61">
        <f t="shared" si="1"/>
        <v>1</v>
      </c>
      <c r="I8" t="str">
        <f>IF(FT!B8&lt;&gt;"",FT!E8,"")</f>
        <v>1 [2.439794]</v>
      </c>
      <c r="J8">
        <f>IF(FT!B8&lt;&gt;"",FT!C8,"")</f>
        <v>2.4397899999999999</v>
      </c>
      <c r="K8" t="s">
        <v>56</v>
      </c>
      <c r="L8" s="63">
        <f ca="1">MAX(FT_PH)</f>
        <v>55.735700000000001</v>
      </c>
      <c r="M8" s="63">
        <f ca="1">ROUND(L8,1)</f>
        <v>55.7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2.6757499999999999</v>
      </c>
      <c r="G9" s="61">
        <f>IF(FT!B9&lt;&gt;"",FT!B9*100,"")</f>
        <v>47.889700000000005</v>
      </c>
      <c r="H9" s="61">
        <f t="shared" si="1"/>
        <v>1</v>
      </c>
      <c r="I9" t="str">
        <f>IF(FT!B9&lt;&gt;"",FT!E9,"")</f>
        <v>1 [2.846898]</v>
      </c>
      <c r="J9">
        <f>IF(FT!B9&lt;&gt;"",FT!C9,"")</f>
        <v>2.8469000000000002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3420</v>
      </c>
      <c r="D10" s="61">
        <f>FH!B10*1</f>
        <v>3420</v>
      </c>
      <c r="E10">
        <f t="shared" si="3"/>
        <v>8</v>
      </c>
      <c r="F10" s="61">
        <f>IF(FT!A10&lt;&gt;"",FT!A10*10,"")</f>
        <v>2.7417899999999999</v>
      </c>
      <c r="G10" s="61">
        <f>IF(FT!B10&lt;&gt;"",FT!B10*100,"")</f>
        <v>46.595700000000001</v>
      </c>
      <c r="H10" s="61">
        <f t="shared" si="1"/>
        <v>1</v>
      </c>
      <c r="I10" t="str">
        <f>IF(FT!B10&lt;&gt;"",FT!E10,"")</f>
        <v>1 [3.253651]</v>
      </c>
      <c r="J10">
        <f>IF(FT!B10&lt;&gt;"",FT!C10,"")</f>
        <v>3.2536499999999999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2.8062100000000001</v>
      </c>
      <c r="G11" s="61">
        <f>IF(FT!B11&lt;&gt;"",FT!B11*100,"")</f>
        <v>45.297699999999999</v>
      </c>
      <c r="H11" s="61">
        <f t="shared" si="1"/>
        <v>1</v>
      </c>
      <c r="I11" t="str">
        <f>IF(FT!B11&lt;&gt;"",FT!E11,"")</f>
        <v>1 [3.653797]</v>
      </c>
      <c r="J11">
        <f>IF(FT!B11&lt;&gt;"",FT!C11,"")</f>
        <v>3.6537999999999999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2.8700100000000002</v>
      </c>
      <c r="G12" s="61">
        <f>IF(FT!B12&lt;&gt;"",FT!B12*100,"")</f>
        <v>43.886399999999995</v>
      </c>
      <c r="H12" s="61">
        <f t="shared" si="1"/>
        <v>1</v>
      </c>
      <c r="I12" t="str">
        <f>IF(FT!B12&lt;&gt;"",FT!E12,"")</f>
        <v>1 [4.063692]</v>
      </c>
      <c r="J12">
        <f>IF(FT!B12&lt;&gt;"",FT!C12,"")</f>
        <v>4.0636900000000002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5762</v>
      </c>
      <c r="D13" s="61">
        <f>FH!B13*1</f>
        <v>5762</v>
      </c>
      <c r="E13">
        <f t="shared" si="3"/>
        <v>11</v>
      </c>
      <c r="F13" s="61">
        <f>IF(FT!A13&lt;&gt;"",FT!A13*10,"")</f>
        <v>2.9375800000000001</v>
      </c>
      <c r="G13" s="61">
        <f>IF(FT!B13&lt;&gt;"",FT!B13*100,"")</f>
        <v>42.4054</v>
      </c>
      <c r="H13" s="61">
        <f t="shared" si="1"/>
        <v>1</v>
      </c>
      <c r="I13" t="str">
        <f>IF(FT!B13&lt;&gt;"",FT!E13,"")</f>
        <v>1 [4.470277]</v>
      </c>
      <c r="J13">
        <f>IF(FT!B13&lt;&gt;"",FT!C13,"")</f>
        <v>4.4702799999999998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3.0062199999999999</v>
      </c>
      <c r="G14" s="61">
        <f>IF(FT!B14&lt;&gt;"",FT!B14*100,"")</f>
        <v>41.005800000000001</v>
      </c>
      <c r="H14" s="61">
        <f t="shared" si="1"/>
        <v>1</v>
      </c>
      <c r="I14" t="str">
        <f>IF(FT!B14&lt;&gt;"",FT!E14,"")</f>
        <v>1 [4.877962]</v>
      </c>
      <c r="J14">
        <f>IF(FT!B14&lt;&gt;"",FT!C14,"")</f>
        <v>4.8779599999999999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10048</v>
      </c>
      <c r="D15" s="61">
        <f>FH!B15*1</f>
        <v>10048</v>
      </c>
      <c r="E15">
        <f t="shared" si="3"/>
        <v>13</v>
      </c>
      <c r="F15" s="61">
        <f>IF(FT!A15&lt;&gt;"",FT!A15*10,"")</f>
        <v>3.07118</v>
      </c>
      <c r="G15" s="61">
        <f>IF(FT!B15&lt;&gt;"",FT!B15*100,"")</f>
        <v>39.692300000000003</v>
      </c>
      <c r="H15" s="61">
        <f t="shared" si="1"/>
        <v>1</v>
      </c>
      <c r="I15" t="str">
        <f>IF(FT!B15&lt;&gt;"",FT!E15,"")</f>
        <v>1 [5.284294]</v>
      </c>
      <c r="J15">
        <f>IF(FT!B15&lt;&gt;"",FT!C15,"")</f>
        <v>5.2842900000000004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3.1380999999999997</v>
      </c>
      <c r="G16" s="61">
        <f>IF(FT!B16&lt;&gt;"",FT!B16*100,"")</f>
        <v>38.416600000000003</v>
      </c>
      <c r="H16" s="61">
        <f t="shared" si="1"/>
        <v>1</v>
      </c>
      <c r="I16" t="str">
        <f>IF(FT!B16&lt;&gt;"",FT!E16,"")</f>
        <v>1 [5.686796]</v>
      </c>
      <c r="J16">
        <f>IF(FT!B16&lt;&gt;"",FT!C16,"")</f>
        <v>5.6867999999999999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3.2052300000000002</v>
      </c>
      <c r="G17" s="61">
        <f>IF(FT!B17&lt;&gt;"",FT!B17*100,"")</f>
        <v>37.343399999999995</v>
      </c>
      <c r="H17" s="61">
        <f t="shared" si="1"/>
        <v>1</v>
      </c>
      <c r="I17" t="str">
        <f>IF(FT!B17&lt;&gt;"",FT!E17,"")</f>
        <v>1 [6.095228]</v>
      </c>
      <c r="J17">
        <f>IF(FT!B17&lt;&gt;"",FT!C17,"")</f>
        <v>6.0952299999999999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15201</v>
      </c>
      <c r="D18" s="61">
        <f>FH!B18*1</f>
        <v>15201</v>
      </c>
      <c r="E18">
        <f t="shared" si="3"/>
        <v>16</v>
      </c>
      <c r="F18" s="61">
        <f>IF(FT!A18&lt;&gt;"",FT!A18*10,"")</f>
        <v>3.27237</v>
      </c>
      <c r="G18" s="61">
        <f>IF(FT!B18&lt;&gt;"",FT!B18*100,"")</f>
        <v>36.432199999999995</v>
      </c>
      <c r="H18" s="61">
        <f t="shared" si="1"/>
        <v>1</v>
      </c>
      <c r="I18" t="str">
        <f>IF(FT!B18&lt;&gt;"",FT!E18,"")</f>
        <v>1 [6.500995]</v>
      </c>
      <c r="J18">
        <f>IF(FT!B18&lt;&gt;"",FT!C18,"")</f>
        <v>6.5010000000000003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3.3320499999999997</v>
      </c>
      <c r="G19" s="61">
        <f>IF(FT!B19&lt;&gt;"",FT!B19*100,"")</f>
        <v>35.781500000000001</v>
      </c>
      <c r="H19" s="61">
        <f t="shared" si="1"/>
        <v>1</v>
      </c>
      <c r="I19" t="str">
        <f>IF(FT!B19&lt;&gt;"",FT!E19,"")</f>
        <v>1 [6.909967]</v>
      </c>
      <c r="J19">
        <f>IF(FT!B19&lt;&gt;"",FT!C19,"")</f>
        <v>6.9099700000000004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3.3884999999999996</v>
      </c>
      <c r="G20" s="61">
        <f>IF(FT!B20&lt;&gt;"",FT!B20*100,"")</f>
        <v>35.232500000000002</v>
      </c>
      <c r="H20" s="61">
        <f t="shared" si="1"/>
        <v>1</v>
      </c>
      <c r="I20" t="str">
        <f>IF(FT!B20&lt;&gt;"",FT!E20,"")</f>
        <v>1 [7.315329]</v>
      </c>
      <c r="J20">
        <f>IF(FT!B20&lt;&gt;"",FT!C20,"")</f>
        <v>7.3153300000000003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23595</v>
      </c>
      <c r="D21" s="61">
        <f>FH!B21*1</f>
        <v>23595</v>
      </c>
      <c r="E21">
        <f t="shared" si="3"/>
        <v>19</v>
      </c>
      <c r="F21" s="61">
        <f>IF(FT!A21&lt;&gt;"",FT!A21*10,"")</f>
        <v>3.4448099999999999</v>
      </c>
      <c r="G21" s="61">
        <f>IF(FT!B21&lt;&gt;"",FT!B21*100,"")</f>
        <v>34.785600000000002</v>
      </c>
      <c r="H21" s="61">
        <f t="shared" si="1"/>
        <v>1</v>
      </c>
      <c r="I21" t="str">
        <f>IF(FT!B21&lt;&gt;"",FT!E21,"")</f>
        <v>1 [7.719819]</v>
      </c>
      <c r="J21">
        <f>IF(FT!B21&lt;&gt;"",FT!C21,"")</f>
        <v>7.7198200000000003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3.4996</v>
      </c>
      <c r="G22" s="61">
        <f>IF(FT!B22&lt;&gt;"",FT!B22*100,"")</f>
        <v>34.330399999999997</v>
      </c>
      <c r="H22" s="61">
        <f t="shared" si="1"/>
        <v>1</v>
      </c>
      <c r="I22" t="str">
        <f>IF(FT!B22&lt;&gt;"",FT!E22,"")</f>
        <v>1 [8.127406]</v>
      </c>
      <c r="J22">
        <f>IF(FT!B22&lt;&gt;"",FT!C22,"")</f>
        <v>8.1274099999999994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26955</v>
      </c>
      <c r="D23" s="61">
        <f>FH!B23*1</f>
        <v>26955</v>
      </c>
      <c r="E23">
        <f t="shared" si="3"/>
        <v>21</v>
      </c>
      <c r="F23" s="61">
        <f>IF(FT!A23&lt;&gt;"",FT!A23*10,"")</f>
        <v>3.5538699999999999</v>
      </c>
      <c r="G23" s="61">
        <f>IF(FT!B23&lt;&gt;"",FT!B23*100,"")</f>
        <v>33.940599999999996</v>
      </c>
      <c r="H23" s="61">
        <f t="shared" si="1"/>
        <v>1</v>
      </c>
      <c r="I23" t="str">
        <f>IF(FT!B23&lt;&gt;"",FT!E23,"")</f>
        <v>1 [8.535292]</v>
      </c>
      <c r="J23">
        <f>IF(FT!B23&lt;&gt;"",FT!C23,"")</f>
        <v>8.5352899999999998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3.6032500000000001</v>
      </c>
      <c r="G24" s="61">
        <f>IF(FT!B24&lt;&gt;"",FT!B24*100,"")</f>
        <v>33.665599999999998</v>
      </c>
      <c r="H24" s="61">
        <f t="shared" si="1"/>
        <v>1</v>
      </c>
      <c r="I24" t="str">
        <f>IF(FT!B24&lt;&gt;"",FT!E24,"")</f>
        <v>1 [8.941643]</v>
      </c>
      <c r="J24">
        <f>IF(FT!B24&lt;&gt;"",FT!C24,"")</f>
        <v>8.9416399999999996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3.6482399999999999</v>
      </c>
      <c r="G25" s="61">
        <f>IF(FT!B25&lt;&gt;"",FT!B25*100,"")</f>
        <v>33.399699999999996</v>
      </c>
      <c r="H25" s="61">
        <f t="shared" si="1"/>
        <v>1</v>
      </c>
      <c r="I25" t="str">
        <f>IF(FT!B25&lt;&gt;"",FT!E25,"")</f>
        <v>1 [9.344209]</v>
      </c>
      <c r="J25">
        <f>IF(FT!B25&lt;&gt;"",FT!C25,"")</f>
        <v>9.3442100000000003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31364</v>
      </c>
      <c r="D26" s="61">
        <f>FH!B26*1</f>
        <v>31364</v>
      </c>
      <c r="E26">
        <f t="shared" si="3"/>
        <v>24</v>
      </c>
      <c r="F26" s="61">
        <f>IF(FT!A26&lt;&gt;"",FT!A26*10,"")</f>
        <v>3.69102</v>
      </c>
      <c r="G26" s="61">
        <f>IF(FT!B26&lt;&gt;"",FT!B26*100,"")</f>
        <v>33.1843</v>
      </c>
      <c r="H26" s="61">
        <f t="shared" si="1"/>
        <v>1</v>
      </c>
      <c r="I26" t="str">
        <f>IF(FT!B26&lt;&gt;"",FT!E26,"")</f>
        <v>1 [9.748926]</v>
      </c>
      <c r="J26">
        <f>IF(FT!B26&lt;&gt;"",FT!C26,"")</f>
        <v>9.7489299999999997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3.73475</v>
      </c>
      <c r="G27" s="61">
        <f>IF(FT!B27&lt;&gt;"",FT!B27*100,"")</f>
        <v>32.856099999999998</v>
      </c>
      <c r="H27" s="61">
        <f t="shared" si="1"/>
        <v>1</v>
      </c>
      <c r="I27" t="str">
        <f>IF(FT!B27&lt;&gt;"",FT!E27,"")</f>
        <v>1 [10.156263]</v>
      </c>
      <c r="J27">
        <f>IF(FT!B27&lt;&gt;"",FT!C27,"")</f>
        <v>10.1563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31289</v>
      </c>
      <c r="D28" s="61">
        <f>FH!B28*1</f>
        <v>31289</v>
      </c>
      <c r="E28">
        <f t="shared" si="3"/>
        <v>26</v>
      </c>
      <c r="F28" s="61">
        <f>IF(FT!A28&lt;&gt;"",FT!A28*10,"")</f>
        <v>3.7771400000000002</v>
      </c>
      <c r="G28" s="61">
        <f>IF(FT!B28&lt;&gt;"",FT!B28*100,"")</f>
        <v>32.564100000000003</v>
      </c>
      <c r="H28" s="61">
        <f t="shared" si="1"/>
        <v>1</v>
      </c>
      <c r="I28" t="str">
        <f>IF(FT!B28&lt;&gt;"",FT!E28,"")</f>
        <v>1 [10.563167]</v>
      </c>
      <c r="J28">
        <f>IF(FT!B28&lt;&gt;"",FT!C28,"")</f>
        <v>10.5632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3.8130500000000001</v>
      </c>
      <c r="G29" s="61">
        <f>IF(FT!B29&lt;&gt;"",FT!B29*100,"")</f>
        <v>32.350099999999998</v>
      </c>
      <c r="H29" s="61">
        <f t="shared" si="1"/>
        <v>1</v>
      </c>
      <c r="I29" t="str">
        <f>IF(FT!B29&lt;&gt;"",FT!E29,"")</f>
        <v>1 [10.970939]</v>
      </c>
      <c r="J29">
        <f>IF(FT!B29&lt;&gt;"",FT!C29,"")</f>
        <v>10.9709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3.8454300000000003</v>
      </c>
      <c r="G30" s="61">
        <f>IF(FT!B30&lt;&gt;"",FT!B30*100,"")</f>
        <v>32.207599999999999</v>
      </c>
      <c r="H30" s="61">
        <f t="shared" si="1"/>
        <v>1</v>
      </c>
      <c r="I30" t="str">
        <f>IF(FT!B30&lt;&gt;"",FT!E30,"")</f>
        <v>1 [11.375266]</v>
      </c>
      <c r="J30">
        <f>IF(FT!B30&lt;&gt;"",FT!C30,"")</f>
        <v>11.375299999999999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42837</v>
      </c>
      <c r="D31" s="61">
        <f>FH!B31*1</f>
        <v>42837</v>
      </c>
      <c r="E31">
        <f t="shared" si="3"/>
        <v>29</v>
      </c>
      <c r="F31" s="61">
        <f>IF(FT!A31&lt;&gt;"",FT!A31*10,"")</f>
        <v>3.8767499999999999</v>
      </c>
      <c r="G31" s="61">
        <f>IF(FT!B31&lt;&gt;"",FT!B31*100,"")</f>
        <v>32.091500000000003</v>
      </c>
      <c r="H31" s="61">
        <f t="shared" si="1"/>
        <v>1</v>
      </c>
      <c r="I31" t="str">
        <f>IF(FT!B31&lt;&gt;"",FT!E31,"")</f>
        <v>1 [11.782578]</v>
      </c>
      <c r="J31">
        <f>IF(FT!B31&lt;&gt;"",FT!C31,"")</f>
        <v>11.7826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3.9055600000000004</v>
      </c>
      <c r="G32" s="61">
        <f>IF(FT!B32&lt;&gt;"",FT!B32*100,"")</f>
        <v>31.930500000000002</v>
      </c>
      <c r="H32" s="61">
        <f t="shared" si="1"/>
        <v>1</v>
      </c>
      <c r="I32" t="str">
        <f>IF(FT!B32&lt;&gt;"",FT!E32,"")</f>
        <v>1 [12.190322]</v>
      </c>
      <c r="J32">
        <f>IF(FT!B32&lt;&gt;"",FT!C32,"")</f>
        <v>12.190300000000001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46228</v>
      </c>
      <c r="D33" s="61">
        <f>FH!B33*1</f>
        <v>46228</v>
      </c>
      <c r="E33">
        <f t="shared" si="3"/>
        <v>31</v>
      </c>
      <c r="F33" s="61">
        <f>IF(FT!A33&lt;&gt;"",FT!A33*10,"")</f>
        <v>3.9338299999999999</v>
      </c>
      <c r="G33" s="61">
        <f>IF(FT!B33&lt;&gt;"",FT!B33*100,"")</f>
        <v>31.735900000000001</v>
      </c>
      <c r="H33" s="61">
        <f t="shared" si="1"/>
        <v>1</v>
      </c>
      <c r="I33" t="str">
        <f>IF(FT!B33&lt;&gt;"",FT!E33,"")</f>
        <v>1 [12.593283]</v>
      </c>
      <c r="J33">
        <f>IF(FT!B33&lt;&gt;"",FT!C33,"")</f>
        <v>12.593299999999999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3.9607199999999998</v>
      </c>
      <c r="G34" s="61">
        <f>IF(FT!B34&lt;&gt;"",FT!B34*100,"")</f>
        <v>31.522299999999998</v>
      </c>
      <c r="H34" s="61">
        <f t="shared" si="1"/>
        <v>1</v>
      </c>
      <c r="I34" t="str">
        <f>IF(FT!B34&lt;&gt;"",FT!E34,"")</f>
        <v>1 [13.000081]</v>
      </c>
      <c r="J34">
        <f>IF(FT!B34&lt;&gt;"",FT!C34,"")</f>
        <v>13.0001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3.9850699999999999</v>
      </c>
      <c r="G35" s="61">
        <f>IF(FT!B35&lt;&gt;"",FT!B35*100,"")</f>
        <v>31.3492</v>
      </c>
      <c r="H35" s="61">
        <f t="shared" si="1"/>
        <v>1</v>
      </c>
      <c r="I35" t="str">
        <f>IF(FT!B35&lt;&gt;"",FT!E35,"")</f>
        <v>1 [13.407045]</v>
      </c>
      <c r="J35">
        <f>IF(FT!B35&lt;&gt;"",FT!C35,"")</f>
        <v>13.407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50395</v>
      </c>
      <c r="D36" s="61">
        <f>FH!B36*1</f>
        <v>50395</v>
      </c>
      <c r="E36">
        <f t="shared" si="3"/>
        <v>34</v>
      </c>
      <c r="F36" s="61">
        <f>IF(FT!A36&lt;&gt;"",FT!A36*10,"")</f>
        <v>4.0058199999999999</v>
      </c>
      <c r="G36" s="61">
        <f>IF(FT!B36&lt;&gt;"",FT!B36*100,"")</f>
        <v>31.246299999999998</v>
      </c>
      <c r="H36" s="61">
        <f t="shared" si="1"/>
        <v>1</v>
      </c>
      <c r="I36" t="str">
        <f>IF(FT!B36&lt;&gt;"",FT!E36,"")</f>
        <v>1 [13.814576]</v>
      </c>
      <c r="J36">
        <f>IF(FT!B36&lt;&gt;"",FT!C36,"")</f>
        <v>13.8146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4.0240799999999997</v>
      </c>
      <c r="G37" s="61">
        <f>IF(FT!B37&lt;&gt;"",FT!B37*100,"")</f>
        <v>31.208799999999997</v>
      </c>
      <c r="H37" s="61">
        <f t="shared" si="1"/>
        <v>1</v>
      </c>
      <c r="I37" t="str">
        <f>IF(FT!B37&lt;&gt;"",FT!E37,"")</f>
        <v>1 [14.222276]</v>
      </c>
      <c r="J37">
        <f>IF(FT!B37&lt;&gt;"",FT!C37,"")</f>
        <v>14.222300000000001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4.0423100000000005</v>
      </c>
      <c r="G38" s="61">
        <f>IF(FT!B38&lt;&gt;"",FT!B38*100,"")</f>
        <v>31.150200000000002</v>
      </c>
      <c r="H38" s="61">
        <f t="shared" si="1"/>
        <v>1</v>
      </c>
      <c r="I38" t="str">
        <f>IF(FT!B38&lt;&gt;"",FT!E38,"")</f>
        <v>1 [14.625397]</v>
      </c>
      <c r="J38">
        <f>IF(FT!B38&lt;&gt;"",FT!C38,"")</f>
        <v>14.625400000000001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53753</v>
      </c>
      <c r="D39" s="61">
        <f>FH!B39*1</f>
        <v>53753</v>
      </c>
      <c r="E39">
        <f t="shared" si="3"/>
        <v>37</v>
      </c>
      <c r="F39" s="61">
        <f>IF(FT!A39&lt;&gt;"",FT!A39*10,"")</f>
        <v>4.0557300000000005</v>
      </c>
      <c r="G39" s="61">
        <f>IF(FT!B39&lt;&gt;"",FT!B39*100,"")</f>
        <v>31.0504</v>
      </c>
      <c r="H39" s="61">
        <f t="shared" si="1"/>
        <v>1</v>
      </c>
      <c r="I39" t="str">
        <f>IF(FT!B39&lt;&gt;"",FT!E39,"")</f>
        <v>1 [15.031529]</v>
      </c>
      <c r="J39">
        <f>IF(FT!B39&lt;&gt;"",FT!C39,"")</f>
        <v>15.031499999999999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4.0684199999999997</v>
      </c>
      <c r="G40" s="61">
        <f>IF(FT!B40&lt;&gt;"",FT!B40*100,"")</f>
        <v>30.844999999999999</v>
      </c>
      <c r="H40" s="61">
        <f t="shared" si="1"/>
        <v>1</v>
      </c>
      <c r="I40" t="str">
        <f>IF(FT!B40&lt;&gt;"",FT!E40,"")</f>
        <v>1 [15.437940]</v>
      </c>
      <c r="J40">
        <f>IF(FT!B40&lt;&gt;"",FT!C40,"")</f>
        <v>15.437900000000001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63373</v>
      </c>
      <c r="D41" s="61">
        <f>FH!B41*1</f>
        <v>63373</v>
      </c>
      <c r="E41">
        <f t="shared" si="3"/>
        <v>39</v>
      </c>
      <c r="F41" s="61">
        <f>IF(FT!A41&lt;&gt;"",FT!A41*10,"")</f>
        <v>4.07944</v>
      </c>
      <c r="G41" s="61">
        <f>IF(FT!B41&lt;&gt;"",FT!B41*100,"")</f>
        <v>30.610799999999998</v>
      </c>
      <c r="H41" s="61">
        <f t="shared" si="1"/>
        <v>1</v>
      </c>
      <c r="I41" t="str">
        <f>IF(FT!B41&lt;&gt;"",FT!E41,"")</f>
        <v>1 [15.848304]</v>
      </c>
      <c r="J41">
        <f>IF(FT!B41&lt;&gt;"",FT!C41,"")</f>
        <v>15.8483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4.0884499999999999</v>
      </c>
      <c r="G42" s="61">
        <f>IF(FT!B42&lt;&gt;"",FT!B42*100,"")</f>
        <v>30.3599</v>
      </c>
      <c r="H42" s="61">
        <f t="shared" si="1"/>
        <v>1</v>
      </c>
      <c r="I42" t="str">
        <f>IF(FT!B42&lt;&gt;"",FT!E42,"")</f>
        <v>1 [16.252591]</v>
      </c>
      <c r="J42">
        <f>IF(FT!B42&lt;&gt;"",FT!C42,"")</f>
        <v>16.252600000000001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4.0939500000000004</v>
      </c>
      <c r="G43" s="61">
        <f>IF(FT!B43&lt;&gt;"",FT!B43*100,"")</f>
        <v>30.141299999999998</v>
      </c>
      <c r="H43" s="61">
        <f t="shared" si="1"/>
        <v>1</v>
      </c>
      <c r="I43" t="str">
        <f>IF(FT!B43&lt;&gt;"",FT!E43,"")</f>
        <v>1 [16.660171]</v>
      </c>
      <c r="J43">
        <f>IF(FT!B43&lt;&gt;"",FT!C43,"")</f>
        <v>16.6602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64701</v>
      </c>
      <c r="D44" s="61">
        <f>FH!B44*1</f>
        <v>64701</v>
      </c>
      <c r="E44">
        <f t="shared" si="3"/>
        <v>42</v>
      </c>
      <c r="F44" s="61">
        <f>IF(FT!A44&lt;&gt;"",FT!A44*10,"")</f>
        <v>4.1040299999999998</v>
      </c>
      <c r="G44" s="61">
        <f>IF(FT!B44&lt;&gt;"",FT!B44*100,"")</f>
        <v>30.020400000000002</v>
      </c>
      <c r="H44" s="61">
        <f t="shared" si="1"/>
        <v>1</v>
      </c>
      <c r="I44" t="str">
        <f>IF(FT!B44&lt;&gt;"",FT!E44,"")</f>
        <v>1 [17.061891]</v>
      </c>
      <c r="J44">
        <f>IF(FT!B44&lt;&gt;"",FT!C44,"")</f>
        <v>17.061900000000001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4.1160200000000007</v>
      </c>
      <c r="G45" s="61">
        <f>IF(FT!B45&lt;&gt;"",FT!B45*100,"")</f>
        <v>29.957000000000001</v>
      </c>
      <c r="H45" s="61">
        <f t="shared" si="1"/>
        <v>1</v>
      </c>
      <c r="I45" t="str">
        <f>IF(FT!B45&lt;&gt;"",FT!E45,"")</f>
        <v>1 [17.470678]</v>
      </c>
      <c r="J45">
        <f>IF(FT!B45&lt;&gt;"",FT!C45,"")</f>
        <v>17.470700000000001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73817</v>
      </c>
      <c r="D46" s="61">
        <f>FH!B46*1</f>
        <v>73817</v>
      </c>
      <c r="E46">
        <f t="shared" si="3"/>
        <v>44</v>
      </c>
      <c r="F46" s="61">
        <f>IF(FT!A46&lt;&gt;"",FT!A46*10,"")</f>
        <v>4.1314600000000006</v>
      </c>
      <c r="G46" s="61">
        <f>IF(FT!B46&lt;&gt;"",FT!B46*100,"")</f>
        <v>29.819000000000003</v>
      </c>
      <c r="H46" s="61">
        <f t="shared" si="1"/>
        <v>1</v>
      </c>
      <c r="I46" t="str">
        <f>IF(FT!B46&lt;&gt;"",FT!E46,"")</f>
        <v>1 [17.878505]</v>
      </c>
      <c r="J46">
        <f>IF(FT!B46&lt;&gt;"",FT!C46,"")</f>
        <v>17.878499999999999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4.1450500000000003</v>
      </c>
      <c r="G47" s="61">
        <f>IF(FT!B47&lt;&gt;"",FT!B47*100,"")</f>
        <v>29.750300000000003</v>
      </c>
      <c r="H47" s="61">
        <f t="shared" si="1"/>
        <v>1</v>
      </c>
      <c r="I47" t="str">
        <f>IF(FT!B47&lt;&gt;"",FT!E47,"")</f>
        <v>1 [18.283066]</v>
      </c>
      <c r="J47">
        <f>IF(FT!B47&lt;&gt;"",FT!C47,"")</f>
        <v>18.283100000000001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4.1593299999999997</v>
      </c>
      <c r="G48" s="61">
        <f>IF(FT!B48&lt;&gt;"",FT!B48*100,"")</f>
        <v>29.547099999999997</v>
      </c>
      <c r="H48" s="61">
        <f t="shared" si="1"/>
        <v>1</v>
      </c>
      <c r="I48" t="str">
        <f>IF(FT!B48&lt;&gt;"",FT!E48,"")</f>
        <v>1 [18.690397]</v>
      </c>
      <c r="J48">
        <f>IF(FT!B48&lt;&gt;"",FT!C48,"")</f>
        <v>18.6904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88034</v>
      </c>
      <c r="D49" s="61">
        <f>FH!B49*1</f>
        <v>88034</v>
      </c>
      <c r="E49">
        <f t="shared" si="3"/>
        <v>47</v>
      </c>
      <c r="F49" s="61">
        <f>IF(FT!A49&lt;&gt;"",FT!A49*10,"")</f>
        <v>4.1749999999999998</v>
      </c>
      <c r="G49" s="61">
        <f>IF(FT!B49&lt;&gt;"",FT!B49*100,"")</f>
        <v>29.402299999999997</v>
      </c>
      <c r="H49" s="61">
        <f t="shared" si="1"/>
        <v>1</v>
      </c>
      <c r="I49" t="str">
        <f>IF(FT!B49&lt;&gt;"",FT!E49,"")</f>
        <v>1 [19.095529]</v>
      </c>
      <c r="J49">
        <f>IF(FT!B49&lt;&gt;"",FT!C49,"")</f>
        <v>19.095500000000001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4.1896899999999997</v>
      </c>
      <c r="G50" s="61">
        <f>IF(FT!B50&lt;&gt;"",FT!B50*100,"")</f>
        <v>29.337999999999997</v>
      </c>
      <c r="H50" s="61">
        <f t="shared" si="1"/>
        <v>1</v>
      </c>
      <c r="I50" t="str">
        <f>IF(FT!B50&lt;&gt;"",FT!E50,"")</f>
        <v>1 [19.503331]</v>
      </c>
      <c r="J50">
        <f>IF(FT!B50&lt;&gt;"",FT!C50,"")</f>
        <v>19.503299999999999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90674</v>
      </c>
      <c r="D51" s="61">
        <f>FH!B51*1</f>
        <v>90674</v>
      </c>
      <c r="E51">
        <f t="shared" si="3"/>
        <v>49</v>
      </c>
      <c r="F51" s="61">
        <f>IF(FT!A51&lt;&gt;"",FT!A51*10,"")</f>
        <v>4.2065799999999998</v>
      </c>
      <c r="G51" s="61">
        <f>IF(FT!B51&lt;&gt;"",FT!B51*100,"")</f>
        <v>29.262599999999999</v>
      </c>
      <c r="H51" s="61">
        <f t="shared" si="1"/>
        <v>1</v>
      </c>
      <c r="I51" t="str">
        <f>IF(FT!B51&lt;&gt;"",FT!E51,"")</f>
        <v>1 [19.906346]</v>
      </c>
      <c r="J51">
        <f>IF(FT!B51&lt;&gt;"",FT!C51,"")</f>
        <v>19.906300000000002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4.2209700000000003</v>
      </c>
      <c r="G52" s="61">
        <f>IF(FT!B52&lt;&gt;"",FT!B52*100,"")</f>
        <v>29.240500000000004</v>
      </c>
      <c r="H52" s="61">
        <f t="shared" si="1"/>
        <v>1</v>
      </c>
      <c r="I52" t="str">
        <f>IF(FT!B52&lt;&gt;"",FT!E52,"")</f>
        <v>1 [20.315646]</v>
      </c>
      <c r="J52">
        <f>IF(FT!B52&lt;&gt;"",FT!C52,"")</f>
        <v>20.3156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4.2380000000000004</v>
      </c>
      <c r="G53" s="61">
        <f>IF(FT!B53&lt;&gt;"",FT!B53*100,"")</f>
        <v>29.180899999999998</v>
      </c>
      <c r="H53" s="61">
        <f t="shared" si="1"/>
        <v>1</v>
      </c>
      <c r="I53" t="str">
        <f>IF(FT!B53&lt;&gt;"",FT!E53,"")</f>
        <v>1 [20.721363]</v>
      </c>
      <c r="J53">
        <f>IF(FT!B53&lt;&gt;"",FT!C53,"")</f>
        <v>20.721399999999999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91745</v>
      </c>
      <c r="D54" s="61">
        <f>FH!B54*1</f>
        <v>91745</v>
      </c>
      <c r="E54">
        <f t="shared" si="3"/>
        <v>52</v>
      </c>
      <c r="F54" s="61">
        <f>IF(FT!A54&lt;&gt;"",FT!A54*10,"")</f>
        <v>4.26227</v>
      </c>
      <c r="G54" s="61">
        <f>IF(FT!B54&lt;&gt;"",FT!B54*100,"")</f>
        <v>29.094199999999997</v>
      </c>
      <c r="H54" s="61">
        <f t="shared" si="1"/>
        <v>1</v>
      </c>
      <c r="I54" t="str">
        <f>IF(FT!B54&lt;&gt;"",FT!E54,"")</f>
        <v>1 [21.125285]</v>
      </c>
      <c r="J54">
        <f>IF(FT!B54&lt;&gt;"",FT!C54,"")</f>
        <v>21.125299999999999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4.29026</v>
      </c>
      <c r="G55" s="61">
        <f>IF(FT!B55&lt;&gt;"",FT!B55*100,"")</f>
        <v>29.027399999999997</v>
      </c>
      <c r="H55" s="61">
        <f t="shared" si="1"/>
        <v>1</v>
      </c>
      <c r="I55" t="str">
        <f>IF(FT!B55&lt;&gt;"",FT!E55,"")</f>
        <v>1 [21.534633]</v>
      </c>
      <c r="J55">
        <f>IF(FT!B55&lt;&gt;"",FT!C55,"")</f>
        <v>21.534600000000001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4.3129200000000001</v>
      </c>
      <c r="G56" s="61">
        <f>IF(FT!B56&lt;&gt;"",FT!B56*100,"")</f>
        <v>29.014699999999998</v>
      </c>
      <c r="H56" s="61">
        <f t="shared" si="1"/>
        <v>1</v>
      </c>
      <c r="I56" t="str">
        <f>IF(FT!B56&lt;&gt;"",FT!E56,"")</f>
        <v>1 [21.936449]</v>
      </c>
      <c r="J56">
        <f>IF(FT!B56&lt;&gt;"",FT!C56,"")</f>
        <v>21.936399999999999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93636</v>
      </c>
      <c r="D57" s="61">
        <f>FH!B57*1</f>
        <v>93636</v>
      </c>
      <c r="E57">
        <f t="shared" si="3"/>
        <v>55</v>
      </c>
      <c r="F57" s="61">
        <f>IF(FT!A57&lt;&gt;"",FT!A57*10,"")</f>
        <v>4.3331900000000001</v>
      </c>
      <c r="G57" s="61">
        <f>IF(FT!B57&lt;&gt;"",FT!B57*100,"")</f>
        <v>29.116099999999999</v>
      </c>
      <c r="H57" s="61">
        <f t="shared" si="1"/>
        <v>1</v>
      </c>
      <c r="I57" t="str">
        <f>IF(FT!B57&lt;&gt;"",FT!E57,"")</f>
        <v>1 [22.346101]</v>
      </c>
      <c r="J57">
        <f>IF(FT!B57&lt;&gt;"",FT!C57,"")</f>
        <v>22.3461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4.3498299999999999</v>
      </c>
      <c r="G58" s="61">
        <f>IF(FT!B58&lt;&gt;"",FT!B58*100,"")</f>
        <v>29.3429</v>
      </c>
      <c r="H58" s="61">
        <f t="shared" si="1"/>
        <v>1</v>
      </c>
      <c r="I58" t="str">
        <f>IF(FT!B58&lt;&gt;"",FT!E58,"")</f>
        <v>1 [22.752868]</v>
      </c>
      <c r="J58">
        <f>IF(FT!B58&lt;&gt;"",FT!C58,"")</f>
        <v>22.7529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104540</v>
      </c>
      <c r="D59" s="61">
        <f>FH!B59*1</f>
        <v>104540</v>
      </c>
      <c r="E59">
        <f t="shared" si="3"/>
        <v>57</v>
      </c>
      <c r="F59" s="61">
        <f>IF(FT!A59&lt;&gt;"",FT!A59*10,"")</f>
        <v>4.3645199999999997</v>
      </c>
      <c r="G59" s="61">
        <f>IF(FT!B59&lt;&gt;"",FT!B59*100,"")</f>
        <v>29.658000000000001</v>
      </c>
      <c r="H59" s="61">
        <f t="shared" si="1"/>
        <v>1</v>
      </c>
      <c r="I59" t="str">
        <f>IF(FT!B59&lt;&gt;"",FT!E59,"")</f>
        <v>1 [23.157207]</v>
      </c>
      <c r="J59">
        <f>IF(FT!B59&lt;&gt;"",FT!C59,"")</f>
        <v>23.1572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4.3824300000000003</v>
      </c>
      <c r="G60" s="61">
        <f>IF(FT!B60&lt;&gt;"",FT!B60*100,"")</f>
        <v>29.965799999999998</v>
      </c>
      <c r="H60" s="61">
        <f t="shared" si="1"/>
        <v>1</v>
      </c>
      <c r="I60" t="str">
        <f>IF(FT!B60&lt;&gt;"",FT!E60,"")</f>
        <v>1 [23.562599]</v>
      </c>
      <c r="J60">
        <f>IF(FT!B60&lt;&gt;"",FT!C60,"")</f>
        <v>23.5626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4.4007199999999997</v>
      </c>
      <c r="G61" s="61">
        <f>IF(FT!B61&lt;&gt;"",FT!B61*100,"")</f>
        <v>30.343999999999998</v>
      </c>
      <c r="H61" s="61">
        <f t="shared" si="1"/>
        <v>1</v>
      </c>
      <c r="I61" t="str">
        <f>IF(FT!B61&lt;&gt;"",FT!E61,"")</f>
        <v>1 [23.969455]</v>
      </c>
      <c r="J61">
        <f>IF(FT!B61&lt;&gt;"",FT!C61,"")</f>
        <v>23.9695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109686</v>
      </c>
      <c r="D62" s="61">
        <f>FH!B62*1</f>
        <v>109686</v>
      </c>
      <c r="E62">
        <f t="shared" si="3"/>
        <v>60</v>
      </c>
      <c r="F62" s="61">
        <f>IF(FT!A62&lt;&gt;"",FT!A62*10,"")</f>
        <v>4.4178800000000003</v>
      </c>
      <c r="G62" s="61">
        <f>IF(FT!B62&lt;&gt;"",FT!B62*100,"")</f>
        <v>30.731399999999997</v>
      </c>
      <c r="H62" s="61">
        <f t="shared" si="1"/>
        <v>1</v>
      </c>
      <c r="I62" t="str">
        <f>IF(FT!B62&lt;&gt;"",FT!E62,"")</f>
        <v>1 [24.376181]</v>
      </c>
      <c r="J62">
        <f>IF(FT!B62&lt;&gt;"",FT!C62,"")</f>
        <v>24.376200000000001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4.4283799999999998</v>
      </c>
      <c r="G63" s="61">
        <f>IF(FT!B63&lt;&gt;"",FT!B63*100,"")</f>
        <v>31.090899999999998</v>
      </c>
      <c r="H63" s="61">
        <f t="shared" si="1"/>
        <v>1</v>
      </c>
      <c r="I63" t="str">
        <f>IF(FT!B63&lt;&gt;"",FT!E63,"")</f>
        <v>1 [24.783766]</v>
      </c>
      <c r="J63">
        <f>IF(FT!B63&lt;&gt;"",FT!C63,"")</f>
        <v>24.783799999999999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114195</v>
      </c>
      <c r="D64" s="61">
        <f>FH!B64*1</f>
        <v>114195</v>
      </c>
      <c r="E64">
        <f t="shared" si="3"/>
        <v>62</v>
      </c>
      <c r="F64" s="61">
        <f>IF(FT!A64&lt;&gt;"",FT!A64*10,"")</f>
        <v>4.4384100000000002</v>
      </c>
      <c r="G64" s="61">
        <f>IF(FT!B64&lt;&gt;"",FT!B64*100,"")</f>
        <v>31.514599999999998</v>
      </c>
      <c r="H64" s="61">
        <f t="shared" si="1"/>
        <v>1</v>
      </c>
      <c r="I64" t="str">
        <f>IF(FT!B64&lt;&gt;"",FT!E64,"")</f>
        <v>1 [25.186884]</v>
      </c>
      <c r="J64">
        <f>IF(FT!B64&lt;&gt;"",FT!C64,"")</f>
        <v>25.186900000000001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4.44428</v>
      </c>
      <c r="G65" s="61">
        <f>IF(FT!B65&lt;&gt;"",FT!B65*100,"")</f>
        <v>32.0124</v>
      </c>
      <c r="H65" s="61">
        <f t="shared" si="1"/>
        <v>1</v>
      </c>
      <c r="I65" t="str">
        <f>IF(FT!B65&lt;&gt;"",FT!E65,"")</f>
        <v>1 [25.591978]</v>
      </c>
      <c r="J65">
        <f>IF(FT!B65&lt;&gt;"",FT!C65,"")</f>
        <v>25.591999999999999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4.44564</v>
      </c>
      <c r="G66" s="61">
        <f>IF(FT!B66&lt;&gt;"",FT!B66*100,"")</f>
        <v>32.545699999999997</v>
      </c>
      <c r="H66" s="61">
        <f t="shared" si="1"/>
        <v>1</v>
      </c>
      <c r="I66" t="str">
        <f>IF(FT!B66&lt;&gt;"",FT!E66,"")</f>
        <v>1 [26.000223]</v>
      </c>
      <c r="J66">
        <f>IF(FT!B66&lt;&gt;"",FT!C66,"")</f>
        <v>26.0002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118450</v>
      </c>
      <c r="D67" s="61">
        <f>FH!B67*1</f>
        <v>118450</v>
      </c>
      <c r="E67">
        <f t="shared" si="3"/>
        <v>65</v>
      </c>
      <c r="F67" s="61">
        <f>IF(FT!A67&lt;&gt;"",FT!A67*10,"")</f>
        <v>4.4430199999999997</v>
      </c>
      <c r="G67" s="61">
        <f>IF(FT!B67&lt;&gt;"",FT!B67*100,"")</f>
        <v>33.032499999999999</v>
      </c>
      <c r="H67" s="61">
        <f t="shared" ref="H67:H130" si="9">(IF(F67&lt;&gt;"",1,""))</f>
        <v>1</v>
      </c>
      <c r="I67" t="str">
        <f>IF(FT!B67&lt;&gt;"",FT!E67,"")</f>
        <v>1 [26.406343]</v>
      </c>
      <c r="J67">
        <f>IF(FT!B67&lt;&gt;"",FT!C67,"")</f>
        <v>26.406300000000002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4.4408500000000002</v>
      </c>
      <c r="G68" s="61">
        <f>IF(FT!B68&lt;&gt;"",FT!B68*100,"")</f>
        <v>33.494</v>
      </c>
      <c r="H68" s="61">
        <f t="shared" si="9"/>
        <v>1</v>
      </c>
      <c r="I68" t="str">
        <f>IF(FT!B68&lt;&gt;"",FT!E68,"")</f>
        <v>1 [26.814535]</v>
      </c>
      <c r="J68">
        <f>IF(FT!B68&lt;&gt;"",FT!C68,"")</f>
        <v>26.814499999999999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132572</v>
      </c>
      <c r="D69" s="61">
        <f>FH!B69*1</f>
        <v>132572</v>
      </c>
      <c r="E69">
        <f t="shared" si="11"/>
        <v>67</v>
      </c>
      <c r="F69" s="61">
        <f>IF(FT!A69&lt;&gt;"",FT!A69*10,"")</f>
        <v>4.4374500000000001</v>
      </c>
      <c r="G69" s="61">
        <f>IF(FT!B69&lt;&gt;"",FT!B69*100,"")</f>
        <v>33.880500000000005</v>
      </c>
      <c r="H69" s="61">
        <f t="shared" si="9"/>
        <v>1</v>
      </c>
      <c r="I69" t="str">
        <f>IF(FT!B69&lt;&gt;"",FT!E69,"")</f>
        <v>1 [27.221051]</v>
      </c>
      <c r="J69">
        <f>IF(FT!B69&lt;&gt;"",FT!C69,"")</f>
        <v>27.2211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4.4321099999999998</v>
      </c>
      <c r="G70" s="61">
        <f>IF(FT!B70&lt;&gt;"",FT!B70*100,"")</f>
        <v>34.259799999999998</v>
      </c>
      <c r="H70" s="61">
        <f t="shared" si="9"/>
        <v>1</v>
      </c>
      <c r="I70" t="str">
        <f>IF(FT!B70&lt;&gt;"",FT!E70,"")</f>
        <v>1 [27.628318]</v>
      </c>
      <c r="J70">
        <f>IF(FT!B70&lt;&gt;"",FT!C70,"")</f>
        <v>27.628299999999999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4.4185699999999999</v>
      </c>
      <c r="G71" s="61">
        <f>IF(FT!B71&lt;&gt;"",FT!B71*100,"")</f>
        <v>34.576499999999996</v>
      </c>
      <c r="H71" s="61">
        <f t="shared" si="9"/>
        <v>1</v>
      </c>
      <c r="I71" t="str">
        <f>IF(FT!B71&lt;&gt;"",FT!E71,"")</f>
        <v>1 [28.032667]</v>
      </c>
      <c r="J71">
        <f>IF(FT!B71&lt;&gt;"",FT!C71,"")</f>
        <v>28.032699999999998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132747</v>
      </c>
      <c r="D72" s="61">
        <f>FH!B72*1</f>
        <v>132747</v>
      </c>
      <c r="E72">
        <f t="shared" si="11"/>
        <v>70</v>
      </c>
      <c r="F72" s="61">
        <f>IF(FT!A72&lt;&gt;"",FT!A72*10,"")</f>
        <v>4.4036100000000005</v>
      </c>
      <c r="G72" s="61">
        <f>IF(FT!B72&lt;&gt;"",FT!B72*100,"")</f>
        <v>34.8247</v>
      </c>
      <c r="H72" s="61">
        <f t="shared" si="9"/>
        <v>1</v>
      </c>
      <c r="I72" t="str">
        <f>IF(FT!B72&lt;&gt;"",FT!E72,"")</f>
        <v>1 [28.441084]</v>
      </c>
      <c r="J72">
        <f>IF(FT!B72&lt;&gt;"",FT!C72,"")</f>
        <v>28.441099999999999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4.38706</v>
      </c>
      <c r="G73" s="61">
        <f>IF(FT!B73&lt;&gt;"",FT!B73*100,"")</f>
        <v>35.115600000000001</v>
      </c>
      <c r="H73" s="61">
        <f t="shared" si="9"/>
        <v>1</v>
      </c>
      <c r="I73" t="str">
        <f>IF(FT!B73&lt;&gt;"",FT!E73,"")</f>
        <v>1 [28.847461]</v>
      </c>
      <c r="J73">
        <f>IF(FT!B73&lt;&gt;"",FT!C73,"")</f>
        <v>28.8475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4.3725800000000001</v>
      </c>
      <c r="G74" s="61">
        <f>IF(FT!B74&lt;&gt;"",FT!B74*100,"")</f>
        <v>35.371299999999998</v>
      </c>
      <c r="H74" s="61">
        <f t="shared" si="9"/>
        <v>1</v>
      </c>
      <c r="I74" t="str">
        <f>IF(FT!B74&lt;&gt;"",FT!E74,"")</f>
        <v>1 [29.252176]</v>
      </c>
      <c r="J74">
        <f>IF(FT!B74&lt;&gt;"",FT!C74,"")</f>
        <v>29.252199999999998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134843</v>
      </c>
      <c r="D75" s="61">
        <f>FH!B75*1</f>
        <v>134843</v>
      </c>
      <c r="E75">
        <f t="shared" si="11"/>
        <v>73</v>
      </c>
      <c r="F75" s="61">
        <f>IF(FT!A75&lt;&gt;"",FT!A75*10,"")</f>
        <v>4.3609100000000005</v>
      </c>
      <c r="G75" s="61">
        <f>IF(FT!B75&lt;&gt;"",FT!B75*100,"")</f>
        <v>35.574199999999998</v>
      </c>
      <c r="H75" s="61">
        <f t="shared" si="9"/>
        <v>1</v>
      </c>
      <c r="I75" t="str">
        <f>IF(FT!B75&lt;&gt;"",FT!E75,"")</f>
        <v>1 [29.656961]</v>
      </c>
      <c r="J75">
        <f>IF(FT!B75&lt;&gt;"",FT!C75,"")</f>
        <v>29.657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4.3460200000000002</v>
      </c>
      <c r="G76" s="61">
        <f>IF(FT!B76&lt;&gt;"",FT!B76*100,"")</f>
        <v>35.790499999999994</v>
      </c>
      <c r="H76" s="61">
        <f t="shared" si="9"/>
        <v>1</v>
      </c>
      <c r="I76" t="str">
        <f>IF(FT!B76&lt;&gt;"",FT!E76,"")</f>
        <v>2 [30.064280]</v>
      </c>
      <c r="J76">
        <f>IF(FT!B76&lt;&gt;"",FT!C76,"")</f>
        <v>30.064299999999999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148949</v>
      </c>
      <c r="D77" s="61">
        <f>FH!B77*1</f>
        <v>148949</v>
      </c>
      <c r="E77">
        <f t="shared" si="11"/>
        <v>75</v>
      </c>
      <c r="F77" s="61">
        <f>IF(FT!A77&lt;&gt;"",FT!A77*10,"")</f>
        <v>4.3289299999999997</v>
      </c>
      <c r="G77" s="61">
        <f>IF(FT!B77&lt;&gt;"",FT!B77*100,"")</f>
        <v>36.003700000000002</v>
      </c>
      <c r="H77" s="61">
        <f t="shared" si="9"/>
        <v>1</v>
      </c>
      <c r="I77" t="str">
        <f>IF(FT!B77&lt;&gt;"",FT!E77,"")</f>
        <v>2 [30.500765]</v>
      </c>
      <c r="J77">
        <f>IF(FT!B77&lt;&gt;"",FT!C77,"")</f>
        <v>30.500800000000002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4.3072800000000004</v>
      </c>
      <c r="G78" s="61">
        <f>IF(FT!B78&lt;&gt;"",FT!B78*100,"")</f>
        <v>36.186700000000002</v>
      </c>
      <c r="H78" s="61">
        <f t="shared" si="9"/>
        <v>1</v>
      </c>
      <c r="I78" t="str">
        <f>IF(FT!B78&lt;&gt;"",FT!E78,"")</f>
        <v>2 [30.909834]</v>
      </c>
      <c r="J78">
        <f>IF(FT!B78&lt;&gt;"",FT!C78,"")</f>
        <v>30.909800000000001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4.2828400000000002</v>
      </c>
      <c r="G79" s="61">
        <f>IF(FT!B79&lt;&gt;"",FT!B79*100,"")</f>
        <v>36.409399999999998</v>
      </c>
      <c r="H79" s="61">
        <f t="shared" si="9"/>
        <v>1</v>
      </c>
      <c r="I79" t="str">
        <f>IF(FT!B79&lt;&gt;"",FT!E79,"")</f>
        <v>2 [31.316767]</v>
      </c>
      <c r="J79">
        <f>IF(FT!B79&lt;&gt;"",FT!C79,"")</f>
        <v>31.316800000000001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161117</v>
      </c>
      <c r="D80" s="61">
        <f>FH!B80*1</f>
        <v>161117</v>
      </c>
      <c r="E80">
        <f t="shared" si="11"/>
        <v>78</v>
      </c>
      <c r="F80" s="61">
        <f>IF(FT!A80&lt;&gt;"",FT!A80*10,"")</f>
        <v>4.2554699999999999</v>
      </c>
      <c r="G80" s="61">
        <f>IF(FT!B80&lt;&gt;"",FT!B80*100,"")</f>
        <v>36.645499999999998</v>
      </c>
      <c r="H80" s="61">
        <f t="shared" si="9"/>
        <v>1</v>
      </c>
      <c r="I80" t="str">
        <f>IF(FT!B80&lt;&gt;"",FT!E80,"")</f>
        <v>2 [31.718628]</v>
      </c>
      <c r="J80">
        <f>IF(FT!B80&lt;&gt;"",FT!C80,"")</f>
        <v>31.718599999999999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4.2324799999999998</v>
      </c>
      <c r="G81" s="61">
        <f>IF(FT!B81&lt;&gt;"",FT!B81*100,"")</f>
        <v>36.872999999999998</v>
      </c>
      <c r="H81" s="61">
        <f t="shared" si="9"/>
        <v>1</v>
      </c>
      <c r="I81" t="str">
        <f>IF(FT!B81&lt;&gt;"",FT!E81,"")</f>
        <v>2 [32.123893]</v>
      </c>
      <c r="J81">
        <f>IF(FT!B81&lt;&gt;"",FT!C81,"")</f>
        <v>32.123899999999999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165368</v>
      </c>
      <c r="D82" s="61">
        <f>FH!B82*1</f>
        <v>165368</v>
      </c>
      <c r="E82">
        <f t="shared" si="11"/>
        <v>80</v>
      </c>
      <c r="F82" s="61">
        <f>IF(FT!A82&lt;&gt;"",FT!A82*10,"")</f>
        <v>4.2118500000000001</v>
      </c>
      <c r="G82" s="61">
        <f>IF(FT!B82&lt;&gt;"",FT!B82*100,"")</f>
        <v>37.081499999999998</v>
      </c>
      <c r="H82" s="61">
        <f t="shared" si="9"/>
        <v>1</v>
      </c>
      <c r="I82" t="str">
        <f>IF(FT!B82&lt;&gt;"",FT!E82,"")</f>
        <v>2 [32.535161]</v>
      </c>
      <c r="J82">
        <f>IF(FT!B82&lt;&gt;"",FT!C82,"")</f>
        <v>32.535200000000003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4.1934800000000001</v>
      </c>
      <c r="G83" s="61">
        <f>IF(FT!B83&lt;&gt;"",FT!B83*100,"")</f>
        <v>37.189799999999998</v>
      </c>
      <c r="H83" s="61">
        <f t="shared" si="9"/>
        <v>1</v>
      </c>
      <c r="I83" t="str">
        <f>IF(FT!B83&lt;&gt;"",FT!E83,"")</f>
        <v>2 [32.940636]</v>
      </c>
      <c r="J83">
        <f>IF(FT!B83&lt;&gt;"",FT!C83,"")</f>
        <v>32.940600000000003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4.1757799999999996</v>
      </c>
      <c r="G84" s="61">
        <f>IF(FT!B84&lt;&gt;"",FT!B84*100,"")</f>
        <v>37.300699999999999</v>
      </c>
      <c r="H84" s="61">
        <f t="shared" si="9"/>
        <v>1</v>
      </c>
      <c r="I84" t="str">
        <f>IF(FT!B84&lt;&gt;"",FT!E84,"")</f>
        <v>2 [33.346854]</v>
      </c>
      <c r="J84">
        <f>IF(FT!B84&lt;&gt;"",FT!C84,"")</f>
        <v>33.346899999999998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171328</v>
      </c>
      <c r="D85" s="61">
        <f>FH!B85*1</f>
        <v>171328</v>
      </c>
      <c r="E85">
        <f t="shared" si="11"/>
        <v>83</v>
      </c>
      <c r="F85" s="61">
        <f>IF(FT!A85&lt;&gt;"",FT!A85*10,"")</f>
        <v>4.1582299999999996</v>
      </c>
      <c r="G85" s="61">
        <f>IF(FT!B85&lt;&gt;"",FT!B85*100,"")</f>
        <v>37.483499999999999</v>
      </c>
      <c r="H85" s="61">
        <f t="shared" si="9"/>
        <v>1</v>
      </c>
      <c r="I85" t="str">
        <f>IF(FT!B85&lt;&gt;"",FT!E85,"")</f>
        <v>2 [33.756665]</v>
      </c>
      <c r="J85">
        <f>IF(FT!B85&lt;&gt;"",FT!C85,"")</f>
        <v>33.756700000000002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4.1421799999999998</v>
      </c>
      <c r="G86" s="61">
        <f>IF(FT!B86&lt;&gt;"",FT!B86*100,"")</f>
        <v>37.5869</v>
      </c>
      <c r="H86" s="61">
        <f t="shared" si="9"/>
        <v>1</v>
      </c>
      <c r="I86" t="str">
        <f>IF(FT!B86&lt;&gt;"",FT!E86,"")</f>
        <v>2 [34.153336]</v>
      </c>
      <c r="J86">
        <f>IF(FT!B86&lt;&gt;"",FT!C86,"")</f>
        <v>34.153300000000002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4.1261900000000002</v>
      </c>
      <c r="G87" s="61">
        <f>IF(FT!B87&lt;&gt;"",FT!B87*100,"")</f>
        <v>37.6691</v>
      </c>
      <c r="H87" s="61">
        <f t="shared" si="9"/>
        <v>1</v>
      </c>
      <c r="I87" t="str">
        <f>IF(FT!B87&lt;&gt;"",FT!E87,"")</f>
        <v>2 [34.564161]</v>
      </c>
      <c r="J87">
        <f>IF(FT!B87&lt;&gt;"",FT!C87,"")</f>
        <v>34.5642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182641</v>
      </c>
      <c r="D88" s="61">
        <f>FH!B88*1</f>
        <v>182641</v>
      </c>
      <c r="E88">
        <f t="shared" si="11"/>
        <v>86</v>
      </c>
      <c r="F88" s="61">
        <f>IF(FT!A88&lt;&gt;"",FT!A88*10,"")</f>
        <v>4.1120200000000002</v>
      </c>
      <c r="G88" s="61">
        <f>IF(FT!B88&lt;&gt;"",FT!B88*100,"")</f>
        <v>37.708000000000006</v>
      </c>
      <c r="H88" s="61">
        <f t="shared" si="9"/>
        <v>1</v>
      </c>
      <c r="I88" t="str">
        <f>IF(FT!B88&lt;&gt;"",FT!E88,"")</f>
        <v>2 [34.968912]</v>
      </c>
      <c r="J88">
        <f>IF(FT!B88&lt;&gt;"",FT!C88,"")</f>
        <v>34.968899999999998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4.1033599999999995</v>
      </c>
      <c r="G89" s="61">
        <f>IF(FT!B89&lt;&gt;"",FT!B89*100,"")</f>
        <v>37.695</v>
      </c>
      <c r="H89" s="61">
        <f t="shared" si="9"/>
        <v>1</v>
      </c>
      <c r="I89" t="str">
        <f>IF(FT!B89&lt;&gt;"",FT!E89,"")</f>
        <v>2 [35.376830]</v>
      </c>
      <c r="J89">
        <f>IF(FT!B89&lt;&gt;"",FT!C89,"")</f>
        <v>35.376800000000003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186972</v>
      </c>
      <c r="D90" s="61">
        <f>FH!B90*1</f>
        <v>186972</v>
      </c>
      <c r="E90">
        <f t="shared" si="11"/>
        <v>88</v>
      </c>
      <c r="F90" s="61">
        <f>IF(FT!A90&lt;&gt;"",FT!A90*10,"")</f>
        <v>4.09802</v>
      </c>
      <c r="G90" s="61">
        <f>IF(FT!B90&lt;&gt;"",FT!B90*100,"")</f>
        <v>37.665799999999997</v>
      </c>
      <c r="H90" s="61">
        <f t="shared" si="9"/>
        <v>1</v>
      </c>
      <c r="I90" t="str">
        <f>IF(FT!B90&lt;&gt;"",FT!E90,"")</f>
        <v>2 [35.788580]</v>
      </c>
      <c r="J90">
        <f>IF(FT!B90&lt;&gt;"",FT!C90,"")</f>
        <v>35.788600000000002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4.09544</v>
      </c>
      <c r="G91" s="61">
        <f>IF(FT!B91&lt;&gt;"",FT!B91*100,"")</f>
        <v>37.627000000000002</v>
      </c>
      <c r="H91" s="61">
        <f t="shared" si="9"/>
        <v>1</v>
      </c>
      <c r="I91" t="str">
        <f>IF(FT!B91&lt;&gt;"",FT!E91,"")</f>
        <v>2 [36.194323]</v>
      </c>
      <c r="J91">
        <f>IF(FT!B91&lt;&gt;"",FT!C91,"")</f>
        <v>36.194299999999998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4.1009099999999998</v>
      </c>
      <c r="G92" s="61">
        <f>IF(FT!B92&lt;&gt;"",FT!B92*100,"")</f>
        <v>37.566100000000006</v>
      </c>
      <c r="H92" s="61">
        <f t="shared" si="9"/>
        <v>1</v>
      </c>
      <c r="I92" t="str">
        <f>IF(FT!B92&lt;&gt;"",FT!E92,"")</f>
        <v>2 [36.596049]</v>
      </c>
      <c r="J92">
        <f>IF(FT!B92&lt;&gt;"",FT!C92,"")</f>
        <v>36.595999999999997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185082</v>
      </c>
      <c r="D93" s="61">
        <f>FH!B93*1</f>
        <v>185082</v>
      </c>
      <c r="E93">
        <f t="shared" si="11"/>
        <v>91</v>
      </c>
      <c r="F93" s="61">
        <f>IF(FT!A93&lt;&gt;"",FT!A93*10,"")</f>
        <v>4.1098099999999995</v>
      </c>
      <c r="G93" s="61">
        <f>IF(FT!B93&lt;&gt;"",FT!B93*100,"")</f>
        <v>37.451000000000001</v>
      </c>
      <c r="H93" s="61">
        <f t="shared" si="9"/>
        <v>1</v>
      </c>
      <c r="I93" t="str">
        <f>IF(FT!B93&lt;&gt;"",FT!E93,"")</f>
        <v>2 [36.999582]</v>
      </c>
      <c r="J93">
        <f>IF(FT!B93&lt;&gt;"",FT!C93,"")</f>
        <v>36.999600000000001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4.1187399999999998</v>
      </c>
      <c r="G94" s="61">
        <f>IF(FT!B94&lt;&gt;"",FT!B94*100,"")</f>
        <v>37.353700000000003</v>
      </c>
      <c r="H94" s="61">
        <f t="shared" si="9"/>
        <v>1</v>
      </c>
      <c r="I94" t="str">
        <f>IF(FT!B94&lt;&gt;"",FT!E94,"")</f>
        <v>2 [37.406127]</v>
      </c>
      <c r="J94">
        <f>IF(FT!B94&lt;&gt;"",FT!C94,"")</f>
        <v>37.406100000000002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185407</v>
      </c>
      <c r="D95" s="61">
        <f>FH!B95*1</f>
        <v>185407</v>
      </c>
      <c r="E95">
        <f t="shared" si="11"/>
        <v>93</v>
      </c>
      <c r="F95" s="61">
        <f>IF(FT!A95&lt;&gt;"",FT!A95*10,"")</f>
        <v>4.1297299999999995</v>
      </c>
      <c r="G95" s="61">
        <f>IF(FT!B95&lt;&gt;"",FT!B95*100,"")</f>
        <v>37.190899999999999</v>
      </c>
      <c r="H95" s="61">
        <f t="shared" si="9"/>
        <v>1</v>
      </c>
      <c r="I95" t="str">
        <f>IF(FT!B95&lt;&gt;"",FT!E95,"")</f>
        <v>2 [37.813008]</v>
      </c>
      <c r="J95">
        <f>IF(FT!B95&lt;&gt;"",FT!C95,"")</f>
        <v>37.813000000000002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4.1401300000000001</v>
      </c>
      <c r="G96" s="61">
        <f>IF(FT!B96&lt;&gt;"",FT!B96*100,"")</f>
        <v>37.1021</v>
      </c>
      <c r="H96" s="61">
        <f t="shared" si="9"/>
        <v>1</v>
      </c>
      <c r="I96" t="str">
        <f>IF(FT!B96&lt;&gt;"",FT!E96,"")</f>
        <v>2 [38.221342]</v>
      </c>
      <c r="J96">
        <f>IF(FT!B96&lt;&gt;"",FT!C96,"")</f>
        <v>38.221299999999999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4.1503899999999998</v>
      </c>
      <c r="G97" s="61">
        <f>IF(FT!B97&lt;&gt;"",FT!B97*100,"")</f>
        <v>37.064599999999999</v>
      </c>
      <c r="H97" s="61">
        <f t="shared" si="9"/>
        <v>1</v>
      </c>
      <c r="I97" t="str">
        <f>IF(FT!B97&lt;&gt;"",FT!E97,"")</f>
        <v>2 [38.627091]</v>
      </c>
      <c r="J97">
        <f>IF(FT!B97&lt;&gt;"",FT!C97,"")</f>
        <v>38.627099999999999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186928</v>
      </c>
      <c r="D98" s="61">
        <f>FH!B98*1</f>
        <v>186928</v>
      </c>
      <c r="E98">
        <f t="shared" si="11"/>
        <v>96</v>
      </c>
      <c r="F98" s="61">
        <f>IF(FT!A98&lt;&gt;"",FT!A98*10,"")</f>
        <v>4.1569000000000003</v>
      </c>
      <c r="G98" s="61">
        <f>IF(FT!B98&lt;&gt;"",FT!B98*100,"")</f>
        <v>37.079900000000002</v>
      </c>
      <c r="H98" s="61">
        <f t="shared" si="9"/>
        <v>1</v>
      </c>
      <c r="I98" t="str">
        <f>IF(FT!B98&lt;&gt;"",FT!E98,"")</f>
        <v>2 [39.031154]</v>
      </c>
      <c r="J98">
        <f>IF(FT!B98&lt;&gt;"",FT!C98,"")</f>
        <v>39.031199999999998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4.15984</v>
      </c>
      <c r="G99" s="61">
        <f>IF(FT!B99&lt;&gt;"",FT!B99*100,"")</f>
        <v>37.100899999999996</v>
      </c>
      <c r="H99" s="61">
        <f t="shared" si="9"/>
        <v>1</v>
      </c>
      <c r="I99" t="str">
        <f>IF(FT!B99&lt;&gt;"",FT!E99,"")</f>
        <v>2 [39.442862]</v>
      </c>
      <c r="J99">
        <f>IF(FT!B99&lt;&gt;"",FT!C99,"")</f>
        <v>39.442900000000002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197525</v>
      </c>
      <c r="D100" s="61">
        <f>FH!B100*1</f>
        <v>197525</v>
      </c>
      <c r="E100">
        <f t="shared" si="11"/>
        <v>98</v>
      </c>
      <c r="F100" s="61">
        <f>IF(FT!A100&lt;&gt;"",FT!A100*10,"")</f>
        <v>4.15951</v>
      </c>
      <c r="G100" s="61">
        <f>IF(FT!B100&lt;&gt;"",FT!B100*100,"")</f>
        <v>37.154800000000002</v>
      </c>
      <c r="H100" s="61">
        <f t="shared" si="9"/>
        <v>1</v>
      </c>
      <c r="I100" t="str">
        <f>IF(FT!B100&lt;&gt;"",FT!E100,"")</f>
        <v>2 [39.841533]</v>
      </c>
      <c r="J100">
        <f>IF(FT!B100&lt;&gt;"",FT!C100,"")</f>
        <v>39.841500000000003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4.1604900000000002</v>
      </c>
      <c r="G101" s="61">
        <f>IF(FT!B101&lt;&gt;"",FT!B101*100,"")</f>
        <v>37.216200000000001</v>
      </c>
      <c r="H101" s="61">
        <f t="shared" si="9"/>
        <v>1</v>
      </c>
      <c r="I101" t="str">
        <f>IF(FT!B101&lt;&gt;"",FT!E101,"")</f>
        <v>2 [40.255533]</v>
      </c>
      <c r="J101">
        <f>IF(FT!B101&lt;&gt;"",FT!C101,"")</f>
        <v>40.255499999999998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4.1624600000000003</v>
      </c>
      <c r="G102" s="61">
        <f>IF(FT!B102&lt;&gt;"",FT!B102*100,"")</f>
        <v>37.279499999999999</v>
      </c>
      <c r="H102" s="61">
        <f t="shared" si="9"/>
        <v>1</v>
      </c>
      <c r="I102" t="str">
        <f>IF(FT!B102&lt;&gt;"",FT!E102,"")</f>
        <v>2 [40.657779]</v>
      </c>
      <c r="J102">
        <f>IF(FT!B102&lt;&gt;"",FT!C102,"")</f>
        <v>40.657800000000002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205890</v>
      </c>
      <c r="D103" s="61">
        <f>FH!B103*1</f>
        <v>205890</v>
      </c>
      <c r="E103">
        <f t="shared" si="11"/>
        <v>101</v>
      </c>
      <c r="F103" s="61">
        <f>IF(FT!A103&lt;&gt;"",FT!A103*10,"")</f>
        <v>4.1688700000000001</v>
      </c>
      <c r="G103" s="61">
        <f>IF(FT!B103&lt;&gt;"",FT!B103*100,"")</f>
        <v>37.372999999999998</v>
      </c>
      <c r="H103" s="61">
        <f t="shared" si="9"/>
        <v>1</v>
      </c>
      <c r="I103" t="str">
        <f>IF(FT!B103&lt;&gt;"",FT!E103,"")</f>
        <v>2 [41.066542]</v>
      </c>
      <c r="J103">
        <f>IF(FT!B103&lt;&gt;"",FT!C103,"")</f>
        <v>41.066499999999998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4.1755199999999997</v>
      </c>
      <c r="G104" s="61">
        <f>IF(FT!B104&lt;&gt;"",FT!B104*100,"")</f>
        <v>37.485199999999999</v>
      </c>
      <c r="H104" s="61">
        <f t="shared" si="9"/>
        <v>1</v>
      </c>
      <c r="I104" t="str">
        <f>IF(FT!B104&lt;&gt;"",FT!E104,"")</f>
        <v>2 [41.469700]</v>
      </c>
      <c r="J104">
        <f>IF(FT!B104&lt;&gt;"",FT!C104,"")</f>
        <v>41.469700000000003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4.1866900000000005</v>
      </c>
      <c r="G105" s="61">
        <f>IF(FT!B105&lt;&gt;"",FT!B105*100,"")</f>
        <v>37.633400000000002</v>
      </c>
      <c r="H105" s="61">
        <f t="shared" si="9"/>
        <v>1</v>
      </c>
      <c r="I105" t="str">
        <f>IF(FT!B105&lt;&gt;"",FT!E105,"")</f>
        <v>2 [41.877043]</v>
      </c>
      <c r="J105">
        <f>IF(FT!B105&lt;&gt;"",FT!C105,"")</f>
        <v>41.877000000000002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203158</v>
      </c>
      <c r="D106" s="61">
        <f>FH!B106*1</f>
        <v>203158</v>
      </c>
      <c r="E106">
        <f t="shared" si="11"/>
        <v>104</v>
      </c>
      <c r="F106" s="61">
        <f>IF(FT!A106&lt;&gt;"",FT!A106*10,"")</f>
        <v>4.2022900000000005</v>
      </c>
      <c r="G106" s="61">
        <f>IF(FT!B106&lt;&gt;"",FT!B106*100,"")</f>
        <v>37.678400000000003</v>
      </c>
      <c r="H106" s="61">
        <f t="shared" si="9"/>
        <v>1</v>
      </c>
      <c r="I106" t="str">
        <f>IF(FT!B106&lt;&gt;"",FT!E106,"")</f>
        <v>2 [42.285903]</v>
      </c>
      <c r="J106">
        <f>IF(FT!B106&lt;&gt;"",FT!C106,"")</f>
        <v>42.285899999999998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4.2202900000000003</v>
      </c>
      <c r="G107" s="61">
        <f>IF(FT!B107&lt;&gt;"",FT!B107*100,"")</f>
        <v>37.6479</v>
      </c>
      <c r="H107" s="61">
        <f t="shared" si="9"/>
        <v>1</v>
      </c>
      <c r="I107" t="str">
        <f>IF(FT!B107&lt;&gt;"",FT!E107,"")</f>
        <v>2 [42.690220]</v>
      </c>
      <c r="J107">
        <f>IF(FT!B107&lt;&gt;"",FT!C107,"")</f>
        <v>42.690199999999997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202391</v>
      </c>
      <c r="D108" s="61">
        <f>FH!B108*1</f>
        <v>202391</v>
      </c>
      <c r="E108">
        <f t="shared" si="11"/>
        <v>106</v>
      </c>
      <c r="F108" s="61">
        <f>IF(FT!A108&lt;&gt;"",FT!A108*10,"")</f>
        <v>4.2399800000000001</v>
      </c>
      <c r="G108" s="61">
        <f>IF(FT!B108&lt;&gt;"",FT!B108*100,"")</f>
        <v>37.614399999999996</v>
      </c>
      <c r="H108" s="61">
        <f t="shared" si="9"/>
        <v>1</v>
      </c>
      <c r="I108" t="str">
        <f>IF(FT!B108&lt;&gt;"",FT!E108,"")</f>
        <v>2 [43.097408]</v>
      </c>
      <c r="J108">
        <f>IF(FT!B108&lt;&gt;"",FT!C108,"")</f>
        <v>43.0974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4.2600300000000004</v>
      </c>
      <c r="G109" s="61">
        <f>IF(FT!B109&lt;&gt;"",FT!B109*100,"")</f>
        <v>37.5456</v>
      </c>
      <c r="H109" s="61">
        <f t="shared" si="9"/>
        <v>1</v>
      </c>
      <c r="I109" t="str">
        <f>IF(FT!B109&lt;&gt;"",FT!E109,"")</f>
        <v>2 [43.500895]</v>
      </c>
      <c r="J109">
        <f>IF(FT!B109&lt;&gt;"",FT!C109,"")</f>
        <v>43.500900000000001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4.2810899999999998</v>
      </c>
      <c r="G110" s="61">
        <f>IF(FT!B110&lt;&gt;"",FT!B110*100,"")</f>
        <v>37.419999999999995</v>
      </c>
      <c r="H110" s="61">
        <f t="shared" si="9"/>
        <v>1</v>
      </c>
      <c r="I110" t="str">
        <f>IF(FT!B110&lt;&gt;"",FT!E110,"")</f>
        <v>2 [43.907373]</v>
      </c>
      <c r="J110">
        <f>IF(FT!B110&lt;&gt;"",FT!C110,"")</f>
        <v>43.907400000000003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198477</v>
      </c>
      <c r="D111" s="61">
        <f>FH!B111*1</f>
        <v>198477</v>
      </c>
      <c r="E111">
        <f t="shared" si="11"/>
        <v>109</v>
      </c>
      <c r="F111" s="61">
        <f>IF(FT!A111&lt;&gt;"",FT!A111*10,"")</f>
        <v>4.3014299999999999</v>
      </c>
      <c r="G111" s="61">
        <f>IF(FT!B111&lt;&gt;"",FT!B111*100,"")</f>
        <v>37.352999999999994</v>
      </c>
      <c r="H111" s="61">
        <f t="shared" si="9"/>
        <v>1</v>
      </c>
      <c r="I111" t="str">
        <f>IF(FT!B111&lt;&gt;"",FT!E111,"")</f>
        <v>2 [44.315750]</v>
      </c>
      <c r="J111">
        <f>IF(FT!B111&lt;&gt;"",FT!C111,"")</f>
        <v>44.315800000000003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4.3214399999999999</v>
      </c>
      <c r="G112" s="61">
        <f>IF(FT!B112&lt;&gt;"",FT!B112*100,"")</f>
        <v>37.318300000000001</v>
      </c>
      <c r="H112" s="61">
        <f t="shared" si="9"/>
        <v>1</v>
      </c>
      <c r="I112" t="str">
        <f>IF(FT!B112&lt;&gt;"",FT!E112,"")</f>
        <v>2 [44.718991]</v>
      </c>
      <c r="J112">
        <f>IF(FT!B112&lt;&gt;"",FT!C112,"")</f>
        <v>44.719000000000001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195832</v>
      </c>
      <c r="D113" s="61">
        <f>FH!B113*1</f>
        <v>195832</v>
      </c>
      <c r="E113">
        <f t="shared" si="11"/>
        <v>111</v>
      </c>
      <c r="F113" s="61">
        <f>IF(FT!A113&lt;&gt;"",FT!A113*10,"")</f>
        <v>4.3437799999999998</v>
      </c>
      <c r="G113" s="61">
        <f>IF(FT!B113&lt;&gt;"",FT!B113*100,"")</f>
        <v>37.321199999999997</v>
      </c>
      <c r="H113" s="61">
        <f t="shared" si="9"/>
        <v>1</v>
      </c>
      <c r="I113" t="str">
        <f>IF(FT!B113&lt;&gt;"",FT!E113,"")</f>
        <v>2 [45.126768]</v>
      </c>
      <c r="J113">
        <f>IF(FT!B113&lt;&gt;"",FT!C113,"")</f>
        <v>45.126800000000003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4.3612900000000003</v>
      </c>
      <c r="G114" s="61">
        <f>IF(FT!B114&lt;&gt;"",FT!B114*100,"")</f>
        <v>37.3367</v>
      </c>
      <c r="H114" s="61">
        <f t="shared" si="9"/>
        <v>1</v>
      </c>
      <c r="I114" t="str">
        <f>IF(FT!B114&lt;&gt;"",FT!E114,"")</f>
        <v>2 [45.532103]</v>
      </c>
      <c r="J114">
        <f>IF(FT!B114&lt;&gt;"",FT!C114,"")</f>
        <v>45.5321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4.3795900000000003</v>
      </c>
      <c r="G115" s="61">
        <f>IF(FT!B115&lt;&gt;"",FT!B115*100,"")</f>
        <v>37.339599999999997</v>
      </c>
      <c r="H115" s="61">
        <f t="shared" si="9"/>
        <v>1</v>
      </c>
      <c r="I115" t="str">
        <f>IF(FT!B115&lt;&gt;"",FT!E115,"")</f>
        <v>2 [45.936859]</v>
      </c>
      <c r="J115">
        <f>IF(FT!B115&lt;&gt;"",FT!C115,"")</f>
        <v>45.936900000000001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194199</v>
      </c>
      <c r="D116" s="61">
        <f>FH!B116*1</f>
        <v>194199</v>
      </c>
      <c r="E116">
        <f t="shared" si="11"/>
        <v>114</v>
      </c>
      <c r="F116" s="61">
        <f>IF(FT!A116&lt;&gt;"",FT!A116*10,"")</f>
        <v>4.3989200000000004</v>
      </c>
      <c r="G116" s="61">
        <f>IF(FT!B116&lt;&gt;"",FT!B116*100,"")</f>
        <v>37.322600000000001</v>
      </c>
      <c r="H116" s="61">
        <f t="shared" si="9"/>
        <v>1</v>
      </c>
      <c r="I116" t="str">
        <f>IF(FT!B116&lt;&gt;"",FT!E116,"")</f>
        <v>2 [46.349652]</v>
      </c>
      <c r="J116">
        <f>IF(FT!B116&lt;&gt;"",FT!C116,"")</f>
        <v>46.349699999999999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4.4148399999999999</v>
      </c>
      <c r="G117" s="61">
        <f>IF(FT!B117&lt;&gt;"",FT!B117*100,"")</f>
        <v>37.308400000000006</v>
      </c>
      <c r="H117" s="61">
        <f t="shared" si="9"/>
        <v>1</v>
      </c>
      <c r="I117" t="str">
        <f>IF(FT!B117&lt;&gt;"",FT!E117,"")</f>
        <v>2 [46.752088]</v>
      </c>
      <c r="J117">
        <f>IF(FT!B117&lt;&gt;"",FT!C117,"")</f>
        <v>46.752099999999999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188545</v>
      </c>
      <c r="D118" s="61">
        <f>FH!B118*1</f>
        <v>188545</v>
      </c>
      <c r="E118">
        <f t="shared" si="11"/>
        <v>116</v>
      </c>
      <c r="F118" s="61">
        <f>IF(FT!A118&lt;&gt;"",FT!A118*10,"")</f>
        <v>4.43011</v>
      </c>
      <c r="G118" s="61">
        <f>IF(FT!B118&lt;&gt;"",FT!B118*100,"")</f>
        <v>37.305599999999998</v>
      </c>
      <c r="H118" s="61">
        <f t="shared" si="9"/>
        <v>1</v>
      </c>
      <c r="I118" t="str">
        <f>IF(FT!B118&lt;&gt;"",FT!E118,"")</f>
        <v>2 [47.157889]</v>
      </c>
      <c r="J118">
        <f>IF(FT!B118&lt;&gt;"",FT!C118,"")</f>
        <v>47.157899999999998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4.4458799999999998</v>
      </c>
      <c r="G119" s="61">
        <f>IF(FT!B119&lt;&gt;"",FT!B119*100,"")</f>
        <v>37.338000000000001</v>
      </c>
      <c r="H119" s="61">
        <f t="shared" si="9"/>
        <v>1</v>
      </c>
      <c r="I119" t="str">
        <f>IF(FT!B119&lt;&gt;"",FT!E119,"")</f>
        <v>2 [47.562371]</v>
      </c>
      <c r="J119">
        <f>IF(FT!B119&lt;&gt;"",FT!C119,"")</f>
        <v>47.562399999999997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4.4577400000000003</v>
      </c>
      <c r="G120" s="61">
        <f>IF(FT!B120&lt;&gt;"",FT!B120*100,"")</f>
        <v>37.459800000000001</v>
      </c>
      <c r="H120" s="61">
        <f t="shared" si="9"/>
        <v>1</v>
      </c>
      <c r="I120" t="str">
        <f>IF(FT!B120&lt;&gt;"",FT!E120,"")</f>
        <v>2 [47.968525]</v>
      </c>
      <c r="J120">
        <f>IF(FT!B120&lt;&gt;"",FT!C120,"")</f>
        <v>47.968499999999999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179200</v>
      </c>
      <c r="D121" s="61">
        <f>FH!B121*1</f>
        <v>179200</v>
      </c>
      <c r="E121">
        <f t="shared" si="11"/>
        <v>119</v>
      </c>
      <c r="F121" s="61">
        <f>IF(FT!A121&lt;&gt;"",FT!A121*10,"")</f>
        <v>4.4729999999999999</v>
      </c>
      <c r="G121" s="61">
        <f>IF(FT!B121&lt;&gt;"",FT!B121*100,"")</f>
        <v>37.595700000000001</v>
      </c>
      <c r="H121" s="61">
        <f t="shared" si="9"/>
        <v>1</v>
      </c>
      <c r="I121" t="str">
        <f>IF(FT!B121&lt;&gt;"",FT!E121,"")</f>
        <v>2 [48.374541]</v>
      </c>
      <c r="J121">
        <f>IF(FT!B121&lt;&gt;"",FT!C121,"")</f>
        <v>48.374499999999998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4.4883800000000003</v>
      </c>
      <c r="G122" s="61">
        <f>IF(FT!B122&lt;&gt;"",FT!B122*100,"")</f>
        <v>37.785000000000004</v>
      </c>
      <c r="H122" s="61">
        <f t="shared" si="9"/>
        <v>1</v>
      </c>
      <c r="I122" t="str">
        <f>IF(FT!B122&lt;&gt;"",FT!E122,"")</f>
        <v>2 [48.783870]</v>
      </c>
      <c r="J122">
        <f>IF(FT!B122&lt;&gt;"",FT!C122,"")</f>
        <v>48.783900000000003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4.5057999999999998</v>
      </c>
      <c r="G123" s="61">
        <f>IF(FT!B123&lt;&gt;"",FT!B123*100,"")</f>
        <v>38.058700000000002</v>
      </c>
      <c r="H123" s="61">
        <f t="shared" si="9"/>
        <v>1</v>
      </c>
      <c r="I123" t="str">
        <f>IF(FT!B123&lt;&gt;"",FT!E123,"")</f>
        <v>2 [49.187136]</v>
      </c>
      <c r="J123">
        <f>IF(FT!B123&lt;&gt;"",FT!C123,"")</f>
        <v>49.187100000000001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165989</v>
      </c>
      <c r="D124" s="61">
        <f>FH!B124*1</f>
        <v>165989</v>
      </c>
      <c r="E124">
        <f t="shared" si="11"/>
        <v>122</v>
      </c>
      <c r="F124" s="61">
        <f>IF(FT!A124&lt;&gt;"",FT!A124*10,"")</f>
        <v>4.5206</v>
      </c>
      <c r="G124" s="61">
        <f>IF(FT!B124&lt;&gt;"",FT!B124*100,"")</f>
        <v>38.415500000000002</v>
      </c>
      <c r="H124" s="61">
        <f t="shared" si="9"/>
        <v>1</v>
      </c>
      <c r="I124" t="str">
        <f>IF(FT!B124&lt;&gt;"",FT!E124,"")</f>
        <v>2 [49.592974]</v>
      </c>
      <c r="J124">
        <f>IF(FT!B124&lt;&gt;"",FT!C124,"")</f>
        <v>49.593000000000004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4.5377700000000001</v>
      </c>
      <c r="G125" s="61">
        <f>IF(FT!B125&lt;&gt;"",FT!B125*100,"")</f>
        <v>38.664700000000003</v>
      </c>
      <c r="H125" s="61">
        <f t="shared" si="9"/>
        <v>1</v>
      </c>
      <c r="I125" t="str">
        <f>IF(FT!B125&lt;&gt;"",FT!E125,"")</f>
        <v>2 [50.001744]</v>
      </c>
      <c r="J125">
        <f>IF(FT!B125&lt;&gt;"",FT!C125,"")</f>
        <v>50.0017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170926</v>
      </c>
      <c r="D126" s="61">
        <f>FH!B126*1</f>
        <v>170926</v>
      </c>
      <c r="E126">
        <f t="shared" si="11"/>
        <v>124</v>
      </c>
      <c r="F126" s="61">
        <f>IF(FT!A126&lt;&gt;"",FT!A126*10,"")</f>
        <v>4.5552000000000001</v>
      </c>
      <c r="G126" s="61">
        <f>IF(FT!B126&lt;&gt;"",FT!B126*100,"")</f>
        <v>38.823099999999997</v>
      </c>
      <c r="H126" s="61">
        <f t="shared" si="9"/>
        <v>1</v>
      </c>
      <c r="I126" t="str">
        <f>IF(FT!B126&lt;&gt;"",FT!E126,"")</f>
        <v>2 [50.406430]</v>
      </c>
      <c r="J126">
        <f>IF(FT!B126&lt;&gt;"",FT!C126,"")</f>
        <v>50.406399999999998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4.5740799999999995</v>
      </c>
      <c r="G127" s="61">
        <f>IF(FT!B127&lt;&gt;"",FT!B127*100,"")</f>
        <v>38.990499999999997</v>
      </c>
      <c r="H127" s="61">
        <f t="shared" si="9"/>
        <v>1</v>
      </c>
      <c r="I127" t="str">
        <f>IF(FT!B127&lt;&gt;"",FT!E127,"")</f>
        <v>2 [50.818319]</v>
      </c>
      <c r="J127">
        <f>IF(FT!B127&lt;&gt;"",FT!C127,"")</f>
        <v>50.818300000000001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4.5912100000000002</v>
      </c>
      <c r="G128" s="61">
        <f>IF(FT!B128&lt;&gt;"",FT!B128*100,"")</f>
        <v>39.169399999999996</v>
      </c>
      <c r="H128" s="61">
        <f t="shared" si="9"/>
        <v>1</v>
      </c>
      <c r="I128" t="str">
        <f>IF(FT!B128&lt;&gt;"",FT!E128,"")</f>
        <v>2 [51.220143]</v>
      </c>
      <c r="J128">
        <f>IF(FT!B128&lt;&gt;"",FT!C128,"")</f>
        <v>51.220100000000002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165085</v>
      </c>
      <c r="D129" s="61">
        <f>FH!B129*1</f>
        <v>165085</v>
      </c>
      <c r="E129">
        <f t="shared" si="11"/>
        <v>127</v>
      </c>
      <c r="F129" s="61">
        <f>IF(FT!A129&lt;&gt;"",FT!A129*10,"")</f>
        <v>4.6086899999999993</v>
      </c>
      <c r="G129" s="61">
        <f>IF(FT!B129&lt;&gt;"",FT!B129*100,"")</f>
        <v>39.372800000000005</v>
      </c>
      <c r="H129" s="61">
        <f t="shared" si="9"/>
        <v>1</v>
      </c>
      <c r="I129" t="str">
        <f>IF(FT!B129&lt;&gt;"",FT!E129,"")</f>
        <v>2 [51.625866]</v>
      </c>
      <c r="J129">
        <f>IF(FT!B129&lt;&gt;"",FT!C129,"")</f>
        <v>51.625900000000001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4.6231200000000001</v>
      </c>
      <c r="G130" s="61">
        <f>IF(FT!B130&lt;&gt;"",FT!B130*100,"")</f>
        <v>39.504800000000003</v>
      </c>
      <c r="H130" s="61">
        <f t="shared" si="9"/>
        <v>1</v>
      </c>
      <c r="I130" t="str">
        <f>IF(FT!B130&lt;&gt;"",FT!E130,"")</f>
        <v>2 [52.032373]</v>
      </c>
      <c r="J130">
        <f>IF(FT!B130&lt;&gt;"",FT!C130,"")</f>
        <v>52.032400000000003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166935</v>
      </c>
      <c r="D131" s="61">
        <f>FH!B131*1</f>
        <v>166935</v>
      </c>
      <c r="E131">
        <f t="shared" si="11"/>
        <v>129</v>
      </c>
      <c r="F131" s="61">
        <f>IF(FT!A131&lt;&gt;"",FT!A131*10,"")</f>
        <v>4.6328200000000006</v>
      </c>
      <c r="G131" s="61">
        <f>IF(FT!B131&lt;&gt;"",FT!B131*100,"")</f>
        <v>39.630900000000004</v>
      </c>
      <c r="H131" s="61">
        <f t="shared" ref="H131:H194" si="13">(IF(F131&lt;&gt;"",1,""))</f>
        <v>1</v>
      </c>
      <c r="I131" t="str">
        <f>IF(FT!B131&lt;&gt;"",FT!E131,"")</f>
        <v>2 [52.437052]</v>
      </c>
      <c r="J131">
        <f>IF(FT!B131&lt;&gt;"",FT!C131,"")</f>
        <v>52.437100000000001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4.6398799999999998</v>
      </c>
      <c r="G132" s="61">
        <f>IF(FT!B132&lt;&gt;"",FT!B132*100,"")</f>
        <v>39.7744</v>
      </c>
      <c r="H132" s="61">
        <f t="shared" si="13"/>
        <v>1</v>
      </c>
      <c r="I132" t="str">
        <f>IF(FT!B132&lt;&gt;"",FT!E132,"")</f>
        <v>2 [52.841896]</v>
      </c>
      <c r="J132">
        <f>IF(FT!B132&lt;&gt;"",FT!C132,"")</f>
        <v>52.841900000000003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4.6440799999999998</v>
      </c>
      <c r="G133" s="61">
        <f>IF(FT!B133&lt;&gt;"",FT!B133*100,"")</f>
        <v>39.909499999999994</v>
      </c>
      <c r="H133" s="61">
        <f t="shared" si="13"/>
        <v>1</v>
      </c>
      <c r="I133" t="str">
        <f>IF(FT!B133&lt;&gt;"",FT!E133,"")</f>
        <v>2 [53.251144]</v>
      </c>
      <c r="J133">
        <f>IF(FT!B133&lt;&gt;"",FT!C133,"")</f>
        <v>53.251100000000001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160105</v>
      </c>
      <c r="D134" s="61">
        <f>FH!B134*1</f>
        <v>160105</v>
      </c>
      <c r="E134">
        <f t="shared" si="15"/>
        <v>132</v>
      </c>
      <c r="F134" s="61">
        <f>IF(FT!A134&lt;&gt;"",FT!A134*10,"")</f>
        <v>4.6479100000000004</v>
      </c>
      <c r="G134" s="61">
        <f>IF(FT!B134&lt;&gt;"",FT!B134*100,"")</f>
        <v>40.058100000000003</v>
      </c>
      <c r="H134" s="61">
        <f t="shared" si="13"/>
        <v>1</v>
      </c>
      <c r="I134" t="str">
        <f>IF(FT!B134&lt;&gt;"",FT!E134,"")</f>
        <v>2 [53.657798]</v>
      </c>
      <c r="J134">
        <f>IF(FT!B134&lt;&gt;"",FT!C134,"")</f>
        <v>53.657800000000002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4.6456799999999996</v>
      </c>
      <c r="G135" s="61">
        <f>IF(FT!B135&lt;&gt;"",FT!B135*100,"")</f>
        <v>40.220700000000001</v>
      </c>
      <c r="H135" s="61">
        <f t="shared" si="13"/>
        <v>1</v>
      </c>
      <c r="I135" t="str">
        <f>IF(FT!B135&lt;&gt;"",FT!E135,"")</f>
        <v>2 [54.064309]</v>
      </c>
      <c r="J135">
        <f>IF(FT!B135&lt;&gt;"",FT!C135,"")</f>
        <v>54.064300000000003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150160</v>
      </c>
      <c r="D136" s="61">
        <f>FH!B136*1</f>
        <v>150160</v>
      </c>
      <c r="E136">
        <f t="shared" si="15"/>
        <v>134</v>
      </c>
      <c r="F136" s="61">
        <f>IF(FT!A136&lt;&gt;"",FT!A136*10,"")</f>
        <v>4.6427899999999998</v>
      </c>
      <c r="G136" s="61">
        <f>IF(FT!B136&lt;&gt;"",FT!B136*100,"")</f>
        <v>40.380300000000005</v>
      </c>
      <c r="H136" s="61">
        <f t="shared" si="13"/>
        <v>1</v>
      </c>
      <c r="I136" t="str">
        <f>IF(FT!B136&lt;&gt;"",FT!E136,"")</f>
        <v>2 [54.469880]</v>
      </c>
      <c r="J136">
        <f>IF(FT!B136&lt;&gt;"",FT!C136,"")</f>
        <v>54.469900000000003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4.6414999999999997</v>
      </c>
      <c r="G137" s="61">
        <f>IF(FT!B137&lt;&gt;"",FT!B137*100,"")</f>
        <v>40.583500000000001</v>
      </c>
      <c r="H137" s="61">
        <f t="shared" si="13"/>
        <v>1</v>
      </c>
      <c r="I137" t="str">
        <f>IF(FT!B137&lt;&gt;"",FT!E137,"")</f>
        <v>2 [54.877618]</v>
      </c>
      <c r="J137">
        <f>IF(FT!B137&lt;&gt;"",FT!C137,"")</f>
        <v>54.877600000000001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4.6379399999999995</v>
      </c>
      <c r="G138" s="61">
        <f>IF(FT!B138&lt;&gt;"",FT!B138*100,"")</f>
        <v>40.772000000000006</v>
      </c>
      <c r="H138" s="61">
        <f t="shared" si="13"/>
        <v>1</v>
      </c>
      <c r="I138" t="str">
        <f>IF(FT!B138&lt;&gt;"",FT!E138,"")</f>
        <v>2 [55.283427]</v>
      </c>
      <c r="J138">
        <f>IF(FT!B138&lt;&gt;"",FT!C138,"")</f>
        <v>55.2834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139266</v>
      </c>
      <c r="D139" s="61">
        <f>FH!B139*1</f>
        <v>139266</v>
      </c>
      <c r="E139">
        <f t="shared" si="15"/>
        <v>137</v>
      </c>
      <c r="F139" s="61">
        <f>IF(FT!A139&lt;&gt;"",FT!A139*10,"")</f>
        <v>4.6370000000000005</v>
      </c>
      <c r="G139" s="61">
        <f>IF(FT!B139&lt;&gt;"",FT!B139*100,"")</f>
        <v>40.992899999999999</v>
      </c>
      <c r="H139" s="61">
        <f t="shared" si="13"/>
        <v>1</v>
      </c>
      <c r="I139" t="str">
        <f>IF(FT!B139&lt;&gt;"",FT!E139,"")</f>
        <v>2 [55.691582]</v>
      </c>
      <c r="J139">
        <f>IF(FT!B139&lt;&gt;"",FT!C139,"")</f>
        <v>55.691600000000001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4.6349999999999998</v>
      </c>
      <c r="G140" s="61">
        <f>IF(FT!B140&lt;&gt;"",FT!B140*100,"")</f>
        <v>41.273400000000002</v>
      </c>
      <c r="H140" s="61">
        <f t="shared" si="13"/>
        <v>1</v>
      </c>
      <c r="I140" t="str">
        <f>IF(FT!B140&lt;&gt;"",FT!E140,"")</f>
        <v>2 [56.094670]</v>
      </c>
      <c r="J140">
        <f>IF(FT!B140&lt;&gt;"",FT!C140,"")</f>
        <v>56.094700000000003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4.6318399999999995</v>
      </c>
      <c r="G141" s="61">
        <f>IF(FT!B141&lt;&gt;"",FT!B141*100,"")</f>
        <v>41.615400000000001</v>
      </c>
      <c r="H141" s="61">
        <f t="shared" si="13"/>
        <v>1</v>
      </c>
      <c r="I141" t="str">
        <f>IF(FT!B141&lt;&gt;"",FT!E141,"")</f>
        <v>2 [56.502584]</v>
      </c>
      <c r="J141">
        <f>IF(FT!B141&lt;&gt;"",FT!C141,"")</f>
        <v>56.502600000000001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131881</v>
      </c>
      <c r="D142" s="61">
        <f>FH!B142*1</f>
        <v>131881</v>
      </c>
      <c r="E142">
        <f t="shared" si="15"/>
        <v>140</v>
      </c>
      <c r="F142" s="61">
        <f>IF(FT!A142&lt;&gt;"",FT!A142*10,"")</f>
        <v>4.6291700000000002</v>
      </c>
      <c r="G142" s="61">
        <f>IF(FT!B142&lt;&gt;"",FT!B142*100,"")</f>
        <v>41.962200000000003</v>
      </c>
      <c r="H142" s="61">
        <f t="shared" si="13"/>
        <v>1</v>
      </c>
      <c r="I142" t="str">
        <f>IF(FT!B142&lt;&gt;"",FT!E142,"")</f>
        <v>2 [56.908776]</v>
      </c>
      <c r="J142">
        <f>IF(FT!B142&lt;&gt;"",FT!C142,"")</f>
        <v>56.908799999999999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4.6194299999999995</v>
      </c>
      <c r="G143" s="61">
        <f>IF(FT!B143&lt;&gt;"",FT!B143*100,"")</f>
        <v>42.371900000000004</v>
      </c>
      <c r="H143" s="61">
        <f t="shared" si="13"/>
        <v>1</v>
      </c>
      <c r="I143" t="str">
        <f>IF(FT!B143&lt;&gt;"",FT!E143,"")</f>
        <v>2 [57.315094]</v>
      </c>
      <c r="J143">
        <f>IF(FT!B143&lt;&gt;"",FT!C143,"")</f>
        <v>57.315100000000001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125732</v>
      </c>
      <c r="D144" s="61">
        <f>FH!B144*1</f>
        <v>125732</v>
      </c>
      <c r="E144">
        <f t="shared" si="15"/>
        <v>142</v>
      </c>
      <c r="F144" s="61">
        <f>IF(FT!A144&lt;&gt;"",FT!A144*10,"")</f>
        <v>4.6038699999999997</v>
      </c>
      <c r="G144" s="61">
        <f>IF(FT!B144&lt;&gt;"",FT!B144*100,"")</f>
        <v>42.801099999999998</v>
      </c>
      <c r="H144" s="61">
        <f t="shared" si="13"/>
        <v>1</v>
      </c>
      <c r="I144" t="str">
        <f>IF(FT!B144&lt;&gt;"",FT!E144,"")</f>
        <v>2 [57.718518]</v>
      </c>
      <c r="J144">
        <f>IF(FT!B144&lt;&gt;"",FT!C144,"")</f>
        <v>57.718499999999999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4.5928699999999996</v>
      </c>
      <c r="G145" s="61">
        <f>IF(FT!B145&lt;&gt;"",FT!B145*100,"")</f>
        <v>43.144100000000002</v>
      </c>
      <c r="H145" s="61">
        <f t="shared" si="13"/>
        <v>1</v>
      </c>
      <c r="I145" t="str">
        <f>IF(FT!B145&lt;&gt;"",FT!E145,"")</f>
        <v>2 [58.125487]</v>
      </c>
      <c r="J145">
        <f>IF(FT!B145&lt;&gt;"",FT!C145,"")</f>
        <v>58.125500000000002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4.5753500000000003</v>
      </c>
      <c r="G146" s="61">
        <f>IF(FT!B146&lt;&gt;"",FT!B146*100,"")</f>
        <v>43.651200000000003</v>
      </c>
      <c r="H146" s="61">
        <f t="shared" si="13"/>
        <v>1</v>
      </c>
      <c r="I146" t="str">
        <f>IF(FT!B146&lt;&gt;"",FT!E146,"")</f>
        <v>2 [58.532415]</v>
      </c>
      <c r="J146">
        <f>IF(FT!B146&lt;&gt;"",FT!C146,"")</f>
        <v>58.532400000000003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121191</v>
      </c>
      <c r="D147" s="61">
        <f>FH!B147*1</f>
        <v>121191</v>
      </c>
      <c r="E147">
        <f t="shared" si="15"/>
        <v>145</v>
      </c>
      <c r="F147" s="61">
        <f>IF(FT!A147&lt;&gt;"",FT!A147*10,"")</f>
        <v>4.5581700000000005</v>
      </c>
      <c r="G147" s="61">
        <f>IF(FT!B147&lt;&gt;"",FT!B147*100,"")</f>
        <v>44.0901</v>
      </c>
      <c r="H147" s="61">
        <f t="shared" si="13"/>
        <v>1</v>
      </c>
      <c r="I147" t="str">
        <f>IF(FT!B147&lt;&gt;"",FT!E147,"")</f>
        <v>2 [58.939715]</v>
      </c>
      <c r="J147">
        <f>IF(FT!B147&lt;&gt;"",FT!C147,"")</f>
        <v>58.939700000000002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4.5262500000000001</v>
      </c>
      <c r="G148" s="61">
        <f>IF(FT!B148&lt;&gt;"",FT!B148*100,"")</f>
        <v>44.385799999999996</v>
      </c>
      <c r="H148" s="61">
        <f t="shared" si="13"/>
        <v>1</v>
      </c>
      <c r="I148" t="str">
        <f>IF(FT!B148&lt;&gt;"",FT!E148,"")</f>
        <v>2 [59.345729]</v>
      </c>
      <c r="J148">
        <f>IF(FT!B148&lt;&gt;"",FT!C148,"")</f>
        <v>59.345700000000001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101733</v>
      </c>
      <c r="D149" s="61">
        <f>FH!B149*1</f>
        <v>101733</v>
      </c>
      <c r="E149">
        <f t="shared" si="15"/>
        <v>147</v>
      </c>
      <c r="F149" s="61">
        <f>IF(FT!A149&lt;&gt;"",FT!A149*10,"")</f>
        <v>4.5492699999999999</v>
      </c>
      <c r="G149" s="61">
        <f>IF(FT!B149&lt;&gt;"",FT!B149*100,"")</f>
        <v>44.009599999999999</v>
      </c>
      <c r="H149" s="61">
        <f t="shared" si="13"/>
        <v>1</v>
      </c>
      <c r="I149" t="str">
        <f>IF(FT!B149&lt;&gt;"",FT!E149,"")</f>
        <v>2 [59.749455]</v>
      </c>
      <c r="J149">
        <f>IF(FT!B149&lt;&gt;"",FT!C149,"")</f>
        <v>59.749499999999998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94792</v>
      </c>
      <c r="D152" s="61">
        <f>FH!B152*1</f>
        <v>94792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80508</v>
      </c>
      <c r="D154" s="61">
        <f>FH!B154*1</f>
        <v>80508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76683</v>
      </c>
      <c r="D157" s="61">
        <f>FH!B157*1</f>
        <v>76683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74413</v>
      </c>
      <c r="D160" s="61">
        <f>FH!B160*1</f>
        <v>74413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71387</v>
      </c>
      <c r="D162" s="61">
        <f>FH!B162*1</f>
        <v>71387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70014</v>
      </c>
      <c r="D165" s="61">
        <f>FH!B165*1</f>
        <v>70014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61086</v>
      </c>
      <c r="D167" s="61">
        <f>FH!B167*1</f>
        <v>61086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55577</v>
      </c>
      <c r="D170" s="61">
        <f>FH!B170*1</f>
        <v>55577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48300</v>
      </c>
      <c r="D173" s="61">
        <f>FH!B173*1</f>
        <v>48300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45357</v>
      </c>
      <c r="D175" s="61">
        <f>FH!B175*1</f>
        <v>45357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35775</v>
      </c>
      <c r="D178" s="61">
        <f>FH!B178*1</f>
        <v>35775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24977</v>
      </c>
      <c r="D180" s="61">
        <f>FH!B180*1</f>
        <v>24977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14988</v>
      </c>
      <c r="D183" s="61">
        <f>FH!B183*1</f>
        <v>14988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9811</v>
      </c>
      <c r="D185" s="61">
        <f>FH!B185*1</f>
        <v>9811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7078</v>
      </c>
      <c r="D188" s="61">
        <f>FH!B188*1</f>
        <v>7078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5265</v>
      </c>
      <c r="D191" s="61">
        <f>FH!B191*1</f>
        <v>5265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3111</v>
      </c>
      <c r="D193" s="61">
        <f>FH!B193*1</f>
        <v>3111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1766</v>
      </c>
      <c r="D196" s="61">
        <f>FH!B196*1</f>
        <v>1766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867</v>
      </c>
      <c r="D198" s="61">
        <f>FH!B198*1</f>
        <v>867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464</v>
      </c>
      <c r="D201" s="61">
        <f>FH!B201*1</f>
        <v>464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46.605499999999999</v>
      </c>
      <c r="C5" s="66">
        <v>9.8843499999999995</v>
      </c>
      <c r="D5" s="66">
        <v>21.208500000000001</v>
      </c>
      <c r="E5" s="66">
        <v>20</v>
      </c>
      <c r="F5" s="66">
        <v>13.653600000000001</v>
      </c>
      <c r="G5" s="66">
        <v>50</v>
      </c>
      <c r="H5" s="66">
        <v>56.848700000000001</v>
      </c>
    </row>
    <row r="6" spans="1:8">
      <c r="A6" s="58" t="s">
        <v>303</v>
      </c>
      <c r="B6" s="66">
        <v>35.395899999999997</v>
      </c>
      <c r="C6" s="66">
        <v>2.84151</v>
      </c>
      <c r="D6" s="66">
        <v>8.0277999999999992</v>
      </c>
      <c r="E6" s="66">
        <v>20</v>
      </c>
      <c r="F6" s="66">
        <v>28.4695</v>
      </c>
      <c r="G6" s="66">
        <v>40</v>
      </c>
      <c r="H6" s="66">
        <v>42.017600000000002</v>
      </c>
    </row>
    <row r="7" spans="1:8">
      <c r="A7" s="58" t="s">
        <v>304</v>
      </c>
      <c r="B7" s="66">
        <v>22.9328</v>
      </c>
      <c r="C7" s="66">
        <v>4.7687600000000003</v>
      </c>
      <c r="D7" s="66">
        <v>20.794499999999999</v>
      </c>
      <c r="E7" s="66">
        <v>15</v>
      </c>
      <c r="F7" s="66">
        <v>11.153</v>
      </c>
      <c r="G7" s="66">
        <v>40</v>
      </c>
      <c r="H7" s="66">
        <v>33.938200000000002</v>
      </c>
    </row>
    <row r="8" spans="1:8">
      <c r="A8" s="58" t="s">
        <v>305</v>
      </c>
      <c r="B8" s="66">
        <v>34.608499999999999</v>
      </c>
      <c r="C8" s="66">
        <v>3.7262200000000001</v>
      </c>
      <c r="D8" s="66">
        <v>10.7668</v>
      </c>
      <c r="E8" s="66">
        <v>20</v>
      </c>
      <c r="F8" s="66">
        <v>22.974399999999999</v>
      </c>
      <c r="G8" s="66">
        <v>50</v>
      </c>
      <c r="H8" s="66">
        <v>39.349699999999999</v>
      </c>
    </row>
    <row r="9" spans="1:8">
      <c r="A9" s="58" t="s">
        <v>306</v>
      </c>
      <c r="B9" s="66">
        <v>71.085300000000004</v>
      </c>
      <c r="C9" s="66">
        <v>3.0466700000000002</v>
      </c>
      <c r="D9" s="66">
        <v>4.2859400000000001</v>
      </c>
      <c r="E9" s="66">
        <v>50</v>
      </c>
      <c r="F9" s="66">
        <v>62.170200000000001</v>
      </c>
      <c r="G9" s="66">
        <v>100</v>
      </c>
      <c r="H9" s="66">
        <v>80.133499999999998</v>
      </c>
    </row>
    <row r="10" spans="1:8">
      <c r="A10" s="58" t="s">
        <v>307</v>
      </c>
      <c r="B10" s="66">
        <v>72.412800000000004</v>
      </c>
      <c r="C10" s="66">
        <v>5.4824700000000002</v>
      </c>
      <c r="D10" s="66">
        <v>7.5711199999999996</v>
      </c>
      <c r="E10" s="66">
        <v>40</v>
      </c>
      <c r="F10" s="66">
        <v>60.761800000000001</v>
      </c>
      <c r="G10" s="66">
        <v>100</v>
      </c>
      <c r="H10" s="66">
        <v>84.869699999999995</v>
      </c>
    </row>
    <row r="11" spans="1:8">
      <c r="A11" s="58" t="s">
        <v>308</v>
      </c>
      <c r="B11" s="66">
        <v>27.889900000000001</v>
      </c>
      <c r="C11" s="66">
        <v>6.4702999999999999</v>
      </c>
      <c r="D11" s="66">
        <v>23.199400000000001</v>
      </c>
      <c r="E11" s="66">
        <v>10</v>
      </c>
      <c r="F11" s="66">
        <v>7.6662400000000002</v>
      </c>
      <c r="G11" s="66">
        <v>50</v>
      </c>
      <c r="H11" s="66">
        <v>35.136200000000002</v>
      </c>
    </row>
    <row r="12" spans="1:8">
      <c r="A12" s="58" t="s">
        <v>309</v>
      </c>
      <c r="B12" s="66">
        <v>72.212400000000002</v>
      </c>
      <c r="C12" s="66">
        <v>3.3701699999999999</v>
      </c>
      <c r="D12" s="66">
        <v>4.6670299999999996</v>
      </c>
      <c r="E12" s="66">
        <v>50</v>
      </c>
      <c r="F12" s="66">
        <v>63.622399999999999</v>
      </c>
      <c r="G12" s="66">
        <v>100</v>
      </c>
      <c r="H12" s="66">
        <v>81.402900000000002</v>
      </c>
    </row>
    <row r="13" spans="1:8">
      <c r="A13" s="58" t="s">
        <v>310</v>
      </c>
      <c r="B13" s="66">
        <v>23.460100000000001</v>
      </c>
      <c r="C13" s="66">
        <v>2.8412299999999999</v>
      </c>
      <c r="D13" s="66">
        <v>12.110900000000001</v>
      </c>
      <c r="E13" s="66">
        <v>10</v>
      </c>
      <c r="F13" s="66">
        <v>14.747400000000001</v>
      </c>
      <c r="G13" s="66">
        <v>25</v>
      </c>
      <c r="H13" s="66">
        <v>35.302300000000002</v>
      </c>
    </row>
    <row r="14" spans="1:8">
      <c r="A14" s="58" t="s">
        <v>311</v>
      </c>
      <c r="B14" s="66">
        <v>28.412299999999998</v>
      </c>
      <c r="C14" s="66">
        <v>10.339</v>
      </c>
      <c r="D14" s="66">
        <v>36.389200000000002</v>
      </c>
      <c r="E14" s="66">
        <v>10</v>
      </c>
      <c r="F14" s="66">
        <v>2.0697399999999999</v>
      </c>
      <c r="G14" s="66">
        <v>50</v>
      </c>
      <c r="H14" s="66">
        <v>52.275599999999997</v>
      </c>
    </row>
    <row r="15" spans="1:8">
      <c r="A15" s="58" t="s">
        <v>312</v>
      </c>
      <c r="B15" s="66">
        <v>3.07558E-2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1.65685E-2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14.902100000000001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0.36996299999999999</v>
      </c>
      <c r="C18" s="66">
        <v>5.7714599999999998E-2</v>
      </c>
      <c r="D18" s="66">
        <v>0.156001</v>
      </c>
      <c r="E18" s="66">
        <v>0</v>
      </c>
      <c r="F18" s="66">
        <v>0.312249</v>
      </c>
      <c r="G18" s="66">
        <v>0</v>
      </c>
      <c r="H18" s="66">
        <v>0.427678</v>
      </c>
    </row>
    <row r="19" spans="1:8">
      <c r="A19" s="58" t="s">
        <v>316</v>
      </c>
      <c r="B19" s="66">
        <v>0.57270600000000005</v>
      </c>
      <c r="C19" s="66">
        <v>4.4941599999999998E-2</v>
      </c>
      <c r="D19" s="66">
        <v>7.8472399999999998E-2</v>
      </c>
      <c r="E19" s="66">
        <v>0</v>
      </c>
      <c r="F19" s="66">
        <v>0.52776400000000001</v>
      </c>
      <c r="G19" s="66">
        <v>0</v>
      </c>
      <c r="H19" s="66">
        <v>0.61764699999999995</v>
      </c>
    </row>
    <row r="20" spans="1:8">
      <c r="A20" s="58" t="s">
        <v>317</v>
      </c>
      <c r="B20" s="66">
        <v>9.0563999999999998E-4</v>
      </c>
      <c r="C20" s="66">
        <v>1.7214199999999999E-2</v>
      </c>
      <c r="D20" s="66">
        <v>19.0078</v>
      </c>
      <c r="E20" s="66">
        <v>0</v>
      </c>
      <c r="F20" s="196">
        <v>9.7060900000000004E-5</v>
      </c>
      <c r="G20" s="66">
        <v>0</v>
      </c>
      <c r="H20" s="66">
        <v>0.115255</v>
      </c>
    </row>
    <row r="21" spans="1:8">
      <c r="A21" s="58" t="s">
        <v>318</v>
      </c>
      <c r="B21" s="66">
        <v>8.5084599999999996E-2</v>
      </c>
      <c r="C21" s="66">
        <v>0.10749400000000001</v>
      </c>
      <c r="D21" s="66">
        <v>1.2633700000000001</v>
      </c>
      <c r="E21" s="66">
        <v>0</v>
      </c>
      <c r="F21" s="66">
        <v>8.9986700000000005E-4</v>
      </c>
      <c r="G21" s="66">
        <v>0</v>
      </c>
      <c r="H21" s="66">
        <v>0.91891299999999998</v>
      </c>
    </row>
    <row r="22" spans="1:8">
      <c r="A22" s="58" t="s">
        <v>319</v>
      </c>
      <c r="B22" s="66">
        <v>45.197000000000003</v>
      </c>
      <c r="C22" s="66">
        <v>15.221500000000001</v>
      </c>
      <c r="D22" s="66">
        <v>0.33678200000000003</v>
      </c>
      <c r="E22" s="66">
        <v>0</v>
      </c>
      <c r="F22" s="66">
        <v>23.1221</v>
      </c>
      <c r="G22" s="66">
        <v>0</v>
      </c>
      <c r="H22" s="66">
        <v>110.501</v>
      </c>
    </row>
    <row r="23" spans="1:8">
      <c r="A23" s="58" t="s">
        <v>320</v>
      </c>
      <c r="B23" s="66">
        <v>22.5517</v>
      </c>
      <c r="C23" s="66">
        <v>3.6162100000000001</v>
      </c>
      <c r="D23" s="66">
        <v>0.16035199999999999</v>
      </c>
      <c r="E23" s="66">
        <v>0</v>
      </c>
      <c r="F23" s="66">
        <v>10.617000000000001</v>
      </c>
      <c r="G23" s="66">
        <v>0</v>
      </c>
      <c r="H23" s="66">
        <v>25.707999999999998</v>
      </c>
    </row>
    <row r="24" spans="1:8">
      <c r="A24" s="58" t="s">
        <v>321</v>
      </c>
      <c r="B24" s="66">
        <v>4.1100700000000004E-3</v>
      </c>
      <c r="C24" s="66">
        <v>8.9605299999999995E-3</v>
      </c>
      <c r="D24" s="66">
        <v>2.1801400000000002</v>
      </c>
      <c r="E24" s="66">
        <v>0</v>
      </c>
      <c r="F24" s="66">
        <v>2.8836500000000001E-4</v>
      </c>
      <c r="G24" s="66">
        <v>0</v>
      </c>
      <c r="H24" s="66">
        <v>3.5326400000000001E-2</v>
      </c>
    </row>
    <row r="25" spans="1:8">
      <c r="A25" s="58" t="s">
        <v>322</v>
      </c>
      <c r="B25" s="66">
        <v>0.108127</v>
      </c>
      <c r="C25" s="66">
        <v>3.7198299999999997E-2</v>
      </c>
      <c r="D25" s="66">
        <v>0.34402300000000002</v>
      </c>
      <c r="E25" s="66">
        <v>0</v>
      </c>
      <c r="F25" s="66">
        <v>2.07735E-2</v>
      </c>
      <c r="G25" s="66">
        <v>0</v>
      </c>
      <c r="H25" s="66">
        <v>0.225328</v>
      </c>
    </row>
    <row r="26" spans="1:8">
      <c r="A26" s="58" t="s">
        <v>323</v>
      </c>
      <c r="B26" s="66">
        <v>2.9543100000000002E-4</v>
      </c>
      <c r="C26" s="66">
        <v>1.04239E-3</v>
      </c>
      <c r="D26" s="66">
        <v>3.5283699999999998</v>
      </c>
      <c r="E26" s="66">
        <v>0</v>
      </c>
      <c r="F26" s="196">
        <v>3.28256E-5</v>
      </c>
      <c r="G26" s="66">
        <v>0</v>
      </c>
      <c r="H26" s="66">
        <v>5.1700399999999999E-3</v>
      </c>
    </row>
    <row r="27" spans="1:8">
      <c r="A27" s="58" t="s">
        <v>324</v>
      </c>
      <c r="B27" s="196">
        <v>-1.31303E-5</v>
      </c>
      <c r="C27" s="66">
        <v>7.4969399999999997E-4</v>
      </c>
      <c r="D27" s="66">
        <v>-57.096699999999998</v>
      </c>
      <c r="E27" s="66">
        <v>0</v>
      </c>
      <c r="F27" s="66">
        <v>-3.7289900000000002E-3</v>
      </c>
      <c r="G27" s="66">
        <v>0</v>
      </c>
      <c r="H27" s="66">
        <v>3.0823299999999999E-3</v>
      </c>
    </row>
    <row r="28" spans="1:8">
      <c r="A28" s="58" t="s">
        <v>325</v>
      </c>
      <c r="B28" s="66">
        <v>1.01595E-2</v>
      </c>
      <c r="C28" s="66">
        <v>1.17746E-2</v>
      </c>
      <c r="D28" s="66">
        <v>1.1589700000000001</v>
      </c>
      <c r="E28" s="66">
        <v>0</v>
      </c>
      <c r="F28" s="66">
        <v>2.89714E-4</v>
      </c>
      <c r="G28" s="66">
        <v>0</v>
      </c>
      <c r="H28" s="66">
        <v>8.6025400000000002E-2</v>
      </c>
    </row>
    <row r="29" spans="1:8">
      <c r="A29" s="58" t="s">
        <v>326</v>
      </c>
      <c r="B29" s="66">
        <v>71.440899999999999</v>
      </c>
      <c r="C29" s="66">
        <v>9.2173599999999993</v>
      </c>
      <c r="D29" s="66">
        <v>0.129021</v>
      </c>
      <c r="E29" s="66">
        <v>0</v>
      </c>
      <c r="F29" s="66">
        <v>48.818899999999999</v>
      </c>
      <c r="G29" s="66">
        <v>0</v>
      </c>
      <c r="H29" s="66">
        <v>101.108</v>
      </c>
    </row>
    <row r="30" spans="1:8">
      <c r="A30" s="58" t="s">
        <v>327</v>
      </c>
      <c r="B30" s="66">
        <v>30.3169</v>
      </c>
      <c r="C30" s="66">
        <v>4.6613699999999998</v>
      </c>
      <c r="D30" s="66">
        <v>0.153755</v>
      </c>
      <c r="E30" s="66">
        <v>0</v>
      </c>
      <c r="F30" s="66">
        <v>12.543200000000001</v>
      </c>
      <c r="G30" s="66">
        <v>0</v>
      </c>
      <c r="H30" s="66">
        <v>33.621499999999997</v>
      </c>
    </row>
    <row r="31" spans="1:8">
      <c r="A31" s="58" t="s">
        <v>328</v>
      </c>
      <c r="B31" s="66">
        <v>368.43200000000002</v>
      </c>
      <c r="C31" s="66">
        <v>76.4846</v>
      </c>
      <c r="D31" s="66">
        <v>0.207595</v>
      </c>
      <c r="E31" s="66">
        <v>0</v>
      </c>
      <c r="F31" s="66">
        <v>113.322</v>
      </c>
      <c r="G31" s="66">
        <v>0</v>
      </c>
      <c r="H31" s="66">
        <v>468.63099999999997</v>
      </c>
    </row>
    <row r="32" spans="1:8">
      <c r="A32" s="58" t="s">
        <v>329</v>
      </c>
      <c r="B32" s="66">
        <v>0.229328</v>
      </c>
      <c r="C32" s="66">
        <v>4.7687599999999997E-2</v>
      </c>
      <c r="D32" s="66">
        <v>0.20794499999999999</v>
      </c>
      <c r="E32" s="66">
        <v>0.15</v>
      </c>
      <c r="F32" s="66">
        <v>0.11153</v>
      </c>
      <c r="G32" s="66">
        <v>0.4</v>
      </c>
      <c r="H32" s="66">
        <v>0.33938200000000002</v>
      </c>
    </row>
    <row r="33" spans="1:8">
      <c r="A33" s="58" t="s">
        <v>330</v>
      </c>
      <c r="B33" s="66">
        <v>0.45172000000000001</v>
      </c>
      <c r="C33" s="66">
        <v>4.0320300000000003E-2</v>
      </c>
      <c r="D33" s="66">
        <v>8.9259500000000006E-2</v>
      </c>
      <c r="E33" s="66">
        <v>0</v>
      </c>
      <c r="F33" s="66">
        <v>0.36174699999999999</v>
      </c>
      <c r="G33" s="66">
        <v>0</v>
      </c>
      <c r="H33" s="66">
        <v>0.48990699999999998</v>
      </c>
    </row>
    <row r="34" spans="1:8">
      <c r="A34" s="58" t="s">
        <v>331</v>
      </c>
      <c r="B34" s="66">
        <v>0.234601</v>
      </c>
      <c r="C34" s="66">
        <v>2.8412300000000001E-2</v>
      </c>
      <c r="D34" s="66">
        <v>0.12110899999999999</v>
      </c>
      <c r="E34" s="66">
        <v>0.1</v>
      </c>
      <c r="F34" s="66">
        <v>0.14747399999999999</v>
      </c>
      <c r="G34" s="66">
        <v>0.25</v>
      </c>
      <c r="H34" s="66">
        <v>0.35302299999999998</v>
      </c>
    </row>
    <row r="35" spans="1:8">
      <c r="A35" s="58" t="s">
        <v>332</v>
      </c>
      <c r="B35" s="66">
        <v>8.7500999999999995E-2</v>
      </c>
      <c r="C35" s="66">
        <v>2.52841E-2</v>
      </c>
      <c r="D35" s="66">
        <v>0.28895799999999999</v>
      </c>
      <c r="E35" s="66">
        <v>0</v>
      </c>
      <c r="F35" s="66">
        <v>4.0716099999999998E-2</v>
      </c>
      <c r="G35" s="66">
        <v>0</v>
      </c>
      <c r="H35" s="66">
        <v>0.15696199999999999</v>
      </c>
    </row>
    <row r="36" spans="1:8">
      <c r="A36" s="58" t="s">
        <v>333</v>
      </c>
      <c r="B36" s="66">
        <v>0.21492</v>
      </c>
      <c r="C36" s="66">
        <v>9.7746200000000005E-2</v>
      </c>
      <c r="D36" s="66">
        <v>0.45480199999999998</v>
      </c>
      <c r="E36" s="66">
        <v>0</v>
      </c>
      <c r="F36" s="66">
        <v>3.8438300000000002E-2</v>
      </c>
      <c r="G36" s="66">
        <v>0</v>
      </c>
      <c r="H36" s="66">
        <v>0.54409799999999997</v>
      </c>
    </row>
    <row r="37" spans="1:8">
      <c r="A37" s="58" t="s">
        <v>334</v>
      </c>
      <c r="B37" s="66">
        <v>0.28412300000000001</v>
      </c>
      <c r="C37" s="66">
        <v>0.10339</v>
      </c>
      <c r="D37" s="66">
        <v>0.36389199999999999</v>
      </c>
      <c r="E37" s="66">
        <v>0.1</v>
      </c>
      <c r="F37" s="66">
        <v>2.0697400000000001E-2</v>
      </c>
      <c r="G37" s="66">
        <v>0.5</v>
      </c>
      <c r="H37" s="66">
        <v>0.522756</v>
      </c>
    </row>
    <row r="38" spans="1:8">
      <c r="A38" s="58" t="s">
        <v>335</v>
      </c>
      <c r="B38" s="66">
        <v>-14.8667</v>
      </c>
      <c r="C38" s="66">
        <v>89.565200000000004</v>
      </c>
      <c r="D38" s="66">
        <v>-6.0245499999999996</v>
      </c>
      <c r="E38" s="66">
        <v>0</v>
      </c>
      <c r="F38" s="66">
        <v>-352.322</v>
      </c>
      <c r="G38" s="66">
        <v>0</v>
      </c>
      <c r="H38" s="66">
        <v>414.10300000000001</v>
      </c>
    </row>
    <row r="39" spans="1:8">
      <c r="A39" s="58" t="s">
        <v>336</v>
      </c>
      <c r="B39" s="66">
        <v>-5.0822399999999996</v>
      </c>
      <c r="C39" s="66">
        <v>18.669599999999999</v>
      </c>
      <c r="D39" s="66">
        <v>-3.6735000000000002</v>
      </c>
      <c r="E39" s="66">
        <v>0</v>
      </c>
      <c r="F39" s="66">
        <v>-14.785</v>
      </c>
      <c r="G39" s="66">
        <v>0</v>
      </c>
      <c r="H39" s="66">
        <v>102.358</v>
      </c>
    </row>
    <row r="40" spans="1:8">
      <c r="A40" s="58" t="s">
        <v>337</v>
      </c>
      <c r="B40" s="66">
        <v>-3.2595900000000002</v>
      </c>
      <c r="C40" s="66">
        <v>1.3520700000000001</v>
      </c>
      <c r="D40" s="66">
        <v>-0.414798</v>
      </c>
      <c r="E40" s="66">
        <v>0</v>
      </c>
      <c r="F40" s="66">
        <v>-5.0529400000000004</v>
      </c>
      <c r="G40" s="66">
        <v>0</v>
      </c>
      <c r="H40" s="66">
        <v>-0.44059399999999999</v>
      </c>
    </row>
    <row r="41" spans="1:8">
      <c r="A41" s="58" t="s">
        <v>338</v>
      </c>
      <c r="B41" s="66">
        <v>-9.7482200000000005E-2</v>
      </c>
      <c r="C41" s="66">
        <v>0.387992</v>
      </c>
      <c r="D41" s="66">
        <v>-3.9801299999999999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-0.132193</v>
      </c>
      <c r="C42" s="66">
        <v>0.16523599999999999</v>
      </c>
      <c r="D42" s="66">
        <v>-1.24996</v>
      </c>
      <c r="E42" s="66">
        <v>0</v>
      </c>
      <c r="F42" s="66">
        <v>-0.31438199999999999</v>
      </c>
      <c r="G42" s="66">
        <v>0</v>
      </c>
      <c r="H42" s="66">
        <v>0.61488100000000001</v>
      </c>
    </row>
    <row r="43" spans="1:8">
      <c r="A43" s="58" t="s">
        <v>340</v>
      </c>
      <c r="B43" s="66">
        <v>-5.1283299999999997E-2</v>
      </c>
      <c r="C43" s="66">
        <v>6.5305600000000005E-2</v>
      </c>
      <c r="D43" s="66">
        <v>-1.2734300000000001</v>
      </c>
      <c r="E43" s="66">
        <v>0</v>
      </c>
      <c r="F43" s="66">
        <v>-0.175097</v>
      </c>
      <c r="G43" s="66">
        <v>0</v>
      </c>
      <c r="H43" s="66">
        <v>9.0488700000000005E-2</v>
      </c>
    </row>
    <row r="44" spans="1:8">
      <c r="A44" s="58" t="s">
        <v>341</v>
      </c>
      <c r="B44" s="66">
        <v>-14.4237</v>
      </c>
      <c r="C44" s="66">
        <v>7.3375700000000004</v>
      </c>
      <c r="D44" s="66">
        <v>-0.50871699999999997</v>
      </c>
      <c r="E44" s="66">
        <v>0</v>
      </c>
      <c r="F44" s="66">
        <v>-36.139400000000002</v>
      </c>
      <c r="G44" s="66">
        <v>0</v>
      </c>
      <c r="H44" s="66">
        <v>-0.25619500000000001</v>
      </c>
    </row>
    <row r="45" spans="1:8">
      <c r="A45" s="58" t="s">
        <v>342</v>
      </c>
      <c r="B45" s="66">
        <v>52.504100000000001</v>
      </c>
      <c r="C45" s="66">
        <v>6.1339199999999998</v>
      </c>
      <c r="D45" s="66">
        <v>0.116827</v>
      </c>
      <c r="E45" s="66">
        <v>0</v>
      </c>
      <c r="F45" s="66">
        <v>30.38</v>
      </c>
      <c r="G45" s="66">
        <v>0</v>
      </c>
      <c r="H45" s="66">
        <v>66.140299999999996</v>
      </c>
    </row>
    <row r="46" spans="1:8">
      <c r="A46" s="58" t="s">
        <v>343</v>
      </c>
      <c r="B46" s="66">
        <v>35.305599999999998</v>
      </c>
      <c r="C46" s="66">
        <v>7.7656599999999996</v>
      </c>
      <c r="D46" s="66">
        <v>0.21995600000000001</v>
      </c>
      <c r="E46" s="66">
        <v>0</v>
      </c>
      <c r="F46" s="66">
        <v>10.036</v>
      </c>
      <c r="G46" s="66">
        <v>0</v>
      </c>
      <c r="H46" s="66">
        <v>42.590299999999999</v>
      </c>
    </row>
    <row r="47" spans="1:8">
      <c r="A47" s="58" t="s">
        <v>344</v>
      </c>
      <c r="B47" s="66">
        <v>0.823156</v>
      </c>
      <c r="C47" s="66">
        <v>0.40868700000000002</v>
      </c>
      <c r="D47" s="66">
        <v>0.49648799999999998</v>
      </c>
      <c r="E47" s="66">
        <v>0</v>
      </c>
      <c r="F47" s="66">
        <v>0.23244400000000001</v>
      </c>
      <c r="G47" s="66">
        <v>0</v>
      </c>
      <c r="H47" s="66">
        <v>2.5095100000000001</v>
      </c>
    </row>
    <row r="48" spans="1:8">
      <c r="A48" s="58" t="s">
        <v>345</v>
      </c>
      <c r="B48" s="66">
        <v>0.95837600000000001</v>
      </c>
      <c r="C48" s="66">
        <v>0.194045</v>
      </c>
      <c r="D48" s="66">
        <v>0.20247299999999999</v>
      </c>
      <c r="E48" s="66">
        <v>0</v>
      </c>
      <c r="F48" s="66">
        <v>0.72085200000000005</v>
      </c>
      <c r="G48" s="66">
        <v>0</v>
      </c>
      <c r="H48" s="66">
        <v>1.4774400000000001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-0.68480000000000274</v>
      </c>
      <c r="C5" s="66">
        <f>'M2'!C5-'M1'!C5</f>
        <v>-8.3302200000000006</v>
      </c>
      <c r="D5" s="66">
        <f>'M2'!D5-'M1'!D5</f>
        <v>-17.613320000000002</v>
      </c>
      <c r="E5" s="66">
        <f>'M2'!E5-'M1'!E5</f>
        <v>0</v>
      </c>
      <c r="F5" s="66">
        <f>'M2'!F5-'M1'!F5</f>
        <v>26.630700000000001</v>
      </c>
      <c r="G5" s="66">
        <f>'M2'!G5-'M1'!G5</f>
        <v>0</v>
      </c>
      <c r="H5" s="66">
        <f>'M2'!H5-'M1'!H5</f>
        <v>-0.28569999999999851</v>
      </c>
    </row>
    <row r="6" spans="1:8">
      <c r="A6" s="66" t="s">
        <v>244</v>
      </c>
      <c r="B6" s="66">
        <f>'M2'!B6-'M1'!B6</f>
        <v>-2.0108999999999995</v>
      </c>
      <c r="C6" s="66">
        <f>'M2'!C6-'M1'!C6</f>
        <v>-1.8532199999999999</v>
      </c>
      <c r="D6" s="66">
        <f>'M2'!D6-'M1'!D6</f>
        <v>-4.7640399999999996</v>
      </c>
      <c r="E6" s="66">
        <f>'M2'!E6-'M1'!E6</f>
        <v>0</v>
      </c>
      <c r="F6" s="66">
        <f>'M2'!F6-'M1'!F6</f>
        <v>4.1194000000000024</v>
      </c>
      <c r="G6" s="66">
        <f>'M2'!G6-'M1'!G6</f>
        <v>0</v>
      </c>
      <c r="H6" s="66">
        <f>'M2'!H6-'M1'!H6</f>
        <v>-2.2126000000000019</v>
      </c>
    </row>
    <row r="7" spans="1:8">
      <c r="A7" s="66" t="s">
        <v>245</v>
      </c>
      <c r="B7" s="66">
        <f>'M2'!B7-'M1'!B7</f>
        <v>1.0243000000000002</v>
      </c>
      <c r="C7" s="66">
        <f>'M2'!C7-'M1'!C7</f>
        <v>-1.4972099999999999</v>
      </c>
      <c r="D7" s="66">
        <f>'M2'!D7-'M1'!D7</f>
        <v>-7.5608000000000004</v>
      </c>
      <c r="E7" s="66">
        <f>'M2'!E7-'M1'!E7</f>
        <v>0</v>
      </c>
      <c r="F7" s="66">
        <f>'M2'!F7-'M1'!F7</f>
        <v>0.87739999999999974</v>
      </c>
      <c r="G7" s="66">
        <f>'M2'!G7-'M1'!G7</f>
        <v>0</v>
      </c>
      <c r="H7" s="66">
        <f>'M2'!H7-'M1'!H7</f>
        <v>-1.6857000000000042</v>
      </c>
    </row>
    <row r="8" spans="1:8">
      <c r="A8" s="66" t="s">
        <v>246</v>
      </c>
      <c r="B8" s="66">
        <f>'M2'!B8-'M1'!B8</f>
        <v>2.8586999999999989</v>
      </c>
      <c r="C8" s="66">
        <f>'M2'!C8-'M1'!C8</f>
        <v>-3.0213200000000002</v>
      </c>
      <c r="D8" s="66">
        <f>'M2'!D8-'M1'!D8</f>
        <v>-9.7374499999999991</v>
      </c>
      <c r="E8" s="66">
        <f>'M2'!E8-'M1'!E8</f>
        <v>0</v>
      </c>
      <c r="F8" s="66">
        <f>'M2'!F8-'M1'!F8</f>
        <v>8.7593999999999994</v>
      </c>
      <c r="G8" s="66">
        <f>'M2'!G8-'M1'!G8</f>
        <v>0</v>
      </c>
      <c r="H8" s="66">
        <f>'M2'!H8-'M1'!H8</f>
        <v>-1.1805999999999983</v>
      </c>
    </row>
    <row r="9" spans="1:8">
      <c r="A9" s="66" t="s">
        <v>247</v>
      </c>
      <c r="B9" s="66">
        <f>'M2'!B9-'M1'!B9</f>
        <v>2.0949000000000098</v>
      </c>
      <c r="C9" s="66">
        <f>'M2'!C9-'M1'!C9</f>
        <v>-0.40424000000000015</v>
      </c>
      <c r="D9" s="66">
        <f>'M2'!D9-'M1'!D9</f>
        <v>-0.69222000000000028</v>
      </c>
      <c r="E9" s="66">
        <f>'M2'!E9-'M1'!E9</f>
        <v>0</v>
      </c>
      <c r="F9" s="66">
        <f>'M2'!F9-'M1'!F9</f>
        <v>-1.071399999999997</v>
      </c>
      <c r="G9" s="66">
        <f>'M2'!G9-'M1'!G9</f>
        <v>0</v>
      </c>
      <c r="H9" s="66">
        <f>'M2'!H9-'M1'!H9</f>
        <v>-0.28749999999999432</v>
      </c>
    </row>
    <row r="10" spans="1:8">
      <c r="A10" s="66" t="s">
        <v>248</v>
      </c>
      <c r="B10" s="66">
        <f>'M2'!B10-'M1'!B10</f>
        <v>-1.9787000000000035</v>
      </c>
      <c r="C10" s="66">
        <f>'M2'!C10-'M1'!C10</f>
        <v>-5.9639199999999999</v>
      </c>
      <c r="D10" s="66">
        <f>'M2'!D10-'M1'!D10</f>
        <v>-7.976049999999999</v>
      </c>
      <c r="E10" s="66">
        <f>'M2'!E10-'M1'!E10</f>
        <v>0</v>
      </c>
      <c r="F10" s="66">
        <f>'M2'!F10-'M1'!F10</f>
        <v>9.0834000000000046</v>
      </c>
      <c r="G10" s="66">
        <f>'M2'!G10-'M1'!G10</f>
        <v>0</v>
      </c>
      <c r="H10" s="66">
        <f>'M2'!H10-'M1'!H10</f>
        <v>-8.4054000000000002</v>
      </c>
    </row>
    <row r="11" spans="1:8">
      <c r="A11" s="66" t="s">
        <v>249</v>
      </c>
      <c r="B11" s="66">
        <f>'M2'!B11-'M1'!B11</f>
        <v>5.9307000000000016</v>
      </c>
      <c r="C11" s="66">
        <f>'M2'!C11-'M1'!C11</f>
        <v>-3.71522</v>
      </c>
      <c r="D11" s="66">
        <f>'M2'!D11-'M1'!D11</f>
        <v>-16.922310000000003</v>
      </c>
      <c r="E11" s="66">
        <f>'M2'!E11-'M1'!E11</f>
        <v>0</v>
      </c>
      <c r="F11" s="66">
        <f>'M2'!F11-'M1'!F11</f>
        <v>19.405459999999998</v>
      </c>
      <c r="G11" s="66">
        <f>'M2'!G11-'M1'!G11</f>
        <v>0</v>
      </c>
      <c r="H11" s="66">
        <f>'M2'!H11-'M1'!H11</f>
        <v>4.6136000000000017</v>
      </c>
    </row>
    <row r="12" spans="1:8">
      <c r="A12" s="66" t="s">
        <v>250</v>
      </c>
      <c r="B12" s="66">
        <f>'M2'!B12-'M1'!B12</f>
        <v>0.32219999999999516</v>
      </c>
      <c r="C12" s="66">
        <f>'M2'!C12-'M1'!C12</f>
        <v>-2.7549200000000003</v>
      </c>
      <c r="D12" s="66">
        <f>'M2'!D12-'M1'!D12</f>
        <v>-3.8371600000000003</v>
      </c>
      <c r="E12" s="66">
        <f>'M2'!E12-'M1'!E12</f>
        <v>0</v>
      </c>
      <c r="F12" s="66">
        <f>'M2'!F12-'M1'!F12</f>
        <v>3.8131999999999948</v>
      </c>
      <c r="G12" s="66">
        <f>'M2'!G12-'M1'!G12</f>
        <v>0</v>
      </c>
      <c r="H12" s="66">
        <f>'M2'!H12-'M1'!H12</f>
        <v>-5.7665999999999968</v>
      </c>
    </row>
    <row r="13" spans="1:8">
      <c r="A13" s="66" t="s">
        <v>251</v>
      </c>
      <c r="B13" s="66">
        <f>'M2'!B13-'M1'!B13</f>
        <v>1.3862999999999985</v>
      </c>
      <c r="C13" s="66">
        <f>'M2'!C13-'M1'!C13</f>
        <v>-0.51934999999999976</v>
      </c>
      <c r="D13" s="66">
        <f>'M2'!D13-'M1'!D13</f>
        <v>-2.9349000000000007</v>
      </c>
      <c r="E13" s="66">
        <f>'M2'!E13-'M1'!E13</f>
        <v>0</v>
      </c>
      <c r="F13" s="66">
        <f>'M2'!F13-'M1'!F13</f>
        <v>4.8206000000000007</v>
      </c>
      <c r="G13" s="66">
        <f>'M2'!G13-'M1'!G13</f>
        <v>0</v>
      </c>
      <c r="H13" s="66">
        <f>'M2'!H13-'M1'!H13</f>
        <v>7.1060000000000016</v>
      </c>
    </row>
    <row r="14" spans="1:8">
      <c r="A14" s="66" t="s">
        <v>252</v>
      </c>
      <c r="B14" s="66">
        <f>'M2'!B14-'M1'!B14</f>
        <v>-5.1935000000000002</v>
      </c>
      <c r="C14" s="66">
        <f>'M2'!C14-'M1'!C14</f>
        <v>-1.3323599999999995</v>
      </c>
      <c r="D14" s="66">
        <f>'M2'!D14-'M1'!D14</f>
        <v>2.3398000000000039</v>
      </c>
      <c r="E14" s="66">
        <f>'M2'!E14-'M1'!E14</f>
        <v>0</v>
      </c>
      <c r="F14" s="66">
        <f>'M2'!F14-'M1'!F14</f>
        <v>1.8208299999999999</v>
      </c>
      <c r="G14" s="66">
        <f>'M2'!G14-'M1'!G14</f>
        <v>0</v>
      </c>
      <c r="H14" s="66">
        <f>'M2'!H14-'M1'!H14</f>
        <v>12.4848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-0.11096900000000004</v>
      </c>
      <c r="C18" s="66">
        <f>'M2'!C18-'M1'!C18</f>
        <v>5.7714599999999998E-2</v>
      </c>
      <c r="D18" s="66">
        <f>'M2'!D18-'M1'!D18</f>
        <v>0.156001</v>
      </c>
      <c r="E18" s="66">
        <f>'M2'!E18-'M1'!E18</f>
        <v>0</v>
      </c>
      <c r="F18" s="66">
        <f>'M2'!F18-'M1'!F18</f>
        <v>0.312249</v>
      </c>
      <c r="G18" s="66">
        <f>'M2'!G18-'M1'!G18</f>
        <v>0</v>
      </c>
      <c r="H18" s="66">
        <f>'M2'!H18-'M1'!H18</f>
        <v>0.427678</v>
      </c>
    </row>
    <row r="19" spans="1:8">
      <c r="A19" s="66" t="s">
        <v>256</v>
      </c>
      <c r="B19" s="66">
        <f>'M2'!B19-'M1'!B19</f>
        <v>0.11895600000000006</v>
      </c>
      <c r="C19" s="66">
        <f>'M2'!C19-'M1'!C19</f>
        <v>4.4941599999999998E-2</v>
      </c>
      <c r="D19" s="66">
        <f>'M2'!D19-'M1'!D19</f>
        <v>7.8472399999999998E-2</v>
      </c>
      <c r="E19" s="66">
        <f>'M2'!E19-'M1'!E19</f>
        <v>0</v>
      </c>
      <c r="F19" s="66">
        <f>'M2'!F19-'M1'!F19</f>
        <v>0.52776400000000001</v>
      </c>
      <c r="G19" s="66">
        <f>'M2'!G19-'M1'!G19</f>
        <v>0</v>
      </c>
      <c r="H19" s="66">
        <f>'M2'!H19-'M1'!H19</f>
        <v>0.61764699999999995</v>
      </c>
    </row>
    <row r="20" spans="1:8">
      <c r="A20" s="66" t="s">
        <v>63</v>
      </c>
      <c r="B20" s="66">
        <f>'M2'!B20-'M1'!B20</f>
        <v>1.9201099999999996E-4</v>
      </c>
      <c r="C20" s="66">
        <f>'M2'!C20-'M1'!C20</f>
        <v>-1.3545000000000015E-3</v>
      </c>
      <c r="D20" s="66">
        <f>'M2'!D20-'M1'!D20</f>
        <v>-5.6485000000000021</v>
      </c>
      <c r="E20" s="66">
        <f>'M2'!E20-'M1'!E20</f>
        <v>0</v>
      </c>
      <c r="F20" s="66">
        <f>'M2'!F20-'M1'!F20</f>
        <v>-7.6981E-6</v>
      </c>
      <c r="G20" s="66">
        <f>'M2'!G20-'M1'!G20</f>
        <v>0</v>
      </c>
      <c r="H20" s="66">
        <f>'M2'!H20-'M1'!H20</f>
        <v>1.6992599999999997E-2</v>
      </c>
    </row>
    <row r="21" spans="1:8">
      <c r="A21" s="66" t="s">
        <v>64</v>
      </c>
      <c r="B21" s="66">
        <f>'M2'!B21-'M1'!B21</f>
        <v>1.1295700000000006E-2</v>
      </c>
      <c r="C21" s="66">
        <f>'M2'!C21-'M1'!C21</f>
        <v>-2.665880000000001E-2</v>
      </c>
      <c r="D21" s="66">
        <f>'M2'!D21-'M1'!D21</f>
        <v>-0.47475000000000001</v>
      </c>
      <c r="E21" s="66">
        <f>'M2'!E21-'M1'!E21</f>
        <v>0</v>
      </c>
      <c r="F21" s="66">
        <f>'M2'!F21-'M1'!F21</f>
        <v>-2.6304300000000002E-4</v>
      </c>
      <c r="G21" s="66">
        <f>'M2'!G21-'M1'!G21</f>
        <v>0</v>
      </c>
      <c r="H21" s="66">
        <f>'M2'!H21-'M1'!H21</f>
        <v>-0.51452299999999995</v>
      </c>
    </row>
    <row r="22" spans="1:8">
      <c r="A22" s="66" t="s">
        <v>65</v>
      </c>
      <c r="B22" s="66">
        <f>'M2'!B22-'M1'!B22</f>
        <v>-0.56320000000000192</v>
      </c>
      <c r="C22" s="66">
        <f>'M2'!C22-'M1'!C22</f>
        <v>3.0368999999999993</v>
      </c>
      <c r="D22" s="66">
        <f>'M2'!D22-'M1'!D22</f>
        <v>7.1579999999999977E-2</v>
      </c>
      <c r="E22" s="66">
        <f>'M2'!E22-'M1'!E22</f>
        <v>0</v>
      </c>
      <c r="F22" s="66">
        <f>'M2'!F22-'M1'!F22</f>
        <v>3.7002999999999986</v>
      </c>
      <c r="G22" s="66">
        <f>'M2'!G22-'M1'!G22</f>
        <v>0</v>
      </c>
      <c r="H22" s="66">
        <f>'M2'!H22-'M1'!H22</f>
        <v>20.824300000000008</v>
      </c>
    </row>
    <row r="23" spans="1:8">
      <c r="A23" s="66" t="s">
        <v>66</v>
      </c>
      <c r="B23" s="66">
        <f>'M2'!B23-'M1'!B23</f>
        <v>1.7099000000000011</v>
      </c>
      <c r="C23" s="66">
        <f>'M2'!C23-'M1'!C23</f>
        <v>-2.9807300000000003</v>
      </c>
      <c r="D23" s="66">
        <f>'M2'!D23-'M1'!D23</f>
        <v>-0.14746719999999999</v>
      </c>
      <c r="E23" s="66">
        <f>'M2'!E23-'M1'!E23</f>
        <v>0</v>
      </c>
      <c r="F23" s="66">
        <f>'M2'!F23-'M1'!F23</f>
        <v>10.195</v>
      </c>
      <c r="G23" s="66">
        <f>'M2'!G23-'M1'!G23</f>
        <v>0</v>
      </c>
      <c r="H23" s="66">
        <f>'M2'!H23-'M1'!H23</f>
        <v>0.42169999999999774</v>
      </c>
    </row>
    <row r="24" spans="1:8">
      <c r="A24" s="66" t="s">
        <v>67</v>
      </c>
      <c r="B24" s="66">
        <f>'M2'!B24-'M1'!B24</f>
        <v>-1.0688999999999998E-3</v>
      </c>
      <c r="C24" s="66">
        <f>'M2'!C24-'M1'!C24</f>
        <v>-6.2219999999999984E-4</v>
      </c>
      <c r="D24" s="66">
        <f>'M2'!D24-'M1'!D24</f>
        <v>0.40974999999999984</v>
      </c>
      <c r="E24" s="66">
        <f>'M2'!E24-'M1'!E24</f>
        <v>0</v>
      </c>
      <c r="F24" s="66">
        <f>'M2'!F24-'M1'!F24</f>
        <v>-4.7754999999999965E-5</v>
      </c>
      <c r="G24" s="66">
        <f>'M2'!G24-'M1'!G24</f>
        <v>0</v>
      </c>
      <c r="H24" s="66">
        <f>'M2'!H24-'M1'!H24</f>
        <v>-1.8654000000000032E-3</v>
      </c>
    </row>
    <row r="25" spans="1:8">
      <c r="A25" s="66" t="s">
        <v>68</v>
      </c>
      <c r="B25" s="66">
        <f>'M2'!B25-'M1'!B25</f>
        <v>1.2589000000000003E-2</v>
      </c>
      <c r="C25" s="66">
        <f>'M2'!C25-'M1'!C25</f>
        <v>-1.0076699999999994E-2</v>
      </c>
      <c r="D25" s="66">
        <f>'M2'!D25-'M1'!D25</f>
        <v>-0.13409500000000002</v>
      </c>
      <c r="E25" s="66">
        <f>'M2'!E25-'M1'!E25</f>
        <v>0</v>
      </c>
      <c r="F25" s="66">
        <f>'M2'!F25-'M1'!F25</f>
        <v>1.6815499999999997E-2</v>
      </c>
      <c r="G25" s="66">
        <f>'M2'!G25-'M1'!G25</f>
        <v>0</v>
      </c>
      <c r="H25" s="66">
        <f>'M2'!H25-'M1'!H25</f>
        <v>-4.1853000000000001E-2</v>
      </c>
    </row>
    <row r="26" spans="1:8">
      <c r="A26" s="66" t="s">
        <v>69</v>
      </c>
      <c r="B26" s="66">
        <f>'M2'!B26-'M1'!B26</f>
        <v>7.2217000000000017E-5</v>
      </c>
      <c r="C26" s="66">
        <f>'M2'!C26-'M1'!C26</f>
        <v>-9.7237000000000018E-5</v>
      </c>
      <c r="D26" s="66">
        <f>'M2'!D26-'M1'!D26</f>
        <v>-1.2086599999999996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-4.5627999999999988E-4</v>
      </c>
    </row>
    <row r="27" spans="1:8">
      <c r="A27" s="66" t="s">
        <v>70</v>
      </c>
      <c r="B27" s="66">
        <f>'M2'!B27-'M1'!B27</f>
        <v>-1.6412000000000005E-6</v>
      </c>
      <c r="C27" s="66">
        <f>'M2'!C27-'M1'!C27</f>
        <v>-5.9010999999999981E-5</v>
      </c>
      <c r="D27" s="66">
        <f>'M2'!D27-'M1'!D27</f>
        <v>10.583500000000001</v>
      </c>
      <c r="E27" s="66">
        <f>'M2'!E27-'M1'!E27</f>
        <v>0</v>
      </c>
      <c r="F27" s="66">
        <f>'M2'!F27-'M1'!F27</f>
        <v>-1.3130000000000086E-5</v>
      </c>
      <c r="G27" s="66">
        <f>'M2'!G27-'M1'!G27</f>
        <v>0</v>
      </c>
      <c r="H27" s="66">
        <f>'M2'!H27-'M1'!H27</f>
        <v>-1.1160999999999983E-4</v>
      </c>
    </row>
    <row r="28" spans="1:8">
      <c r="A28" s="66" t="s">
        <v>71</v>
      </c>
      <c r="B28" s="66">
        <f>'M2'!B28-'M1'!B28</f>
        <v>1.2793400000000003E-3</v>
      </c>
      <c r="C28" s="66">
        <f>'M2'!C28-'M1'!C28</f>
        <v>-1.3516999999999991E-3</v>
      </c>
      <c r="D28" s="66">
        <f>'M2'!D28-'M1'!D28</f>
        <v>-0.27266000000000012</v>
      </c>
      <c r="E28" s="66">
        <f>'M2'!E28-'M1'!E28</f>
        <v>0</v>
      </c>
      <c r="F28" s="66">
        <f>'M2'!F28-'M1'!F28</f>
        <v>-1.2695300000000002E-4</v>
      </c>
      <c r="G28" s="66">
        <f>'M2'!G28-'M1'!G28</f>
        <v>0</v>
      </c>
      <c r="H28" s="66">
        <f>'M2'!H28-'M1'!H28</f>
        <v>-3.7627000000000001E-2</v>
      </c>
    </row>
    <row r="29" spans="1:8">
      <c r="A29" s="66" t="s">
        <v>72</v>
      </c>
      <c r="B29" s="66">
        <f>'M2'!B29-'M1'!B29</f>
        <v>3.3054000000000059</v>
      </c>
      <c r="C29" s="66">
        <f>'M2'!C29-'M1'!C29</f>
        <v>3.0128100000000009</v>
      </c>
      <c r="D29" s="66">
        <f>'M2'!D29-'M1'!D29</f>
        <v>3.6257000000000011E-2</v>
      </c>
      <c r="E29" s="66">
        <f>'M2'!E29-'M1'!E29</f>
        <v>0</v>
      </c>
      <c r="F29" s="66">
        <f>'M2'!F29-'M1'!F29</f>
        <v>5.7944999999999993</v>
      </c>
      <c r="G29" s="66">
        <f>'M2'!G29-'M1'!G29</f>
        <v>0</v>
      </c>
      <c r="H29" s="66">
        <f>'M2'!H29-'M1'!H29</f>
        <v>13.703100000000006</v>
      </c>
    </row>
    <row r="30" spans="1:8">
      <c r="A30" s="66" t="s">
        <v>73</v>
      </c>
      <c r="B30" s="66">
        <f>'M2'!B30-'M1'!B30</f>
        <v>1.5326999999999984</v>
      </c>
      <c r="C30" s="66">
        <f>'M2'!C30-'M1'!C30</f>
        <v>-3.9187599999999998</v>
      </c>
      <c r="D30" s="66">
        <f>'M2'!D30-'M1'!D30</f>
        <v>-0.13696999999999998</v>
      </c>
      <c r="E30" s="66">
        <f>'M2'!E30-'M1'!E30</f>
        <v>0</v>
      </c>
      <c r="F30" s="66">
        <f>'M2'!F30-'M1'!F30</f>
        <v>16.115699999999997</v>
      </c>
      <c r="G30" s="66">
        <f>'M2'!G30-'M1'!G30</f>
        <v>0</v>
      </c>
      <c r="H30" s="66">
        <f>'M2'!H30-'M1'!H30</f>
        <v>1.8889999999999958</v>
      </c>
    </row>
    <row r="31" spans="1:8">
      <c r="A31" s="66" t="s">
        <v>74</v>
      </c>
      <c r="B31" s="66">
        <f>'M2'!B31-'M1'!B31</f>
        <v>49.290999999999997</v>
      </c>
      <c r="C31" s="66">
        <f>'M2'!C31-'M1'!C31</f>
        <v>-45.582100000000004</v>
      </c>
      <c r="D31" s="66">
        <f>'M2'!D31-'M1'!D31</f>
        <v>-0.14581920000000001</v>
      </c>
      <c r="E31" s="66">
        <f>'M2'!E31-'M1'!E31</f>
        <v>0</v>
      </c>
      <c r="F31" s="66">
        <f>'M2'!F31-'M1'!F31</f>
        <v>205.73599999999999</v>
      </c>
      <c r="G31" s="66">
        <f>'M2'!G31-'M1'!G31</f>
        <v>0</v>
      </c>
      <c r="H31" s="66">
        <f>'M2'!H31-'M1'!H31</f>
        <v>64.91799999999995</v>
      </c>
    </row>
    <row r="32" spans="1:8">
      <c r="A32" s="66" t="s">
        <v>75</v>
      </c>
      <c r="B32" s="66">
        <f>'M2'!B32-'M1'!B32</f>
        <v>1.0243000000000002E-2</v>
      </c>
      <c r="C32" s="66">
        <f>'M2'!C32-'M1'!C32</f>
        <v>-1.4972099999999995E-2</v>
      </c>
      <c r="D32" s="66">
        <f>'M2'!D32-'M1'!D32</f>
        <v>-7.5607999999999981E-2</v>
      </c>
      <c r="E32" s="66">
        <f>'M2'!E32-'M1'!E32</f>
        <v>0</v>
      </c>
      <c r="F32" s="66">
        <f>'M2'!F32-'M1'!F32</f>
        <v>8.7749999999999911E-3</v>
      </c>
      <c r="G32" s="66">
        <f>'M2'!G32-'M1'!G32</f>
        <v>0</v>
      </c>
      <c r="H32" s="66">
        <f>'M2'!H32-'M1'!H32</f>
        <v>-1.6857000000000011E-2</v>
      </c>
    </row>
    <row r="33" spans="1:8">
      <c r="A33" s="66" t="s">
        <v>76</v>
      </c>
      <c r="B33" s="66">
        <f>'M2'!B33-'M1'!B33</f>
        <v>7.1421000000000012E-2</v>
      </c>
      <c r="C33" s="66">
        <f>'M2'!C33-'M1'!C33</f>
        <v>-2.3130399999999995E-2</v>
      </c>
      <c r="D33" s="66">
        <f>'M2'!D33-'M1'!D33</f>
        <v>-6.195450000000001E-2</v>
      </c>
      <c r="E33" s="66">
        <f>'M2'!E33-'M1'!E33</f>
        <v>0</v>
      </c>
      <c r="F33" s="66">
        <f>'M2'!F33-'M1'!F33</f>
        <v>8.0518000000000034E-2</v>
      </c>
      <c r="G33" s="66">
        <f>'M2'!G33-'M1'!G33</f>
        <v>0</v>
      </c>
      <c r="H33" s="66">
        <f>'M2'!H33-'M1'!H33</f>
        <v>8.4769999999999568E-3</v>
      </c>
    </row>
    <row r="34" spans="1:8">
      <c r="A34" s="66" t="s">
        <v>77</v>
      </c>
      <c r="B34" s="66">
        <f>'M2'!B34-'M1'!B34</f>
        <v>1.3863000000000014E-2</v>
      </c>
      <c r="C34" s="66">
        <f>'M2'!C34-'M1'!C34</f>
        <v>-5.1935000000000002E-3</v>
      </c>
      <c r="D34" s="66">
        <f>'M2'!D34-'M1'!D34</f>
        <v>-2.9349E-2</v>
      </c>
      <c r="E34" s="66">
        <f>'M2'!E34-'M1'!E34</f>
        <v>0</v>
      </c>
      <c r="F34" s="66">
        <f>'M2'!F34-'M1'!F34</f>
        <v>4.8205999999999999E-2</v>
      </c>
      <c r="G34" s="66">
        <f>'M2'!G34-'M1'!G34</f>
        <v>0</v>
      </c>
      <c r="H34" s="66">
        <f>'M2'!H34-'M1'!H34</f>
        <v>7.1059999999999957E-2</v>
      </c>
    </row>
    <row r="35" spans="1:8">
      <c r="A35" s="66" t="s">
        <v>78</v>
      </c>
      <c r="B35" s="66">
        <f>'M2'!B35-'M1'!B35</f>
        <v>5.8770999999999962E-3</v>
      </c>
      <c r="C35" s="66">
        <f>'M2'!C35-'M1'!C35</f>
        <v>1.4009000000000001E-3</v>
      </c>
      <c r="D35" s="66">
        <f>'M2'!D35-'M1'!D35</f>
        <v>-3.3839999999999981E-3</v>
      </c>
      <c r="E35" s="66">
        <f>'M2'!E35-'M1'!E35</f>
        <v>0</v>
      </c>
      <c r="F35" s="66">
        <f>'M2'!F35-'M1'!F35</f>
        <v>7.2603000000000043E-3</v>
      </c>
      <c r="G35" s="66">
        <f>'M2'!G35-'M1'!G35</f>
        <v>0</v>
      </c>
      <c r="H35" s="66">
        <f>'M2'!H35-'M1'!H35</f>
        <v>-1.1242000000000002E-2</v>
      </c>
    </row>
    <row r="36" spans="1:8">
      <c r="A36" s="66" t="s">
        <v>79</v>
      </c>
      <c r="B36" s="66">
        <f>'M2'!B36-'M1'!B36</f>
        <v>-1.9615999999999995E-2</v>
      </c>
      <c r="C36" s="66">
        <f>'M2'!C36-'M1'!C36</f>
        <v>9.8632000000000025E-3</v>
      </c>
      <c r="D36" s="66">
        <f>'M2'!D36-'M1'!D36</f>
        <v>8.8882000000000017E-2</v>
      </c>
      <c r="E36" s="66">
        <f>'M2'!E36-'M1'!E36</f>
        <v>0</v>
      </c>
      <c r="F36" s="66">
        <f>'M2'!F36-'M1'!F36</f>
        <v>-1.4556000000000013E-3</v>
      </c>
      <c r="G36" s="66">
        <f>'M2'!G36-'M1'!G36</f>
        <v>0</v>
      </c>
      <c r="H36" s="66">
        <f>'M2'!H36-'M1'!H36</f>
        <v>-4.9495999999999984E-2</v>
      </c>
    </row>
    <row r="37" spans="1:8">
      <c r="A37" s="66" t="s">
        <v>80</v>
      </c>
      <c r="B37" s="66">
        <f>'M2'!B37-'M1'!B37</f>
        <v>-5.1935000000000009E-2</v>
      </c>
      <c r="C37" s="66">
        <f>'M2'!C37-'M1'!C37</f>
        <v>-1.3323599999999991E-2</v>
      </c>
      <c r="D37" s="66">
        <f>'M2'!D37-'M1'!D37</f>
        <v>2.339800000000003E-2</v>
      </c>
      <c r="E37" s="66">
        <f>'M2'!E37-'M1'!E37</f>
        <v>0</v>
      </c>
      <c r="F37" s="66">
        <f>'M2'!F37-'M1'!F37</f>
        <v>1.82083E-2</v>
      </c>
      <c r="G37" s="66">
        <f>'M2'!G37-'M1'!G37</f>
        <v>0</v>
      </c>
      <c r="H37" s="66">
        <f>'M2'!H37-'M1'!H37</f>
        <v>0.12484800000000001</v>
      </c>
    </row>
    <row r="38" spans="1:8">
      <c r="A38" s="66" t="s">
        <v>81</v>
      </c>
      <c r="B38" s="66">
        <f>'M2'!B38-'M1'!B38</f>
        <v>-18.511769999999999</v>
      </c>
      <c r="C38" s="66">
        <f>'M2'!C38-'M1'!C38</f>
        <v>10.273499999999999</v>
      </c>
      <c r="D38" s="66">
        <f>'M2'!D38-'M1'!D38</f>
        <v>6.6866099999999999</v>
      </c>
      <c r="E38" s="66">
        <f>'M2'!E38-'M1'!E38</f>
        <v>0</v>
      </c>
      <c r="F38" s="66">
        <f>'M2'!F38-'M1'!F38</f>
        <v>-53.838000000000022</v>
      </c>
      <c r="G38" s="66">
        <f>'M2'!G38-'M1'!G38</f>
        <v>0</v>
      </c>
      <c r="H38" s="66">
        <f>'M2'!H38-'M1'!H38</f>
        <v>25.982000000000028</v>
      </c>
    </row>
    <row r="39" spans="1:8">
      <c r="A39" s="66" t="s">
        <v>82</v>
      </c>
      <c r="B39" s="66">
        <f>'M2'!B39-'M1'!B39</f>
        <v>-5.0483000000000002</v>
      </c>
      <c r="C39" s="66">
        <f>'M2'!C39-'M1'!C39</f>
        <v>-14.60928</v>
      </c>
      <c r="D39" s="66">
        <f>'M2'!D39-'M1'!D39</f>
        <v>11.394909999999999</v>
      </c>
      <c r="E39" s="66">
        <f>'M2'!E39-'M1'!E39</f>
        <v>0</v>
      </c>
      <c r="F39" s="66">
        <f>'M2'!F39-'M1'!F39</f>
        <v>-2.2826000000000004</v>
      </c>
      <c r="G39" s="66">
        <f>'M2'!G39-'M1'!G39</f>
        <v>0</v>
      </c>
      <c r="H39" s="66">
        <f>'M2'!H39-'M1'!H39</f>
        <v>-14.007600000000011</v>
      </c>
    </row>
    <row r="40" spans="1:8">
      <c r="A40" s="66" t="s">
        <v>83</v>
      </c>
      <c r="B40" s="66">
        <f>'M2'!B40-'M1'!B40</f>
        <v>-1.71021</v>
      </c>
      <c r="C40" s="66">
        <f>'M2'!C40-'M1'!C40</f>
        <v>-1.0609310000000001</v>
      </c>
      <c r="D40" s="66">
        <f>'M2'!D40-'M1'!D40</f>
        <v>0.79405499999999996</v>
      </c>
      <c r="E40" s="66">
        <f>'M2'!E40-'M1'!E40</f>
        <v>0</v>
      </c>
      <c r="F40" s="66">
        <f>'M2'!F40-'M1'!F40</f>
        <v>0.55259000000000036</v>
      </c>
      <c r="G40" s="66">
        <f>'M2'!G40-'M1'!G40</f>
        <v>0</v>
      </c>
      <c r="H40" s="66">
        <f>'M2'!H40-'M1'!H40</f>
        <v>-1.908846</v>
      </c>
    </row>
    <row r="41" spans="1:8">
      <c r="A41" s="66" t="s">
        <v>84</v>
      </c>
      <c r="B41" s="66">
        <f>'M2'!B41-'M1'!B41</f>
        <v>-7.6009000000000007E-2</v>
      </c>
      <c r="C41" s="66">
        <f>'M2'!C41-'M1'!C41</f>
        <v>4.0266000000000024E-2</v>
      </c>
      <c r="D41" s="66">
        <f>'M2'!D41-'M1'!D41</f>
        <v>3.18668</v>
      </c>
      <c r="E41" s="66">
        <f>'M2'!E41-'M1'!E41</f>
        <v>0</v>
      </c>
      <c r="F41" s="66">
        <f>'M2'!F41-'M1'!F41</f>
        <v>-7.9328999999999983E-2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-5.3937799999999994E-2</v>
      </c>
      <c r="C42" s="66">
        <f>'M2'!C42-'M1'!C42</f>
        <v>-0.11138239999999999</v>
      </c>
      <c r="D42" s="66">
        <f>'M2'!D42-'M1'!D42</f>
        <v>1.5137800000000001</v>
      </c>
      <c r="E42" s="66">
        <f>'M2'!E42-'M1'!E42</f>
        <v>0</v>
      </c>
      <c r="F42" s="66">
        <f>'M2'!F42-'M1'!F42</f>
        <v>4.1314000000000017E-2</v>
      </c>
      <c r="G42" s="66">
        <f>'M2'!G42-'M1'!G42</f>
        <v>0</v>
      </c>
      <c r="H42" s="66">
        <f>'M2'!H42-'M1'!H42</f>
        <v>-0.39477800000000002</v>
      </c>
    </row>
    <row r="43" spans="1:8">
      <c r="A43" s="66" t="s">
        <v>86</v>
      </c>
      <c r="B43" s="66">
        <f>'M2'!B43-'M1'!B43</f>
        <v>-6.4690399999999995E-2</v>
      </c>
      <c r="C43" s="66">
        <f>'M2'!C43-'M1'!C43</f>
        <v>-6.4589599999999997E-2</v>
      </c>
      <c r="D43" s="66">
        <f>'M2'!D43-'M1'!D43</f>
        <v>-8.5078519999999997</v>
      </c>
      <c r="E43" s="66">
        <f>'M2'!E43-'M1'!E43</f>
        <v>0</v>
      </c>
      <c r="F43" s="66">
        <f>'M2'!F43-'M1'!F43</f>
        <v>8.0973000000000003E-2</v>
      </c>
      <c r="G43" s="66">
        <f>'M2'!G43-'M1'!G43</f>
        <v>0</v>
      </c>
      <c r="H43" s="66">
        <f>'M2'!H43-'M1'!H43</f>
        <v>-7.3545600000000003E-2</v>
      </c>
    </row>
    <row r="44" spans="1:8">
      <c r="A44" s="66" t="s">
        <v>87</v>
      </c>
      <c r="B44" s="66">
        <f>'M2'!B44-'M1'!B44</f>
        <v>-4.3028999999999993</v>
      </c>
      <c r="C44" s="66">
        <f>'M2'!C44-'M1'!C44</f>
        <v>-0.61472000000000016</v>
      </c>
      <c r="D44" s="66">
        <f>'M2'!D44-'M1'!D44</f>
        <v>0.21366499999999999</v>
      </c>
      <c r="E44" s="66">
        <f>'M2'!E44-'M1'!E44</f>
        <v>0</v>
      </c>
      <c r="F44" s="66">
        <f>'M2'!F44-'M1'!F44</f>
        <v>8.7737000000000016</v>
      </c>
      <c r="G44" s="66">
        <f>'M2'!G44-'M1'!G44</f>
        <v>0</v>
      </c>
      <c r="H44" s="66">
        <f>'M2'!H44-'M1'!H44</f>
        <v>0.13611600000000001</v>
      </c>
    </row>
    <row r="45" spans="1:8">
      <c r="A45" s="66" t="s">
        <v>88</v>
      </c>
      <c r="B45" s="66">
        <f>'M2'!B45-'M1'!B45</f>
        <v>-1.4397999999999982</v>
      </c>
      <c r="C45" s="66">
        <f>'M2'!C45-'M1'!C45</f>
        <v>-1.7103600000000005</v>
      </c>
      <c r="D45" s="66">
        <f>'M2'!D45-'M1'!D45</f>
        <v>-2.9497999999999996E-2</v>
      </c>
      <c r="E45" s="66">
        <f>'M2'!E45-'M1'!E45</f>
        <v>0</v>
      </c>
      <c r="F45" s="66">
        <f>'M2'!F45-'M1'!F45</f>
        <v>10.9053</v>
      </c>
      <c r="G45" s="66">
        <f>'M2'!G45-'M1'!G45</f>
        <v>0</v>
      </c>
      <c r="H45" s="66">
        <f>'M2'!H45-'M1'!H45</f>
        <v>-0.30700000000000216</v>
      </c>
    </row>
    <row r="46" spans="1:8">
      <c r="A46" s="66" t="s">
        <v>89</v>
      </c>
      <c r="B46" s="66">
        <f>'M2'!B46-'M1'!B46</f>
        <v>0.62300000000000466</v>
      </c>
      <c r="C46" s="66">
        <f>'M2'!C46-'M1'!C46</f>
        <v>-7.8890599999999989</v>
      </c>
      <c r="D46" s="66">
        <f>'M2'!D46-'M1'!D46</f>
        <v>-0.2274003</v>
      </c>
      <c r="E46" s="66">
        <f>'M2'!E46-'M1'!E46</f>
        <v>0</v>
      </c>
      <c r="F46" s="66">
        <f>'M2'!F46-'M1'!F46</f>
        <v>23.549500000000002</v>
      </c>
      <c r="G46" s="66">
        <f>'M2'!G46-'M1'!G46</f>
        <v>0</v>
      </c>
      <c r="H46" s="66">
        <f>'M2'!H46-'M1'!H46</f>
        <v>-1.3838000000000008</v>
      </c>
    </row>
    <row r="47" spans="1:8">
      <c r="A47" s="66" t="s">
        <v>90</v>
      </c>
      <c r="B47" s="66">
        <f>'M2'!B47-'M1'!B47</f>
        <v>0.23770899999999995</v>
      </c>
      <c r="C47" s="66">
        <f>'M2'!C47-'M1'!C47</f>
        <v>2.000999999999975E-3</v>
      </c>
      <c r="D47" s="66">
        <f>'M2'!D47-'M1'!D47</f>
        <v>-0.13078200000000006</v>
      </c>
      <c r="E47" s="66">
        <f>'M2'!E47-'M1'!E47</f>
        <v>0</v>
      </c>
      <c r="F47" s="66">
        <f>'M2'!F47-'M1'!F47</f>
        <v>-3.4311000000000008E-2</v>
      </c>
      <c r="G47" s="66">
        <f>'M2'!G47-'M1'!G47</f>
        <v>0</v>
      </c>
      <c r="H47" s="66">
        <f>'M2'!H47-'M1'!H47</f>
        <v>-8.6120000000000196E-2</v>
      </c>
    </row>
    <row r="48" spans="1:8">
      <c r="A48" s="66" t="s">
        <v>91</v>
      </c>
      <c r="B48" s="66">
        <f>'M2'!B48-'M1'!B48</f>
        <v>0.31459499999999996</v>
      </c>
      <c r="C48" s="66">
        <f>'M2'!C48-'M1'!C48</f>
        <v>4.6842999999999996E-2</v>
      </c>
      <c r="D48" s="66">
        <f>'M2'!D48-'M1'!D48</f>
        <v>5.7639999999999914E-3</v>
      </c>
      <c r="E48" s="66">
        <f>'M2'!E48-'M1'!E48</f>
        <v>0</v>
      </c>
      <c r="F48" s="66">
        <f>'M2'!F48-'M1'!F48</f>
        <v>0.18607299999999993</v>
      </c>
      <c r="G48" s="66">
        <f>'M2'!G48-'M1'!G48</f>
        <v>0</v>
      </c>
      <c r="H48" s="66">
        <f>'M2'!H48-'M1'!H48</f>
        <v>0.31293000000000015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346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347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46.942700000000002</v>
      </c>
      <c r="C5" s="66">
        <v>12.523300000000001</v>
      </c>
      <c r="D5" s="66">
        <v>26.677900000000001</v>
      </c>
      <c r="E5" s="66">
        <v>20</v>
      </c>
      <c r="F5" s="66">
        <v>13.653600000000001</v>
      </c>
      <c r="G5" s="66">
        <v>50</v>
      </c>
      <c r="H5" s="66">
        <v>56.848700000000001</v>
      </c>
    </row>
    <row r="6" spans="1:8">
      <c r="A6" s="66" t="s">
        <v>303</v>
      </c>
      <c r="B6" s="66">
        <v>36.833199999999998</v>
      </c>
      <c r="C6" s="66">
        <v>3.5583999999999998</v>
      </c>
      <c r="D6" s="66">
        <v>9.6608499999999999</v>
      </c>
      <c r="E6" s="66">
        <v>20</v>
      </c>
      <c r="F6" s="66">
        <v>28.4695</v>
      </c>
      <c r="G6" s="66">
        <v>40</v>
      </c>
      <c r="H6" s="66">
        <v>42.017600000000002</v>
      </c>
    </row>
    <row r="7" spans="1:8">
      <c r="A7" s="66" t="s">
        <v>304</v>
      </c>
      <c r="B7" s="66">
        <v>22.12</v>
      </c>
      <c r="C7" s="66">
        <v>5.4572799999999999</v>
      </c>
      <c r="D7" s="66">
        <v>24.671199999999999</v>
      </c>
      <c r="E7" s="66">
        <v>15</v>
      </c>
      <c r="F7" s="66">
        <v>11.153</v>
      </c>
      <c r="G7" s="66">
        <v>40</v>
      </c>
      <c r="H7" s="66">
        <v>33.938200000000002</v>
      </c>
    </row>
    <row r="8" spans="1:8">
      <c r="A8" s="66" t="s">
        <v>305</v>
      </c>
      <c r="B8" s="66">
        <v>32.414099999999998</v>
      </c>
      <c r="C8" s="66">
        <v>4.68703</v>
      </c>
      <c r="D8" s="66">
        <v>14.4598</v>
      </c>
      <c r="E8" s="66">
        <v>20</v>
      </c>
      <c r="F8" s="66">
        <v>22.974399999999999</v>
      </c>
      <c r="G8" s="66">
        <v>50</v>
      </c>
      <c r="H8" s="66">
        <v>39.349699999999999</v>
      </c>
    </row>
    <row r="9" spans="1:8">
      <c r="A9" s="66" t="s">
        <v>306</v>
      </c>
      <c r="B9" s="66">
        <v>69.892799999999994</v>
      </c>
      <c r="C9" s="66">
        <v>3.13849</v>
      </c>
      <c r="D9" s="66">
        <v>4.4904400000000004</v>
      </c>
      <c r="E9" s="66">
        <v>50</v>
      </c>
      <c r="F9" s="66">
        <v>63.241599999999998</v>
      </c>
      <c r="G9" s="66">
        <v>100</v>
      </c>
      <c r="H9" s="66">
        <v>80.133499999999998</v>
      </c>
    </row>
    <row r="10" spans="1:8">
      <c r="A10" s="66" t="s">
        <v>307</v>
      </c>
      <c r="B10" s="66">
        <v>74.229399999999998</v>
      </c>
      <c r="C10" s="66">
        <v>7.5453799999999998</v>
      </c>
      <c r="D10" s="66">
        <v>10.164899999999999</v>
      </c>
      <c r="E10" s="66">
        <v>40</v>
      </c>
      <c r="F10" s="66">
        <v>60.761800000000001</v>
      </c>
      <c r="G10" s="66">
        <v>100</v>
      </c>
      <c r="H10" s="66">
        <v>84.869699999999995</v>
      </c>
    </row>
    <row r="11" spans="1:8">
      <c r="A11" s="66" t="s">
        <v>308</v>
      </c>
      <c r="B11" s="66">
        <v>24.761399999999998</v>
      </c>
      <c r="C11" s="66">
        <v>6.1733099999999999</v>
      </c>
      <c r="D11" s="66">
        <v>24.9312</v>
      </c>
      <c r="E11" s="66">
        <v>10</v>
      </c>
      <c r="F11" s="66">
        <v>7.6662400000000002</v>
      </c>
      <c r="G11" s="66">
        <v>50</v>
      </c>
      <c r="H11" s="66">
        <v>30.522600000000001</v>
      </c>
    </row>
    <row r="12" spans="1:8">
      <c r="A12" s="66" t="s">
        <v>309</v>
      </c>
      <c r="B12" s="66">
        <v>71.9923</v>
      </c>
      <c r="C12" s="66">
        <v>4.44529</v>
      </c>
      <c r="D12" s="66">
        <v>6.1746800000000004</v>
      </c>
      <c r="E12" s="66">
        <v>50</v>
      </c>
      <c r="F12" s="66">
        <v>63.622399999999999</v>
      </c>
      <c r="G12" s="66">
        <v>100</v>
      </c>
      <c r="H12" s="66">
        <v>81.402900000000002</v>
      </c>
    </row>
    <row r="13" spans="1:8">
      <c r="A13" s="66" t="s">
        <v>310</v>
      </c>
      <c r="B13" s="66">
        <v>22.5183</v>
      </c>
      <c r="C13" s="66">
        <v>2.9602599999999999</v>
      </c>
      <c r="D13" s="66">
        <v>13.146000000000001</v>
      </c>
      <c r="E13" s="66">
        <v>10</v>
      </c>
      <c r="F13" s="66">
        <v>14.747400000000001</v>
      </c>
      <c r="G13" s="66">
        <v>25</v>
      </c>
      <c r="H13" s="66">
        <v>28.196300000000001</v>
      </c>
    </row>
    <row r="14" spans="1:8">
      <c r="A14" s="66" t="s">
        <v>311</v>
      </c>
      <c r="B14" s="66">
        <v>29.602599999999999</v>
      </c>
      <c r="C14" s="66">
        <v>10.8497</v>
      </c>
      <c r="D14" s="66">
        <v>36.6511</v>
      </c>
      <c r="E14" s="66">
        <v>10</v>
      </c>
      <c r="F14" s="66">
        <v>2.0697399999999999</v>
      </c>
      <c r="G14" s="66">
        <v>50</v>
      </c>
      <c r="H14" s="66">
        <v>39.790799999999997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0.48093200000000003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0.45374999999999999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8.0374500000000002E-4</v>
      </c>
      <c r="C20" s="66">
        <v>1.7874500000000001E-2</v>
      </c>
      <c r="D20" s="66">
        <v>22.239000000000001</v>
      </c>
      <c r="E20" s="66">
        <v>0</v>
      </c>
      <c r="F20" s="66">
        <v>1.04759E-4</v>
      </c>
      <c r="G20" s="66">
        <v>0</v>
      </c>
      <c r="H20" s="66">
        <v>9.82624E-2</v>
      </c>
    </row>
    <row r="21" spans="1:8">
      <c r="A21" s="66" t="s">
        <v>318</v>
      </c>
      <c r="B21" s="66">
        <v>8.03677E-2</v>
      </c>
      <c r="C21" s="66">
        <v>0.11994100000000001</v>
      </c>
      <c r="D21" s="66">
        <v>1.49241</v>
      </c>
      <c r="E21" s="66">
        <v>0</v>
      </c>
      <c r="F21" s="66">
        <v>1.1629100000000001E-3</v>
      </c>
      <c r="G21" s="66">
        <v>0</v>
      </c>
      <c r="H21" s="66">
        <v>0.91891299999999998</v>
      </c>
    </row>
    <row r="22" spans="1:8">
      <c r="A22" s="66" t="s">
        <v>319</v>
      </c>
      <c r="B22" s="66">
        <v>45.354300000000002</v>
      </c>
      <c r="C22" s="66">
        <v>13.626899999999999</v>
      </c>
      <c r="D22" s="66">
        <v>0.300454</v>
      </c>
      <c r="E22" s="66">
        <v>0</v>
      </c>
      <c r="F22" s="66">
        <v>23.1221</v>
      </c>
      <c r="G22" s="66">
        <v>0</v>
      </c>
      <c r="H22" s="66">
        <v>89.676699999999997</v>
      </c>
    </row>
    <row r="23" spans="1:8">
      <c r="A23" s="66" t="s">
        <v>320</v>
      </c>
      <c r="B23" s="66">
        <v>20.9528</v>
      </c>
      <c r="C23" s="66">
        <v>4.4267700000000003</v>
      </c>
      <c r="D23" s="66">
        <v>0.21127399999999999</v>
      </c>
      <c r="E23" s="66">
        <v>0</v>
      </c>
      <c r="F23" s="66">
        <v>10.617000000000001</v>
      </c>
      <c r="G23" s="66">
        <v>0</v>
      </c>
      <c r="H23" s="66">
        <v>25.286300000000001</v>
      </c>
    </row>
    <row r="24" spans="1:8">
      <c r="A24" s="66" t="s">
        <v>348</v>
      </c>
      <c r="B24" s="66">
        <v>4.6952499999999998E-3</v>
      </c>
      <c r="C24" s="66">
        <v>9.2599899999999992E-3</v>
      </c>
      <c r="D24" s="66">
        <v>1.9722</v>
      </c>
      <c r="E24" s="66">
        <v>0</v>
      </c>
      <c r="F24" s="66">
        <v>3.3611999999999997E-4</v>
      </c>
      <c r="G24" s="66">
        <v>0</v>
      </c>
      <c r="H24" s="66">
        <v>3.5326400000000001E-2</v>
      </c>
    </row>
    <row r="25" spans="1:8">
      <c r="A25" s="66" t="s">
        <v>322</v>
      </c>
      <c r="B25" s="66">
        <v>0.101301</v>
      </c>
      <c r="C25" s="66">
        <v>4.1805799999999997E-2</v>
      </c>
      <c r="D25" s="66">
        <v>0.412688</v>
      </c>
      <c r="E25" s="66">
        <v>0</v>
      </c>
      <c r="F25" s="66">
        <v>2.07735E-2</v>
      </c>
      <c r="G25" s="66">
        <v>0</v>
      </c>
      <c r="H25" s="66">
        <v>0.225328</v>
      </c>
    </row>
    <row r="26" spans="1:8">
      <c r="A26" s="66" t="s">
        <v>323</v>
      </c>
      <c r="B26" s="66">
        <v>2.5932199999999998E-4</v>
      </c>
      <c r="C26" s="66">
        <v>1.08975E-3</v>
      </c>
      <c r="D26" s="66">
        <v>4.2023099999999998</v>
      </c>
      <c r="E26" s="66">
        <v>0</v>
      </c>
      <c r="F26" s="196">
        <v>3.28256E-5</v>
      </c>
      <c r="G26" s="66">
        <v>0</v>
      </c>
      <c r="H26" s="66">
        <v>5.1700399999999999E-3</v>
      </c>
    </row>
    <row r="27" spans="1:8">
      <c r="A27" s="66" t="s">
        <v>324</v>
      </c>
      <c r="B27" s="196">
        <v>-1.31303E-5</v>
      </c>
      <c r="C27" s="66">
        <v>7.7858599999999995E-4</v>
      </c>
      <c r="D27" s="66">
        <v>-59.2971</v>
      </c>
      <c r="E27" s="66">
        <v>0</v>
      </c>
      <c r="F27" s="66">
        <v>-3.7158600000000001E-3</v>
      </c>
      <c r="G27" s="66">
        <v>0</v>
      </c>
      <c r="H27" s="66">
        <v>3.0823299999999999E-3</v>
      </c>
    </row>
    <row r="28" spans="1:8">
      <c r="A28" s="66" t="s">
        <v>325</v>
      </c>
      <c r="B28" s="66">
        <v>9.6907599999999997E-3</v>
      </c>
      <c r="C28" s="66">
        <v>1.24184E-2</v>
      </c>
      <c r="D28" s="66">
        <v>1.2814700000000001</v>
      </c>
      <c r="E28" s="66">
        <v>0</v>
      </c>
      <c r="F28" s="66">
        <v>4.1666700000000001E-4</v>
      </c>
      <c r="G28" s="66">
        <v>0</v>
      </c>
      <c r="H28" s="66">
        <v>8.6025400000000002E-2</v>
      </c>
    </row>
    <row r="29" spans="1:8">
      <c r="A29" s="66" t="s">
        <v>326</v>
      </c>
      <c r="B29" s="66">
        <v>70.1892</v>
      </c>
      <c r="C29" s="66">
        <v>7.3923899999999998</v>
      </c>
      <c r="D29" s="66">
        <v>0.105321</v>
      </c>
      <c r="E29" s="66">
        <v>0</v>
      </c>
      <c r="F29" s="66">
        <v>48.818899999999999</v>
      </c>
      <c r="G29" s="66">
        <v>0</v>
      </c>
      <c r="H29" s="66">
        <v>87.404899999999998</v>
      </c>
    </row>
    <row r="30" spans="1:8">
      <c r="A30" s="66" t="s">
        <v>327</v>
      </c>
      <c r="B30" s="66">
        <v>29.171600000000002</v>
      </c>
      <c r="C30" s="66">
        <v>5.4588799999999997</v>
      </c>
      <c r="D30" s="66">
        <v>0.18712999999999999</v>
      </c>
      <c r="E30" s="66">
        <v>0</v>
      </c>
      <c r="F30" s="66">
        <v>12.543200000000001</v>
      </c>
      <c r="G30" s="66">
        <v>0</v>
      </c>
      <c r="H30" s="66">
        <v>31.732500000000002</v>
      </c>
    </row>
    <row r="31" spans="1:8">
      <c r="A31" s="66" t="s">
        <v>328</v>
      </c>
      <c r="B31" s="66">
        <v>343.73399999999998</v>
      </c>
      <c r="C31" s="66">
        <v>81.788300000000007</v>
      </c>
      <c r="D31" s="66">
        <v>0.23794100000000001</v>
      </c>
      <c r="E31" s="66">
        <v>0</v>
      </c>
      <c r="F31" s="66">
        <v>113.322</v>
      </c>
      <c r="G31" s="66">
        <v>0</v>
      </c>
      <c r="H31" s="66">
        <v>403.71300000000002</v>
      </c>
    </row>
    <row r="32" spans="1:8">
      <c r="A32" s="66" t="s">
        <v>329</v>
      </c>
      <c r="B32" s="66">
        <v>0.22120000000000001</v>
      </c>
      <c r="C32" s="66">
        <v>5.4572799999999998E-2</v>
      </c>
      <c r="D32" s="66">
        <v>0.24671199999999999</v>
      </c>
      <c r="E32" s="66">
        <v>0.15</v>
      </c>
      <c r="F32" s="66">
        <v>0.11153</v>
      </c>
      <c r="G32" s="66">
        <v>0.4</v>
      </c>
      <c r="H32" s="66">
        <v>0.33938200000000002</v>
      </c>
    </row>
    <row r="33" spans="1:8">
      <c r="A33" s="66" t="s">
        <v>330</v>
      </c>
      <c r="B33" s="66">
        <v>0.40232699999999999</v>
      </c>
      <c r="C33" s="66">
        <v>3.5041299999999997E-2</v>
      </c>
      <c r="D33" s="66">
        <v>8.7096400000000004E-2</v>
      </c>
      <c r="E33" s="66">
        <v>0</v>
      </c>
      <c r="F33" s="66">
        <v>0.36174699999999999</v>
      </c>
      <c r="G33" s="66">
        <v>0</v>
      </c>
      <c r="H33" s="66">
        <v>0.48143000000000002</v>
      </c>
    </row>
    <row r="34" spans="1:8">
      <c r="A34" s="66" t="s">
        <v>331</v>
      </c>
      <c r="B34" s="66">
        <v>0.22518299999999999</v>
      </c>
      <c r="C34" s="66">
        <v>2.96026E-2</v>
      </c>
      <c r="D34" s="66">
        <v>0.13145999999999999</v>
      </c>
      <c r="E34" s="66">
        <v>0.1</v>
      </c>
      <c r="F34" s="66">
        <v>0.14747399999999999</v>
      </c>
      <c r="G34" s="66">
        <v>0.25</v>
      </c>
      <c r="H34" s="66">
        <v>0.28196300000000002</v>
      </c>
    </row>
    <row r="35" spans="1:8">
      <c r="A35" s="66" t="s">
        <v>332</v>
      </c>
      <c r="B35" s="66">
        <v>8.3677000000000001E-2</v>
      </c>
      <c r="C35" s="66">
        <v>2.42607E-2</v>
      </c>
      <c r="D35" s="66">
        <v>0.289933</v>
      </c>
      <c r="E35" s="66">
        <v>0</v>
      </c>
      <c r="F35" s="66">
        <v>4.0716099999999998E-2</v>
      </c>
      <c r="G35" s="66">
        <v>0</v>
      </c>
      <c r="H35" s="66">
        <v>0.15696199999999999</v>
      </c>
    </row>
    <row r="36" spans="1:8">
      <c r="A36" s="66" t="s">
        <v>333</v>
      </c>
      <c r="B36" s="66">
        <v>0.22254699999999999</v>
      </c>
      <c r="C36" s="66">
        <v>9.2727799999999999E-2</v>
      </c>
      <c r="D36" s="66">
        <v>0.41666599999999998</v>
      </c>
      <c r="E36" s="66">
        <v>0</v>
      </c>
      <c r="F36" s="66">
        <v>3.9893900000000003E-2</v>
      </c>
      <c r="G36" s="66">
        <v>0</v>
      </c>
      <c r="H36" s="66">
        <v>0.54409799999999997</v>
      </c>
    </row>
    <row r="37" spans="1:8">
      <c r="A37" s="66" t="s">
        <v>334</v>
      </c>
      <c r="B37" s="66">
        <v>0.29602600000000001</v>
      </c>
      <c r="C37" s="66">
        <v>0.108497</v>
      </c>
      <c r="D37" s="66">
        <v>0.36651099999999998</v>
      </c>
      <c r="E37" s="66">
        <v>0.1</v>
      </c>
      <c r="F37" s="66">
        <v>2.0697400000000001E-2</v>
      </c>
      <c r="G37" s="66">
        <v>0.5</v>
      </c>
      <c r="H37" s="66">
        <v>0.39790799999999998</v>
      </c>
    </row>
    <row r="38" spans="1:8">
      <c r="A38" s="66" t="s">
        <v>335</v>
      </c>
      <c r="B38" s="66">
        <v>-8.2310300000000005</v>
      </c>
      <c r="C38" s="66">
        <v>84.077799999999996</v>
      </c>
      <c r="D38" s="66">
        <v>-10.214700000000001</v>
      </c>
      <c r="E38" s="66">
        <v>0</v>
      </c>
      <c r="F38" s="66">
        <v>-298.48399999999998</v>
      </c>
      <c r="G38" s="66">
        <v>0</v>
      </c>
      <c r="H38" s="66">
        <v>388.12099999999998</v>
      </c>
    </row>
    <row r="39" spans="1:8">
      <c r="A39" s="66" t="s">
        <v>336</v>
      </c>
      <c r="B39" s="66">
        <v>-1.85283</v>
      </c>
      <c r="C39" s="66">
        <v>23.4999</v>
      </c>
      <c r="D39" s="66">
        <v>-12.683199999999999</v>
      </c>
      <c r="E39" s="66">
        <v>0</v>
      </c>
      <c r="F39" s="66">
        <v>-12.5024</v>
      </c>
      <c r="G39" s="66">
        <v>0</v>
      </c>
      <c r="H39" s="66">
        <v>102.358</v>
      </c>
    </row>
    <row r="40" spans="1:8">
      <c r="A40" s="66" t="s">
        <v>337</v>
      </c>
      <c r="B40" s="66">
        <v>-1.69665</v>
      </c>
      <c r="C40" s="66">
        <v>1.6312599999999999</v>
      </c>
      <c r="D40" s="66">
        <v>-0.96146100000000001</v>
      </c>
      <c r="E40" s="66">
        <v>0</v>
      </c>
      <c r="F40" s="66">
        <v>-5.0529400000000004</v>
      </c>
      <c r="G40" s="66">
        <v>0</v>
      </c>
      <c r="H40" s="66">
        <v>-0.44059399999999999</v>
      </c>
    </row>
    <row r="41" spans="1:8">
      <c r="A41" s="66" t="s">
        <v>338</v>
      </c>
      <c r="B41" s="66">
        <v>-5.8874999999999997E-2</v>
      </c>
      <c r="C41" s="66">
        <v>0.36412899999999998</v>
      </c>
      <c r="D41" s="66">
        <v>-6.1847799999999999</v>
      </c>
      <c r="E41" s="66">
        <v>0</v>
      </c>
      <c r="F41" s="66">
        <v>-0.92067100000000002</v>
      </c>
      <c r="G41" s="66">
        <v>0</v>
      </c>
      <c r="H41" s="66">
        <v>1</v>
      </c>
    </row>
    <row r="42" spans="1:8">
      <c r="A42" s="66" t="s">
        <v>339</v>
      </c>
      <c r="B42" s="66">
        <v>-9.5232200000000003E-2</v>
      </c>
      <c r="C42" s="66">
        <v>0.20203299999999999</v>
      </c>
      <c r="D42" s="66">
        <v>-2.12148</v>
      </c>
      <c r="E42" s="66">
        <v>0</v>
      </c>
      <c r="F42" s="66">
        <v>-0.31438199999999999</v>
      </c>
      <c r="G42" s="66">
        <v>0</v>
      </c>
      <c r="H42" s="66">
        <v>0.61488100000000001</v>
      </c>
    </row>
    <row r="43" spans="1:8">
      <c r="A43" s="66" t="s">
        <v>340</v>
      </c>
      <c r="B43" s="66">
        <v>1.06444E-2</v>
      </c>
      <c r="C43" s="66">
        <v>8.6287500000000003E-2</v>
      </c>
      <c r="D43" s="66">
        <v>8.1063799999999997</v>
      </c>
      <c r="E43" s="66">
        <v>0</v>
      </c>
      <c r="F43" s="66">
        <v>-0.175097</v>
      </c>
      <c r="G43" s="66">
        <v>0</v>
      </c>
      <c r="H43" s="66">
        <v>9.0488700000000005E-2</v>
      </c>
    </row>
    <row r="44" spans="1:8">
      <c r="A44" s="66" t="s">
        <v>341</v>
      </c>
      <c r="B44" s="66">
        <v>-11.6272</v>
      </c>
      <c r="C44" s="66">
        <v>7.5361900000000004</v>
      </c>
      <c r="D44" s="66">
        <v>-0.64815400000000001</v>
      </c>
      <c r="E44" s="66">
        <v>0</v>
      </c>
      <c r="F44" s="66">
        <v>-36.139400000000002</v>
      </c>
      <c r="G44" s="66">
        <v>0</v>
      </c>
      <c r="H44" s="66">
        <v>-0.39231100000000002</v>
      </c>
    </row>
    <row r="45" spans="1:8">
      <c r="A45" s="66" t="s">
        <v>342</v>
      </c>
      <c r="B45" s="66">
        <v>53.05</v>
      </c>
      <c r="C45" s="66">
        <v>6.9253200000000001</v>
      </c>
      <c r="D45" s="66">
        <v>0.13054299999999999</v>
      </c>
      <c r="E45" s="66">
        <v>0</v>
      </c>
      <c r="F45" s="66">
        <v>30.38</v>
      </c>
      <c r="G45" s="66">
        <v>0</v>
      </c>
      <c r="H45" s="66">
        <v>66.140299999999996</v>
      </c>
    </row>
    <row r="46" spans="1:8">
      <c r="A46" s="66" t="s">
        <v>343</v>
      </c>
      <c r="B46" s="66">
        <v>34.850499999999997</v>
      </c>
      <c r="C46" s="66">
        <v>9.9375699999999991</v>
      </c>
      <c r="D46" s="66">
        <v>0.28514800000000001</v>
      </c>
      <c r="E46" s="66">
        <v>0</v>
      </c>
      <c r="F46" s="66">
        <v>10.036</v>
      </c>
      <c r="G46" s="66">
        <v>0</v>
      </c>
      <c r="H46" s="66">
        <v>42.590299999999999</v>
      </c>
    </row>
    <row r="47" spans="1:8">
      <c r="A47" s="66" t="s">
        <v>344</v>
      </c>
      <c r="B47" s="66">
        <v>0.73374200000000001</v>
      </c>
      <c r="C47" s="66">
        <v>0.398343</v>
      </c>
      <c r="D47" s="66">
        <v>0.54289200000000004</v>
      </c>
      <c r="E47" s="66">
        <v>0</v>
      </c>
      <c r="F47" s="66">
        <v>0.26675500000000002</v>
      </c>
      <c r="G47" s="66">
        <v>0</v>
      </c>
      <c r="H47" s="66">
        <v>2.5095100000000001</v>
      </c>
    </row>
    <row r="48" spans="1:8">
      <c r="A48" s="66" t="s">
        <v>345</v>
      </c>
      <c r="B48" s="66">
        <v>0.82161499999999998</v>
      </c>
      <c r="C48" s="66">
        <v>0.105236</v>
      </c>
      <c r="D48" s="66">
        <v>0.128084</v>
      </c>
      <c r="E48" s="66">
        <v>0</v>
      </c>
      <c r="F48" s="66">
        <v>0.72085200000000005</v>
      </c>
      <c r="G48" s="66">
        <v>0</v>
      </c>
      <c r="H48" s="66">
        <v>1.1645099999999999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346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46.257899999999999</v>
      </c>
      <c r="C5" s="66">
        <v>4.1930800000000001</v>
      </c>
      <c r="D5" s="66">
        <v>9.0645799999999994</v>
      </c>
      <c r="E5" s="66">
        <v>20</v>
      </c>
      <c r="F5" s="66">
        <v>40.284300000000002</v>
      </c>
      <c r="G5" s="66">
        <v>50</v>
      </c>
      <c r="H5" s="66">
        <v>56.563000000000002</v>
      </c>
    </row>
    <row r="6" spans="1:8">
      <c r="A6" s="66" t="s">
        <v>303</v>
      </c>
      <c r="B6" s="66">
        <v>34.822299999999998</v>
      </c>
      <c r="C6" s="66">
        <v>1.7051799999999999</v>
      </c>
      <c r="D6" s="66">
        <v>4.8968100000000003</v>
      </c>
      <c r="E6" s="66">
        <v>20</v>
      </c>
      <c r="F6" s="66">
        <v>32.588900000000002</v>
      </c>
      <c r="G6" s="66">
        <v>40</v>
      </c>
      <c r="H6" s="66">
        <v>39.805</v>
      </c>
    </row>
    <row r="7" spans="1:8">
      <c r="A7" s="66" t="s">
        <v>304</v>
      </c>
      <c r="B7" s="66">
        <v>23.144300000000001</v>
      </c>
      <c r="C7" s="66">
        <v>3.96007</v>
      </c>
      <c r="D7" s="66">
        <v>17.110399999999998</v>
      </c>
      <c r="E7" s="66">
        <v>15</v>
      </c>
      <c r="F7" s="66">
        <v>12.0304</v>
      </c>
      <c r="G7" s="66">
        <v>40</v>
      </c>
      <c r="H7" s="66">
        <v>32.252499999999998</v>
      </c>
    </row>
    <row r="8" spans="1:8">
      <c r="A8" s="66" t="s">
        <v>305</v>
      </c>
      <c r="B8" s="66">
        <v>35.272799999999997</v>
      </c>
      <c r="C8" s="66">
        <v>1.66571</v>
      </c>
      <c r="D8" s="66">
        <v>4.7223499999999996</v>
      </c>
      <c r="E8" s="66">
        <v>20</v>
      </c>
      <c r="F8" s="66">
        <v>31.733799999999999</v>
      </c>
      <c r="G8" s="66">
        <v>50</v>
      </c>
      <c r="H8" s="66">
        <v>38.1691</v>
      </c>
    </row>
    <row r="9" spans="1:8">
      <c r="A9" s="66" t="s">
        <v>306</v>
      </c>
      <c r="B9" s="66">
        <v>71.987700000000004</v>
      </c>
      <c r="C9" s="66">
        <v>2.7342499999999998</v>
      </c>
      <c r="D9" s="66">
        <v>3.7982200000000002</v>
      </c>
      <c r="E9" s="66">
        <v>50</v>
      </c>
      <c r="F9" s="66">
        <v>62.170200000000001</v>
      </c>
      <c r="G9" s="66">
        <v>100</v>
      </c>
      <c r="H9" s="66">
        <v>79.846000000000004</v>
      </c>
    </row>
    <row r="10" spans="1:8">
      <c r="A10" s="66" t="s">
        <v>307</v>
      </c>
      <c r="B10" s="66">
        <v>72.250699999999995</v>
      </c>
      <c r="C10" s="66">
        <v>1.5814600000000001</v>
      </c>
      <c r="D10" s="66">
        <v>2.18885</v>
      </c>
      <c r="E10" s="66">
        <v>40</v>
      </c>
      <c r="F10" s="66">
        <v>69.845200000000006</v>
      </c>
      <c r="G10" s="66">
        <v>100</v>
      </c>
      <c r="H10" s="66">
        <v>76.464299999999994</v>
      </c>
    </row>
    <row r="11" spans="1:8">
      <c r="A11" s="66" t="s">
        <v>308</v>
      </c>
      <c r="B11" s="66">
        <v>30.6921</v>
      </c>
      <c r="C11" s="66">
        <v>2.4580899999999999</v>
      </c>
      <c r="D11" s="66">
        <v>8.0088899999999992</v>
      </c>
      <c r="E11" s="66">
        <v>10</v>
      </c>
      <c r="F11" s="66">
        <v>27.0717</v>
      </c>
      <c r="G11" s="66">
        <v>50</v>
      </c>
      <c r="H11" s="66">
        <v>35.136200000000002</v>
      </c>
    </row>
    <row r="12" spans="1:8">
      <c r="A12" s="66" t="s">
        <v>309</v>
      </c>
      <c r="B12" s="66">
        <v>72.314499999999995</v>
      </c>
      <c r="C12" s="66">
        <v>1.6903699999999999</v>
      </c>
      <c r="D12" s="66">
        <v>2.33752</v>
      </c>
      <c r="E12" s="66">
        <v>50</v>
      </c>
      <c r="F12" s="66">
        <v>67.435599999999994</v>
      </c>
      <c r="G12" s="66">
        <v>100</v>
      </c>
      <c r="H12" s="66">
        <v>75.636300000000006</v>
      </c>
    </row>
    <row r="13" spans="1:8">
      <c r="A13" s="66" t="s">
        <v>310</v>
      </c>
      <c r="B13" s="66">
        <v>23.904599999999999</v>
      </c>
      <c r="C13" s="66">
        <v>2.4409100000000001</v>
      </c>
      <c r="D13" s="66">
        <v>10.2111</v>
      </c>
      <c r="E13" s="66">
        <v>10</v>
      </c>
      <c r="F13" s="66">
        <v>19.568000000000001</v>
      </c>
      <c r="G13" s="66">
        <v>25</v>
      </c>
      <c r="H13" s="66">
        <v>35.302300000000002</v>
      </c>
    </row>
    <row r="14" spans="1:8">
      <c r="A14" s="66" t="s">
        <v>311</v>
      </c>
      <c r="B14" s="66">
        <v>24.409099999999999</v>
      </c>
      <c r="C14" s="66">
        <v>9.5173400000000008</v>
      </c>
      <c r="D14" s="66">
        <v>38.990900000000003</v>
      </c>
      <c r="E14" s="66">
        <v>10</v>
      </c>
      <c r="F14" s="66">
        <v>3.8905699999999999</v>
      </c>
      <c r="G14" s="66">
        <v>50</v>
      </c>
      <c r="H14" s="66">
        <v>52.275599999999997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0.36996299999999999</v>
      </c>
      <c r="C18" s="66">
        <v>5.7714599999999998E-2</v>
      </c>
      <c r="D18" s="66">
        <v>0.156001</v>
      </c>
      <c r="E18" s="66">
        <v>0</v>
      </c>
      <c r="F18" s="66">
        <v>0.312249</v>
      </c>
      <c r="G18" s="66">
        <v>0</v>
      </c>
      <c r="H18" s="66">
        <v>0.427678</v>
      </c>
    </row>
    <row r="19" spans="1:8">
      <c r="A19" s="66" t="s">
        <v>316</v>
      </c>
      <c r="B19" s="66">
        <v>0.57270600000000005</v>
      </c>
      <c r="C19" s="66">
        <v>4.4941599999999998E-2</v>
      </c>
      <c r="D19" s="66">
        <v>7.8472399999999998E-2</v>
      </c>
      <c r="E19" s="66">
        <v>0</v>
      </c>
      <c r="F19" s="66">
        <v>0.52776400000000001</v>
      </c>
      <c r="G19" s="66">
        <v>0</v>
      </c>
      <c r="H19" s="66">
        <v>0.61764699999999995</v>
      </c>
    </row>
    <row r="20" spans="1:8">
      <c r="A20" s="66" t="s">
        <v>349</v>
      </c>
      <c r="B20" s="66">
        <v>9.9575599999999998E-4</v>
      </c>
      <c r="C20" s="66">
        <v>1.652E-2</v>
      </c>
      <c r="D20" s="66">
        <v>16.590499999999999</v>
      </c>
      <c r="E20" s="66">
        <v>0</v>
      </c>
      <c r="F20" s="196">
        <v>9.7060900000000004E-5</v>
      </c>
      <c r="G20" s="66">
        <v>0</v>
      </c>
      <c r="H20" s="66">
        <v>0.115255</v>
      </c>
    </row>
    <row r="21" spans="1:8">
      <c r="A21" s="66" t="s">
        <v>318</v>
      </c>
      <c r="B21" s="66">
        <v>9.1663400000000006E-2</v>
      </c>
      <c r="C21" s="66">
        <v>9.3282199999999996E-2</v>
      </c>
      <c r="D21" s="66">
        <v>1.01766</v>
      </c>
      <c r="E21" s="66">
        <v>0</v>
      </c>
      <c r="F21" s="66">
        <v>8.9986700000000005E-4</v>
      </c>
      <c r="G21" s="66">
        <v>0</v>
      </c>
      <c r="H21" s="66">
        <v>0.40439000000000003</v>
      </c>
    </row>
    <row r="22" spans="1:8">
      <c r="A22" s="66" t="s">
        <v>319</v>
      </c>
      <c r="B22" s="66">
        <v>44.7911</v>
      </c>
      <c r="C22" s="66">
        <v>16.663799999999998</v>
      </c>
      <c r="D22" s="66">
        <v>0.37203399999999998</v>
      </c>
      <c r="E22" s="66">
        <v>0</v>
      </c>
      <c r="F22" s="66">
        <v>26.822399999999998</v>
      </c>
      <c r="G22" s="66">
        <v>0</v>
      </c>
      <c r="H22" s="66">
        <v>110.501</v>
      </c>
    </row>
    <row r="23" spans="1:8">
      <c r="A23" s="66" t="s">
        <v>320</v>
      </c>
      <c r="B23" s="66">
        <v>22.662700000000001</v>
      </c>
      <c r="C23" s="66">
        <v>1.44604</v>
      </c>
      <c r="D23" s="66">
        <v>6.3806799999999997E-2</v>
      </c>
      <c r="E23" s="66">
        <v>0</v>
      </c>
      <c r="F23" s="66">
        <v>20.812000000000001</v>
      </c>
      <c r="G23" s="66">
        <v>0</v>
      </c>
      <c r="H23" s="66">
        <v>25.707999999999998</v>
      </c>
    </row>
    <row r="24" spans="1:8">
      <c r="A24" s="66" t="s">
        <v>348</v>
      </c>
      <c r="B24" s="66">
        <v>3.62635E-3</v>
      </c>
      <c r="C24" s="66">
        <v>8.6377899999999994E-3</v>
      </c>
      <c r="D24" s="66">
        <v>2.3819499999999998</v>
      </c>
      <c r="E24" s="66">
        <v>0</v>
      </c>
      <c r="F24" s="66">
        <v>2.8836500000000001E-4</v>
      </c>
      <c r="G24" s="66">
        <v>0</v>
      </c>
      <c r="H24" s="66">
        <v>3.3460999999999998E-2</v>
      </c>
    </row>
    <row r="25" spans="1:8">
      <c r="A25" s="66" t="s">
        <v>322</v>
      </c>
      <c r="B25" s="66">
        <v>0.11389000000000001</v>
      </c>
      <c r="C25" s="66">
        <v>3.1729100000000003E-2</v>
      </c>
      <c r="D25" s="66">
        <v>0.27859299999999998</v>
      </c>
      <c r="E25" s="66">
        <v>0</v>
      </c>
      <c r="F25" s="66">
        <v>3.7588999999999997E-2</v>
      </c>
      <c r="G25" s="66">
        <v>0</v>
      </c>
      <c r="H25" s="66">
        <v>0.183475</v>
      </c>
    </row>
    <row r="26" spans="1:8">
      <c r="A26" s="66" t="s">
        <v>323</v>
      </c>
      <c r="B26" s="66">
        <v>3.31539E-4</v>
      </c>
      <c r="C26" s="66">
        <v>9.9251299999999999E-4</v>
      </c>
      <c r="D26" s="66">
        <v>2.9936500000000001</v>
      </c>
      <c r="E26" s="66">
        <v>0</v>
      </c>
      <c r="F26" s="196">
        <v>3.28256E-5</v>
      </c>
      <c r="G26" s="66">
        <v>0</v>
      </c>
      <c r="H26" s="66">
        <v>4.71376E-3</v>
      </c>
    </row>
    <row r="27" spans="1:8">
      <c r="A27" s="66" t="s">
        <v>324</v>
      </c>
      <c r="B27" s="196">
        <v>-1.4771500000000001E-5</v>
      </c>
      <c r="C27" s="66">
        <v>7.1957499999999997E-4</v>
      </c>
      <c r="D27" s="66">
        <v>-48.7136</v>
      </c>
      <c r="E27" s="66">
        <v>0</v>
      </c>
      <c r="F27" s="66">
        <v>-3.7289900000000002E-3</v>
      </c>
      <c r="G27" s="66">
        <v>0</v>
      </c>
      <c r="H27" s="66">
        <v>2.97072E-3</v>
      </c>
    </row>
    <row r="28" spans="1:8">
      <c r="A28" s="66" t="s">
        <v>325</v>
      </c>
      <c r="B28" s="66">
        <v>1.09701E-2</v>
      </c>
      <c r="C28" s="66">
        <v>1.10667E-2</v>
      </c>
      <c r="D28" s="66">
        <v>1.00881</v>
      </c>
      <c r="E28" s="66">
        <v>0</v>
      </c>
      <c r="F28" s="66">
        <v>2.89714E-4</v>
      </c>
      <c r="G28" s="66">
        <v>0</v>
      </c>
      <c r="H28" s="66">
        <v>4.8398400000000001E-2</v>
      </c>
    </row>
    <row r="29" spans="1:8">
      <c r="A29" s="66" t="s">
        <v>326</v>
      </c>
      <c r="B29" s="66">
        <v>73.494600000000005</v>
      </c>
      <c r="C29" s="66">
        <v>10.405200000000001</v>
      </c>
      <c r="D29" s="66">
        <v>0.14157800000000001</v>
      </c>
      <c r="E29" s="66">
        <v>0</v>
      </c>
      <c r="F29" s="66">
        <v>54.613399999999999</v>
      </c>
      <c r="G29" s="66">
        <v>0</v>
      </c>
      <c r="H29" s="66">
        <v>101.108</v>
      </c>
    </row>
    <row r="30" spans="1:8">
      <c r="A30" s="66" t="s">
        <v>327</v>
      </c>
      <c r="B30" s="66">
        <v>30.7043</v>
      </c>
      <c r="C30" s="66">
        <v>1.5401199999999999</v>
      </c>
      <c r="D30" s="66">
        <v>5.0160000000000003E-2</v>
      </c>
      <c r="E30" s="66">
        <v>0</v>
      </c>
      <c r="F30" s="66">
        <v>28.658899999999999</v>
      </c>
      <c r="G30" s="66">
        <v>0</v>
      </c>
      <c r="H30" s="66">
        <v>33.621499999999997</v>
      </c>
    </row>
    <row r="31" spans="1:8">
      <c r="A31" s="66" t="s">
        <v>328</v>
      </c>
      <c r="B31" s="66">
        <v>393.02499999999998</v>
      </c>
      <c r="C31" s="66">
        <v>36.206200000000003</v>
      </c>
      <c r="D31" s="66">
        <v>9.2121800000000004E-2</v>
      </c>
      <c r="E31" s="66">
        <v>0</v>
      </c>
      <c r="F31" s="66">
        <v>319.05799999999999</v>
      </c>
      <c r="G31" s="66">
        <v>0</v>
      </c>
      <c r="H31" s="66">
        <v>468.63099999999997</v>
      </c>
    </row>
    <row r="32" spans="1:8">
      <c r="A32" s="66" t="s">
        <v>329</v>
      </c>
      <c r="B32" s="66">
        <v>0.23144300000000001</v>
      </c>
      <c r="C32" s="66">
        <v>3.9600700000000003E-2</v>
      </c>
      <c r="D32" s="66">
        <v>0.17110400000000001</v>
      </c>
      <c r="E32" s="66">
        <v>0.15</v>
      </c>
      <c r="F32" s="66">
        <v>0.120305</v>
      </c>
      <c r="G32" s="66">
        <v>0.4</v>
      </c>
      <c r="H32" s="66">
        <v>0.32252500000000001</v>
      </c>
    </row>
    <row r="33" spans="1:8">
      <c r="A33" s="66" t="s">
        <v>330</v>
      </c>
      <c r="B33" s="66">
        <v>0.473748</v>
      </c>
      <c r="C33" s="66">
        <v>1.19109E-2</v>
      </c>
      <c r="D33" s="66">
        <v>2.5141899999999998E-2</v>
      </c>
      <c r="E33" s="66">
        <v>0</v>
      </c>
      <c r="F33" s="66">
        <v>0.44226500000000002</v>
      </c>
      <c r="G33" s="66">
        <v>0</v>
      </c>
      <c r="H33" s="66">
        <v>0.48990699999999998</v>
      </c>
    </row>
    <row r="34" spans="1:8">
      <c r="A34" s="66" t="s">
        <v>331</v>
      </c>
      <c r="B34" s="66">
        <v>0.23904600000000001</v>
      </c>
      <c r="C34" s="66">
        <v>2.44091E-2</v>
      </c>
      <c r="D34" s="66">
        <v>0.10211099999999999</v>
      </c>
      <c r="E34" s="66">
        <v>0.1</v>
      </c>
      <c r="F34" s="66">
        <v>0.19567999999999999</v>
      </c>
      <c r="G34" s="66">
        <v>0.25</v>
      </c>
      <c r="H34" s="66">
        <v>0.35302299999999998</v>
      </c>
    </row>
    <row r="35" spans="1:8">
      <c r="A35" s="66" t="s">
        <v>332</v>
      </c>
      <c r="B35" s="66">
        <v>8.9554099999999998E-2</v>
      </c>
      <c r="C35" s="66">
        <v>2.56616E-2</v>
      </c>
      <c r="D35" s="66">
        <v>0.286549</v>
      </c>
      <c r="E35" s="66">
        <v>0</v>
      </c>
      <c r="F35" s="66">
        <v>4.7976400000000002E-2</v>
      </c>
      <c r="G35" s="66">
        <v>0</v>
      </c>
      <c r="H35" s="66">
        <v>0.14571999999999999</v>
      </c>
    </row>
    <row r="36" spans="1:8">
      <c r="A36" s="66" t="s">
        <v>333</v>
      </c>
      <c r="B36" s="66">
        <v>0.202931</v>
      </c>
      <c r="C36" s="66">
        <v>0.102591</v>
      </c>
      <c r="D36" s="66">
        <v>0.505548</v>
      </c>
      <c r="E36" s="66">
        <v>0</v>
      </c>
      <c r="F36" s="66">
        <v>3.8438300000000002E-2</v>
      </c>
      <c r="G36" s="66">
        <v>0</v>
      </c>
      <c r="H36" s="66">
        <v>0.49460199999999999</v>
      </c>
    </row>
    <row r="37" spans="1:8">
      <c r="A37" s="66" t="s">
        <v>334</v>
      </c>
      <c r="B37" s="66">
        <v>0.244091</v>
      </c>
      <c r="C37" s="66">
        <v>9.5173400000000005E-2</v>
      </c>
      <c r="D37" s="66">
        <v>0.38990900000000001</v>
      </c>
      <c r="E37" s="66">
        <v>0.1</v>
      </c>
      <c r="F37" s="66">
        <v>3.8905700000000001E-2</v>
      </c>
      <c r="G37" s="66">
        <v>0.5</v>
      </c>
      <c r="H37" s="66">
        <v>0.522756</v>
      </c>
    </row>
    <row r="38" spans="1:8">
      <c r="A38" s="66" t="s">
        <v>335</v>
      </c>
      <c r="B38" s="66">
        <v>-26.742799999999999</v>
      </c>
      <c r="C38" s="66">
        <v>94.351299999999995</v>
      </c>
      <c r="D38" s="66">
        <v>-3.5280900000000002</v>
      </c>
      <c r="E38" s="66">
        <v>0</v>
      </c>
      <c r="F38" s="66">
        <v>-352.322</v>
      </c>
      <c r="G38" s="66">
        <v>0</v>
      </c>
      <c r="H38" s="66">
        <v>414.10300000000001</v>
      </c>
    </row>
    <row r="39" spans="1:8">
      <c r="A39" s="66" t="s">
        <v>336</v>
      </c>
      <c r="B39" s="66">
        <v>-6.9011300000000002</v>
      </c>
      <c r="C39" s="66">
        <v>8.8906200000000002</v>
      </c>
      <c r="D39" s="66">
        <v>-1.2882899999999999</v>
      </c>
      <c r="E39" s="66">
        <v>0</v>
      </c>
      <c r="F39" s="66">
        <v>-14.785</v>
      </c>
      <c r="G39" s="66">
        <v>0</v>
      </c>
      <c r="H39" s="66">
        <v>88.350399999999993</v>
      </c>
    </row>
    <row r="40" spans="1:8">
      <c r="A40" s="66" t="s">
        <v>337</v>
      </c>
      <c r="B40" s="66">
        <v>-3.40686</v>
      </c>
      <c r="C40" s="66">
        <v>0.57032899999999997</v>
      </c>
      <c r="D40" s="66">
        <v>-0.167406</v>
      </c>
      <c r="E40" s="66">
        <v>0</v>
      </c>
      <c r="F40" s="66">
        <v>-4.5003500000000001</v>
      </c>
      <c r="G40" s="66">
        <v>0</v>
      </c>
      <c r="H40" s="66">
        <v>-2.34944</v>
      </c>
    </row>
    <row r="41" spans="1:8">
      <c r="A41" s="66" t="s">
        <v>338</v>
      </c>
      <c r="B41" s="66">
        <v>-0.134884</v>
      </c>
      <c r="C41" s="66">
        <v>0.404395</v>
      </c>
      <c r="D41" s="66">
        <v>-2.9981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-0.14917</v>
      </c>
      <c r="C42" s="66">
        <v>9.0650599999999998E-2</v>
      </c>
      <c r="D42" s="66">
        <v>-0.60770000000000002</v>
      </c>
      <c r="E42" s="66">
        <v>0</v>
      </c>
      <c r="F42" s="66">
        <v>-0.27306799999999998</v>
      </c>
      <c r="G42" s="66">
        <v>0</v>
      </c>
      <c r="H42" s="66">
        <v>0.22010299999999999</v>
      </c>
    </row>
    <row r="43" spans="1:8">
      <c r="A43" s="66" t="s">
        <v>340</v>
      </c>
      <c r="B43" s="66">
        <v>-5.4045999999999997E-2</v>
      </c>
      <c r="C43" s="66">
        <v>2.1697899999999999E-2</v>
      </c>
      <c r="D43" s="66">
        <v>-0.401472</v>
      </c>
      <c r="E43" s="66">
        <v>0</v>
      </c>
      <c r="F43" s="66">
        <v>-9.4123999999999999E-2</v>
      </c>
      <c r="G43" s="66">
        <v>0</v>
      </c>
      <c r="H43" s="66">
        <v>1.6943099999999999E-2</v>
      </c>
    </row>
    <row r="44" spans="1:8">
      <c r="A44" s="66" t="s">
        <v>341</v>
      </c>
      <c r="B44" s="66">
        <v>-15.930099999999999</v>
      </c>
      <c r="C44" s="66">
        <v>6.9214700000000002</v>
      </c>
      <c r="D44" s="66">
        <v>-0.43448900000000001</v>
      </c>
      <c r="E44" s="66">
        <v>0</v>
      </c>
      <c r="F44" s="66">
        <v>-27.3657</v>
      </c>
      <c r="G44" s="66">
        <v>0</v>
      </c>
      <c r="H44" s="66">
        <v>-0.25619500000000001</v>
      </c>
    </row>
    <row r="45" spans="1:8">
      <c r="A45" s="66" t="s">
        <v>342</v>
      </c>
      <c r="B45" s="66">
        <v>51.610199999999999</v>
      </c>
      <c r="C45" s="66">
        <v>5.2149599999999996</v>
      </c>
      <c r="D45" s="66">
        <v>0.101045</v>
      </c>
      <c r="E45" s="66">
        <v>0</v>
      </c>
      <c r="F45" s="66">
        <v>41.285299999999999</v>
      </c>
      <c r="G45" s="66">
        <v>0</v>
      </c>
      <c r="H45" s="66">
        <v>65.833299999999994</v>
      </c>
    </row>
    <row r="46" spans="1:8">
      <c r="A46" s="66" t="s">
        <v>343</v>
      </c>
      <c r="B46" s="66">
        <v>35.473500000000001</v>
      </c>
      <c r="C46" s="66">
        <v>2.0485099999999998</v>
      </c>
      <c r="D46" s="66">
        <v>5.7747699999999999E-2</v>
      </c>
      <c r="E46" s="66">
        <v>0</v>
      </c>
      <c r="F46" s="66">
        <v>33.585500000000003</v>
      </c>
      <c r="G46" s="66">
        <v>0</v>
      </c>
      <c r="H46" s="66">
        <v>41.206499999999998</v>
      </c>
    </row>
    <row r="47" spans="1:8">
      <c r="A47" s="66" t="s">
        <v>344</v>
      </c>
      <c r="B47" s="66">
        <v>0.97145099999999995</v>
      </c>
      <c r="C47" s="66">
        <v>0.40034399999999998</v>
      </c>
      <c r="D47" s="66">
        <v>0.41210999999999998</v>
      </c>
      <c r="E47" s="66">
        <v>0</v>
      </c>
      <c r="F47" s="66">
        <v>0.23244400000000001</v>
      </c>
      <c r="G47" s="66">
        <v>0</v>
      </c>
      <c r="H47" s="66">
        <v>2.4233899999999999</v>
      </c>
    </row>
    <row r="48" spans="1:8">
      <c r="A48" s="66" t="s">
        <v>345</v>
      </c>
      <c r="B48" s="66">
        <v>1.1362099999999999</v>
      </c>
      <c r="C48" s="66">
        <v>0.15207899999999999</v>
      </c>
      <c r="D48" s="66">
        <v>0.13384799999999999</v>
      </c>
      <c r="E48" s="66">
        <v>0</v>
      </c>
      <c r="F48" s="66">
        <v>0.90692499999999998</v>
      </c>
      <c r="G48" s="66">
        <v>0</v>
      </c>
      <c r="H48" s="66">
        <v>1.4774400000000001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350</v>
      </c>
      <c r="B1" s="60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101.50627130954467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1.9598313381495109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0.70639365916057828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2019</v>
      </c>
      <c r="B8" s="66">
        <v>2019</v>
      </c>
      <c r="D8">
        <f t="shared" si="0"/>
        <v>9.8062071980183595E-3</v>
      </c>
      <c r="E8">
        <f t="shared" si="0"/>
        <v>9.8062071980183595E-3</v>
      </c>
      <c r="G8">
        <f t="shared" ca="1" si="1"/>
        <v>6</v>
      </c>
      <c r="H8">
        <f t="shared" ca="1" si="2"/>
        <v>5.8837243188110157E-2</v>
      </c>
      <c r="I8">
        <f t="shared" ca="1" si="3"/>
        <v>89.446807655710842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3420</v>
      </c>
      <c r="B10" s="66">
        <v>3420</v>
      </c>
      <c r="D10">
        <f t="shared" si="0"/>
        <v>1.6610811598426343E-2</v>
      </c>
      <c r="E10">
        <f t="shared" si="0"/>
        <v>1.6610811598426343E-2</v>
      </c>
      <c r="G10">
        <f t="shared" ca="1" si="1"/>
        <v>8</v>
      </c>
      <c r="H10">
        <f t="shared" ca="1" si="2"/>
        <v>0.13288649278741074</v>
      </c>
      <c r="I10">
        <f t="shared" ca="1" si="3"/>
        <v>145.23534842786188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5762</v>
      </c>
      <c r="B13" s="66">
        <v>5762</v>
      </c>
      <c r="D13">
        <f t="shared" si="0"/>
        <v>2.7985817669629414E-2</v>
      </c>
      <c r="E13">
        <f t="shared" si="0"/>
        <v>2.7985817669629414E-2</v>
      </c>
      <c r="G13">
        <f t="shared" ca="1" si="1"/>
        <v>11</v>
      </c>
      <c r="H13">
        <f t="shared" ca="1" si="2"/>
        <v>0.30784399436592358</v>
      </c>
      <c r="I13">
        <f t="shared" ca="1" si="3"/>
        <v>229.2426111676551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10048</v>
      </c>
      <c r="B15" s="66">
        <v>10048</v>
      </c>
      <c r="D15">
        <f t="shared" si="0"/>
        <v>4.8802758754674824E-2</v>
      </c>
      <c r="E15">
        <f t="shared" si="0"/>
        <v>4.8802758754674824E-2</v>
      </c>
      <c r="G15">
        <f t="shared" ca="1" si="1"/>
        <v>13</v>
      </c>
      <c r="H15">
        <f t="shared" ca="1" si="2"/>
        <v>0.63443586381077277</v>
      </c>
      <c r="I15">
        <f t="shared" ca="1" si="3"/>
        <v>382.28958130128223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15201</v>
      </c>
      <c r="B18" s="66">
        <v>15201</v>
      </c>
      <c r="D18">
        <f t="shared" si="0"/>
        <v>7.3830686288794994E-2</v>
      </c>
      <c r="E18">
        <f t="shared" si="0"/>
        <v>7.3830686288794994E-2</v>
      </c>
      <c r="G18">
        <f t="shared" ca="1" si="1"/>
        <v>16</v>
      </c>
      <c r="H18">
        <f t="shared" ca="1" si="2"/>
        <v>1.1812909806207199</v>
      </c>
      <c r="I18">
        <f t="shared" ca="1" si="3"/>
        <v>539.79995292635635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23595</v>
      </c>
      <c r="B21" s="66">
        <v>23595</v>
      </c>
      <c r="D21">
        <f t="shared" si="0"/>
        <v>0.11460002914177474</v>
      </c>
      <c r="E21">
        <f t="shared" si="0"/>
        <v>0.11460002914177474</v>
      </c>
      <c r="G21">
        <f t="shared" ca="1" si="1"/>
        <v>19</v>
      </c>
      <c r="H21">
        <f t="shared" ca="1" si="2"/>
        <v>2.1774005536937202</v>
      </c>
      <c r="I21">
        <f t="shared" ca="1" si="3"/>
        <v>780.11503707568102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26955</v>
      </c>
      <c r="B23" s="66">
        <v>26955</v>
      </c>
      <c r="D23">
        <f t="shared" si="0"/>
        <v>0.13091942299286027</v>
      </c>
      <c r="E23">
        <f t="shared" si="0"/>
        <v>0.13091942299286027</v>
      </c>
      <c r="G23">
        <f t="shared" ca="1" si="1"/>
        <v>21</v>
      </c>
      <c r="H23">
        <f t="shared" ca="1" si="2"/>
        <v>2.7493078828500659</v>
      </c>
      <c r="I23">
        <f t="shared" ca="1" si="3"/>
        <v>848.52278283100179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31364</v>
      </c>
      <c r="B26" s="66">
        <v>31364</v>
      </c>
      <c r="D26">
        <f t="shared" si="0"/>
        <v>0.15233377045995433</v>
      </c>
      <c r="E26">
        <f t="shared" si="0"/>
        <v>0.15233377045995433</v>
      </c>
      <c r="G26">
        <f t="shared" ca="1" si="1"/>
        <v>24</v>
      </c>
      <c r="H26">
        <f t="shared" ca="1" si="2"/>
        <v>3.656010491038904</v>
      </c>
      <c r="I26">
        <f t="shared" ca="1" si="3"/>
        <v>915.1027913117274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31289</v>
      </c>
      <c r="B28" s="66">
        <v>31289</v>
      </c>
      <c r="D28">
        <f t="shared" si="0"/>
        <v>0.15196949827577833</v>
      </c>
      <c r="E28">
        <f t="shared" si="0"/>
        <v>0.15196949827577833</v>
      </c>
      <c r="G28">
        <f t="shared" ca="1" si="1"/>
        <v>26</v>
      </c>
      <c r="H28">
        <f t="shared" ca="1" si="2"/>
        <v>3.9512069551702362</v>
      </c>
      <c r="I28">
        <f t="shared" ca="1" si="3"/>
        <v>866.40804873588343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42837</v>
      </c>
      <c r="B31" s="66">
        <v>42837</v>
      </c>
      <c r="D31">
        <f t="shared" si="0"/>
        <v>0.20805770071397348</v>
      </c>
      <c r="E31">
        <f t="shared" si="0"/>
        <v>0.20805770071397348</v>
      </c>
      <c r="G31">
        <f t="shared" ca="1" si="1"/>
        <v>29</v>
      </c>
      <c r="H31">
        <f t="shared" ca="1" si="2"/>
        <v>6.0336733207052307</v>
      </c>
      <c r="I31">
        <f t="shared" ca="1" si="3"/>
        <v>1093.7924927260194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46228</v>
      </c>
      <c r="B33" s="66">
        <v>46228</v>
      </c>
      <c r="D33">
        <f t="shared" si="0"/>
        <v>0.2245276604011851</v>
      </c>
      <c r="E33">
        <f t="shared" si="0"/>
        <v>0.2245276604011851</v>
      </c>
      <c r="G33">
        <f t="shared" ca="1" si="1"/>
        <v>31</v>
      </c>
      <c r="H33">
        <f t="shared" ca="1" si="2"/>
        <v>6.9603574724367379</v>
      </c>
      <c r="I33">
        <f t="shared" ca="1" si="3"/>
        <v>1116.1571525663312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50395</v>
      </c>
      <c r="B36" s="66">
        <v>50395</v>
      </c>
      <c r="D36">
        <f t="shared" si="0"/>
        <v>0.24476662295400456</v>
      </c>
      <c r="E36">
        <f t="shared" si="0"/>
        <v>0.24476662295400456</v>
      </c>
      <c r="G36">
        <f t="shared" ca="1" si="1"/>
        <v>34</v>
      </c>
      <c r="H36">
        <f t="shared" ca="1" si="2"/>
        <v>8.3220651804361552</v>
      </c>
      <c r="I36">
        <f t="shared" ca="1" si="3"/>
        <v>1115.4251614406201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53753</v>
      </c>
      <c r="B39" s="66">
        <v>53753</v>
      </c>
      <c r="D39">
        <f t="shared" si="0"/>
        <v>0.26107630288017875</v>
      </c>
      <c r="E39">
        <f t="shared" si="0"/>
        <v>0.26107630288017875</v>
      </c>
      <c r="G39">
        <f t="shared" ca="1" si="1"/>
        <v>37</v>
      </c>
      <c r="H39">
        <f t="shared" ca="1" si="2"/>
        <v>9.6598232065666139</v>
      </c>
      <c r="I39">
        <f t="shared" ca="1" si="3"/>
        <v>1086.3539097752259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63373</v>
      </c>
      <c r="B41" s="66">
        <v>63373</v>
      </c>
      <c r="D41">
        <f t="shared" si="0"/>
        <v>0.30780028170382245</v>
      </c>
      <c r="E41">
        <f t="shared" si="0"/>
        <v>0.30780028170382245</v>
      </c>
      <c r="G41">
        <f t="shared" ca="1" si="1"/>
        <v>39</v>
      </c>
      <c r="H41">
        <f t="shared" ca="1" si="2"/>
        <v>12.004210986449076</v>
      </c>
      <c r="I41">
        <f t="shared" ca="1" si="3"/>
        <v>1202.586151366696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64701</v>
      </c>
      <c r="B44" s="66">
        <v>64701</v>
      </c>
      <c r="D44">
        <f t="shared" si="0"/>
        <v>0.31425032784496576</v>
      </c>
      <c r="E44">
        <f t="shared" si="0"/>
        <v>0.31425032784496576</v>
      </c>
      <c r="G44">
        <f t="shared" ca="1" si="1"/>
        <v>42</v>
      </c>
      <c r="H44">
        <f t="shared" ca="1" si="2"/>
        <v>13.198513769488562</v>
      </c>
      <c r="I44">
        <f t="shared" ca="1" si="3"/>
        <v>1112.759256080964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73817</v>
      </c>
      <c r="B46" s="66">
        <v>73817</v>
      </c>
      <c r="D46">
        <f t="shared" si="0"/>
        <v>0.35852639759094662</v>
      </c>
      <c r="E46">
        <f t="shared" si="0"/>
        <v>0.35852639759094662</v>
      </c>
      <c r="G46">
        <f t="shared" ca="1" si="1"/>
        <v>44</v>
      </c>
      <c r="H46">
        <f t="shared" ca="1" si="2"/>
        <v>15.775161494001651</v>
      </c>
      <c r="I46">
        <f t="shared" ca="1" si="3"/>
        <v>1185.6364855878792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88034</v>
      </c>
      <c r="B49" s="66">
        <v>88034</v>
      </c>
      <c r="D49">
        <f t="shared" si="0"/>
        <v>0.42757783282335227</v>
      </c>
      <c r="E49">
        <f t="shared" si="0"/>
        <v>0.42757783282335227</v>
      </c>
      <c r="G49">
        <f t="shared" ca="1" si="1"/>
        <v>47</v>
      </c>
      <c r="H49">
        <f t="shared" ca="1" si="2"/>
        <v>20.096158142697558</v>
      </c>
      <c r="I49">
        <f t="shared" ca="1" si="3"/>
        <v>1270.3053553108132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90674</v>
      </c>
      <c r="B51" s="66">
        <v>90674</v>
      </c>
      <c r="D51">
        <f t="shared" si="0"/>
        <v>0.44040021370634808</v>
      </c>
      <c r="E51">
        <f t="shared" si="0"/>
        <v>0.44040021370634808</v>
      </c>
      <c r="G51">
        <f t="shared" ca="1" si="1"/>
        <v>49</v>
      </c>
      <c r="H51">
        <f t="shared" ca="1" si="2"/>
        <v>21.579610471611055</v>
      </c>
      <c r="I51">
        <f t="shared" ca="1" si="3"/>
        <v>1214.143104385452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91745</v>
      </c>
      <c r="B54" s="66">
        <v>91745</v>
      </c>
      <c r="D54">
        <f t="shared" si="0"/>
        <v>0.44560202049638159</v>
      </c>
      <c r="E54">
        <f t="shared" si="0"/>
        <v>0.44560202049638159</v>
      </c>
      <c r="G54">
        <f t="shared" ca="1" si="1"/>
        <v>52</v>
      </c>
      <c r="H54">
        <f t="shared" ca="1" si="2"/>
        <v>23.171305065811843</v>
      </c>
      <c r="I54">
        <f t="shared" ca="1" si="3"/>
        <v>1092.1130245587071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93636</v>
      </c>
      <c r="B57" s="66">
        <v>93636</v>
      </c>
      <c r="D57">
        <f t="shared" si="0"/>
        <v>0.45478653650007284</v>
      </c>
      <c r="E57">
        <f t="shared" si="0"/>
        <v>0.45478653650007284</v>
      </c>
      <c r="G57">
        <f t="shared" ca="1" si="1"/>
        <v>55</v>
      </c>
      <c r="H57">
        <f t="shared" ca="1" si="2"/>
        <v>25.013259507504007</v>
      </c>
      <c r="I57">
        <f t="shared" ca="1" si="3"/>
        <v>983.62745239841331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104540</v>
      </c>
      <c r="B59" s="66">
        <v>104540</v>
      </c>
      <c r="D59">
        <f t="shared" si="0"/>
        <v>0.50774685511680995</v>
      </c>
      <c r="E59">
        <f t="shared" si="0"/>
        <v>0.50774685511680995</v>
      </c>
      <c r="G59">
        <f t="shared" ca="1" si="1"/>
        <v>57</v>
      </c>
      <c r="H59">
        <f t="shared" ca="1" si="2"/>
        <v>28.941570741658168</v>
      </c>
      <c r="I59">
        <f t="shared" ca="1" si="3"/>
        <v>1005.7491269695939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109686</v>
      </c>
      <c r="B62" s="66">
        <v>109686</v>
      </c>
      <c r="D62">
        <f t="shared" si="0"/>
        <v>0.53274078391374036</v>
      </c>
      <c r="E62">
        <f t="shared" si="0"/>
        <v>0.53274078391374036</v>
      </c>
      <c r="G62">
        <f t="shared" ca="1" si="1"/>
        <v>60</v>
      </c>
      <c r="H62">
        <f t="shared" ca="1" si="2"/>
        <v>31.964447034824421</v>
      </c>
      <c r="I62">
        <f t="shared" ca="1" si="3"/>
        <v>917.79013758390249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114195</v>
      </c>
      <c r="B64" s="66">
        <v>114195</v>
      </c>
      <c r="D64">
        <f t="shared" si="0"/>
        <v>0.55464082762640243</v>
      </c>
      <c r="E64">
        <f t="shared" si="0"/>
        <v>0.55464082762640243</v>
      </c>
      <c r="G64">
        <f t="shared" ca="1" si="1"/>
        <v>62</v>
      </c>
      <c r="H64">
        <f t="shared" ca="1" si="2"/>
        <v>34.387731312836948</v>
      </c>
      <c r="I64">
        <f t="shared" ca="1" si="3"/>
        <v>865.65316073871941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118450</v>
      </c>
      <c r="B67" s="66">
        <v>118450</v>
      </c>
      <c r="D67">
        <f t="shared" ref="D67:E130" si="4">IFERROR( A67/MAX(A$2:A$257), 0 )</f>
        <v>0.57530720287532178</v>
      </c>
      <c r="E67">
        <f t="shared" si="4"/>
        <v>0.57530720287532178</v>
      </c>
      <c r="G67">
        <f t="shared" ref="G67:G130" ca="1" si="5">CELL("row",D67)-2</f>
        <v>65</v>
      </c>
      <c r="H67">
        <f t="shared" ref="H67:H130" ca="1" si="6">D67*G67</f>
        <v>37.394968186895916</v>
      </c>
      <c r="I67">
        <f t="shared" ref="I67:I130" ca="1" si="7">D67*((G67-$L$1)^2)</f>
        <v>766.71642251442381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132572</v>
      </c>
      <c r="B69" s="66">
        <v>132572</v>
      </c>
      <c r="D69">
        <f t="shared" si="4"/>
        <v>0.64389722667443783</v>
      </c>
      <c r="E69">
        <f t="shared" si="4"/>
        <v>0.64389722667443783</v>
      </c>
      <c r="G69">
        <f t="shared" ca="1" si="5"/>
        <v>67</v>
      </c>
      <c r="H69">
        <f t="shared" ca="1" si="6"/>
        <v>43.141114187187334</v>
      </c>
      <c r="I69">
        <f t="shared" ca="1" si="7"/>
        <v>766.67732681210873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132747</v>
      </c>
      <c r="B72" s="66">
        <v>132747</v>
      </c>
      <c r="D72">
        <f t="shared" si="4"/>
        <v>0.64474719510418188</v>
      </c>
      <c r="E72">
        <f t="shared" si="4"/>
        <v>0.64474719510418188</v>
      </c>
      <c r="G72">
        <f t="shared" ca="1" si="5"/>
        <v>70</v>
      </c>
      <c r="H72">
        <f t="shared" ca="1" si="6"/>
        <v>45.132303657292731</v>
      </c>
      <c r="I72">
        <f t="shared" ca="1" si="7"/>
        <v>640.00516448162455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134843</v>
      </c>
      <c r="B75" s="66">
        <v>134843</v>
      </c>
      <c r="D75">
        <f t="shared" si="4"/>
        <v>0.65492738841128761</v>
      </c>
      <c r="E75">
        <f t="shared" si="4"/>
        <v>0.65492738841128761</v>
      </c>
      <c r="G75">
        <f t="shared" ca="1" si="5"/>
        <v>73</v>
      </c>
      <c r="H75">
        <f t="shared" ca="1" si="6"/>
        <v>47.809699354023998</v>
      </c>
      <c r="I75">
        <f t="shared" ca="1" si="7"/>
        <v>532.19891038069409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148949</v>
      </c>
      <c r="B77" s="66">
        <v>148949</v>
      </c>
      <c r="D77">
        <f t="shared" si="4"/>
        <v>0.72343970081111275</v>
      </c>
      <c r="E77">
        <f t="shared" si="4"/>
        <v>0.72343970081111275</v>
      </c>
      <c r="G77">
        <f t="shared" ca="1" si="5"/>
        <v>75</v>
      </c>
      <c r="H77">
        <f t="shared" ca="1" si="6"/>
        <v>54.257977560833453</v>
      </c>
      <c r="I77">
        <f t="shared" ca="1" si="7"/>
        <v>508.27601480493456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161117</v>
      </c>
      <c r="B80" s="66">
        <v>161117</v>
      </c>
      <c r="D80">
        <f t="shared" si="4"/>
        <v>0.78253921997182962</v>
      </c>
      <c r="E80">
        <f t="shared" si="4"/>
        <v>0.78253921997182962</v>
      </c>
      <c r="G80">
        <f t="shared" ca="1" si="5"/>
        <v>78</v>
      </c>
      <c r="H80">
        <f t="shared" ca="1" si="6"/>
        <v>61.038059157802714</v>
      </c>
      <c r="I80">
        <f t="shared" ca="1" si="7"/>
        <v>432.38796965310758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165368</v>
      </c>
      <c r="B82" s="66">
        <v>165368</v>
      </c>
      <c r="D82">
        <f t="shared" si="4"/>
        <v>0.80318616737092619</v>
      </c>
      <c r="E82">
        <f t="shared" si="4"/>
        <v>0.80318616737092619</v>
      </c>
      <c r="G82">
        <f t="shared" ca="1" si="5"/>
        <v>80</v>
      </c>
      <c r="H82">
        <f t="shared" ca="1" si="6"/>
        <v>64.254893389674095</v>
      </c>
      <c r="I82">
        <f t="shared" ca="1" si="7"/>
        <v>371.48942970631521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171328</v>
      </c>
      <c r="B85" s="66">
        <v>171328</v>
      </c>
      <c r="D85">
        <f t="shared" si="4"/>
        <v>0.83213366360678032</v>
      </c>
      <c r="E85">
        <f t="shared" si="4"/>
        <v>0.83213366360678032</v>
      </c>
      <c r="G85">
        <f t="shared" ca="1" si="5"/>
        <v>83</v>
      </c>
      <c r="H85">
        <f t="shared" ca="1" si="6"/>
        <v>69.067094079362761</v>
      </c>
      <c r="I85">
        <f t="shared" ca="1" si="7"/>
        <v>284.99086610479429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182641</v>
      </c>
      <c r="B88" s="66">
        <v>182641</v>
      </c>
      <c r="D88">
        <f t="shared" si="4"/>
        <v>0.88708047986789063</v>
      </c>
      <c r="E88">
        <f t="shared" si="4"/>
        <v>0.88708047986789063</v>
      </c>
      <c r="G88">
        <f t="shared" ca="1" si="5"/>
        <v>86</v>
      </c>
      <c r="H88">
        <f t="shared" ca="1" si="6"/>
        <v>76.288921268638589</v>
      </c>
      <c r="I88">
        <f t="shared" ca="1" si="7"/>
        <v>213.29357802122473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186972</v>
      </c>
      <c r="B90" s="66">
        <v>186972</v>
      </c>
      <c r="D90">
        <f t="shared" si="4"/>
        <v>0.90811598426344164</v>
      </c>
      <c r="E90">
        <f t="shared" si="4"/>
        <v>0.90811598426344164</v>
      </c>
      <c r="G90">
        <f t="shared" ca="1" si="5"/>
        <v>88</v>
      </c>
      <c r="H90">
        <f t="shared" ca="1" si="6"/>
        <v>79.914206615182863</v>
      </c>
      <c r="I90">
        <f t="shared" ca="1" si="7"/>
        <v>165.65794091147356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185082</v>
      </c>
      <c r="B93" s="66">
        <v>185082</v>
      </c>
      <c r="D93">
        <f t="shared" si="4"/>
        <v>0.89893632522220601</v>
      </c>
      <c r="E93">
        <f t="shared" si="4"/>
        <v>0.89893632522220601</v>
      </c>
      <c r="G93">
        <f t="shared" ca="1" si="5"/>
        <v>91</v>
      </c>
      <c r="H93">
        <f t="shared" ca="1" si="6"/>
        <v>81.803205595220746</v>
      </c>
      <c r="I93">
        <f t="shared" ca="1" si="7"/>
        <v>99.226152877390462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185407</v>
      </c>
      <c r="B95" s="66">
        <v>185407</v>
      </c>
      <c r="D95">
        <f t="shared" si="4"/>
        <v>0.90051483802030208</v>
      </c>
      <c r="E95">
        <f t="shared" si="4"/>
        <v>0.90051483802030208</v>
      </c>
      <c r="G95">
        <f t="shared" ca="1" si="5"/>
        <v>93</v>
      </c>
      <c r="H95">
        <f t="shared" ca="1" si="6"/>
        <v>83.747879935888093</v>
      </c>
      <c r="I95">
        <f t="shared" ca="1" si="7"/>
        <v>65.158238387685643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186928</v>
      </c>
      <c r="B98" s="66">
        <v>186928</v>
      </c>
      <c r="D98">
        <f t="shared" si="4"/>
        <v>0.90790227791539169</v>
      </c>
      <c r="E98">
        <f t="shared" si="4"/>
        <v>0.90790227791539169</v>
      </c>
      <c r="G98">
        <f t="shared" ca="1" si="5"/>
        <v>96</v>
      </c>
      <c r="H98">
        <f t="shared" ca="1" si="6"/>
        <v>87.158618679877605</v>
      </c>
      <c r="I98">
        <f t="shared" ca="1" si="7"/>
        <v>27.526710712555232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197525</v>
      </c>
      <c r="B100" s="66">
        <v>197525</v>
      </c>
      <c r="D100">
        <f t="shared" si="4"/>
        <v>0.95937150905823498</v>
      </c>
      <c r="E100">
        <f t="shared" si="4"/>
        <v>0.95937150905823498</v>
      </c>
      <c r="G100">
        <f t="shared" ca="1" si="5"/>
        <v>98</v>
      </c>
      <c r="H100">
        <f t="shared" ca="1" si="6"/>
        <v>94.018407887707028</v>
      </c>
      <c r="I100">
        <f t="shared" ca="1" si="7"/>
        <v>11.79445432730723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205890</v>
      </c>
      <c r="B103" s="66">
        <v>205890</v>
      </c>
      <c r="D103">
        <f t="shared" si="4"/>
        <v>1</v>
      </c>
      <c r="E103">
        <f t="shared" si="4"/>
        <v>1</v>
      </c>
      <c r="G103">
        <f t="shared" ca="1" si="5"/>
        <v>101</v>
      </c>
      <c r="H103">
        <f t="shared" ca="1" si="6"/>
        <v>101</v>
      </c>
      <c r="I103">
        <f t="shared" ca="1" si="7"/>
        <v>0.25631063886807759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203158</v>
      </c>
      <c r="B106" s="66">
        <v>203158</v>
      </c>
      <c r="D106">
        <f t="shared" si="4"/>
        <v>0.9867307785710816</v>
      </c>
      <c r="E106">
        <f t="shared" si="4"/>
        <v>0.9867307785710816</v>
      </c>
      <c r="G106">
        <f t="shared" ca="1" si="5"/>
        <v>104</v>
      </c>
      <c r="H106">
        <f t="shared" ca="1" si="6"/>
        <v>102.62000097139249</v>
      </c>
      <c r="I106">
        <f t="shared" ca="1" si="7"/>
        <v>6.1361657027747896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202391</v>
      </c>
      <c r="B108" s="66">
        <v>202391</v>
      </c>
      <c r="D108">
        <f t="shared" si="4"/>
        <v>0.98300548836757495</v>
      </c>
      <c r="E108">
        <f t="shared" si="4"/>
        <v>0.98300548836757495</v>
      </c>
      <c r="G108">
        <f t="shared" ca="1" si="5"/>
        <v>106</v>
      </c>
      <c r="H108">
        <f t="shared" ca="1" si="6"/>
        <v>104.19858176696295</v>
      </c>
      <c r="I108">
        <f t="shared" ca="1" si="7"/>
        <v>19.850417215069168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198477</v>
      </c>
      <c r="B111" s="66">
        <v>198477</v>
      </c>
      <c r="D111">
        <f t="shared" si="4"/>
        <v>0.96399533731604259</v>
      </c>
      <c r="E111">
        <f t="shared" si="4"/>
        <v>0.96399533731604259</v>
      </c>
      <c r="G111">
        <f t="shared" ca="1" si="5"/>
        <v>109</v>
      </c>
      <c r="H111">
        <f t="shared" ca="1" si="6"/>
        <v>105.07549176744864</v>
      </c>
      <c r="I111">
        <f t="shared" ca="1" si="7"/>
        <v>54.134092939912833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195832</v>
      </c>
      <c r="B113" s="66">
        <v>195832</v>
      </c>
      <c r="D113">
        <f t="shared" si="4"/>
        <v>0.95114867162076833</v>
      </c>
      <c r="E113">
        <f t="shared" si="4"/>
        <v>0.95114867162076833</v>
      </c>
      <c r="G113">
        <f t="shared" ca="1" si="5"/>
        <v>111</v>
      </c>
      <c r="H113">
        <f t="shared" ca="1" si="6"/>
        <v>105.57750254990529</v>
      </c>
      <c r="I113">
        <f t="shared" ca="1" si="7"/>
        <v>85.727871014696035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194199</v>
      </c>
      <c r="B116" s="66">
        <v>194199</v>
      </c>
      <c r="D116">
        <f t="shared" si="4"/>
        <v>0.94321725193064254</v>
      </c>
      <c r="E116">
        <f t="shared" si="4"/>
        <v>0.94321725193064254</v>
      </c>
      <c r="G116">
        <f t="shared" ca="1" si="5"/>
        <v>114</v>
      </c>
      <c r="H116">
        <f t="shared" ca="1" si="6"/>
        <v>107.52676672009325</v>
      </c>
      <c r="I116">
        <f t="shared" ca="1" si="7"/>
        <v>147.22985252639094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188545</v>
      </c>
      <c r="B118" s="66">
        <v>188545</v>
      </c>
      <c r="D118">
        <f t="shared" si="4"/>
        <v>0.91575598620622667</v>
      </c>
      <c r="E118">
        <f t="shared" si="4"/>
        <v>0.91575598620622667</v>
      </c>
      <c r="G118">
        <f t="shared" ca="1" si="5"/>
        <v>116</v>
      </c>
      <c r="H118">
        <f t="shared" ca="1" si="6"/>
        <v>106.2276943999223</v>
      </c>
      <c r="I118">
        <f t="shared" ca="1" si="7"/>
        <v>192.37118542747282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179200</v>
      </c>
      <c r="B121" s="66">
        <v>179200</v>
      </c>
      <c r="D121">
        <f t="shared" si="4"/>
        <v>0.870367672057895</v>
      </c>
      <c r="E121">
        <f t="shared" si="4"/>
        <v>0.870367672057895</v>
      </c>
      <c r="G121">
        <f t="shared" ca="1" si="5"/>
        <v>119</v>
      </c>
      <c r="H121">
        <f t="shared" ca="1" si="6"/>
        <v>103.5737529748895</v>
      </c>
      <c r="I121">
        <f t="shared" ca="1" si="7"/>
        <v>266.35909172058172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165989</v>
      </c>
      <c r="B124" s="66">
        <v>165989</v>
      </c>
      <c r="D124">
        <f t="shared" si="4"/>
        <v>0.8062023410559036</v>
      </c>
      <c r="E124">
        <f t="shared" si="4"/>
        <v>0.8062023410559036</v>
      </c>
      <c r="G124">
        <f t="shared" ca="1" si="5"/>
        <v>122</v>
      </c>
      <c r="H124">
        <f t="shared" ca="1" si="6"/>
        <v>98.356685608820243</v>
      </c>
      <c r="I124">
        <f t="shared" ca="1" si="7"/>
        <v>338.59927181424365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170926</v>
      </c>
      <c r="B126" s="66">
        <v>170926</v>
      </c>
      <c r="D126">
        <f t="shared" si="4"/>
        <v>0.83018116469959691</v>
      </c>
      <c r="E126">
        <f t="shared" si="4"/>
        <v>0.83018116469959691</v>
      </c>
      <c r="G126">
        <f t="shared" ca="1" si="5"/>
        <v>124</v>
      </c>
      <c r="H126">
        <f t="shared" ca="1" si="6"/>
        <v>102.94246442275002</v>
      </c>
      <c r="I126">
        <f t="shared" ca="1" si="7"/>
        <v>420.04496274184498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165085</v>
      </c>
      <c r="B129" s="66">
        <v>165085</v>
      </c>
      <c r="D129">
        <f t="shared" si="4"/>
        <v>0.80181164699596874</v>
      </c>
      <c r="E129">
        <f t="shared" si="4"/>
        <v>0.80181164699596874</v>
      </c>
      <c r="G129">
        <f t="shared" ca="1" si="5"/>
        <v>127</v>
      </c>
      <c r="H129">
        <f t="shared" ca="1" si="6"/>
        <v>101.83007916848803</v>
      </c>
      <c r="I129">
        <f t="shared" ca="1" si="7"/>
        <v>521.12160613306162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166935</v>
      </c>
      <c r="B131" s="66">
        <v>166935</v>
      </c>
      <c r="D131">
        <f t="shared" ref="D131:E194" si="8">IFERROR( A131/MAX(A$2:A$257), 0 )</f>
        <v>0.81079702753897709</v>
      </c>
      <c r="E131">
        <f t="shared" si="8"/>
        <v>0.81079702753897709</v>
      </c>
      <c r="G131">
        <f t="shared" ref="G131:G194" ca="1" si="9">CELL("row",D131)-2</f>
        <v>129</v>
      </c>
      <c r="H131">
        <f t="shared" ref="H131:H194" ca="1" si="10">D131*G131</f>
        <v>104.59281655252805</v>
      </c>
      <c r="I131">
        <f t="shared" ref="I131:I194" ca="1" si="11">D131*((G131-$L$1)^2)</f>
        <v>612.88562221188204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160105</v>
      </c>
      <c r="B134" s="66">
        <v>160105</v>
      </c>
      <c r="D134">
        <f t="shared" si="8"/>
        <v>0.77762397396668126</v>
      </c>
      <c r="E134">
        <f t="shared" si="8"/>
        <v>0.77762397396668126</v>
      </c>
      <c r="G134">
        <f t="shared" ca="1" si="9"/>
        <v>132</v>
      </c>
      <c r="H134">
        <f t="shared" ca="1" si="10"/>
        <v>102.64636456360192</v>
      </c>
      <c r="I134">
        <f t="shared" ca="1" si="11"/>
        <v>723.08725240627371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150160</v>
      </c>
      <c r="B136" s="66">
        <v>150160</v>
      </c>
      <c r="D136">
        <f t="shared" si="8"/>
        <v>0.72932148234494143</v>
      </c>
      <c r="E136">
        <f t="shared" si="8"/>
        <v>0.72932148234494143</v>
      </c>
      <c r="G136">
        <f t="shared" ca="1" si="9"/>
        <v>134</v>
      </c>
      <c r="H136">
        <f t="shared" ca="1" si="10"/>
        <v>97.729078634222148</v>
      </c>
      <c r="I136">
        <f t="shared" ca="1" si="11"/>
        <v>770.0485473602962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139266</v>
      </c>
      <c r="B139" s="66">
        <v>139266</v>
      </c>
      <c r="D139">
        <f t="shared" si="8"/>
        <v>0.67640973335276122</v>
      </c>
      <c r="E139">
        <f t="shared" si="8"/>
        <v>0.67640973335276122</v>
      </c>
      <c r="G139">
        <f t="shared" ca="1" si="9"/>
        <v>137</v>
      </c>
      <c r="H139">
        <f t="shared" ca="1" si="10"/>
        <v>92.668133469328282</v>
      </c>
      <c r="I139">
        <f t="shared" ca="1" si="11"/>
        <v>852.14421284855575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131881</v>
      </c>
      <c r="B142" s="66">
        <v>131881</v>
      </c>
      <c r="D142">
        <f t="shared" si="8"/>
        <v>0.64054106561756274</v>
      </c>
      <c r="E142">
        <f t="shared" si="8"/>
        <v>0.64054106561756274</v>
      </c>
      <c r="G142">
        <f t="shared" ca="1" si="9"/>
        <v>140</v>
      </c>
      <c r="H142">
        <f t="shared" ca="1" si="10"/>
        <v>89.675749186458788</v>
      </c>
      <c r="I142">
        <f t="shared" ca="1" si="11"/>
        <v>949.13270829368992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125732</v>
      </c>
      <c r="B144" s="66">
        <v>125732</v>
      </c>
      <c r="D144">
        <f t="shared" si="8"/>
        <v>0.61067560347758509</v>
      </c>
      <c r="E144">
        <f t="shared" si="8"/>
        <v>0.61067560347758509</v>
      </c>
      <c r="G144">
        <f t="shared" ca="1" si="9"/>
        <v>142</v>
      </c>
      <c r="H144">
        <f t="shared" ca="1" si="10"/>
        <v>86.715935693817087</v>
      </c>
      <c r="I144">
        <f t="shared" ca="1" si="11"/>
        <v>1001.3504740265635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121191</v>
      </c>
      <c r="B147" s="66">
        <v>121191</v>
      </c>
      <c r="D147">
        <f t="shared" si="8"/>
        <v>0.5886201369663413</v>
      </c>
      <c r="E147">
        <f t="shared" si="8"/>
        <v>0.5886201369663413</v>
      </c>
      <c r="G147">
        <f t="shared" ca="1" si="9"/>
        <v>145</v>
      </c>
      <c r="H147">
        <f t="shared" ca="1" si="10"/>
        <v>85.349919860119485</v>
      </c>
      <c r="I147">
        <f t="shared" ca="1" si="11"/>
        <v>1113.4953238643577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101733</v>
      </c>
      <c r="B149" s="66">
        <v>101733</v>
      </c>
      <c r="D149">
        <f t="shared" si="8"/>
        <v>0.4941133615037156</v>
      </c>
      <c r="E149">
        <f t="shared" si="8"/>
        <v>0.4941133615037156</v>
      </c>
      <c r="G149">
        <f t="shared" ca="1" si="9"/>
        <v>147</v>
      </c>
      <c r="H149">
        <f t="shared" ca="1" si="10"/>
        <v>72.634664141046187</v>
      </c>
      <c r="I149">
        <f t="shared" ca="1" si="11"/>
        <v>1022.6562209427578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94792</v>
      </c>
      <c r="B152" s="66">
        <v>94792</v>
      </c>
      <c r="D152">
        <f t="shared" si="8"/>
        <v>0.46040118509883921</v>
      </c>
      <c r="E152">
        <f t="shared" si="8"/>
        <v>0.46040118509883921</v>
      </c>
      <c r="G152">
        <f t="shared" ca="1" si="9"/>
        <v>150</v>
      </c>
      <c r="H152">
        <f t="shared" ca="1" si="10"/>
        <v>69.06017776482588</v>
      </c>
      <c r="I152">
        <f t="shared" ca="1" si="11"/>
        <v>1082.6986358764022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80508</v>
      </c>
      <c r="B154" s="66">
        <v>80508</v>
      </c>
      <c r="D154">
        <f t="shared" si="8"/>
        <v>0.39102433338190296</v>
      </c>
      <c r="E154">
        <f t="shared" si="8"/>
        <v>0.39102433338190296</v>
      </c>
      <c r="G154">
        <f t="shared" ca="1" si="9"/>
        <v>152</v>
      </c>
      <c r="H154">
        <f t="shared" ca="1" si="10"/>
        <v>59.435698674049249</v>
      </c>
      <c r="I154">
        <f t="shared" ca="1" si="11"/>
        <v>996.96214588787257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76683</v>
      </c>
      <c r="B157" s="66">
        <v>76683</v>
      </c>
      <c r="D157">
        <f t="shared" si="8"/>
        <v>0.37244645198892612</v>
      </c>
      <c r="E157">
        <f t="shared" si="8"/>
        <v>0.37244645198892612</v>
      </c>
      <c r="G157">
        <f t="shared" ca="1" si="9"/>
        <v>155</v>
      </c>
      <c r="H157">
        <f t="shared" ca="1" si="10"/>
        <v>57.729200058283546</v>
      </c>
      <c r="I157">
        <f t="shared" ca="1" si="11"/>
        <v>1065.7849490655224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74413</v>
      </c>
      <c r="B160" s="66">
        <v>74413</v>
      </c>
      <c r="D160">
        <f t="shared" si="8"/>
        <v>0.36142114721453206</v>
      </c>
      <c r="E160">
        <f t="shared" si="8"/>
        <v>0.36142114721453206</v>
      </c>
      <c r="G160">
        <f t="shared" ca="1" si="9"/>
        <v>158</v>
      </c>
      <c r="H160">
        <f t="shared" ca="1" si="10"/>
        <v>57.104541259896067</v>
      </c>
      <c r="I160">
        <f t="shared" ca="1" si="11"/>
        <v>1153.4905474304496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71387</v>
      </c>
      <c r="B162" s="66">
        <v>71387</v>
      </c>
      <c r="D162">
        <f t="shared" si="8"/>
        <v>0.3467239788236437</v>
      </c>
      <c r="E162">
        <f t="shared" si="8"/>
        <v>0.3467239788236437</v>
      </c>
      <c r="G162">
        <f t="shared" ca="1" si="9"/>
        <v>160</v>
      </c>
      <c r="H162">
        <f t="shared" ca="1" si="10"/>
        <v>55.475836611782995</v>
      </c>
      <c r="I162">
        <f t="shared" ca="1" si="11"/>
        <v>1186.3217437980957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70014</v>
      </c>
      <c r="B165" s="66">
        <v>70014</v>
      </c>
      <c r="D165">
        <f t="shared" si="8"/>
        <v>0.34005536937199476</v>
      </c>
      <c r="E165">
        <f t="shared" si="8"/>
        <v>0.34005536937199476</v>
      </c>
      <c r="G165">
        <f t="shared" ca="1" si="9"/>
        <v>163</v>
      </c>
      <c r="H165">
        <f t="shared" ca="1" si="10"/>
        <v>55.429025207635149</v>
      </c>
      <c r="I165">
        <f t="shared" ca="1" si="11"/>
        <v>1285.9121253058845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61086</v>
      </c>
      <c r="B167" s="66">
        <v>61086</v>
      </c>
      <c r="D167">
        <f t="shared" si="8"/>
        <v>0.29669240856768175</v>
      </c>
      <c r="E167">
        <f t="shared" si="8"/>
        <v>0.29669240856768175</v>
      </c>
      <c r="G167">
        <f t="shared" ca="1" si="9"/>
        <v>165</v>
      </c>
      <c r="H167">
        <f t="shared" ca="1" si="10"/>
        <v>48.954247413667488</v>
      </c>
      <c r="I167">
        <f t="shared" ca="1" si="11"/>
        <v>1196.1016735741687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55577</v>
      </c>
      <c r="B170" s="66">
        <v>55577</v>
      </c>
      <c r="D170">
        <f t="shared" si="8"/>
        <v>0.26993540239933944</v>
      </c>
      <c r="E170">
        <f t="shared" si="8"/>
        <v>0.26993540239933944</v>
      </c>
      <c r="G170">
        <f t="shared" ca="1" si="9"/>
        <v>168</v>
      </c>
      <c r="H170">
        <f t="shared" ca="1" si="10"/>
        <v>45.349147603089023</v>
      </c>
      <c r="I170">
        <f t="shared" ca="1" si="11"/>
        <v>1193.4966950309426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48300</v>
      </c>
      <c r="B173" s="66">
        <v>48300</v>
      </c>
      <c r="D173">
        <f t="shared" si="8"/>
        <v>0.23459128660935452</v>
      </c>
      <c r="E173">
        <f t="shared" si="8"/>
        <v>0.23459128660935452</v>
      </c>
      <c r="G173">
        <f t="shared" ca="1" si="9"/>
        <v>171</v>
      </c>
      <c r="H173">
        <f t="shared" ca="1" si="10"/>
        <v>40.115110010199622</v>
      </c>
      <c r="I173">
        <f t="shared" ca="1" si="11"/>
        <v>1132.9300753252526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45357</v>
      </c>
      <c r="B175" s="66">
        <v>45357</v>
      </c>
      <c r="D175">
        <f t="shared" si="8"/>
        <v>0.22029724610228762</v>
      </c>
      <c r="E175">
        <f t="shared" si="8"/>
        <v>0.22029724610228762</v>
      </c>
      <c r="G175">
        <f t="shared" ca="1" si="9"/>
        <v>173</v>
      </c>
      <c r="H175">
        <f t="shared" ca="1" si="10"/>
        <v>38.11142357569576</v>
      </c>
      <c r="I175">
        <f t="shared" ca="1" si="11"/>
        <v>1126.0170430827945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35775</v>
      </c>
      <c r="B178" s="66">
        <v>35775</v>
      </c>
      <c r="D178">
        <f t="shared" si="8"/>
        <v>0.17375783185195978</v>
      </c>
      <c r="E178">
        <f t="shared" si="8"/>
        <v>0.17375783185195978</v>
      </c>
      <c r="G178">
        <f t="shared" ca="1" si="9"/>
        <v>176</v>
      </c>
      <c r="H178">
        <f t="shared" ca="1" si="10"/>
        <v>30.581378405944921</v>
      </c>
      <c r="I178">
        <f t="shared" ca="1" si="11"/>
        <v>964.23704938686399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24977</v>
      </c>
      <c r="B180" s="66">
        <v>24977</v>
      </c>
      <c r="D180">
        <f t="shared" si="8"/>
        <v>0.12131235125552479</v>
      </c>
      <c r="E180">
        <f t="shared" si="8"/>
        <v>0.12131235125552479</v>
      </c>
      <c r="G180">
        <f t="shared" ca="1" si="9"/>
        <v>178</v>
      </c>
      <c r="H180">
        <f t="shared" ca="1" si="10"/>
        <v>21.593598523483415</v>
      </c>
      <c r="I180">
        <f t="shared" ca="1" si="11"/>
        <v>709.83381194841149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14988</v>
      </c>
      <c r="B183" s="66">
        <v>14988</v>
      </c>
      <c r="D183">
        <f t="shared" si="8"/>
        <v>7.2796153285735105E-2</v>
      </c>
      <c r="E183">
        <f t="shared" si="8"/>
        <v>7.2796153285735105E-2</v>
      </c>
      <c r="G183">
        <f t="shared" ca="1" si="9"/>
        <v>181</v>
      </c>
      <c r="H183">
        <f t="shared" ca="1" si="10"/>
        <v>13.176103744718054</v>
      </c>
      <c r="I183">
        <f t="shared" ca="1" si="11"/>
        <v>460.01730284065508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9811</v>
      </c>
      <c r="B185" s="66">
        <v>9811</v>
      </c>
      <c r="D185">
        <f t="shared" si="8"/>
        <v>4.7651658652678612E-2</v>
      </c>
      <c r="E185">
        <f t="shared" si="8"/>
        <v>4.7651658652678612E-2</v>
      </c>
      <c r="G185">
        <f t="shared" ca="1" si="9"/>
        <v>183</v>
      </c>
      <c r="H185">
        <f t="shared" ca="1" si="10"/>
        <v>8.7202535334401858</v>
      </c>
      <c r="I185">
        <f t="shared" ca="1" si="11"/>
        <v>316.4655209166803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7078</v>
      </c>
      <c r="B188" s="66">
        <v>7078</v>
      </c>
      <c r="D188">
        <f t="shared" si="8"/>
        <v>3.437758026130458E-2</v>
      </c>
      <c r="E188">
        <f t="shared" si="8"/>
        <v>3.437758026130458E-2</v>
      </c>
      <c r="G188">
        <f t="shared" ca="1" si="9"/>
        <v>186</v>
      </c>
      <c r="H188">
        <f t="shared" ca="1" si="10"/>
        <v>6.3942299286026518</v>
      </c>
      <c r="I188">
        <f t="shared" ca="1" si="11"/>
        <v>245.42808368924759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5265</v>
      </c>
      <c r="B191" s="66">
        <v>5265</v>
      </c>
      <c r="D191">
        <f t="shared" si="8"/>
        <v>2.5571907329156346E-2</v>
      </c>
      <c r="E191">
        <f t="shared" si="8"/>
        <v>2.5571907329156346E-2</v>
      </c>
      <c r="G191">
        <f t="shared" ca="1" si="9"/>
        <v>189</v>
      </c>
      <c r="H191">
        <f t="shared" ca="1" si="10"/>
        <v>4.8330904852105494</v>
      </c>
      <c r="I191">
        <f t="shared" ca="1" si="11"/>
        <v>195.75685185894005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3111</v>
      </c>
      <c r="B193" s="66">
        <v>3111</v>
      </c>
      <c r="D193">
        <f t="shared" si="8"/>
        <v>1.5110010199621157E-2</v>
      </c>
      <c r="E193">
        <f t="shared" si="8"/>
        <v>1.5110010199621157E-2</v>
      </c>
      <c r="G193">
        <f t="shared" ca="1" si="9"/>
        <v>191</v>
      </c>
      <c r="H193">
        <f t="shared" ca="1" si="10"/>
        <v>2.8860119481276407</v>
      </c>
      <c r="I193">
        <f t="shared" ca="1" si="11"/>
        <v>121.01799783611973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1766</v>
      </c>
      <c r="B196" s="66">
        <v>1766</v>
      </c>
      <c r="D196">
        <f t="shared" si="12"/>
        <v>8.5773956967312645E-3</v>
      </c>
      <c r="E196">
        <f t="shared" si="12"/>
        <v>8.5773956967312645E-3</v>
      </c>
      <c r="G196">
        <f t="shared" ca="1" si="13"/>
        <v>194</v>
      </c>
      <c r="H196">
        <f t="shared" ca="1" si="14"/>
        <v>1.6640147651658652</v>
      </c>
      <c r="I196">
        <f t="shared" ca="1" si="15"/>
        <v>73.380390839352302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867</v>
      </c>
      <c r="B198" s="66">
        <v>867</v>
      </c>
      <c r="D198">
        <f t="shared" si="12"/>
        <v>4.2109864490747486E-3</v>
      </c>
      <c r="E198">
        <f t="shared" si="12"/>
        <v>4.2109864490747486E-3</v>
      </c>
      <c r="G198">
        <f t="shared" ca="1" si="13"/>
        <v>196</v>
      </c>
      <c r="H198">
        <f t="shared" ca="1" si="14"/>
        <v>0.82535334401865068</v>
      </c>
      <c r="I198">
        <f t="shared" ca="1" si="15"/>
        <v>37.600170714957528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464</v>
      </c>
      <c r="B201" s="66">
        <v>464</v>
      </c>
      <c r="D201">
        <f t="shared" si="12"/>
        <v>2.253630579435621E-3</v>
      </c>
      <c r="E201">
        <f t="shared" si="12"/>
        <v>2.253630579435621E-3</v>
      </c>
      <c r="G201">
        <f t="shared" ca="1" si="13"/>
        <v>199</v>
      </c>
      <c r="H201">
        <f t="shared" ca="1" si="14"/>
        <v>0.44847248530768857</v>
      </c>
      <c r="I201">
        <f t="shared" ca="1" si="15"/>
        <v>21.420819807475858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90.347601359628186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1.7443854274902233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0.73826129493007986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1231</v>
      </c>
      <c r="B8" s="66">
        <v>1231</v>
      </c>
      <c r="D8">
        <f t="shared" si="0"/>
        <v>1.3635960831228677</v>
      </c>
      <c r="E8">
        <f t="shared" si="1"/>
        <v>1.3635960831228677</v>
      </c>
      <c r="G8">
        <f t="shared" ca="1" si="2"/>
        <v>6</v>
      </c>
      <c r="H8">
        <f t="shared" ca="1" si="3"/>
        <v>8.1815764987372059</v>
      </c>
      <c r="I8">
        <f t="shared" ca="1" si="4"/>
        <v>9701.3286805530897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2811</v>
      </c>
      <c r="B10" s="66">
        <v>2811</v>
      </c>
      <c r="D10">
        <f t="shared" si="0"/>
        <v>3.1137843945234613</v>
      </c>
      <c r="E10">
        <f t="shared" si="1"/>
        <v>3.1137843945234613</v>
      </c>
      <c r="G10">
        <f t="shared" ca="1" si="2"/>
        <v>8</v>
      </c>
      <c r="H10">
        <f t="shared" ca="1" si="3"/>
        <v>24.910275156187691</v>
      </c>
      <c r="I10">
        <f t="shared" ca="1" si="4"/>
        <v>21114.968830101458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4386</v>
      </c>
      <c r="B13" s="66">
        <v>4386</v>
      </c>
      <c r="D13">
        <f t="shared" si="0"/>
        <v>4.8584341353183573</v>
      </c>
      <c r="E13">
        <f t="shared" si="1"/>
        <v>4.8584341353183573</v>
      </c>
      <c r="G13">
        <f t="shared" ca="1" si="2"/>
        <v>11</v>
      </c>
      <c r="H13">
        <f t="shared" ca="1" si="3"/>
        <v>53.44277548850193</v>
      </c>
      <c r="I13">
        <f t="shared" ca="1" si="4"/>
        <v>30588.904600264847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7880</v>
      </c>
      <c r="B15" s="66">
        <v>7880</v>
      </c>
      <c r="D15">
        <f t="shared" si="0"/>
        <v>8.728787274580176</v>
      </c>
      <c r="E15">
        <f t="shared" si="1"/>
        <v>8.728787274580176</v>
      </c>
      <c r="G15">
        <f t="shared" ca="1" si="2"/>
        <v>13</v>
      </c>
      <c r="H15">
        <f t="shared" ca="1" si="3"/>
        <v>113.47423456954229</v>
      </c>
      <c r="I15">
        <f t="shared" ca="1" si="4"/>
        <v>52221.291723573369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12111</v>
      </c>
      <c r="B18" s="66">
        <v>12111</v>
      </c>
      <c r="D18">
        <f t="shared" si="0"/>
        <v>13.415525721121893</v>
      </c>
      <c r="E18">
        <f t="shared" si="1"/>
        <v>13.415525721121893</v>
      </c>
      <c r="G18">
        <f t="shared" ca="1" si="2"/>
        <v>16</v>
      </c>
      <c r="H18">
        <f t="shared" ca="1" si="3"/>
        <v>214.6484115379503</v>
      </c>
      <c r="I18">
        <f t="shared" ca="1" si="4"/>
        <v>74155.201539791859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16831</v>
      </c>
      <c r="B21" s="66">
        <v>16831</v>
      </c>
      <c r="D21">
        <f t="shared" si="0"/>
        <v>18.643936372900882</v>
      </c>
      <c r="E21">
        <f t="shared" si="1"/>
        <v>18.643936372900882</v>
      </c>
      <c r="G21">
        <f t="shared" ca="1" si="2"/>
        <v>19</v>
      </c>
      <c r="H21">
        <f t="shared" ca="1" si="3"/>
        <v>354.23479108511674</v>
      </c>
      <c r="I21">
        <f t="shared" ca="1" si="4"/>
        <v>94906.589324947447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19757</v>
      </c>
      <c r="B23" s="66">
        <v>19757</v>
      </c>
      <c r="D23">
        <f t="shared" si="0"/>
        <v>21.8851078913554</v>
      </c>
      <c r="E23">
        <f t="shared" si="1"/>
        <v>21.8851078913554</v>
      </c>
      <c r="G23">
        <f t="shared" ca="1" si="2"/>
        <v>21</v>
      </c>
      <c r="H23">
        <f t="shared" ca="1" si="3"/>
        <v>459.58726571846341</v>
      </c>
      <c r="I23">
        <f t="shared" ca="1" si="4"/>
        <v>105247.44944591583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21877</v>
      </c>
      <c r="B26" s="66">
        <v>21877</v>
      </c>
      <c r="D26">
        <f t="shared" si="0"/>
        <v>24.233461828171386</v>
      </c>
      <c r="E26">
        <f t="shared" si="1"/>
        <v>24.233461828171386</v>
      </c>
      <c r="G26">
        <f t="shared" ca="1" si="2"/>
        <v>24</v>
      </c>
      <c r="H26">
        <f t="shared" ca="1" si="3"/>
        <v>581.60308387611326</v>
      </c>
      <c r="I26">
        <f t="shared" ca="1" si="4"/>
        <v>106675.80089781928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23484</v>
      </c>
      <c r="B28" s="66">
        <v>23484</v>
      </c>
      <c r="D28">
        <f t="shared" si="0"/>
        <v>26.013558420842749</v>
      </c>
      <c r="E28">
        <f t="shared" si="1"/>
        <v>26.013558420842749</v>
      </c>
      <c r="G28">
        <f t="shared" ca="1" si="2"/>
        <v>26</v>
      </c>
      <c r="H28">
        <f t="shared" ca="1" si="3"/>
        <v>676.35251894191151</v>
      </c>
      <c r="I28">
        <f t="shared" ca="1" si="4"/>
        <v>107712.0990036359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30078</v>
      </c>
      <c r="B31" s="66">
        <v>30078</v>
      </c>
      <c r="D31">
        <f t="shared" si="0"/>
        <v>33.31782533563738</v>
      </c>
      <c r="E31">
        <f t="shared" si="1"/>
        <v>33.31782533563738</v>
      </c>
      <c r="G31">
        <f t="shared" ca="1" si="2"/>
        <v>29</v>
      </c>
      <c r="H31">
        <f t="shared" ca="1" si="3"/>
        <v>966.21693473348398</v>
      </c>
      <c r="I31">
        <f t="shared" ca="1" si="4"/>
        <v>125392.57496612261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34263</v>
      </c>
      <c r="B33" s="66">
        <v>34263</v>
      </c>
      <c r="D33">
        <f t="shared" si="0"/>
        <v>37.95360893260667</v>
      </c>
      <c r="E33">
        <f t="shared" si="1"/>
        <v>37.95360893260667</v>
      </c>
      <c r="G33">
        <f t="shared" ca="1" si="2"/>
        <v>31</v>
      </c>
      <c r="H33">
        <f t="shared" ca="1" si="3"/>
        <v>1176.5618769108069</v>
      </c>
      <c r="I33">
        <f t="shared" ca="1" si="4"/>
        <v>133677.84017991912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37735</v>
      </c>
      <c r="B36" s="66">
        <v>37735</v>
      </c>
      <c r="D36">
        <f t="shared" si="0"/>
        <v>41.799592361203423</v>
      </c>
      <c r="E36">
        <f t="shared" si="1"/>
        <v>41.799592361203423</v>
      </c>
      <c r="G36">
        <f t="shared" ca="1" si="2"/>
        <v>34</v>
      </c>
      <c r="H36">
        <f t="shared" ca="1" si="3"/>
        <v>1421.1861402809163</v>
      </c>
      <c r="I36">
        <f t="shared" ca="1" si="4"/>
        <v>132715.886807064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42682</v>
      </c>
      <c r="B39" s="66">
        <v>42682</v>
      </c>
      <c r="D39">
        <f t="shared" si="0"/>
        <v>47.279454118481105</v>
      </c>
      <c r="E39">
        <f t="shared" si="1"/>
        <v>47.279454118481105</v>
      </c>
      <c r="G39">
        <f t="shared" ca="1" si="2"/>
        <v>37</v>
      </c>
      <c r="H39">
        <f t="shared" ca="1" si="3"/>
        <v>1749.3398023838008</v>
      </c>
      <c r="I39">
        <f t="shared" ca="1" si="4"/>
        <v>134555.74590808956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53876</v>
      </c>
      <c r="B41" s="66">
        <v>53876</v>
      </c>
      <c r="D41">
        <f t="shared" si="0"/>
        <v>59.679205990517964</v>
      </c>
      <c r="E41">
        <f t="shared" si="1"/>
        <v>59.679205990517964</v>
      </c>
      <c r="G41">
        <f t="shared" ca="1" si="2"/>
        <v>39</v>
      </c>
      <c r="H41">
        <f t="shared" ca="1" si="3"/>
        <v>2327.4890336302005</v>
      </c>
      <c r="I41">
        <f t="shared" ca="1" si="4"/>
        <v>157348.77208383806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52666</v>
      </c>
      <c r="B44" s="66">
        <v>52666</v>
      </c>
      <c r="D44">
        <f t="shared" si="0"/>
        <v>58.33887190393903</v>
      </c>
      <c r="E44">
        <f t="shared" si="1"/>
        <v>58.33887190393903</v>
      </c>
      <c r="G44">
        <f t="shared" ca="1" si="2"/>
        <v>42</v>
      </c>
      <c r="H44">
        <f t="shared" ca="1" si="3"/>
        <v>2450.2326199654394</v>
      </c>
      <c r="I44">
        <f t="shared" ca="1" si="4"/>
        <v>136366.5621948801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58313</v>
      </c>
      <c r="B46" s="66">
        <v>58313</v>
      </c>
      <c r="D46">
        <f t="shared" si="0"/>
        <v>64.594133546014447</v>
      </c>
      <c r="E46">
        <f t="shared" si="1"/>
        <v>64.594133546014447</v>
      </c>
      <c r="G46">
        <f t="shared" ca="1" si="2"/>
        <v>44</v>
      </c>
      <c r="H46">
        <f t="shared" ca="1" si="3"/>
        <v>2842.1418760246356</v>
      </c>
      <c r="I46">
        <f t="shared" ca="1" si="4"/>
        <v>138754.66807500232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70037</v>
      </c>
      <c r="B49" s="66">
        <v>70037</v>
      </c>
      <c r="D49">
        <f t="shared" si="0"/>
        <v>77.580973902255309</v>
      </c>
      <c r="E49">
        <f t="shared" si="1"/>
        <v>77.580973902255309</v>
      </c>
      <c r="G49">
        <f t="shared" ca="1" si="2"/>
        <v>47</v>
      </c>
      <c r="H49">
        <f t="shared" ca="1" si="3"/>
        <v>3646.3057734059994</v>
      </c>
      <c r="I49">
        <f t="shared" ca="1" si="4"/>
        <v>145775.7782715685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71940</v>
      </c>
      <c r="B51" s="66">
        <v>71940</v>
      </c>
      <c r="D51">
        <f t="shared" si="0"/>
        <v>79.688953874783991</v>
      </c>
      <c r="E51">
        <f t="shared" si="1"/>
        <v>79.688953874783991</v>
      </c>
      <c r="G51">
        <f t="shared" ca="1" si="2"/>
        <v>49</v>
      </c>
      <c r="H51">
        <f t="shared" ca="1" si="3"/>
        <v>3904.7587398644155</v>
      </c>
      <c r="I51">
        <f t="shared" ca="1" si="4"/>
        <v>136238.15909181689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71394</v>
      </c>
      <c r="B54" s="66">
        <v>71394</v>
      </c>
      <c r="D54">
        <f t="shared" si="0"/>
        <v>79.084141964641759</v>
      </c>
      <c r="E54">
        <f t="shared" si="1"/>
        <v>79.084141964641759</v>
      </c>
      <c r="G54">
        <f t="shared" ca="1" si="2"/>
        <v>52</v>
      </c>
      <c r="H54">
        <f t="shared" ca="1" si="3"/>
        <v>4112.3753821613718</v>
      </c>
      <c r="I54">
        <f t="shared" ca="1" si="4"/>
        <v>116296.27787391836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70969</v>
      </c>
      <c r="B57" s="66">
        <v>70969</v>
      </c>
      <c r="D57">
        <f t="shared" si="0"/>
        <v>78.613363463157427</v>
      </c>
      <c r="E57">
        <f t="shared" si="1"/>
        <v>78.613363463157427</v>
      </c>
      <c r="G57">
        <f t="shared" ca="1" si="2"/>
        <v>55</v>
      </c>
      <c r="H57">
        <f t="shared" ca="1" si="3"/>
        <v>4323.7349904736584</v>
      </c>
      <c r="I57">
        <f t="shared" ca="1" si="4"/>
        <v>98223.696677792672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76624</v>
      </c>
      <c r="B59" s="66">
        <v>76624</v>
      </c>
      <c r="D59">
        <f t="shared" si="0"/>
        <v>84.877486818201959</v>
      </c>
      <c r="E59">
        <f t="shared" si="1"/>
        <v>84.877486818201959</v>
      </c>
      <c r="G59">
        <f t="shared" ca="1" si="2"/>
        <v>57</v>
      </c>
      <c r="H59">
        <f t="shared" ca="1" si="3"/>
        <v>4838.0167486375112</v>
      </c>
      <c r="I59">
        <f t="shared" ca="1" si="4"/>
        <v>94389.071580209944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78599</v>
      </c>
      <c r="B62" s="66">
        <v>78599</v>
      </c>
      <c r="D62">
        <f t="shared" si="0"/>
        <v>87.065222207452706</v>
      </c>
      <c r="E62">
        <f t="shared" si="1"/>
        <v>87.065222207452706</v>
      </c>
      <c r="G62">
        <f t="shared" ca="1" si="2"/>
        <v>60</v>
      </c>
      <c r="H62">
        <f t="shared" ca="1" si="3"/>
        <v>5223.9133324471622</v>
      </c>
      <c r="I62">
        <f t="shared" ca="1" si="4"/>
        <v>80185.059167584041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80446</v>
      </c>
      <c r="B64" s="66">
        <v>80446</v>
      </c>
      <c r="D64">
        <f t="shared" si="0"/>
        <v>89.111170189197566</v>
      </c>
      <c r="E64">
        <f t="shared" si="1"/>
        <v>89.111170189197566</v>
      </c>
      <c r="G64">
        <f t="shared" ca="1" si="2"/>
        <v>62</v>
      </c>
      <c r="H64">
        <f t="shared" ca="1" si="3"/>
        <v>5524.8925517302487</v>
      </c>
      <c r="I64">
        <f t="shared" ca="1" si="4"/>
        <v>71608.533616708868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81886</v>
      </c>
      <c r="B67" s="66">
        <v>81886</v>
      </c>
      <c r="D67">
        <f t="shared" ref="D67:D130" si="5">IFERROR( 100*A67/MAX(A$2:A$257), 0 )</f>
        <v>90.706278523638616</v>
      </c>
      <c r="E67">
        <f t="shared" ref="E67:E130" si="6">IFERROR( 100*B67/MAX(B$2:B$257), 0 )</f>
        <v>90.706278523638616</v>
      </c>
      <c r="G67">
        <f t="shared" ref="G67:G130" ca="1" si="7">CELL("row",D67)-2</f>
        <v>65</v>
      </c>
      <c r="H67">
        <f t="shared" ref="H67:H130" ca="1" si="8">D67*G67</f>
        <v>5895.9081040365099</v>
      </c>
      <c r="I67">
        <f t="shared" ref="I67:I130" ca="1" si="9">D67*((G67-$L$1)^2)</f>
        <v>58278.865105131976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89709</v>
      </c>
      <c r="B69" s="66">
        <v>89709</v>
      </c>
      <c r="D69">
        <f t="shared" si="5"/>
        <v>99.371926093313832</v>
      </c>
      <c r="E69">
        <f t="shared" si="6"/>
        <v>99.371926093313832</v>
      </c>
      <c r="G69">
        <f t="shared" ca="1" si="7"/>
        <v>67</v>
      </c>
      <c r="H69">
        <f t="shared" ca="1" si="8"/>
        <v>6657.9190482520271</v>
      </c>
      <c r="I69">
        <f t="shared" ca="1" si="9"/>
        <v>54168.679250253517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88733</v>
      </c>
      <c r="B72" s="66">
        <v>88733</v>
      </c>
      <c r="D72">
        <f t="shared" si="5"/>
        <v>98.290797111081574</v>
      </c>
      <c r="E72">
        <f t="shared" si="6"/>
        <v>98.290797111081574</v>
      </c>
      <c r="G72">
        <f t="shared" ca="1" si="7"/>
        <v>70</v>
      </c>
      <c r="H72">
        <f t="shared" ca="1" si="8"/>
        <v>6880.35579777571</v>
      </c>
      <c r="I72">
        <f t="shared" ca="1" si="9"/>
        <v>40694.835586190558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83818</v>
      </c>
      <c r="B75" s="66">
        <v>83818</v>
      </c>
      <c r="D75">
        <f t="shared" si="5"/>
        <v>92.846382205680356</v>
      </c>
      <c r="E75">
        <f t="shared" si="6"/>
        <v>92.846382205680356</v>
      </c>
      <c r="G75">
        <f t="shared" ca="1" si="7"/>
        <v>73</v>
      </c>
      <c r="H75">
        <f t="shared" ca="1" si="8"/>
        <v>6777.7859010146658</v>
      </c>
      <c r="I75">
        <f t="shared" ca="1" si="9"/>
        <v>27941.122755397289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88176</v>
      </c>
      <c r="B77" s="66">
        <v>88176</v>
      </c>
      <c r="D77">
        <f t="shared" si="5"/>
        <v>97.673800345606807</v>
      </c>
      <c r="E77">
        <f t="shared" si="6"/>
        <v>97.673800345606807</v>
      </c>
      <c r="G77">
        <f t="shared" ca="1" si="7"/>
        <v>75</v>
      </c>
      <c r="H77">
        <f t="shared" ca="1" si="8"/>
        <v>7325.5350259205106</v>
      </c>
      <c r="I77">
        <f t="shared" ca="1" si="9"/>
        <v>23006.953055248701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90276</v>
      </c>
      <c r="B80" s="66">
        <v>90276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15246.325933629183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83349</v>
      </c>
      <c r="B82" s="66">
        <v>83349</v>
      </c>
      <c r="D82">
        <f t="shared" si="5"/>
        <v>92.326864282865884</v>
      </c>
      <c r="E82">
        <f t="shared" si="6"/>
        <v>92.326864282865884</v>
      </c>
      <c r="G82">
        <f t="shared" ca="1" si="7"/>
        <v>80</v>
      </c>
      <c r="H82">
        <f t="shared" ca="1" si="8"/>
        <v>7386.1491426292705</v>
      </c>
      <c r="I82">
        <f t="shared" ca="1" si="9"/>
        <v>9885.7008501993769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81362</v>
      </c>
      <c r="B85" s="66">
        <v>81362</v>
      </c>
      <c r="D85">
        <f t="shared" si="5"/>
        <v>90.125836324161455</v>
      </c>
      <c r="E85">
        <f t="shared" si="6"/>
        <v>90.125836324161455</v>
      </c>
      <c r="G85">
        <f t="shared" ca="1" si="7"/>
        <v>83</v>
      </c>
      <c r="H85">
        <f t="shared" ca="1" si="8"/>
        <v>7480.4444149054007</v>
      </c>
      <c r="I85">
        <f t="shared" ca="1" si="9"/>
        <v>4865.6456731564213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81153</v>
      </c>
      <c r="B88" s="66">
        <v>81153</v>
      </c>
      <c r="D88">
        <f t="shared" si="5"/>
        <v>89.894324072843276</v>
      </c>
      <c r="E88">
        <f t="shared" si="6"/>
        <v>89.894324072843276</v>
      </c>
      <c r="G88">
        <f t="shared" ca="1" si="7"/>
        <v>86</v>
      </c>
      <c r="H88">
        <f t="shared" ca="1" si="8"/>
        <v>7730.9118702645219</v>
      </c>
      <c r="I88">
        <f t="shared" ca="1" si="9"/>
        <v>1699.1499343253929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76621</v>
      </c>
      <c r="B90" s="66">
        <v>76621</v>
      </c>
      <c r="D90">
        <f t="shared" si="5"/>
        <v>84.874163675838545</v>
      </c>
      <c r="E90">
        <f t="shared" si="6"/>
        <v>84.874163675838545</v>
      </c>
      <c r="G90">
        <f t="shared" ca="1" si="7"/>
        <v>88</v>
      </c>
      <c r="H90">
        <f t="shared" ca="1" si="8"/>
        <v>7468.9264034737917</v>
      </c>
      <c r="I90">
        <f t="shared" ca="1" si="9"/>
        <v>467.76121902232194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76218</v>
      </c>
      <c r="B93" s="66">
        <v>76218</v>
      </c>
      <c r="D93">
        <f t="shared" si="5"/>
        <v>84.427754885019269</v>
      </c>
      <c r="E93">
        <f t="shared" si="6"/>
        <v>84.427754885019269</v>
      </c>
      <c r="G93">
        <f t="shared" ca="1" si="7"/>
        <v>91</v>
      </c>
      <c r="H93">
        <f t="shared" ca="1" si="8"/>
        <v>7682.9256945367533</v>
      </c>
      <c r="I93">
        <f t="shared" ca="1" si="9"/>
        <v>35.934477559730624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71673</v>
      </c>
      <c r="B95" s="66">
        <v>71673</v>
      </c>
      <c r="D95">
        <f t="shared" si="5"/>
        <v>79.393194204439723</v>
      </c>
      <c r="E95">
        <f t="shared" si="6"/>
        <v>79.393194204439723</v>
      </c>
      <c r="G95">
        <f t="shared" ca="1" si="7"/>
        <v>93</v>
      </c>
      <c r="H95">
        <f t="shared" ca="1" si="8"/>
        <v>7383.5670610128946</v>
      </c>
      <c r="I95">
        <f t="shared" ca="1" si="9"/>
        <v>558.54847240807635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70632</v>
      </c>
      <c r="B98" s="66">
        <v>70632</v>
      </c>
      <c r="D98">
        <f t="shared" si="5"/>
        <v>78.240063804333374</v>
      </c>
      <c r="E98">
        <f t="shared" si="6"/>
        <v>78.240063804333374</v>
      </c>
      <c r="G98">
        <f t="shared" ca="1" si="7"/>
        <v>96</v>
      </c>
      <c r="H98">
        <f t="shared" ca="1" si="8"/>
        <v>7511.0461252160039</v>
      </c>
      <c r="I98">
        <f t="shared" ca="1" si="9"/>
        <v>2499.7395554119312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75348</v>
      </c>
      <c r="B100" s="66">
        <v>75348</v>
      </c>
      <c r="D100">
        <f t="shared" si="5"/>
        <v>83.464043599627814</v>
      </c>
      <c r="E100">
        <f t="shared" si="6"/>
        <v>83.464043599627814</v>
      </c>
      <c r="G100">
        <f t="shared" ca="1" si="7"/>
        <v>98</v>
      </c>
      <c r="H100">
        <f t="shared" ca="1" si="8"/>
        <v>8179.4762727635261</v>
      </c>
      <c r="I100">
        <f t="shared" ca="1" si="9"/>
        <v>4887.5880352035256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76812</v>
      </c>
      <c r="B103" s="66">
        <v>76812</v>
      </c>
      <c r="D103">
        <f t="shared" si="5"/>
        <v>85.085737072976201</v>
      </c>
      <c r="E103">
        <f t="shared" si="6"/>
        <v>85.085737072976201</v>
      </c>
      <c r="G103">
        <f t="shared" ca="1" si="7"/>
        <v>101</v>
      </c>
      <c r="H103">
        <f t="shared" ca="1" si="8"/>
        <v>8593.6594443705962</v>
      </c>
      <c r="I103">
        <f t="shared" ca="1" si="9"/>
        <v>9654.9846214877452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76376</v>
      </c>
      <c r="B106" s="66">
        <v>76376</v>
      </c>
      <c r="D106">
        <f t="shared" si="5"/>
        <v>84.602773716159334</v>
      </c>
      <c r="E106">
        <f t="shared" si="6"/>
        <v>84.602773716159334</v>
      </c>
      <c r="G106">
        <f t="shared" ca="1" si="7"/>
        <v>104</v>
      </c>
      <c r="H106">
        <f t="shared" ca="1" si="8"/>
        <v>8798.6884664805712</v>
      </c>
      <c r="I106">
        <f t="shared" ca="1" si="9"/>
        <v>15768.940825949958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74030</v>
      </c>
      <c r="B108" s="66">
        <v>74030</v>
      </c>
      <c r="D108">
        <f t="shared" si="5"/>
        <v>82.004076387965796</v>
      </c>
      <c r="E108">
        <f t="shared" si="6"/>
        <v>82.004076387965796</v>
      </c>
      <c r="G108">
        <f t="shared" ca="1" si="7"/>
        <v>106</v>
      </c>
      <c r="H108">
        <f t="shared" ca="1" si="8"/>
        <v>8692.4320971243742</v>
      </c>
      <c r="I108">
        <f t="shared" ca="1" si="9"/>
        <v>20090.800527363095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72312</v>
      </c>
      <c r="B111" s="66">
        <v>72312</v>
      </c>
      <c r="D111">
        <f t="shared" si="5"/>
        <v>80.101023527847929</v>
      </c>
      <c r="E111">
        <f t="shared" si="6"/>
        <v>80.101023527847929</v>
      </c>
      <c r="G111">
        <f t="shared" ca="1" si="7"/>
        <v>109</v>
      </c>
      <c r="H111">
        <f t="shared" ca="1" si="8"/>
        <v>8731.0115645354235</v>
      </c>
      <c r="I111">
        <f t="shared" ca="1" si="9"/>
        <v>27868.105298246555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70196</v>
      </c>
      <c r="B113" s="66">
        <v>70196</v>
      </c>
      <c r="D113">
        <f t="shared" si="5"/>
        <v>77.757100447516507</v>
      </c>
      <c r="E113">
        <f t="shared" si="6"/>
        <v>77.757100447516507</v>
      </c>
      <c r="G113">
        <f t="shared" ca="1" si="7"/>
        <v>111</v>
      </c>
      <c r="H113">
        <f t="shared" ca="1" si="8"/>
        <v>8631.0381496743321</v>
      </c>
      <c r="I113">
        <f t="shared" ca="1" si="9"/>
        <v>33165.080530484258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64099</v>
      </c>
      <c r="B116" s="66">
        <v>64099</v>
      </c>
      <c r="D116">
        <f t="shared" si="5"/>
        <v>71.003367450928266</v>
      </c>
      <c r="E116">
        <f t="shared" si="6"/>
        <v>71.003367450928266</v>
      </c>
      <c r="G116">
        <f t="shared" ca="1" si="7"/>
        <v>114</v>
      </c>
      <c r="H116">
        <f t="shared" ca="1" si="8"/>
        <v>8094.3838894058226</v>
      </c>
      <c r="I116">
        <f t="shared" ca="1" si="9"/>
        <v>39721.837135605099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63054</v>
      </c>
      <c r="B118" s="66">
        <v>63054</v>
      </c>
      <c r="D118">
        <f t="shared" si="5"/>
        <v>69.845806194337371</v>
      </c>
      <c r="E118">
        <f t="shared" si="6"/>
        <v>69.845806194337371</v>
      </c>
      <c r="G118">
        <f t="shared" ca="1" si="7"/>
        <v>116</v>
      </c>
      <c r="H118">
        <f t="shared" ca="1" si="8"/>
        <v>8102.1135185431349</v>
      </c>
      <c r="I118">
        <f t="shared" ca="1" si="9"/>
        <v>45961.722371738753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61649</v>
      </c>
      <c r="B121" s="66">
        <v>61649</v>
      </c>
      <c r="D121">
        <f t="shared" si="5"/>
        <v>68.289467854136205</v>
      </c>
      <c r="E121">
        <f t="shared" si="6"/>
        <v>68.289467854136205</v>
      </c>
      <c r="G121">
        <f t="shared" ca="1" si="7"/>
        <v>119</v>
      </c>
      <c r="H121">
        <f t="shared" ca="1" si="8"/>
        <v>8126.4466746422086</v>
      </c>
      <c r="I121">
        <f t="shared" ca="1" si="9"/>
        <v>56062.91796801606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61677</v>
      </c>
      <c r="B124" s="66">
        <v>61677</v>
      </c>
      <c r="D124">
        <f t="shared" si="5"/>
        <v>68.320483849528117</v>
      </c>
      <c r="E124">
        <f t="shared" si="6"/>
        <v>68.320483849528117</v>
      </c>
      <c r="G124">
        <f t="shared" ca="1" si="7"/>
        <v>122</v>
      </c>
      <c r="H124">
        <f t="shared" ca="1" si="8"/>
        <v>8335.0990296424297</v>
      </c>
      <c r="I124">
        <f t="shared" ca="1" si="9"/>
        <v>68448.539643979748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65108</v>
      </c>
      <c r="B126" s="66">
        <v>65108</v>
      </c>
      <c r="D126">
        <f t="shared" si="5"/>
        <v>72.121050999158143</v>
      </c>
      <c r="E126">
        <f t="shared" si="6"/>
        <v>72.121050999158143</v>
      </c>
      <c r="G126">
        <f t="shared" ca="1" si="7"/>
        <v>124</v>
      </c>
      <c r="H126">
        <f t="shared" ca="1" si="8"/>
        <v>8943.010323895609</v>
      </c>
      <c r="I126">
        <f t="shared" ca="1" si="9"/>
        <v>81675.931577807482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58170</v>
      </c>
      <c r="B129" s="66">
        <v>58170</v>
      </c>
      <c r="D129">
        <f t="shared" si="5"/>
        <v>64.435730426691478</v>
      </c>
      <c r="E129">
        <f t="shared" si="6"/>
        <v>64.435730426691478</v>
      </c>
      <c r="G129">
        <f t="shared" ca="1" si="7"/>
        <v>127</v>
      </c>
      <c r="H129">
        <f t="shared" ca="1" si="8"/>
        <v>8183.3377641898178</v>
      </c>
      <c r="I129">
        <f t="shared" ca="1" si="9"/>
        <v>86562.852395779701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58189</v>
      </c>
      <c r="B131" s="66">
        <v>58189</v>
      </c>
      <c r="D131">
        <f t="shared" ref="D131:D194" si="10">IFERROR( 100*A131/MAX(A$2:A$257), 0 )</f>
        <v>64.456776994993135</v>
      </c>
      <c r="E131">
        <f t="shared" ref="E131:E194" si="11">IFERROR( 100*B131/MAX(B$2:B$257), 0 )</f>
        <v>64.456776994993135</v>
      </c>
      <c r="G131">
        <f t="shared" ref="G131:G194" ca="1" si="12">CELL("row",D131)-2</f>
        <v>129</v>
      </c>
      <c r="H131">
        <f t="shared" ref="H131:H194" ca="1" si="13">D131*G131</f>
        <v>8314.9242323541148</v>
      </c>
      <c r="I131">
        <f t="shared" ref="I131:I194" ca="1" si="14">D131*((G131-$L$1)^2)</f>
        <v>96298.935370362247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52535</v>
      </c>
      <c r="B134" s="66">
        <v>52535</v>
      </c>
      <c r="D134">
        <f t="shared" si="10"/>
        <v>58.193761354069743</v>
      </c>
      <c r="E134">
        <f t="shared" si="11"/>
        <v>58.193761354069743</v>
      </c>
      <c r="G134">
        <f t="shared" ca="1" si="12"/>
        <v>132</v>
      </c>
      <c r="H134">
        <f t="shared" ca="1" si="13"/>
        <v>7681.5764987372058</v>
      </c>
      <c r="I134">
        <f t="shared" ca="1" si="14"/>
        <v>100961.65502126909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47886</v>
      </c>
      <c r="B136" s="66">
        <v>47886</v>
      </c>
      <c r="D136">
        <f t="shared" si="10"/>
        <v>53.043998404891667</v>
      </c>
      <c r="E136">
        <f t="shared" si="11"/>
        <v>53.043998404891667</v>
      </c>
      <c r="G136">
        <f t="shared" ca="1" si="12"/>
        <v>134</v>
      </c>
      <c r="H136">
        <f t="shared" ca="1" si="13"/>
        <v>7107.8957862554835</v>
      </c>
      <c r="I136">
        <f t="shared" ca="1" si="14"/>
        <v>101077.03143845129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43087</v>
      </c>
      <c r="B139" s="66">
        <v>43087</v>
      </c>
      <c r="D139">
        <f t="shared" si="10"/>
        <v>47.728078337542648</v>
      </c>
      <c r="E139">
        <f t="shared" si="11"/>
        <v>47.728078337542648</v>
      </c>
      <c r="G139">
        <f t="shared" ca="1" si="12"/>
        <v>137</v>
      </c>
      <c r="H139">
        <f t="shared" ca="1" si="13"/>
        <v>6538.7467322433431</v>
      </c>
      <c r="I139">
        <f t="shared" ca="1" si="14"/>
        <v>103877.59945136188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40977</v>
      </c>
      <c r="B142" s="66">
        <v>40977</v>
      </c>
      <c r="D142">
        <f t="shared" si="10"/>
        <v>45.390801541938053</v>
      </c>
      <c r="E142">
        <f t="shared" si="11"/>
        <v>45.390801541938053</v>
      </c>
      <c r="G142">
        <f t="shared" ca="1" si="12"/>
        <v>140</v>
      </c>
      <c r="H142">
        <f t="shared" ca="1" si="13"/>
        <v>6354.7122158713273</v>
      </c>
      <c r="I142">
        <f t="shared" ca="1" si="14"/>
        <v>111904.69784278345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36212</v>
      </c>
      <c r="B144" s="66">
        <v>36212</v>
      </c>
      <c r="D144">
        <f t="shared" si="10"/>
        <v>40.112543754707787</v>
      </c>
      <c r="E144">
        <f t="shared" si="11"/>
        <v>40.112543754707787</v>
      </c>
      <c r="G144">
        <f t="shared" ca="1" si="12"/>
        <v>142</v>
      </c>
      <c r="H144">
        <f t="shared" ca="1" si="13"/>
        <v>5695.9812131685057</v>
      </c>
      <c r="I144">
        <f t="shared" ca="1" si="14"/>
        <v>107019.07480551225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33134</v>
      </c>
      <c r="B147" s="66">
        <v>33134</v>
      </c>
      <c r="D147">
        <f t="shared" si="10"/>
        <v>36.702999689840048</v>
      </c>
      <c r="E147">
        <f t="shared" si="11"/>
        <v>36.702999689840048</v>
      </c>
      <c r="G147">
        <f t="shared" ca="1" si="12"/>
        <v>145</v>
      </c>
      <c r="H147">
        <f t="shared" ca="1" si="13"/>
        <v>5321.9349550268071</v>
      </c>
      <c r="I147">
        <f t="shared" ca="1" si="14"/>
        <v>109627.62737888185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25425</v>
      </c>
      <c r="B149" s="66">
        <v>25425</v>
      </c>
      <c r="D149">
        <f t="shared" si="10"/>
        <v>28.163631529974744</v>
      </c>
      <c r="E149">
        <f t="shared" si="11"/>
        <v>28.163631529974744</v>
      </c>
      <c r="G149">
        <f t="shared" ca="1" si="12"/>
        <v>147</v>
      </c>
      <c r="H149">
        <f t="shared" ca="1" si="13"/>
        <v>4140.0538349062872</v>
      </c>
      <c r="I149">
        <f t="shared" ca="1" si="14"/>
        <v>90391.014065937561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24961</v>
      </c>
      <c r="B152" s="66">
        <v>24961</v>
      </c>
      <c r="D152">
        <f t="shared" si="10"/>
        <v>27.649652177765962</v>
      </c>
      <c r="E152">
        <f t="shared" si="11"/>
        <v>27.649652177765962</v>
      </c>
      <c r="G152">
        <f t="shared" ca="1" si="12"/>
        <v>150</v>
      </c>
      <c r="H152">
        <f t="shared" ca="1" si="13"/>
        <v>4147.4478266648939</v>
      </c>
      <c r="I152">
        <f t="shared" ca="1" si="14"/>
        <v>98388.761853501899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22344</v>
      </c>
      <c r="B154" s="66">
        <v>22344</v>
      </c>
      <c r="D154">
        <f t="shared" si="10"/>
        <v>24.750764322743585</v>
      </c>
      <c r="E154">
        <f t="shared" si="11"/>
        <v>24.750764322743585</v>
      </c>
      <c r="G154">
        <f t="shared" ca="1" si="12"/>
        <v>152</v>
      </c>
      <c r="H154">
        <f t="shared" ca="1" si="13"/>
        <v>3762.1161770570247</v>
      </c>
      <c r="I154">
        <f t="shared" ca="1" si="14"/>
        <v>94078.107092958642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24832</v>
      </c>
      <c r="B157" s="66">
        <v>24832</v>
      </c>
      <c r="D157">
        <f t="shared" si="10"/>
        <v>27.506757056138952</v>
      </c>
      <c r="E157">
        <f t="shared" si="11"/>
        <v>27.506757056138952</v>
      </c>
      <c r="G157">
        <f t="shared" ca="1" si="12"/>
        <v>155</v>
      </c>
      <c r="H157">
        <f t="shared" ca="1" si="13"/>
        <v>4263.5473437015371</v>
      </c>
      <c r="I157">
        <f t="shared" ca="1" si="14"/>
        <v>114976.39191329542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25497</v>
      </c>
      <c r="B160" s="66">
        <v>25497</v>
      </c>
      <c r="D160">
        <f t="shared" si="10"/>
        <v>28.243386946696795</v>
      </c>
      <c r="E160">
        <f t="shared" si="11"/>
        <v>28.243386946696795</v>
      </c>
      <c r="G160">
        <f t="shared" ca="1" si="12"/>
        <v>158</v>
      </c>
      <c r="H160">
        <f t="shared" ca="1" si="13"/>
        <v>4462.4551375780939</v>
      </c>
      <c r="I160">
        <f t="shared" ca="1" si="14"/>
        <v>129265.66199728283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26598</v>
      </c>
      <c r="B162" s="66">
        <v>26598</v>
      </c>
      <c r="D162">
        <f t="shared" si="10"/>
        <v>29.462980194071513</v>
      </c>
      <c r="E162">
        <f t="shared" si="11"/>
        <v>29.462980194071513</v>
      </c>
      <c r="G162">
        <f t="shared" ca="1" si="12"/>
        <v>160</v>
      </c>
      <c r="H162">
        <f t="shared" ca="1" si="13"/>
        <v>4714.0768310514422</v>
      </c>
      <c r="I162">
        <f t="shared" ca="1" si="14"/>
        <v>142938.37078939102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24614</v>
      </c>
      <c r="B165" s="66">
        <v>24614</v>
      </c>
      <c r="D165">
        <f t="shared" si="10"/>
        <v>27.265275377730514</v>
      </c>
      <c r="E165">
        <f t="shared" si="11"/>
        <v>27.265275377730514</v>
      </c>
      <c r="G165">
        <f t="shared" ca="1" si="12"/>
        <v>163</v>
      </c>
      <c r="H165">
        <f t="shared" ca="1" si="13"/>
        <v>4444.2398865700734</v>
      </c>
      <c r="I165">
        <f t="shared" ca="1" si="14"/>
        <v>143916.23962969391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22200</v>
      </c>
      <c r="B167" s="66">
        <v>22200</v>
      </c>
      <c r="D167">
        <f t="shared" si="10"/>
        <v>24.591253489299483</v>
      </c>
      <c r="E167">
        <f t="shared" si="11"/>
        <v>24.591253489299483</v>
      </c>
      <c r="G167">
        <f t="shared" ca="1" si="12"/>
        <v>165</v>
      </c>
      <c r="H167">
        <f t="shared" ca="1" si="13"/>
        <v>4057.5568257344148</v>
      </c>
      <c r="I167">
        <f t="shared" ca="1" si="14"/>
        <v>137046.57918526954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21672</v>
      </c>
      <c r="B170" s="66">
        <v>21672</v>
      </c>
      <c r="D170">
        <f t="shared" si="10"/>
        <v>24.006380433337764</v>
      </c>
      <c r="E170">
        <f t="shared" si="11"/>
        <v>24.006380433337764</v>
      </c>
      <c r="G170">
        <f t="shared" ca="1" si="12"/>
        <v>168</v>
      </c>
      <c r="H170">
        <f t="shared" ca="1" si="13"/>
        <v>4033.0719128007445</v>
      </c>
      <c r="I170">
        <f t="shared" ca="1" si="14"/>
        <v>144755.95369365162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20135</v>
      </c>
      <c r="B173" s="66">
        <v>20135</v>
      </c>
      <c r="D173">
        <f t="shared" si="10"/>
        <v>22.303823829146175</v>
      </c>
      <c r="E173">
        <f t="shared" si="11"/>
        <v>22.303823829146175</v>
      </c>
      <c r="G173">
        <f t="shared" ca="1" si="12"/>
        <v>171</v>
      </c>
      <c r="H173">
        <f t="shared" ca="1" si="13"/>
        <v>3813.9538747839961</v>
      </c>
      <c r="I173">
        <f t="shared" ca="1" si="14"/>
        <v>145082.12304353219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17671</v>
      </c>
      <c r="B175" s="66">
        <v>17671</v>
      </c>
      <c r="D175">
        <f t="shared" si="10"/>
        <v>19.574416234658159</v>
      </c>
      <c r="E175">
        <f t="shared" si="11"/>
        <v>19.574416234658159</v>
      </c>
      <c r="G175">
        <f t="shared" ca="1" si="12"/>
        <v>173</v>
      </c>
      <c r="H175">
        <f t="shared" ca="1" si="13"/>
        <v>3386.3740085958616</v>
      </c>
      <c r="I175">
        <f t="shared" ca="1" si="14"/>
        <v>133721.03899906241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11382</v>
      </c>
      <c r="B178" s="66">
        <v>11382</v>
      </c>
      <c r="D178">
        <f t="shared" si="10"/>
        <v>12.608002126811112</v>
      </c>
      <c r="E178">
        <f t="shared" si="11"/>
        <v>12.608002126811112</v>
      </c>
      <c r="G178">
        <f t="shared" ca="1" si="12"/>
        <v>176</v>
      </c>
      <c r="H178">
        <f t="shared" ca="1" si="13"/>
        <v>2219.0083743187556</v>
      </c>
      <c r="I178">
        <f t="shared" ca="1" si="14"/>
        <v>92496.507020037679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9850</v>
      </c>
      <c r="B180" s="66">
        <v>9850</v>
      </c>
      <c r="D180">
        <f t="shared" si="10"/>
        <v>10.91098409322522</v>
      </c>
      <c r="E180">
        <f t="shared" si="11"/>
        <v>10.91098409322522</v>
      </c>
      <c r="G180">
        <f t="shared" ca="1" si="12"/>
        <v>178</v>
      </c>
      <c r="H180">
        <f t="shared" ca="1" si="13"/>
        <v>1942.1551685940892</v>
      </c>
      <c r="I180">
        <f t="shared" ca="1" si="14"/>
        <v>83828.4687247939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7696</v>
      </c>
      <c r="B183" s="66">
        <v>7696</v>
      </c>
      <c r="D183">
        <f t="shared" si="10"/>
        <v>8.5249678762904875</v>
      </c>
      <c r="E183">
        <f t="shared" si="11"/>
        <v>8.5249678762904875</v>
      </c>
      <c r="G183">
        <f t="shared" ca="1" si="12"/>
        <v>181</v>
      </c>
      <c r="H183">
        <f t="shared" ca="1" si="13"/>
        <v>1543.0191856085783</v>
      </c>
      <c r="I183">
        <f t="shared" ca="1" si="14"/>
        <v>70056.97017006758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6711</v>
      </c>
      <c r="B185" s="66">
        <v>6711</v>
      </c>
      <c r="D185">
        <f t="shared" si="10"/>
        <v>7.4338694669679652</v>
      </c>
      <c r="E185">
        <f t="shared" si="11"/>
        <v>7.4338694669679652</v>
      </c>
      <c r="G185">
        <f t="shared" ca="1" si="12"/>
        <v>183</v>
      </c>
      <c r="H185">
        <f t="shared" ca="1" si="13"/>
        <v>1360.3981124551376</v>
      </c>
      <c r="I185">
        <f t="shared" ca="1" si="14"/>
        <v>63815.806926833553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4467</v>
      </c>
      <c r="B188" s="66">
        <v>4467</v>
      </c>
      <c r="D188">
        <f t="shared" si="10"/>
        <v>4.9481589791306657</v>
      </c>
      <c r="E188">
        <f t="shared" si="11"/>
        <v>4.9481589791306657</v>
      </c>
      <c r="G188">
        <f t="shared" ca="1" si="12"/>
        <v>186</v>
      </c>
      <c r="H188">
        <f t="shared" ca="1" si="13"/>
        <v>920.35757011830378</v>
      </c>
      <c r="I188">
        <f t="shared" ca="1" si="14"/>
        <v>45272.593557964516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2507</v>
      </c>
      <c r="B191" s="66">
        <v>2507</v>
      </c>
      <c r="D191">
        <f t="shared" si="10"/>
        <v>2.7770393016970178</v>
      </c>
      <c r="E191">
        <f t="shared" si="11"/>
        <v>2.7770393016970178</v>
      </c>
      <c r="G191">
        <f t="shared" ca="1" si="12"/>
        <v>189</v>
      </c>
      <c r="H191">
        <f t="shared" ca="1" si="13"/>
        <v>524.86042802073632</v>
      </c>
      <c r="I191">
        <f t="shared" ca="1" si="14"/>
        <v>27026.967814313412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1537</v>
      </c>
      <c r="B193" s="66">
        <v>1537</v>
      </c>
      <c r="D193">
        <f t="shared" si="10"/>
        <v>1.7025566041915903</v>
      </c>
      <c r="E193">
        <f t="shared" si="11"/>
        <v>1.7025566041915903</v>
      </c>
      <c r="G193">
        <f t="shared" ca="1" si="12"/>
        <v>191</v>
      </c>
      <c r="H193">
        <f t="shared" ca="1" si="13"/>
        <v>325.18831140059376</v>
      </c>
      <c r="I193">
        <f t="shared" ca="1" si="14"/>
        <v>17248.439813590227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1050</v>
      </c>
      <c r="B196" s="66">
        <v>1050</v>
      </c>
      <c r="D196">
        <f t="shared" si="15"/>
        <v>1.1630998271965971</v>
      </c>
      <c r="E196">
        <f t="shared" si="16"/>
        <v>1.1630998271965971</v>
      </c>
      <c r="G196">
        <f t="shared" ca="1" si="17"/>
        <v>194</v>
      </c>
      <c r="H196">
        <f t="shared" ca="1" si="18"/>
        <v>225.64136647613984</v>
      </c>
      <c r="I196">
        <f t="shared" ca="1" si="19"/>
        <v>12496.134887564449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762</v>
      </c>
      <c r="B198" s="66">
        <v>762</v>
      </c>
      <c r="D198">
        <f t="shared" si="15"/>
        <v>0.84407816030838756</v>
      </c>
      <c r="E198">
        <f t="shared" si="16"/>
        <v>0.84407816030838756</v>
      </c>
      <c r="G198">
        <f t="shared" ca="1" si="17"/>
        <v>196</v>
      </c>
      <c r="H198">
        <f t="shared" ca="1" si="18"/>
        <v>165.43931942044395</v>
      </c>
      <c r="I198">
        <f t="shared" ca="1" si="19"/>
        <v>9421.9628205830995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464</v>
      </c>
      <c r="B201" s="66">
        <v>464</v>
      </c>
      <c r="D201">
        <f t="shared" si="15"/>
        <v>0.51397935220878199</v>
      </c>
      <c r="E201">
        <f t="shared" si="16"/>
        <v>0.51397935220878199</v>
      </c>
      <c r="G201">
        <f t="shared" ca="1" si="17"/>
        <v>199</v>
      </c>
      <c r="H201">
        <f t="shared" ca="1" si="18"/>
        <v>102.28189108954761</v>
      </c>
      <c r="I201">
        <f t="shared" ca="1" si="19"/>
        <v>6067.7029231048227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111.05843874473143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2.1442597172556788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0.62357711872209809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820</v>
      </c>
      <c r="B8" s="66">
        <v>820</v>
      </c>
      <c r="D8">
        <f t="shared" si="0"/>
        <v>0.6169588443307501</v>
      </c>
      <c r="E8">
        <f t="shared" si="1"/>
        <v>0.6169588443307501</v>
      </c>
      <c r="G8">
        <f t="shared" ca="1" si="2"/>
        <v>6</v>
      </c>
      <c r="H8">
        <f t="shared" ca="1" si="3"/>
        <v>3.7017530659845006</v>
      </c>
      <c r="I8">
        <f t="shared" ca="1" si="4"/>
        <v>6809.5447688014438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633</v>
      </c>
      <c r="B10" s="66">
        <v>633</v>
      </c>
      <c r="D10">
        <f t="shared" si="0"/>
        <v>0.47626213226995712</v>
      </c>
      <c r="E10">
        <f t="shared" si="1"/>
        <v>0.47626213226995712</v>
      </c>
      <c r="G10">
        <f t="shared" ca="1" si="2"/>
        <v>8</v>
      </c>
      <c r="H10">
        <f t="shared" ca="1" si="3"/>
        <v>3.8100970581596569</v>
      </c>
      <c r="I10">
        <f t="shared" ca="1" si="4"/>
        <v>5058.4000129301694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1428</v>
      </c>
      <c r="B13" s="66">
        <v>1428</v>
      </c>
      <c r="D13">
        <f t="shared" si="0"/>
        <v>1.0744112557369649</v>
      </c>
      <c r="E13">
        <f t="shared" si="1"/>
        <v>1.0744112557369649</v>
      </c>
      <c r="G13">
        <f t="shared" ca="1" si="2"/>
        <v>11</v>
      </c>
      <c r="H13">
        <f t="shared" ca="1" si="3"/>
        <v>11.818523813106614</v>
      </c>
      <c r="I13">
        <f t="shared" ca="1" si="4"/>
        <v>10756.673675599557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2212</v>
      </c>
      <c r="B15" s="66">
        <v>2212</v>
      </c>
      <c r="D15">
        <f t="shared" si="0"/>
        <v>1.6642841020239261</v>
      </c>
      <c r="E15">
        <f t="shared" si="1"/>
        <v>1.6642841020239261</v>
      </c>
      <c r="G15">
        <f t="shared" ca="1" si="2"/>
        <v>13</v>
      </c>
      <c r="H15">
        <f t="shared" ca="1" si="3"/>
        <v>21.635693326311038</v>
      </c>
      <c r="I15">
        <f t="shared" ca="1" si="4"/>
        <v>16002.852899577154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3256</v>
      </c>
      <c r="B18" s="66">
        <v>3256</v>
      </c>
      <c r="D18">
        <f t="shared" si="0"/>
        <v>2.449778045293808</v>
      </c>
      <c r="E18">
        <f t="shared" si="1"/>
        <v>2.449778045293808</v>
      </c>
      <c r="G18">
        <f t="shared" ca="1" si="2"/>
        <v>16</v>
      </c>
      <c r="H18">
        <f t="shared" ca="1" si="3"/>
        <v>39.196448724700929</v>
      </c>
      <c r="I18">
        <f t="shared" ca="1" si="4"/>
        <v>22136.45599621064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6886</v>
      </c>
      <c r="B21" s="66">
        <v>6886</v>
      </c>
      <c r="D21">
        <f t="shared" si="0"/>
        <v>5.1809495147092015</v>
      </c>
      <c r="E21">
        <f t="shared" si="1"/>
        <v>5.1809495147092015</v>
      </c>
      <c r="G21">
        <f t="shared" ca="1" si="2"/>
        <v>19</v>
      </c>
      <c r="H21">
        <f t="shared" ca="1" si="3"/>
        <v>98.438040779474832</v>
      </c>
      <c r="I21">
        <f t="shared" ca="1" si="4"/>
        <v>43907.283732144228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7363</v>
      </c>
      <c r="B23" s="66">
        <v>7363</v>
      </c>
      <c r="D23">
        <f t="shared" si="0"/>
        <v>5.5398389887894064</v>
      </c>
      <c r="E23">
        <f t="shared" si="1"/>
        <v>5.5398389887894064</v>
      </c>
      <c r="G23">
        <f t="shared" ca="1" si="2"/>
        <v>21</v>
      </c>
      <c r="H23">
        <f t="shared" ca="1" si="3"/>
        <v>116.33661876457754</v>
      </c>
      <c r="I23">
        <f t="shared" ca="1" si="4"/>
        <v>44930.988150799109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9879</v>
      </c>
      <c r="B26" s="66">
        <v>9879</v>
      </c>
      <c r="D26">
        <f t="shared" si="0"/>
        <v>7.4328492965164399</v>
      </c>
      <c r="E26">
        <f t="shared" si="1"/>
        <v>7.4328492965164399</v>
      </c>
      <c r="G26">
        <f t="shared" ca="1" si="2"/>
        <v>24</v>
      </c>
      <c r="H26">
        <f t="shared" ca="1" si="3"/>
        <v>178.38838311639455</v>
      </c>
      <c r="I26">
        <f t="shared" ca="1" si="4"/>
        <v>56334.841459743038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8204</v>
      </c>
      <c r="B28" s="66">
        <v>8204</v>
      </c>
      <c r="D28">
        <f t="shared" si="0"/>
        <v>6.1725979986457</v>
      </c>
      <c r="E28">
        <f t="shared" si="1"/>
        <v>6.1725979986457</v>
      </c>
      <c r="G28">
        <f t="shared" ca="1" si="2"/>
        <v>26</v>
      </c>
      <c r="H28">
        <f t="shared" ca="1" si="3"/>
        <v>160.48754796478821</v>
      </c>
      <c r="I28">
        <f t="shared" ca="1" si="4"/>
        <v>44658.363829565002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13296</v>
      </c>
      <c r="B31" s="66">
        <v>13296</v>
      </c>
      <c r="D31">
        <f t="shared" si="0"/>
        <v>10.003761944172748</v>
      </c>
      <c r="E31">
        <f t="shared" si="1"/>
        <v>10.003761944172748</v>
      </c>
      <c r="G31">
        <f t="shared" ca="1" si="2"/>
        <v>29</v>
      </c>
      <c r="H31">
        <f t="shared" ca="1" si="3"/>
        <v>290.10909638100969</v>
      </c>
      <c r="I31">
        <f t="shared" ca="1" si="4"/>
        <v>67361.20507199374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12289</v>
      </c>
      <c r="B33" s="66">
        <v>12289</v>
      </c>
      <c r="D33">
        <f t="shared" si="0"/>
        <v>9.2461063877812055</v>
      </c>
      <c r="E33">
        <f t="shared" si="1"/>
        <v>9.2461063877812055</v>
      </c>
      <c r="G33">
        <f t="shared" ca="1" si="2"/>
        <v>31</v>
      </c>
      <c r="H33">
        <f t="shared" ca="1" si="3"/>
        <v>286.62929802121738</v>
      </c>
      <c r="I33">
        <f t="shared" ca="1" si="4"/>
        <v>59261.565394209218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12840</v>
      </c>
      <c r="B36" s="66">
        <v>12840</v>
      </c>
      <c r="D36">
        <f t="shared" si="0"/>
        <v>9.6606726356180879</v>
      </c>
      <c r="E36">
        <f t="shared" si="1"/>
        <v>9.6606726356180879</v>
      </c>
      <c r="G36">
        <f t="shared" ca="1" si="2"/>
        <v>34</v>
      </c>
      <c r="H36">
        <f t="shared" ca="1" si="3"/>
        <v>328.46286961101498</v>
      </c>
      <c r="I36">
        <f t="shared" ca="1" si="4"/>
        <v>57365.102916257441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11333</v>
      </c>
      <c r="B39" s="66">
        <v>11333</v>
      </c>
      <c r="D39">
        <f t="shared" si="0"/>
        <v>8.5268226619516962</v>
      </c>
      <c r="E39">
        <f t="shared" si="1"/>
        <v>8.5268226619516962</v>
      </c>
      <c r="G39">
        <f t="shared" ca="1" si="2"/>
        <v>37</v>
      </c>
      <c r="H39">
        <f t="shared" ca="1" si="3"/>
        <v>315.49243849221278</v>
      </c>
      <c r="I39">
        <f t="shared" ca="1" si="4"/>
        <v>46766.657944998718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9738</v>
      </c>
      <c r="B41" s="66">
        <v>9738</v>
      </c>
      <c r="D41">
        <f t="shared" si="0"/>
        <v>7.3267624708449324</v>
      </c>
      <c r="E41">
        <f t="shared" si="1"/>
        <v>7.3267624708449324</v>
      </c>
      <c r="G41">
        <f t="shared" ca="1" si="2"/>
        <v>39</v>
      </c>
      <c r="H41">
        <f t="shared" ca="1" si="3"/>
        <v>285.74373636295235</v>
      </c>
      <c r="I41">
        <f t="shared" ca="1" si="4"/>
        <v>38043.61768984134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12627</v>
      </c>
      <c r="B44" s="66">
        <v>12627</v>
      </c>
      <c r="D44">
        <f t="shared" si="0"/>
        <v>9.5004138138590015</v>
      </c>
      <c r="E44">
        <f t="shared" si="1"/>
        <v>9.5004138138590015</v>
      </c>
      <c r="G44">
        <f t="shared" ca="1" si="2"/>
        <v>42</v>
      </c>
      <c r="H44">
        <f t="shared" ca="1" si="3"/>
        <v>399.01738018207806</v>
      </c>
      <c r="I44">
        <f t="shared" ca="1" si="4"/>
        <v>45308.11914408546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16202</v>
      </c>
      <c r="B46" s="66">
        <v>16202</v>
      </c>
      <c r="D46">
        <f t="shared" si="0"/>
        <v>12.190203897374163</v>
      </c>
      <c r="E46">
        <f t="shared" si="1"/>
        <v>12.190203897374163</v>
      </c>
      <c r="G46">
        <f t="shared" ca="1" si="2"/>
        <v>44</v>
      </c>
      <c r="H46">
        <f t="shared" ca="1" si="3"/>
        <v>536.36897148446315</v>
      </c>
      <c r="I46">
        <f t="shared" ca="1" si="4"/>
        <v>54817.325874564973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18850</v>
      </c>
      <c r="B49" s="66">
        <v>18850</v>
      </c>
      <c r="D49">
        <f t="shared" si="0"/>
        <v>14.182529531261755</v>
      </c>
      <c r="E49">
        <f t="shared" si="1"/>
        <v>14.182529531261755</v>
      </c>
      <c r="G49">
        <f t="shared" ca="1" si="2"/>
        <v>47</v>
      </c>
      <c r="H49">
        <f t="shared" ca="1" si="3"/>
        <v>666.57888796930251</v>
      </c>
      <c r="I49">
        <f t="shared" ca="1" si="4"/>
        <v>58197.776975152956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19616</v>
      </c>
      <c r="B51" s="66">
        <v>19616</v>
      </c>
      <c r="D51">
        <f t="shared" si="0"/>
        <v>14.758859378526823</v>
      </c>
      <c r="E51">
        <f t="shared" si="1"/>
        <v>14.758859378526823</v>
      </c>
      <c r="G51">
        <f t="shared" ca="1" si="2"/>
        <v>49</v>
      </c>
      <c r="H51">
        <f t="shared" ca="1" si="3"/>
        <v>723.18410954781439</v>
      </c>
      <c r="I51">
        <f t="shared" ca="1" si="4"/>
        <v>56840.054516597076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21237</v>
      </c>
      <c r="B54" s="66">
        <v>21237</v>
      </c>
      <c r="D54">
        <f t="shared" si="0"/>
        <v>15.978481679331878</v>
      </c>
      <c r="E54">
        <f t="shared" si="1"/>
        <v>15.978481679331878</v>
      </c>
      <c r="G54">
        <f t="shared" ca="1" si="2"/>
        <v>52</v>
      </c>
      <c r="H54">
        <f t="shared" ca="1" si="3"/>
        <v>830.88104732525767</v>
      </c>
      <c r="I54">
        <f t="shared" ca="1" si="4"/>
        <v>55731.333258279919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23461</v>
      </c>
      <c r="B57" s="66">
        <v>23461</v>
      </c>
      <c r="D57">
        <f t="shared" si="0"/>
        <v>17.651794447370403</v>
      </c>
      <c r="E57">
        <f t="shared" si="1"/>
        <v>17.651794447370403</v>
      </c>
      <c r="G57">
        <f t="shared" ca="1" si="2"/>
        <v>55</v>
      </c>
      <c r="H57">
        <f t="shared" ca="1" si="3"/>
        <v>970.8486946053722</v>
      </c>
      <c r="I57">
        <f t="shared" ca="1" si="4"/>
        <v>55471.621124858611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28597</v>
      </c>
      <c r="B59" s="66">
        <v>28597</v>
      </c>
      <c r="D59">
        <f t="shared" si="0"/>
        <v>21.516063501617637</v>
      </c>
      <c r="E59">
        <f t="shared" si="1"/>
        <v>21.516063501617637</v>
      </c>
      <c r="G59">
        <f t="shared" ca="1" si="2"/>
        <v>57</v>
      </c>
      <c r="H59">
        <f t="shared" ca="1" si="3"/>
        <v>1226.4156195922053</v>
      </c>
      <c r="I59">
        <f t="shared" ca="1" si="4"/>
        <v>62876.710798143737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31991</v>
      </c>
      <c r="B62" s="66">
        <v>31991</v>
      </c>
      <c r="D62">
        <f t="shared" si="0"/>
        <v>24.069671206079303</v>
      </c>
      <c r="E62">
        <f t="shared" si="1"/>
        <v>24.069671206079303</v>
      </c>
      <c r="G62">
        <f t="shared" ca="1" si="2"/>
        <v>60</v>
      </c>
      <c r="H62">
        <f t="shared" ca="1" si="3"/>
        <v>1444.1802723647581</v>
      </c>
      <c r="I62">
        <f t="shared" ca="1" si="4"/>
        <v>62748.770346911675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34868</v>
      </c>
      <c r="B64" s="66">
        <v>34868</v>
      </c>
      <c r="D64">
        <f t="shared" si="0"/>
        <v>26.234293883078774</v>
      </c>
      <c r="E64">
        <f t="shared" si="1"/>
        <v>26.234293883078774</v>
      </c>
      <c r="G64">
        <f t="shared" ca="1" si="2"/>
        <v>62</v>
      </c>
      <c r="H64">
        <f t="shared" ca="1" si="3"/>
        <v>1626.526220750884</v>
      </c>
      <c r="I64">
        <f t="shared" ca="1" si="4"/>
        <v>63138.872927602511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37967</v>
      </c>
      <c r="B67" s="66">
        <v>37967</v>
      </c>
      <c r="D67">
        <f t="shared" ref="D67:D130" si="5">IFERROR(100*A67/MAX(A$2:A$257), 0 )</f>
        <v>28.565946881348282</v>
      </c>
      <c r="E67">
        <f t="shared" ref="E67:E130" si="6">IFERROR(100*B67/MAX(B$2:B$257), 0 )</f>
        <v>28.565946881348282</v>
      </c>
      <c r="G67">
        <f t="shared" ref="G67:G130" ca="1" si="7">CELL("row",D67)-2</f>
        <v>65</v>
      </c>
      <c r="H67">
        <f t="shared" ref="H67:H130" ca="1" si="8">D67*G67</f>
        <v>1856.7865472876383</v>
      </c>
      <c r="I67">
        <f t="shared" ref="I67:I130" ca="1" si="9">D67*((G67-$L$1)^2)</f>
        <v>60599.222099282131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44435</v>
      </c>
      <c r="B69" s="66">
        <v>44435</v>
      </c>
      <c r="D69">
        <f t="shared" si="5"/>
        <v>33.432397863215712</v>
      </c>
      <c r="E69">
        <f t="shared" si="6"/>
        <v>33.432397863215712</v>
      </c>
      <c r="G69">
        <f t="shared" ca="1" si="7"/>
        <v>67</v>
      </c>
      <c r="H69">
        <f t="shared" ca="1" si="8"/>
        <v>2239.9706568354527</v>
      </c>
      <c r="I69">
        <f t="shared" ca="1" si="9"/>
        <v>64897.166205804082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45222</v>
      </c>
      <c r="B72" s="66">
        <v>45222</v>
      </c>
      <c r="D72">
        <f t="shared" si="5"/>
        <v>34.024527876006317</v>
      </c>
      <c r="E72">
        <f t="shared" si="6"/>
        <v>34.024527876006317</v>
      </c>
      <c r="G72">
        <f t="shared" ca="1" si="7"/>
        <v>70</v>
      </c>
      <c r="H72">
        <f t="shared" ca="1" si="8"/>
        <v>2381.7169513204421</v>
      </c>
      <c r="I72">
        <f t="shared" ca="1" si="9"/>
        <v>57358.392313616147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52583</v>
      </c>
      <c r="B75" s="66">
        <v>52583</v>
      </c>
      <c r="D75">
        <f t="shared" si="5"/>
        <v>39.562862087126625</v>
      </c>
      <c r="E75">
        <f t="shared" si="6"/>
        <v>39.562862087126625</v>
      </c>
      <c r="G75">
        <f t="shared" ca="1" si="7"/>
        <v>73</v>
      </c>
      <c r="H75">
        <f t="shared" ca="1" si="8"/>
        <v>2888.0889323602437</v>
      </c>
      <c r="I75">
        <f t="shared" ca="1" si="9"/>
        <v>57304.620268297265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62582</v>
      </c>
      <c r="B77" s="66">
        <v>62582</v>
      </c>
      <c r="D77">
        <f t="shared" si="5"/>
        <v>47.085998043789033</v>
      </c>
      <c r="E77">
        <f t="shared" si="6"/>
        <v>47.085998043789033</v>
      </c>
      <c r="G77">
        <f t="shared" ca="1" si="7"/>
        <v>75</v>
      </c>
      <c r="H77">
        <f t="shared" ca="1" si="8"/>
        <v>3531.4498532841776</v>
      </c>
      <c r="I77">
        <f t="shared" ca="1" si="9"/>
        <v>61221.732824172621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72662</v>
      </c>
      <c r="B80" s="66">
        <v>72662</v>
      </c>
      <c r="D80">
        <f t="shared" si="5"/>
        <v>54.670077496049956</v>
      </c>
      <c r="E80">
        <f t="shared" si="6"/>
        <v>54.670077496049956</v>
      </c>
      <c r="G80">
        <f t="shared" ca="1" si="7"/>
        <v>78</v>
      </c>
      <c r="H80">
        <f t="shared" ca="1" si="8"/>
        <v>4264.2660446918962</v>
      </c>
      <c r="I80">
        <f t="shared" ca="1" si="9"/>
        <v>59746.761242676897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84310</v>
      </c>
      <c r="B82" s="66">
        <v>84310</v>
      </c>
      <c r="D82">
        <f t="shared" si="5"/>
        <v>63.43390264088481</v>
      </c>
      <c r="E82">
        <f t="shared" si="6"/>
        <v>63.43390264088481</v>
      </c>
      <c r="G82">
        <f t="shared" ca="1" si="7"/>
        <v>80</v>
      </c>
      <c r="H82">
        <f t="shared" ca="1" si="8"/>
        <v>5074.7122112707848</v>
      </c>
      <c r="I82">
        <f t="shared" ca="1" si="9"/>
        <v>61190.030924091778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92432</v>
      </c>
      <c r="B85" s="66">
        <v>92432</v>
      </c>
      <c r="D85">
        <f t="shared" si="5"/>
        <v>69.544804755097431</v>
      </c>
      <c r="E85">
        <f t="shared" si="6"/>
        <v>69.544804755097431</v>
      </c>
      <c r="G85">
        <f t="shared" ca="1" si="7"/>
        <v>83</v>
      </c>
      <c r="H85">
        <f t="shared" ca="1" si="8"/>
        <v>5772.2187946730864</v>
      </c>
      <c r="I85">
        <f t="shared" ca="1" si="9"/>
        <v>54750.95465072598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103874</v>
      </c>
      <c r="B88" s="66">
        <v>103874</v>
      </c>
      <c r="D88">
        <f t="shared" si="5"/>
        <v>78.153637800015048</v>
      </c>
      <c r="E88">
        <f t="shared" si="6"/>
        <v>78.153637800015048</v>
      </c>
      <c r="G88">
        <f t="shared" ca="1" si="7"/>
        <v>86</v>
      </c>
      <c r="H88">
        <f t="shared" ca="1" si="8"/>
        <v>6721.2128508012938</v>
      </c>
      <c r="I88">
        <f t="shared" ca="1" si="9"/>
        <v>49074.650550934333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113331</v>
      </c>
      <c r="B90" s="66">
        <v>113331</v>
      </c>
      <c r="D90">
        <f t="shared" si="5"/>
        <v>85.268979008351522</v>
      </c>
      <c r="E90">
        <f t="shared" si="6"/>
        <v>85.268979008351522</v>
      </c>
      <c r="G90">
        <f t="shared" ca="1" si="7"/>
        <v>88</v>
      </c>
      <c r="H90">
        <f t="shared" ca="1" si="8"/>
        <v>7503.6701527349342</v>
      </c>
      <c r="I90">
        <f t="shared" ca="1" si="9"/>
        <v>45336.799652887763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111498</v>
      </c>
      <c r="B93" s="66">
        <v>111498</v>
      </c>
      <c r="D93">
        <f t="shared" si="5"/>
        <v>83.889850274621921</v>
      </c>
      <c r="E93">
        <f t="shared" si="6"/>
        <v>83.889850274621921</v>
      </c>
      <c r="G93">
        <f t="shared" ca="1" si="7"/>
        <v>91</v>
      </c>
      <c r="H93">
        <f t="shared" ca="1" si="8"/>
        <v>7633.9763749905951</v>
      </c>
      <c r="I93">
        <f t="shared" ca="1" si="9"/>
        <v>33752.323302806566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115702</v>
      </c>
      <c r="B95" s="66">
        <v>115702</v>
      </c>
      <c r="D95">
        <f t="shared" si="5"/>
        <v>87.05289293506884</v>
      </c>
      <c r="E95">
        <f t="shared" si="6"/>
        <v>87.05289293506884</v>
      </c>
      <c r="G95">
        <f t="shared" ca="1" si="7"/>
        <v>93</v>
      </c>
      <c r="H95">
        <f t="shared" ca="1" si="8"/>
        <v>8095.9190429614018</v>
      </c>
      <c r="I95">
        <f t="shared" ca="1" si="9"/>
        <v>28388.576028536489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118554</v>
      </c>
      <c r="B98" s="66">
        <v>118554</v>
      </c>
      <c r="D98">
        <f t="shared" si="5"/>
        <v>89.198705891204568</v>
      </c>
      <c r="E98">
        <f t="shared" si="6"/>
        <v>89.198705891204568</v>
      </c>
      <c r="G98">
        <f t="shared" ca="1" si="7"/>
        <v>96</v>
      </c>
      <c r="H98">
        <f t="shared" ca="1" si="8"/>
        <v>8563.075765555639</v>
      </c>
      <c r="I98">
        <f t="shared" ca="1" si="9"/>
        <v>20226.393258970253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125052</v>
      </c>
      <c r="B100" s="66">
        <v>125052</v>
      </c>
      <c r="D100">
        <f t="shared" si="5"/>
        <v>94.087728538108493</v>
      </c>
      <c r="E100">
        <f t="shared" si="6"/>
        <v>94.087728538108493</v>
      </c>
      <c r="G100">
        <f t="shared" ca="1" si="7"/>
        <v>98</v>
      </c>
      <c r="H100">
        <f t="shared" ca="1" si="8"/>
        <v>9220.5973967346326</v>
      </c>
      <c r="I100">
        <f t="shared" ca="1" si="9"/>
        <v>16044.10502821855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132517</v>
      </c>
      <c r="B103" s="66">
        <v>132517</v>
      </c>
      <c r="D103">
        <f t="shared" si="5"/>
        <v>99.704311188021975</v>
      </c>
      <c r="E103">
        <f t="shared" si="6"/>
        <v>99.704311188021975</v>
      </c>
      <c r="G103">
        <f t="shared" ca="1" si="7"/>
        <v>101</v>
      </c>
      <c r="H103">
        <f t="shared" ca="1" si="8"/>
        <v>10070.13542999022</v>
      </c>
      <c r="I103">
        <f t="shared" ca="1" si="9"/>
        <v>10087.303513490595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129120</v>
      </c>
      <c r="B106" s="66">
        <v>129120</v>
      </c>
      <c r="D106">
        <f t="shared" si="5"/>
        <v>97.148446317056653</v>
      </c>
      <c r="E106">
        <f t="shared" si="6"/>
        <v>97.148446317056653</v>
      </c>
      <c r="G106">
        <f t="shared" ca="1" si="7"/>
        <v>104</v>
      </c>
      <c r="H106">
        <f t="shared" ca="1" si="8"/>
        <v>10103.438416973891</v>
      </c>
      <c r="I106">
        <f t="shared" ca="1" si="9"/>
        <v>4840.0869054960567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130584</v>
      </c>
      <c r="B108" s="66">
        <v>130584</v>
      </c>
      <c r="D108">
        <f t="shared" si="5"/>
        <v>98.249943570837402</v>
      </c>
      <c r="E108">
        <f t="shared" si="6"/>
        <v>98.249943570837402</v>
      </c>
      <c r="G108">
        <f t="shared" ca="1" si="7"/>
        <v>106</v>
      </c>
      <c r="H108">
        <f t="shared" ca="1" si="8"/>
        <v>10414.494018508765</v>
      </c>
      <c r="I108">
        <f t="shared" ca="1" si="9"/>
        <v>2514.000155086891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128663</v>
      </c>
      <c r="B111" s="66">
        <v>128663</v>
      </c>
      <c r="D111">
        <f t="shared" si="5"/>
        <v>96.804604619667444</v>
      </c>
      <c r="E111">
        <f t="shared" si="6"/>
        <v>96.804604619667444</v>
      </c>
      <c r="G111">
        <f t="shared" ca="1" si="7"/>
        <v>109</v>
      </c>
      <c r="H111">
        <f t="shared" ca="1" si="8"/>
        <v>10551.701903543752</v>
      </c>
      <c r="I111">
        <f t="shared" ca="1" si="9"/>
        <v>410.17757292717408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127944</v>
      </c>
      <c r="B113" s="66">
        <v>127944</v>
      </c>
      <c r="D113">
        <f t="shared" si="5"/>
        <v>96.263637047626219</v>
      </c>
      <c r="E113">
        <f t="shared" si="6"/>
        <v>96.263637047626219</v>
      </c>
      <c r="G113">
        <f t="shared" ca="1" si="7"/>
        <v>111</v>
      </c>
      <c r="H113">
        <f t="shared" ca="1" si="8"/>
        <v>10685.263712286511</v>
      </c>
      <c r="I113">
        <f t="shared" ca="1" si="9"/>
        <v>0.328748684459369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132910</v>
      </c>
      <c r="B116" s="66">
        <v>132910</v>
      </c>
      <c r="D116">
        <f t="shared" si="5"/>
        <v>100</v>
      </c>
      <c r="E116">
        <f t="shared" si="6"/>
        <v>100</v>
      </c>
      <c r="G116">
        <f t="shared" ca="1" si="7"/>
        <v>114</v>
      </c>
      <c r="H116">
        <f t="shared" ca="1" si="8"/>
        <v>11400</v>
      </c>
      <c r="I116">
        <f t="shared" ca="1" si="9"/>
        <v>865.278261849719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127751</v>
      </c>
      <c r="B118" s="66">
        <v>127751</v>
      </c>
      <c r="D118">
        <f t="shared" si="5"/>
        <v>96.118426002558124</v>
      </c>
      <c r="E118">
        <f t="shared" si="6"/>
        <v>96.118426002558124</v>
      </c>
      <c r="G118">
        <f t="shared" ca="1" si="7"/>
        <v>116</v>
      </c>
      <c r="H118">
        <f t="shared" ca="1" si="8"/>
        <v>11149.737416296743</v>
      </c>
      <c r="I118">
        <f t="shared" ca="1" si="9"/>
        <v>2347.1185012285705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119540</v>
      </c>
      <c r="B121" s="66">
        <v>119540</v>
      </c>
      <c r="D121">
        <f t="shared" si="5"/>
        <v>89.940561282070576</v>
      </c>
      <c r="E121">
        <f t="shared" si="6"/>
        <v>89.940561282070576</v>
      </c>
      <c r="G121">
        <f t="shared" ca="1" si="7"/>
        <v>119</v>
      </c>
      <c r="H121">
        <f t="shared" ca="1" si="8"/>
        <v>10702.926792566399</v>
      </c>
      <c r="I121">
        <f t="shared" ca="1" si="9"/>
        <v>5672.4068608556163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106502</v>
      </c>
      <c r="B124" s="66">
        <v>106502</v>
      </c>
      <c r="D124">
        <f t="shared" si="5"/>
        <v>80.130915657211645</v>
      </c>
      <c r="E124">
        <f t="shared" si="6"/>
        <v>80.130915657211645</v>
      </c>
      <c r="G124">
        <f t="shared" ca="1" si="7"/>
        <v>122</v>
      </c>
      <c r="H124">
        <f t="shared" ca="1" si="8"/>
        <v>9775.9717101798215</v>
      </c>
      <c r="I124">
        <f t="shared" ca="1" si="9"/>
        <v>9593.0939458076846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109300</v>
      </c>
      <c r="B126" s="66">
        <v>109300</v>
      </c>
      <c r="D126">
        <f t="shared" si="5"/>
        <v>82.236099616281692</v>
      </c>
      <c r="E126">
        <f t="shared" si="6"/>
        <v>82.236099616281692</v>
      </c>
      <c r="G126">
        <f t="shared" ca="1" si="7"/>
        <v>124</v>
      </c>
      <c r="H126">
        <f t="shared" ca="1" si="8"/>
        <v>10197.27635241893</v>
      </c>
      <c r="I126">
        <f t="shared" ca="1" si="9"/>
        <v>13773.231543314145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110235</v>
      </c>
      <c r="B129" s="66">
        <v>110235</v>
      </c>
      <c r="D129">
        <f t="shared" si="5"/>
        <v>82.939583176585657</v>
      </c>
      <c r="E129">
        <f t="shared" si="6"/>
        <v>82.939583176585657</v>
      </c>
      <c r="G129">
        <f t="shared" ca="1" si="7"/>
        <v>127</v>
      </c>
      <c r="H129">
        <f t="shared" ca="1" si="8"/>
        <v>10533.327063426379</v>
      </c>
      <c r="I129">
        <f t="shared" ca="1" si="9"/>
        <v>21077.716214948334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112475</v>
      </c>
      <c r="B131" s="66">
        <v>112475</v>
      </c>
      <c r="D131">
        <f t="shared" ref="D131:D194" si="10">IFERROR(100*A131/MAX(A$2:A$257), 0 )</f>
        <v>84.624934165976981</v>
      </c>
      <c r="E131">
        <f t="shared" ref="E131:E194" si="11">IFERROR(100*B131/MAX(B$2:B$257), 0 )</f>
        <v>84.624934165976981</v>
      </c>
      <c r="G131">
        <f t="shared" ref="G131:G194" ca="1" si="12">CELL("row",D131)-2</f>
        <v>129</v>
      </c>
      <c r="H131">
        <f t="shared" ref="H131:H194" ca="1" si="13">D131*G131</f>
        <v>10916.61650741103</v>
      </c>
      <c r="I131">
        <f t="shared" ref="I131:I194" ca="1" si="14">D131*((G131-$L$1)^2)</f>
        <v>27240.734173956389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111083</v>
      </c>
      <c r="B134" s="66">
        <v>111083</v>
      </c>
      <c r="D134">
        <f t="shared" si="10"/>
        <v>83.577608908283807</v>
      </c>
      <c r="E134">
        <f t="shared" si="11"/>
        <v>83.577608908283807</v>
      </c>
      <c r="G134">
        <f t="shared" ca="1" si="12"/>
        <v>132</v>
      </c>
      <c r="H134">
        <f t="shared" ca="1" si="13"/>
        <v>11032.244375893462</v>
      </c>
      <c r="I134">
        <f t="shared" ca="1" si="14"/>
        <v>36652.875790154591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104643</v>
      </c>
      <c r="B136" s="66">
        <v>104643</v>
      </c>
      <c r="D136">
        <f t="shared" si="10"/>
        <v>78.732224813783759</v>
      </c>
      <c r="E136">
        <f t="shared" si="11"/>
        <v>78.732224813783759</v>
      </c>
      <c r="G136">
        <f t="shared" ca="1" si="12"/>
        <v>134</v>
      </c>
      <c r="H136">
        <f t="shared" ca="1" si="13"/>
        <v>10550.118125047024</v>
      </c>
      <c r="I136">
        <f t="shared" ca="1" si="14"/>
        <v>41437.969234030657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98919</v>
      </c>
      <c r="B139" s="66">
        <v>98919</v>
      </c>
      <c r="D139">
        <f t="shared" si="10"/>
        <v>74.425551124821311</v>
      </c>
      <c r="E139">
        <f t="shared" si="11"/>
        <v>74.425551124821311</v>
      </c>
      <c r="G139">
        <f t="shared" ca="1" si="12"/>
        <v>137</v>
      </c>
      <c r="H139">
        <f t="shared" ca="1" si="13"/>
        <v>10196.30050410052</v>
      </c>
      <c r="I139">
        <f t="shared" ca="1" si="14"/>
        <v>50085.761269351475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93704</v>
      </c>
      <c r="B142" s="66">
        <v>93704</v>
      </c>
      <c r="D142">
        <f t="shared" si="10"/>
        <v>70.501843352644642</v>
      </c>
      <c r="E142">
        <f t="shared" si="11"/>
        <v>70.501843352644642</v>
      </c>
      <c r="G142">
        <f t="shared" ca="1" si="12"/>
        <v>140</v>
      </c>
      <c r="H142">
        <f t="shared" ca="1" si="13"/>
        <v>9870.2580693702494</v>
      </c>
      <c r="I142">
        <f t="shared" ca="1" si="14"/>
        <v>59053.328754341521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92904</v>
      </c>
      <c r="B144" s="66">
        <v>92904</v>
      </c>
      <c r="D144">
        <f t="shared" si="10"/>
        <v>69.899932285004894</v>
      </c>
      <c r="E144">
        <f t="shared" si="11"/>
        <v>69.899932285004894</v>
      </c>
      <c r="G144">
        <f t="shared" ca="1" si="12"/>
        <v>142</v>
      </c>
      <c r="H144">
        <f t="shared" ca="1" si="13"/>
        <v>9925.7903844706943</v>
      </c>
      <c r="I144">
        <f t="shared" ca="1" si="14"/>
        <v>66920.8120536598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92084</v>
      </c>
      <c r="B147" s="66">
        <v>92084</v>
      </c>
      <c r="D147">
        <f t="shared" si="10"/>
        <v>69.282973440674141</v>
      </c>
      <c r="E147">
        <f t="shared" si="11"/>
        <v>69.282973440674141</v>
      </c>
      <c r="G147">
        <f t="shared" ca="1" si="12"/>
        <v>145</v>
      </c>
      <c r="H147">
        <f t="shared" ca="1" si="13"/>
        <v>10046.03114889775</v>
      </c>
      <c r="I147">
        <f t="shared" ca="1" si="14"/>
        <v>79816.034824852191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78845</v>
      </c>
      <c r="B149" s="66">
        <v>78845</v>
      </c>
      <c r="D149">
        <f t="shared" si="10"/>
        <v>59.322097660070725</v>
      </c>
      <c r="E149">
        <f t="shared" si="11"/>
        <v>59.322097660070725</v>
      </c>
      <c r="G149">
        <f t="shared" ca="1" si="12"/>
        <v>147</v>
      </c>
      <c r="H149">
        <f t="shared" ca="1" si="13"/>
        <v>8720.3483560303957</v>
      </c>
      <c r="I149">
        <f t="shared" ca="1" si="14"/>
        <v>76632.038115178933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72765</v>
      </c>
      <c r="B152" s="66">
        <v>72765</v>
      </c>
      <c r="D152">
        <f t="shared" si="10"/>
        <v>54.747573546008574</v>
      </c>
      <c r="E152">
        <f t="shared" si="11"/>
        <v>54.747573546008574</v>
      </c>
      <c r="G152">
        <f t="shared" ca="1" si="12"/>
        <v>150</v>
      </c>
      <c r="H152">
        <f t="shared" ca="1" si="13"/>
        <v>8212.1360319012856</v>
      </c>
      <c r="I152">
        <f t="shared" ca="1" si="14"/>
        <v>83021.69473214008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59154</v>
      </c>
      <c r="B154" s="66">
        <v>59154</v>
      </c>
      <c r="D154">
        <f t="shared" si="10"/>
        <v>44.506809118952674</v>
      </c>
      <c r="E154">
        <f t="shared" si="11"/>
        <v>44.506809118952674</v>
      </c>
      <c r="G154">
        <f t="shared" ca="1" si="12"/>
        <v>152</v>
      </c>
      <c r="H154">
        <f t="shared" ca="1" si="13"/>
        <v>6765.0349860808064</v>
      </c>
      <c r="I154">
        <f t="shared" ca="1" si="14"/>
        <v>74602.822514912725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53760</v>
      </c>
      <c r="B157" s="66">
        <v>53760</v>
      </c>
      <c r="D157">
        <f t="shared" si="10"/>
        <v>40.448423745391615</v>
      </c>
      <c r="E157">
        <f t="shared" si="11"/>
        <v>40.448423745391615</v>
      </c>
      <c r="G157">
        <f t="shared" ca="1" si="12"/>
        <v>155</v>
      </c>
      <c r="H157">
        <f t="shared" ca="1" si="13"/>
        <v>6269.5056805357008</v>
      </c>
      <c r="I157">
        <f t="shared" ca="1" si="14"/>
        <v>78100.276056275616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51732</v>
      </c>
      <c r="B160" s="66">
        <v>51732</v>
      </c>
      <c r="D160">
        <f t="shared" si="10"/>
        <v>38.922579188924836</v>
      </c>
      <c r="E160">
        <f t="shared" si="11"/>
        <v>38.922579188924836</v>
      </c>
      <c r="G160">
        <f t="shared" ca="1" si="12"/>
        <v>158</v>
      </c>
      <c r="H160">
        <f t="shared" ca="1" si="13"/>
        <v>6149.7675118501238</v>
      </c>
      <c r="I160">
        <f t="shared" ca="1" si="14"/>
        <v>85766.299205390722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47809</v>
      </c>
      <c r="B162" s="66">
        <v>47809</v>
      </c>
      <c r="D162">
        <f t="shared" si="10"/>
        <v>35.970957790986382</v>
      </c>
      <c r="E162">
        <f t="shared" si="11"/>
        <v>35.970957790986382</v>
      </c>
      <c r="G162">
        <f t="shared" ca="1" si="12"/>
        <v>160</v>
      </c>
      <c r="H162">
        <f t="shared" ca="1" si="13"/>
        <v>5755.353246557821</v>
      </c>
      <c r="I162">
        <f t="shared" ca="1" si="14"/>
        <v>86160.386933335452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46714</v>
      </c>
      <c r="B165" s="66">
        <v>46714</v>
      </c>
      <c r="D165">
        <f t="shared" si="10"/>
        <v>35.147092017154463</v>
      </c>
      <c r="E165">
        <f t="shared" si="11"/>
        <v>35.147092017154463</v>
      </c>
      <c r="G165">
        <f t="shared" ca="1" si="12"/>
        <v>163</v>
      </c>
      <c r="H165">
        <f t="shared" ca="1" si="13"/>
        <v>5728.9759987961779</v>
      </c>
      <c r="I165">
        <f t="shared" ca="1" si="14"/>
        <v>94824.24584316065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40012</v>
      </c>
      <c r="B167" s="66">
        <v>40012</v>
      </c>
      <c r="D167">
        <f t="shared" si="10"/>
        <v>30.104582048002406</v>
      </c>
      <c r="E167">
        <f t="shared" si="11"/>
        <v>30.104582048002406</v>
      </c>
      <c r="G167">
        <f t="shared" ca="1" si="12"/>
        <v>165</v>
      </c>
      <c r="H167">
        <f t="shared" ca="1" si="13"/>
        <v>4967.2560379203969</v>
      </c>
      <c r="I167">
        <f t="shared" ca="1" si="14"/>
        <v>87595.062471298996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35403</v>
      </c>
      <c r="B170" s="66">
        <v>35403</v>
      </c>
      <c r="D170">
        <f t="shared" si="10"/>
        <v>26.636821909562862</v>
      </c>
      <c r="E170">
        <f t="shared" si="11"/>
        <v>26.636821909562862</v>
      </c>
      <c r="G170">
        <f t="shared" ca="1" si="12"/>
        <v>168</v>
      </c>
      <c r="H170">
        <f t="shared" ca="1" si="13"/>
        <v>4474.9860808065605</v>
      </c>
      <c r="I170">
        <f t="shared" ca="1" si="14"/>
        <v>86365.670393523542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29304</v>
      </c>
      <c r="B173" s="66">
        <v>29304</v>
      </c>
      <c r="D173">
        <f t="shared" si="10"/>
        <v>22.048002407644269</v>
      </c>
      <c r="E173">
        <f t="shared" si="11"/>
        <v>22.048002407644269</v>
      </c>
      <c r="G173">
        <f t="shared" ca="1" si="12"/>
        <v>171</v>
      </c>
      <c r="H173">
        <f t="shared" ca="1" si="13"/>
        <v>3770.2084117071699</v>
      </c>
      <c r="I173">
        <f t="shared" ca="1" si="14"/>
        <v>79218.269053218653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29104</v>
      </c>
      <c r="B175" s="66">
        <v>29104</v>
      </c>
      <c r="D175">
        <f t="shared" si="10"/>
        <v>21.897524640734332</v>
      </c>
      <c r="E175">
        <f t="shared" si="11"/>
        <v>21.897524640734332</v>
      </c>
      <c r="G175">
        <f t="shared" ca="1" si="12"/>
        <v>173</v>
      </c>
      <c r="H175">
        <f t="shared" ca="1" si="13"/>
        <v>3788.2717628470396</v>
      </c>
      <c r="I175">
        <f t="shared" ca="1" si="14"/>
        <v>84015.481183193464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24863</v>
      </c>
      <c r="B178" s="66">
        <v>24863</v>
      </c>
      <c r="D178">
        <f t="shared" si="10"/>
        <v>18.706643593409073</v>
      </c>
      <c r="E178">
        <f t="shared" si="11"/>
        <v>18.706643593409073</v>
      </c>
      <c r="G178">
        <f t="shared" ca="1" si="12"/>
        <v>176</v>
      </c>
      <c r="H178">
        <f t="shared" ca="1" si="13"/>
        <v>3292.3692724399966</v>
      </c>
      <c r="I178">
        <f t="shared" ca="1" si="14"/>
        <v>78893.518006900718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15420</v>
      </c>
      <c r="B180" s="66">
        <v>15420</v>
      </c>
      <c r="D180">
        <f t="shared" si="10"/>
        <v>11.6018358287563</v>
      </c>
      <c r="E180">
        <f t="shared" si="11"/>
        <v>11.6018358287563</v>
      </c>
      <c r="G180">
        <f t="shared" ca="1" si="12"/>
        <v>178</v>
      </c>
      <c r="H180">
        <f t="shared" ca="1" si="13"/>
        <v>2065.1267775186216</v>
      </c>
      <c r="I180">
        <f t="shared" ca="1" si="14"/>
        <v>51989.829095761124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7292</v>
      </c>
      <c r="B183" s="66">
        <v>7292</v>
      </c>
      <c r="D183">
        <f t="shared" si="10"/>
        <v>5.4864193815363782</v>
      </c>
      <c r="E183">
        <f t="shared" si="11"/>
        <v>5.4864193815363782</v>
      </c>
      <c r="G183">
        <f t="shared" ca="1" si="12"/>
        <v>181</v>
      </c>
      <c r="H183">
        <f t="shared" ca="1" si="13"/>
        <v>993.04190805808446</v>
      </c>
      <c r="I183">
        <f t="shared" ca="1" si="14"/>
        <v>26838.586981485329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3100</v>
      </c>
      <c r="B185" s="66">
        <v>3100</v>
      </c>
      <c r="D185">
        <f t="shared" si="10"/>
        <v>2.3324053871040555</v>
      </c>
      <c r="E185">
        <f t="shared" si="11"/>
        <v>2.3324053871040555</v>
      </c>
      <c r="G185">
        <f t="shared" ca="1" si="12"/>
        <v>183</v>
      </c>
      <c r="H185">
        <f t="shared" ca="1" si="13"/>
        <v>426.83018584004219</v>
      </c>
      <c r="I185">
        <f t="shared" ca="1" si="14"/>
        <v>12071.569882718557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2611</v>
      </c>
      <c r="B188" s="66">
        <v>2611</v>
      </c>
      <c r="D188">
        <f t="shared" si="10"/>
        <v>1.9644872470092545</v>
      </c>
      <c r="E188">
        <f t="shared" si="11"/>
        <v>1.9644872470092545</v>
      </c>
      <c r="G188">
        <f t="shared" ca="1" si="12"/>
        <v>186</v>
      </c>
      <c r="H188">
        <f t="shared" ca="1" si="13"/>
        <v>365.39462794372133</v>
      </c>
      <c r="I188">
        <f t="shared" ca="1" si="14"/>
        <v>11033.027148008272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2758</v>
      </c>
      <c r="B191" s="66">
        <v>2758</v>
      </c>
      <c r="D191">
        <f t="shared" si="10"/>
        <v>2.0750884056880596</v>
      </c>
      <c r="E191">
        <f t="shared" si="11"/>
        <v>2.0750884056880596</v>
      </c>
      <c r="G191">
        <f t="shared" ca="1" si="12"/>
        <v>189</v>
      </c>
      <c r="H191">
        <f t="shared" ca="1" si="13"/>
        <v>392.19170867504329</v>
      </c>
      <c r="I191">
        <f t="shared" ca="1" si="14"/>
        <v>12605.927519198271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1574</v>
      </c>
      <c r="B193" s="66">
        <v>1574</v>
      </c>
      <c r="D193">
        <f t="shared" si="10"/>
        <v>1.1842600255812203</v>
      </c>
      <c r="E193">
        <f t="shared" si="11"/>
        <v>1.1842600255812203</v>
      </c>
      <c r="G193">
        <f t="shared" ca="1" si="12"/>
        <v>191</v>
      </c>
      <c r="H193">
        <f t="shared" ca="1" si="13"/>
        <v>226.1936648860131</v>
      </c>
      <c r="I193">
        <f t="shared" ca="1" si="14"/>
        <v>7568.1951409778003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716</v>
      </c>
      <c r="B196" s="66">
        <v>716</v>
      </c>
      <c r="D196">
        <f t="shared" si="15"/>
        <v>0.53871040553758187</v>
      </c>
      <c r="E196">
        <f t="shared" si="16"/>
        <v>0.53871040553758187</v>
      </c>
      <c r="G196">
        <f t="shared" ca="1" si="17"/>
        <v>194</v>
      </c>
      <c r="H196">
        <f t="shared" ca="1" si="18"/>
        <v>104.50981867429088</v>
      </c>
      <c r="I196">
        <f t="shared" ca="1" si="19"/>
        <v>3705.9518845522621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105</v>
      </c>
      <c r="B198" s="66">
        <v>105</v>
      </c>
      <c r="D198">
        <f t="shared" si="15"/>
        <v>7.9000827627717998E-2</v>
      </c>
      <c r="E198">
        <f t="shared" si="16"/>
        <v>7.9000827627717998E-2</v>
      </c>
      <c r="G198">
        <f t="shared" ca="1" si="17"/>
        <v>196</v>
      </c>
      <c r="H198">
        <f t="shared" ca="1" si="18"/>
        <v>15.484162215032727</v>
      </c>
      <c r="I198">
        <f t="shared" ca="1" si="19"/>
        <v>569.99640884107055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0.22159300000000001</v>
      </c>
      <c r="B2" s="68">
        <v>0.55735699999999999</v>
      </c>
      <c r="C2" s="68">
        <v>0</v>
      </c>
      <c r="D2" s="68">
        <v>1</v>
      </c>
      <c r="E2" s="68" t="s">
        <v>357</v>
      </c>
    </row>
    <row r="3" spans="1:5">
      <c r="A3" s="68">
        <v>0.22810800000000001</v>
      </c>
      <c r="B3" s="68">
        <v>0.54835699999999998</v>
      </c>
      <c r="C3" s="68">
        <v>0.40929500000000002</v>
      </c>
      <c r="D3" s="89">
        <v>1</v>
      </c>
      <c r="E3" s="68" t="s">
        <v>358</v>
      </c>
    </row>
    <row r="4" spans="1:5">
      <c r="A4" s="68">
        <v>0.234708</v>
      </c>
      <c r="B4" s="68">
        <v>0.53853300000000004</v>
      </c>
      <c r="C4" s="68">
        <v>0.81603599999999998</v>
      </c>
      <c r="D4" s="89">
        <v>1</v>
      </c>
      <c r="E4" s="68" t="s">
        <v>359</v>
      </c>
    </row>
    <row r="5" spans="1:5">
      <c r="A5" s="89">
        <v>0.241117</v>
      </c>
      <c r="B5" s="89">
        <v>0.52792099999999997</v>
      </c>
      <c r="C5" s="89">
        <v>1.21916</v>
      </c>
      <c r="D5" s="89">
        <v>1</v>
      </c>
      <c r="E5" s="68" t="s">
        <v>360</v>
      </c>
    </row>
    <row r="6" spans="1:5">
      <c r="A6" s="68">
        <v>0.247618</v>
      </c>
      <c r="B6" s="68">
        <v>0.51636800000000005</v>
      </c>
      <c r="C6" s="68">
        <v>1.62537</v>
      </c>
      <c r="D6" s="68">
        <v>1</v>
      </c>
      <c r="E6" s="68" t="s">
        <v>361</v>
      </c>
    </row>
    <row r="7" spans="1:5">
      <c r="A7" s="68">
        <v>0.25420500000000001</v>
      </c>
      <c r="B7" s="68">
        <v>0.50449600000000006</v>
      </c>
      <c r="C7" s="68">
        <v>2.03396</v>
      </c>
      <c r="D7" s="68">
        <v>1</v>
      </c>
      <c r="E7" s="68" t="s">
        <v>362</v>
      </c>
    </row>
    <row r="8" spans="1:5">
      <c r="A8" s="68">
        <v>0.26083200000000001</v>
      </c>
      <c r="B8" s="68">
        <v>0.49188500000000002</v>
      </c>
      <c r="C8" s="68">
        <v>2.4397899999999999</v>
      </c>
      <c r="D8" s="68">
        <v>1</v>
      </c>
      <c r="E8" s="68" t="s">
        <v>363</v>
      </c>
    </row>
    <row r="9" spans="1:5">
      <c r="A9" s="68">
        <v>0.26757500000000001</v>
      </c>
      <c r="B9" s="68">
        <v>0.47889700000000002</v>
      </c>
      <c r="C9" s="68">
        <v>2.8469000000000002</v>
      </c>
      <c r="D9" s="68">
        <v>1</v>
      </c>
      <c r="E9" s="68" t="s">
        <v>364</v>
      </c>
    </row>
    <row r="10" spans="1:5">
      <c r="A10" s="68">
        <v>0.27417900000000001</v>
      </c>
      <c r="B10" s="68">
        <v>0.46595700000000001</v>
      </c>
      <c r="C10" s="68">
        <v>3.2536499999999999</v>
      </c>
      <c r="D10" s="68">
        <v>1</v>
      </c>
      <c r="E10" s="68" t="s">
        <v>365</v>
      </c>
    </row>
    <row r="11" spans="1:5">
      <c r="A11" s="68">
        <v>0.28062100000000001</v>
      </c>
      <c r="B11" s="68">
        <v>0.45297700000000002</v>
      </c>
      <c r="C11" s="68">
        <v>3.6537999999999999</v>
      </c>
      <c r="D11" s="68">
        <v>1</v>
      </c>
      <c r="E11" s="68" t="s">
        <v>366</v>
      </c>
    </row>
    <row r="12" spans="1:5">
      <c r="A12" s="68">
        <v>0.28700100000000001</v>
      </c>
      <c r="B12" s="68">
        <v>0.43886399999999998</v>
      </c>
      <c r="C12" s="68">
        <v>4.0636900000000002</v>
      </c>
      <c r="D12" s="68">
        <v>1</v>
      </c>
      <c r="E12" s="68" t="s">
        <v>367</v>
      </c>
    </row>
    <row r="13" spans="1:5">
      <c r="A13" s="68">
        <v>0.29375800000000002</v>
      </c>
      <c r="B13" s="68">
        <v>0.42405399999999999</v>
      </c>
      <c r="C13" s="68">
        <v>4.4702799999999998</v>
      </c>
      <c r="D13" s="68">
        <v>1</v>
      </c>
      <c r="E13" s="68" t="s">
        <v>368</v>
      </c>
    </row>
    <row r="14" spans="1:5">
      <c r="A14" s="68">
        <v>0.300622</v>
      </c>
      <c r="B14" s="68">
        <v>0.41005799999999998</v>
      </c>
      <c r="C14" s="68">
        <v>4.8779599999999999</v>
      </c>
      <c r="D14" s="68">
        <v>1</v>
      </c>
      <c r="E14" s="68" t="s">
        <v>369</v>
      </c>
    </row>
    <row r="15" spans="1:5">
      <c r="A15" s="68">
        <v>0.307118</v>
      </c>
      <c r="B15" s="68">
        <v>0.39692300000000003</v>
      </c>
      <c r="C15" s="68">
        <v>5.2842900000000004</v>
      </c>
      <c r="D15" s="68">
        <v>1</v>
      </c>
      <c r="E15" s="68" t="s">
        <v>370</v>
      </c>
    </row>
    <row r="16" spans="1:5">
      <c r="A16" s="68">
        <v>0.31380999999999998</v>
      </c>
      <c r="B16" s="68">
        <v>0.38416600000000001</v>
      </c>
      <c r="C16" s="68">
        <v>5.6867999999999999</v>
      </c>
      <c r="D16" s="68">
        <v>1</v>
      </c>
      <c r="E16" s="68" t="s">
        <v>371</v>
      </c>
    </row>
    <row r="17" spans="1:5">
      <c r="A17" s="68">
        <v>0.320523</v>
      </c>
      <c r="B17" s="68">
        <v>0.37343399999999999</v>
      </c>
      <c r="C17" s="68">
        <v>6.0952299999999999</v>
      </c>
      <c r="D17" s="68">
        <v>1</v>
      </c>
      <c r="E17" s="68" t="s">
        <v>372</v>
      </c>
    </row>
    <row r="18" spans="1:5">
      <c r="A18" s="68">
        <v>0.327237</v>
      </c>
      <c r="B18" s="68">
        <v>0.36432199999999998</v>
      </c>
      <c r="C18" s="68">
        <v>6.5010000000000003</v>
      </c>
      <c r="D18" s="68">
        <v>1</v>
      </c>
      <c r="E18" s="68" t="s">
        <v>373</v>
      </c>
    </row>
    <row r="19" spans="1:5">
      <c r="A19" s="68">
        <v>0.33320499999999997</v>
      </c>
      <c r="B19" s="68">
        <v>0.35781499999999999</v>
      </c>
      <c r="C19" s="68">
        <v>6.9099700000000004</v>
      </c>
      <c r="D19" s="68">
        <v>1</v>
      </c>
      <c r="E19" s="68" t="s">
        <v>374</v>
      </c>
    </row>
    <row r="20" spans="1:5">
      <c r="A20" s="68">
        <v>0.33884999999999998</v>
      </c>
      <c r="B20" s="68">
        <v>0.352325</v>
      </c>
      <c r="C20" s="68">
        <v>7.3153300000000003</v>
      </c>
      <c r="D20" s="68">
        <v>1</v>
      </c>
      <c r="E20" s="68" t="s">
        <v>375</v>
      </c>
    </row>
    <row r="21" spans="1:5">
      <c r="A21" s="68">
        <v>0.34448099999999998</v>
      </c>
      <c r="B21" s="68">
        <v>0.347856</v>
      </c>
      <c r="C21" s="68">
        <v>7.7198200000000003</v>
      </c>
      <c r="D21" s="68">
        <v>1</v>
      </c>
      <c r="E21" s="68" t="s">
        <v>376</v>
      </c>
    </row>
    <row r="22" spans="1:5">
      <c r="A22" s="68">
        <v>0.34995999999999999</v>
      </c>
      <c r="B22" s="68">
        <v>0.343304</v>
      </c>
      <c r="C22" s="68">
        <v>8.1274099999999994</v>
      </c>
      <c r="D22" s="68">
        <v>1</v>
      </c>
      <c r="E22" s="68" t="s">
        <v>377</v>
      </c>
    </row>
    <row r="23" spans="1:5">
      <c r="A23" s="68">
        <v>0.35538700000000001</v>
      </c>
      <c r="B23" s="68">
        <v>0.33940599999999999</v>
      </c>
      <c r="C23" s="68">
        <v>8.5352899999999998</v>
      </c>
      <c r="D23" s="68">
        <v>1</v>
      </c>
      <c r="E23" s="68" t="s">
        <v>378</v>
      </c>
    </row>
    <row r="24" spans="1:5">
      <c r="A24" s="68">
        <v>0.36032500000000001</v>
      </c>
      <c r="B24" s="68">
        <v>0.33665600000000001</v>
      </c>
      <c r="C24" s="68">
        <v>8.9416399999999996</v>
      </c>
      <c r="D24" s="68">
        <v>1</v>
      </c>
      <c r="E24" s="68" t="s">
        <v>379</v>
      </c>
    </row>
    <row r="25" spans="1:5">
      <c r="A25" s="68">
        <v>0.36482399999999998</v>
      </c>
      <c r="B25" s="68">
        <v>0.33399699999999999</v>
      </c>
      <c r="C25" s="68">
        <v>9.3442100000000003</v>
      </c>
      <c r="D25" s="68">
        <v>1</v>
      </c>
      <c r="E25" s="68" t="s">
        <v>380</v>
      </c>
    </row>
    <row r="26" spans="1:5">
      <c r="A26" s="68">
        <v>0.36910199999999999</v>
      </c>
      <c r="B26" s="68">
        <v>0.331843</v>
      </c>
      <c r="C26" s="68">
        <v>9.7489299999999997</v>
      </c>
      <c r="D26" s="68">
        <v>1</v>
      </c>
      <c r="E26" s="68" t="s">
        <v>381</v>
      </c>
    </row>
    <row r="27" spans="1:5">
      <c r="A27" s="68">
        <v>0.373475</v>
      </c>
      <c r="B27" s="68">
        <v>0.32856099999999999</v>
      </c>
      <c r="C27" s="68">
        <v>10.1563</v>
      </c>
      <c r="D27" s="68">
        <v>1</v>
      </c>
      <c r="E27" s="68" t="s">
        <v>382</v>
      </c>
    </row>
    <row r="28" spans="1:5">
      <c r="A28" s="68">
        <v>0.37771399999999999</v>
      </c>
      <c r="B28" s="68">
        <v>0.32564100000000001</v>
      </c>
      <c r="C28" s="68">
        <v>10.5632</v>
      </c>
      <c r="D28" s="68">
        <v>1</v>
      </c>
      <c r="E28" s="68" t="s">
        <v>383</v>
      </c>
    </row>
    <row r="29" spans="1:5">
      <c r="A29" s="68">
        <v>0.38130500000000001</v>
      </c>
      <c r="B29" s="68">
        <v>0.32350099999999998</v>
      </c>
      <c r="C29" s="68">
        <v>10.9709</v>
      </c>
      <c r="D29" s="68">
        <v>1</v>
      </c>
      <c r="E29" s="68" t="s">
        <v>384</v>
      </c>
    </row>
    <row r="30" spans="1:5">
      <c r="A30" s="68">
        <v>0.38454300000000002</v>
      </c>
      <c r="B30" s="68">
        <v>0.32207599999999997</v>
      </c>
      <c r="C30" s="68">
        <v>11.375299999999999</v>
      </c>
      <c r="D30" s="68">
        <v>1</v>
      </c>
      <c r="E30" s="68" t="s">
        <v>385</v>
      </c>
    </row>
    <row r="31" spans="1:5">
      <c r="A31" s="68">
        <v>0.38767499999999999</v>
      </c>
      <c r="B31" s="68">
        <v>0.32091500000000001</v>
      </c>
      <c r="C31" s="68">
        <v>11.7826</v>
      </c>
      <c r="D31" s="68">
        <v>1</v>
      </c>
      <c r="E31" s="68" t="s">
        <v>386</v>
      </c>
    </row>
    <row r="32" spans="1:5">
      <c r="A32" s="68">
        <v>0.39055600000000001</v>
      </c>
      <c r="B32" s="68">
        <v>0.31930500000000001</v>
      </c>
      <c r="C32" s="68">
        <v>12.190300000000001</v>
      </c>
      <c r="D32" s="68">
        <v>1</v>
      </c>
      <c r="E32" s="68" t="s">
        <v>387</v>
      </c>
    </row>
    <row r="33" spans="1:5">
      <c r="A33" s="68">
        <v>0.39338299999999998</v>
      </c>
      <c r="B33" s="68">
        <v>0.317359</v>
      </c>
      <c r="C33" s="68">
        <v>12.593299999999999</v>
      </c>
      <c r="D33" s="68">
        <v>1</v>
      </c>
      <c r="E33" s="68" t="s">
        <v>388</v>
      </c>
    </row>
    <row r="34" spans="1:5">
      <c r="A34" s="68">
        <v>0.39607199999999998</v>
      </c>
      <c r="B34" s="68">
        <v>0.31522299999999998</v>
      </c>
      <c r="C34" s="68">
        <v>13.0001</v>
      </c>
      <c r="D34" s="68">
        <v>1</v>
      </c>
      <c r="E34" s="68" t="s">
        <v>389</v>
      </c>
    </row>
    <row r="35" spans="1:5">
      <c r="A35" s="68">
        <v>0.398507</v>
      </c>
      <c r="B35" s="68">
        <v>0.31349199999999999</v>
      </c>
      <c r="C35" s="68">
        <v>13.407</v>
      </c>
      <c r="D35" s="68">
        <v>1</v>
      </c>
      <c r="E35" s="68" t="s">
        <v>390</v>
      </c>
    </row>
    <row r="36" spans="1:5">
      <c r="A36" s="68">
        <v>0.40058199999999999</v>
      </c>
      <c r="B36" s="68">
        <v>0.31246299999999999</v>
      </c>
      <c r="C36" s="68">
        <v>13.8146</v>
      </c>
      <c r="D36" s="68">
        <v>1</v>
      </c>
      <c r="E36" s="68" t="s">
        <v>391</v>
      </c>
    </row>
    <row r="37" spans="1:5">
      <c r="A37" s="68">
        <v>0.40240799999999999</v>
      </c>
      <c r="B37" s="68">
        <v>0.31208799999999998</v>
      </c>
      <c r="C37" s="68">
        <v>14.222300000000001</v>
      </c>
      <c r="D37" s="68">
        <v>1</v>
      </c>
      <c r="E37" s="68" t="s">
        <v>392</v>
      </c>
    </row>
    <row r="38" spans="1:5">
      <c r="A38" s="68">
        <v>0.40423100000000001</v>
      </c>
      <c r="B38" s="68">
        <v>0.311502</v>
      </c>
      <c r="C38" s="68">
        <v>14.625400000000001</v>
      </c>
      <c r="D38" s="68">
        <v>1</v>
      </c>
      <c r="E38" s="68" t="s">
        <v>393</v>
      </c>
    </row>
    <row r="39" spans="1:5">
      <c r="A39" s="68">
        <v>0.40557300000000002</v>
      </c>
      <c r="B39" s="68">
        <v>0.310504</v>
      </c>
      <c r="C39" s="68">
        <v>15.031499999999999</v>
      </c>
      <c r="D39" s="68">
        <v>1</v>
      </c>
      <c r="E39" s="68" t="s">
        <v>394</v>
      </c>
    </row>
    <row r="40" spans="1:5">
      <c r="A40" s="68">
        <v>0.40684199999999998</v>
      </c>
      <c r="B40" s="68">
        <v>0.30845</v>
      </c>
      <c r="C40" s="68">
        <v>15.437900000000001</v>
      </c>
      <c r="D40" s="68">
        <v>1</v>
      </c>
      <c r="E40" s="68" t="s">
        <v>395</v>
      </c>
    </row>
    <row r="41" spans="1:5">
      <c r="A41" s="68">
        <v>0.40794399999999997</v>
      </c>
      <c r="B41" s="68">
        <v>0.30610799999999999</v>
      </c>
      <c r="C41" s="68">
        <v>15.8483</v>
      </c>
      <c r="D41" s="68">
        <v>1</v>
      </c>
      <c r="E41" s="68" t="s">
        <v>396</v>
      </c>
    </row>
    <row r="42" spans="1:5">
      <c r="A42" s="68">
        <v>0.40884500000000001</v>
      </c>
      <c r="B42" s="68">
        <v>0.30359900000000001</v>
      </c>
      <c r="C42" s="68">
        <v>16.252600000000001</v>
      </c>
      <c r="D42" s="68">
        <v>1</v>
      </c>
      <c r="E42" s="68" t="s">
        <v>397</v>
      </c>
    </row>
    <row r="43" spans="1:5">
      <c r="A43" s="68">
        <v>0.40939500000000001</v>
      </c>
      <c r="B43" s="68">
        <v>0.30141299999999999</v>
      </c>
      <c r="C43" s="68">
        <v>16.6602</v>
      </c>
      <c r="D43" s="68">
        <v>1</v>
      </c>
      <c r="E43" s="68" t="s">
        <v>398</v>
      </c>
    </row>
    <row r="44" spans="1:5">
      <c r="A44" s="68">
        <v>0.41040300000000002</v>
      </c>
      <c r="B44" s="68">
        <v>0.30020400000000003</v>
      </c>
      <c r="C44" s="68">
        <v>17.061900000000001</v>
      </c>
      <c r="D44" s="68">
        <v>1</v>
      </c>
      <c r="E44" s="68" t="s">
        <v>399</v>
      </c>
    </row>
    <row r="45" spans="1:5">
      <c r="A45" s="68">
        <v>0.41160200000000002</v>
      </c>
      <c r="B45" s="68">
        <v>0.29957</v>
      </c>
      <c r="C45" s="68">
        <v>17.470700000000001</v>
      </c>
      <c r="D45" s="68">
        <v>1</v>
      </c>
      <c r="E45" s="68" t="s">
        <v>400</v>
      </c>
    </row>
    <row r="46" spans="1:5">
      <c r="A46" s="68">
        <v>0.41314600000000001</v>
      </c>
      <c r="B46" s="68">
        <v>0.29819000000000001</v>
      </c>
      <c r="C46" s="68">
        <v>17.878499999999999</v>
      </c>
      <c r="D46" s="68">
        <v>1</v>
      </c>
      <c r="E46" s="68" t="s">
        <v>401</v>
      </c>
    </row>
    <row r="47" spans="1:5">
      <c r="A47" s="68">
        <v>0.41450500000000001</v>
      </c>
      <c r="B47" s="68">
        <v>0.29750300000000002</v>
      </c>
      <c r="C47" s="68">
        <v>18.283100000000001</v>
      </c>
      <c r="D47" s="68">
        <v>1</v>
      </c>
      <c r="E47" s="68" t="s">
        <v>402</v>
      </c>
    </row>
    <row r="48" spans="1:5">
      <c r="A48" s="68">
        <v>0.415933</v>
      </c>
      <c r="B48" s="68">
        <v>0.29547099999999998</v>
      </c>
      <c r="C48" s="68">
        <v>18.6904</v>
      </c>
      <c r="D48" s="68">
        <v>1</v>
      </c>
      <c r="E48" s="68" t="s">
        <v>403</v>
      </c>
    </row>
    <row r="49" spans="1:5">
      <c r="A49" s="68">
        <v>0.41749999999999998</v>
      </c>
      <c r="B49" s="68">
        <v>0.29402299999999998</v>
      </c>
      <c r="C49" s="68">
        <v>19.095500000000001</v>
      </c>
      <c r="D49" s="68">
        <v>1</v>
      </c>
      <c r="E49" s="68" t="s">
        <v>404</v>
      </c>
    </row>
    <row r="50" spans="1:5">
      <c r="A50" s="68">
        <v>0.41896899999999998</v>
      </c>
      <c r="B50" s="68">
        <v>0.29337999999999997</v>
      </c>
      <c r="C50" s="68">
        <v>19.503299999999999</v>
      </c>
      <c r="D50" s="68">
        <v>1</v>
      </c>
      <c r="E50" s="68" t="s">
        <v>405</v>
      </c>
    </row>
    <row r="51" spans="1:5">
      <c r="A51" s="68">
        <v>0.42065799999999998</v>
      </c>
      <c r="B51" s="68">
        <v>0.292626</v>
      </c>
      <c r="C51" s="68">
        <v>19.906300000000002</v>
      </c>
      <c r="D51" s="68">
        <v>1</v>
      </c>
      <c r="E51" s="68" t="s">
        <v>406</v>
      </c>
    </row>
    <row r="52" spans="1:5">
      <c r="A52" s="68">
        <v>0.422097</v>
      </c>
      <c r="B52" s="68">
        <v>0.29240500000000003</v>
      </c>
      <c r="C52" s="68">
        <v>20.3156</v>
      </c>
      <c r="D52" s="68">
        <v>1</v>
      </c>
      <c r="E52" s="68" t="s">
        <v>407</v>
      </c>
    </row>
    <row r="53" spans="1:5">
      <c r="A53" s="68">
        <v>0.42380000000000001</v>
      </c>
      <c r="B53" s="68">
        <v>0.29180899999999999</v>
      </c>
      <c r="C53" s="68">
        <v>20.721399999999999</v>
      </c>
      <c r="D53" s="68">
        <v>1</v>
      </c>
      <c r="E53" s="68" t="s">
        <v>408</v>
      </c>
    </row>
    <row r="54" spans="1:5">
      <c r="A54" s="68">
        <v>0.42622700000000002</v>
      </c>
      <c r="B54" s="68">
        <v>0.29094199999999998</v>
      </c>
      <c r="C54" s="68">
        <v>21.125299999999999</v>
      </c>
      <c r="D54" s="68">
        <v>1</v>
      </c>
      <c r="E54" s="68" t="s">
        <v>409</v>
      </c>
    </row>
    <row r="55" spans="1:5">
      <c r="A55" s="68">
        <v>0.42902600000000002</v>
      </c>
      <c r="B55" s="68">
        <v>0.29027399999999998</v>
      </c>
      <c r="C55" s="68">
        <v>21.534600000000001</v>
      </c>
      <c r="D55" s="68">
        <v>1</v>
      </c>
      <c r="E55" s="68" t="s">
        <v>410</v>
      </c>
    </row>
    <row r="56" spans="1:5">
      <c r="A56" s="68">
        <v>0.43129200000000001</v>
      </c>
      <c r="B56" s="68">
        <v>0.29014699999999999</v>
      </c>
      <c r="C56" s="68">
        <v>21.936399999999999</v>
      </c>
      <c r="D56" s="68">
        <v>1</v>
      </c>
      <c r="E56" s="68" t="s">
        <v>411</v>
      </c>
    </row>
    <row r="57" spans="1:5">
      <c r="A57" s="68">
        <v>0.43331900000000001</v>
      </c>
      <c r="B57" s="68">
        <v>0.291161</v>
      </c>
      <c r="C57" s="68">
        <v>22.3461</v>
      </c>
      <c r="D57" s="68">
        <v>1</v>
      </c>
      <c r="E57" s="68" t="s">
        <v>412</v>
      </c>
    </row>
    <row r="58" spans="1:5">
      <c r="A58" s="68">
        <v>0.43498300000000001</v>
      </c>
      <c r="B58" s="68">
        <v>0.293429</v>
      </c>
      <c r="C58" s="68">
        <v>22.7529</v>
      </c>
      <c r="D58" s="68">
        <v>1</v>
      </c>
      <c r="E58" s="68" t="s">
        <v>413</v>
      </c>
    </row>
    <row r="59" spans="1:5">
      <c r="A59" s="68">
        <v>0.43645200000000001</v>
      </c>
      <c r="B59" s="68">
        <v>0.29658000000000001</v>
      </c>
      <c r="C59" s="68">
        <v>23.1572</v>
      </c>
      <c r="D59" s="68">
        <v>1</v>
      </c>
      <c r="E59" s="68" t="s">
        <v>414</v>
      </c>
    </row>
    <row r="60" spans="1:5">
      <c r="A60" s="68">
        <v>0.43824299999999999</v>
      </c>
      <c r="B60" s="68">
        <v>0.29965799999999998</v>
      </c>
      <c r="C60" s="68">
        <v>23.5626</v>
      </c>
      <c r="D60" s="68">
        <v>1</v>
      </c>
      <c r="E60" s="68" t="s">
        <v>415</v>
      </c>
    </row>
    <row r="61" spans="1:5">
      <c r="A61" s="68">
        <v>0.44007200000000002</v>
      </c>
      <c r="B61" s="68">
        <v>0.30343999999999999</v>
      </c>
      <c r="C61" s="68">
        <v>23.9695</v>
      </c>
      <c r="D61" s="68">
        <v>1</v>
      </c>
      <c r="E61" s="68" t="s">
        <v>416</v>
      </c>
    </row>
    <row r="62" spans="1:5">
      <c r="A62" s="68">
        <v>0.44178800000000001</v>
      </c>
      <c r="B62" s="68">
        <v>0.30731399999999998</v>
      </c>
      <c r="C62" s="68">
        <v>24.376200000000001</v>
      </c>
      <c r="D62" s="68">
        <v>1</v>
      </c>
      <c r="E62" s="68" t="s">
        <v>417</v>
      </c>
    </row>
    <row r="63" spans="1:5">
      <c r="A63" s="68">
        <v>0.44283800000000001</v>
      </c>
      <c r="B63" s="68">
        <v>0.31090899999999999</v>
      </c>
      <c r="C63" s="68">
        <v>24.783799999999999</v>
      </c>
      <c r="D63" s="68">
        <v>1</v>
      </c>
      <c r="E63" s="68" t="s">
        <v>418</v>
      </c>
    </row>
    <row r="64" spans="1:5">
      <c r="A64" s="68">
        <v>0.44384099999999999</v>
      </c>
      <c r="B64" s="68">
        <v>0.31514599999999998</v>
      </c>
      <c r="C64" s="68">
        <v>25.186900000000001</v>
      </c>
      <c r="D64" s="68">
        <v>1</v>
      </c>
      <c r="E64" s="68" t="s">
        <v>419</v>
      </c>
    </row>
    <row r="65" spans="1:5">
      <c r="A65" s="68">
        <v>0.44442799999999999</v>
      </c>
      <c r="B65" s="68">
        <v>0.32012400000000002</v>
      </c>
      <c r="C65" s="68">
        <v>25.591999999999999</v>
      </c>
      <c r="D65" s="68">
        <v>1</v>
      </c>
      <c r="E65" s="68" t="s">
        <v>420</v>
      </c>
    </row>
    <row r="66" spans="1:5">
      <c r="A66" s="68">
        <v>0.44456400000000001</v>
      </c>
      <c r="B66" s="68">
        <v>0.325457</v>
      </c>
      <c r="C66" s="68">
        <v>26.0002</v>
      </c>
      <c r="D66" s="68">
        <v>1</v>
      </c>
      <c r="E66" s="68" t="s">
        <v>421</v>
      </c>
    </row>
    <row r="67" spans="1:5">
      <c r="A67" s="68">
        <v>0.44430199999999997</v>
      </c>
      <c r="B67" s="68">
        <v>0.33032499999999998</v>
      </c>
      <c r="C67" s="68">
        <v>26.406300000000002</v>
      </c>
      <c r="D67" s="68">
        <v>1</v>
      </c>
      <c r="E67" s="68" t="s">
        <v>422</v>
      </c>
    </row>
    <row r="68" spans="1:5">
      <c r="A68" s="68">
        <v>0.44408500000000001</v>
      </c>
      <c r="B68" s="68">
        <v>0.33494000000000002</v>
      </c>
      <c r="C68" s="68">
        <v>26.814499999999999</v>
      </c>
      <c r="D68" s="68">
        <v>1</v>
      </c>
      <c r="E68" s="68" t="s">
        <v>423</v>
      </c>
    </row>
    <row r="69" spans="1:5">
      <c r="A69" s="68">
        <v>0.443745</v>
      </c>
      <c r="B69" s="68">
        <v>0.33880500000000002</v>
      </c>
      <c r="C69" s="68">
        <v>27.2211</v>
      </c>
      <c r="D69" s="68">
        <v>1</v>
      </c>
      <c r="E69" s="68" t="s">
        <v>424</v>
      </c>
    </row>
    <row r="70" spans="1:5">
      <c r="A70" s="68">
        <v>0.44321100000000002</v>
      </c>
      <c r="B70" s="68">
        <v>0.34259800000000001</v>
      </c>
      <c r="C70" s="68">
        <v>27.628299999999999</v>
      </c>
      <c r="D70" s="68">
        <v>1</v>
      </c>
      <c r="E70" s="68" t="s">
        <v>425</v>
      </c>
    </row>
    <row r="71" spans="1:5">
      <c r="A71" s="68">
        <v>0.441857</v>
      </c>
      <c r="B71" s="68">
        <v>0.34576499999999999</v>
      </c>
      <c r="C71" s="68">
        <v>28.032699999999998</v>
      </c>
      <c r="D71" s="68">
        <v>1</v>
      </c>
      <c r="E71" s="68" t="s">
        <v>426</v>
      </c>
    </row>
    <row r="72" spans="1:5">
      <c r="A72" s="68">
        <v>0.440361</v>
      </c>
      <c r="B72" s="68">
        <v>0.34824699999999997</v>
      </c>
      <c r="C72" s="68">
        <v>28.441099999999999</v>
      </c>
      <c r="D72" s="68">
        <v>1</v>
      </c>
      <c r="E72" s="68" t="s">
        <v>427</v>
      </c>
    </row>
    <row r="73" spans="1:5">
      <c r="A73" s="68">
        <v>0.43870599999999998</v>
      </c>
      <c r="B73" s="68">
        <v>0.35115600000000002</v>
      </c>
      <c r="C73" s="68">
        <v>28.8475</v>
      </c>
      <c r="D73" s="68">
        <v>1</v>
      </c>
      <c r="E73" s="68" t="s">
        <v>428</v>
      </c>
    </row>
    <row r="74" spans="1:5">
      <c r="A74" s="68">
        <v>0.43725799999999998</v>
      </c>
      <c r="B74" s="68">
        <v>0.353713</v>
      </c>
      <c r="C74" s="68">
        <v>29.252199999999998</v>
      </c>
      <c r="D74" s="68">
        <v>1</v>
      </c>
      <c r="E74" s="68" t="s">
        <v>429</v>
      </c>
    </row>
    <row r="75" spans="1:5">
      <c r="A75" s="68">
        <v>0.43609100000000001</v>
      </c>
      <c r="B75" s="68">
        <v>0.355742</v>
      </c>
      <c r="C75" s="68">
        <v>29.657</v>
      </c>
      <c r="D75" s="68">
        <v>1</v>
      </c>
      <c r="E75" s="68" t="s">
        <v>430</v>
      </c>
    </row>
    <row r="76" spans="1:5">
      <c r="A76" s="68">
        <v>0.43460199999999999</v>
      </c>
      <c r="B76" s="68">
        <v>0.35790499999999997</v>
      </c>
      <c r="C76" s="68">
        <v>30.064299999999999</v>
      </c>
      <c r="D76" s="68">
        <v>2</v>
      </c>
      <c r="E76" s="68" t="s">
        <v>431</v>
      </c>
    </row>
    <row r="77" spans="1:5">
      <c r="A77" s="68">
        <v>0.43289299999999997</v>
      </c>
      <c r="B77" s="68">
        <v>0.360037</v>
      </c>
      <c r="C77" s="68">
        <v>30.500800000000002</v>
      </c>
      <c r="D77" s="68">
        <v>2</v>
      </c>
      <c r="E77" s="68" t="s">
        <v>432</v>
      </c>
    </row>
    <row r="78" spans="1:5">
      <c r="A78" s="68">
        <v>0.430728</v>
      </c>
      <c r="B78" s="68">
        <v>0.36186699999999999</v>
      </c>
      <c r="C78" s="68">
        <v>30.909800000000001</v>
      </c>
      <c r="D78" s="68">
        <v>2</v>
      </c>
      <c r="E78" s="68" t="s">
        <v>433</v>
      </c>
    </row>
    <row r="79" spans="1:5">
      <c r="A79" s="68">
        <v>0.428284</v>
      </c>
      <c r="B79" s="68">
        <v>0.36409399999999997</v>
      </c>
      <c r="C79" s="68">
        <v>31.316800000000001</v>
      </c>
      <c r="D79" s="68">
        <v>2</v>
      </c>
      <c r="E79" s="68" t="s">
        <v>434</v>
      </c>
    </row>
    <row r="80" spans="1:5">
      <c r="A80" s="68">
        <v>0.42554700000000001</v>
      </c>
      <c r="B80" s="68">
        <v>0.36645499999999998</v>
      </c>
      <c r="C80" s="68">
        <v>31.718599999999999</v>
      </c>
      <c r="D80" s="68">
        <v>2</v>
      </c>
      <c r="E80" s="68" t="s">
        <v>435</v>
      </c>
    </row>
    <row r="81" spans="1:5">
      <c r="A81" s="68">
        <v>0.42324800000000001</v>
      </c>
      <c r="B81" s="68">
        <v>0.36873</v>
      </c>
      <c r="C81" s="68">
        <v>32.123899999999999</v>
      </c>
      <c r="D81" s="68">
        <v>2</v>
      </c>
      <c r="E81" s="68" t="s">
        <v>436</v>
      </c>
    </row>
    <row r="82" spans="1:5">
      <c r="A82" s="68">
        <v>0.42118499999999998</v>
      </c>
      <c r="B82" s="68">
        <v>0.37081500000000001</v>
      </c>
      <c r="C82" s="68">
        <v>32.535200000000003</v>
      </c>
      <c r="D82" s="68">
        <v>2</v>
      </c>
      <c r="E82" s="68" t="s">
        <v>437</v>
      </c>
    </row>
    <row r="83" spans="1:5">
      <c r="A83" s="68">
        <v>0.419348</v>
      </c>
      <c r="B83" s="68">
        <v>0.37189800000000001</v>
      </c>
      <c r="C83" s="68">
        <v>32.940600000000003</v>
      </c>
      <c r="D83" s="68">
        <v>2</v>
      </c>
      <c r="E83" s="68" t="s">
        <v>438</v>
      </c>
    </row>
    <row r="84" spans="1:5">
      <c r="A84" s="68">
        <v>0.417578</v>
      </c>
      <c r="B84" s="68">
        <v>0.37300699999999998</v>
      </c>
      <c r="C84" s="68">
        <v>33.346899999999998</v>
      </c>
      <c r="D84" s="68">
        <v>2</v>
      </c>
      <c r="E84" s="68" t="s">
        <v>439</v>
      </c>
    </row>
    <row r="85" spans="1:5">
      <c r="A85" s="68">
        <v>0.415823</v>
      </c>
      <c r="B85" s="68">
        <v>0.37483499999999997</v>
      </c>
      <c r="C85" s="68">
        <v>33.756700000000002</v>
      </c>
      <c r="D85" s="68">
        <v>2</v>
      </c>
      <c r="E85" s="68" t="s">
        <v>440</v>
      </c>
    </row>
    <row r="86" spans="1:5">
      <c r="A86" s="68">
        <v>0.41421799999999998</v>
      </c>
      <c r="B86" s="68">
        <v>0.37586900000000001</v>
      </c>
      <c r="C86" s="68">
        <v>34.153300000000002</v>
      </c>
      <c r="D86" s="68">
        <v>2</v>
      </c>
      <c r="E86" s="68" t="s">
        <v>441</v>
      </c>
    </row>
    <row r="87" spans="1:5">
      <c r="A87" s="68">
        <v>0.41261900000000001</v>
      </c>
      <c r="B87" s="68">
        <v>0.376691</v>
      </c>
      <c r="C87" s="68">
        <v>34.5642</v>
      </c>
      <c r="D87" s="68">
        <v>2</v>
      </c>
      <c r="E87" s="68" t="s">
        <v>442</v>
      </c>
    </row>
    <row r="88" spans="1:5">
      <c r="A88" s="68">
        <v>0.41120200000000001</v>
      </c>
      <c r="B88" s="68">
        <v>0.37708000000000003</v>
      </c>
      <c r="C88" s="68">
        <v>34.968899999999998</v>
      </c>
      <c r="D88" s="68">
        <v>2</v>
      </c>
      <c r="E88" s="68" t="s">
        <v>443</v>
      </c>
    </row>
    <row r="89" spans="1:5">
      <c r="A89" s="68">
        <v>0.41033599999999998</v>
      </c>
      <c r="B89" s="68">
        <v>0.37695000000000001</v>
      </c>
      <c r="C89" s="68">
        <v>35.376800000000003</v>
      </c>
      <c r="D89" s="68">
        <v>2</v>
      </c>
      <c r="E89" s="68" t="s">
        <v>444</v>
      </c>
    </row>
    <row r="90" spans="1:5">
      <c r="A90" s="68">
        <v>0.409802</v>
      </c>
      <c r="B90" s="68">
        <v>0.37665799999999999</v>
      </c>
      <c r="C90" s="68">
        <v>35.788600000000002</v>
      </c>
      <c r="D90" s="68">
        <v>2</v>
      </c>
      <c r="E90" s="68" t="s">
        <v>445</v>
      </c>
    </row>
    <row r="91" spans="1:5">
      <c r="A91" s="68">
        <v>0.40954400000000002</v>
      </c>
      <c r="B91" s="68">
        <v>0.37626999999999999</v>
      </c>
      <c r="C91" s="68">
        <v>36.194299999999998</v>
      </c>
      <c r="D91" s="68">
        <v>2</v>
      </c>
      <c r="E91" s="68" t="s">
        <v>446</v>
      </c>
    </row>
    <row r="92" spans="1:5">
      <c r="A92" s="68">
        <v>0.41009099999999998</v>
      </c>
      <c r="B92" s="68">
        <v>0.37566100000000002</v>
      </c>
      <c r="C92" s="68">
        <v>36.595999999999997</v>
      </c>
      <c r="D92" s="68">
        <v>2</v>
      </c>
      <c r="E92" s="68" t="s">
        <v>447</v>
      </c>
    </row>
    <row r="93" spans="1:5">
      <c r="A93" s="68">
        <v>0.41098099999999999</v>
      </c>
      <c r="B93" s="68">
        <v>0.37451000000000001</v>
      </c>
      <c r="C93" s="68">
        <v>36.999600000000001</v>
      </c>
      <c r="D93" s="68">
        <v>2</v>
      </c>
      <c r="E93" s="68" t="s">
        <v>448</v>
      </c>
    </row>
    <row r="94" spans="1:5">
      <c r="A94" s="68">
        <v>0.41187400000000002</v>
      </c>
      <c r="B94" s="68">
        <v>0.37353700000000001</v>
      </c>
      <c r="C94" s="68">
        <v>37.406100000000002</v>
      </c>
      <c r="D94" s="68">
        <v>2</v>
      </c>
      <c r="E94" s="68" t="s">
        <v>449</v>
      </c>
    </row>
    <row r="95" spans="1:5">
      <c r="A95" s="68">
        <v>0.41297299999999998</v>
      </c>
      <c r="B95" s="68">
        <v>0.37190899999999999</v>
      </c>
      <c r="C95" s="68">
        <v>37.813000000000002</v>
      </c>
      <c r="D95" s="68">
        <v>2</v>
      </c>
      <c r="E95" s="68" t="s">
        <v>450</v>
      </c>
    </row>
    <row r="96" spans="1:5">
      <c r="A96" s="68">
        <v>0.41401300000000002</v>
      </c>
      <c r="B96" s="68">
        <v>0.37102099999999999</v>
      </c>
      <c r="C96" s="68">
        <v>38.221299999999999</v>
      </c>
      <c r="D96" s="68">
        <v>2</v>
      </c>
      <c r="E96" s="68" t="s">
        <v>451</v>
      </c>
    </row>
    <row r="97" spans="1:5">
      <c r="A97" s="68">
        <v>0.41503899999999999</v>
      </c>
      <c r="B97" s="68">
        <v>0.37064599999999998</v>
      </c>
      <c r="C97" s="68">
        <v>38.627099999999999</v>
      </c>
      <c r="D97" s="68">
        <v>2</v>
      </c>
      <c r="E97" s="68" t="s">
        <v>452</v>
      </c>
    </row>
    <row r="98" spans="1:5">
      <c r="A98" s="68">
        <v>0.41569</v>
      </c>
      <c r="B98" s="68">
        <v>0.37079899999999999</v>
      </c>
      <c r="C98" s="68">
        <v>39.031199999999998</v>
      </c>
      <c r="D98" s="68">
        <v>2</v>
      </c>
      <c r="E98" s="68" t="s">
        <v>453</v>
      </c>
    </row>
    <row r="99" spans="1:5">
      <c r="A99" s="68">
        <v>0.41598400000000002</v>
      </c>
      <c r="B99" s="68">
        <v>0.37100899999999998</v>
      </c>
      <c r="C99" s="68">
        <v>39.442900000000002</v>
      </c>
      <c r="D99" s="68">
        <v>2</v>
      </c>
      <c r="E99" s="68" t="s">
        <v>454</v>
      </c>
    </row>
    <row r="100" spans="1:5">
      <c r="A100" s="68">
        <v>0.41595100000000002</v>
      </c>
      <c r="B100" s="68">
        <v>0.37154799999999999</v>
      </c>
      <c r="C100" s="68">
        <v>39.841500000000003</v>
      </c>
      <c r="D100" s="68">
        <v>2</v>
      </c>
      <c r="E100" s="68" t="s">
        <v>455</v>
      </c>
    </row>
    <row r="101" spans="1:5">
      <c r="A101" s="68">
        <v>0.416049</v>
      </c>
      <c r="B101" s="68">
        <v>0.37216199999999999</v>
      </c>
      <c r="C101" s="68">
        <v>40.255499999999998</v>
      </c>
      <c r="D101" s="68">
        <v>2</v>
      </c>
      <c r="E101" s="68" t="s">
        <v>456</v>
      </c>
    </row>
    <row r="102" spans="1:5">
      <c r="A102" s="68">
        <v>0.416246</v>
      </c>
      <c r="B102" s="68">
        <v>0.37279499999999999</v>
      </c>
      <c r="C102" s="68">
        <v>40.657800000000002</v>
      </c>
      <c r="D102" s="68">
        <v>2</v>
      </c>
      <c r="E102" s="68" t="s">
        <v>457</v>
      </c>
    </row>
    <row r="103" spans="1:5">
      <c r="A103" s="68">
        <v>0.41688700000000001</v>
      </c>
      <c r="B103" s="68">
        <v>0.37373000000000001</v>
      </c>
      <c r="C103" s="68">
        <v>41.066499999999998</v>
      </c>
      <c r="D103" s="68">
        <v>2</v>
      </c>
      <c r="E103" s="68" t="s">
        <v>458</v>
      </c>
    </row>
    <row r="104" spans="1:5">
      <c r="A104" s="68">
        <v>0.41755199999999998</v>
      </c>
      <c r="B104" s="68">
        <v>0.37485200000000002</v>
      </c>
      <c r="C104" s="68">
        <v>41.469700000000003</v>
      </c>
      <c r="D104" s="68">
        <v>2</v>
      </c>
      <c r="E104" s="68" t="s">
        <v>459</v>
      </c>
    </row>
    <row r="105" spans="1:5">
      <c r="A105" s="68">
        <v>0.41866900000000001</v>
      </c>
      <c r="B105" s="68">
        <v>0.376334</v>
      </c>
      <c r="C105" s="68">
        <v>41.877000000000002</v>
      </c>
      <c r="D105" s="68">
        <v>2</v>
      </c>
      <c r="E105" s="68" t="s">
        <v>460</v>
      </c>
    </row>
    <row r="106" spans="1:5">
      <c r="A106" s="68">
        <v>0.42022900000000002</v>
      </c>
      <c r="B106" s="68">
        <v>0.37678400000000001</v>
      </c>
      <c r="C106" s="68">
        <v>42.285899999999998</v>
      </c>
      <c r="D106" s="68">
        <v>2</v>
      </c>
      <c r="E106" s="68" t="s">
        <v>461</v>
      </c>
    </row>
    <row r="107" spans="1:5">
      <c r="A107" s="68">
        <v>0.42202899999999999</v>
      </c>
      <c r="B107" s="68">
        <v>0.37647900000000001</v>
      </c>
      <c r="C107" s="68">
        <v>42.690199999999997</v>
      </c>
      <c r="D107" s="68">
        <v>2</v>
      </c>
      <c r="E107" s="68" t="s">
        <v>462</v>
      </c>
    </row>
    <row r="108" spans="1:5">
      <c r="A108" s="68">
        <v>0.42399799999999999</v>
      </c>
      <c r="B108" s="68">
        <v>0.37614399999999998</v>
      </c>
      <c r="C108" s="68">
        <v>43.0974</v>
      </c>
      <c r="D108" s="68">
        <v>2</v>
      </c>
      <c r="E108" s="68" t="s">
        <v>463</v>
      </c>
    </row>
    <row r="109" spans="1:5">
      <c r="A109" s="68">
        <v>0.42600300000000002</v>
      </c>
      <c r="B109" s="68">
        <v>0.37545600000000001</v>
      </c>
      <c r="C109" s="68">
        <v>43.500900000000001</v>
      </c>
      <c r="D109" s="68">
        <v>2</v>
      </c>
      <c r="E109" s="68" t="s">
        <v>464</v>
      </c>
    </row>
    <row r="110" spans="1:5">
      <c r="A110" s="68">
        <v>0.42810900000000002</v>
      </c>
      <c r="B110" s="68">
        <v>0.37419999999999998</v>
      </c>
      <c r="C110" s="68">
        <v>43.907400000000003</v>
      </c>
      <c r="D110" s="68">
        <v>2</v>
      </c>
      <c r="E110" s="68" t="s">
        <v>465</v>
      </c>
    </row>
    <row r="111" spans="1:5">
      <c r="A111" s="68">
        <v>0.430143</v>
      </c>
      <c r="B111" s="68">
        <v>0.37352999999999997</v>
      </c>
      <c r="C111" s="68">
        <v>44.315800000000003</v>
      </c>
      <c r="D111" s="68">
        <v>2</v>
      </c>
      <c r="E111" s="68" t="s">
        <v>466</v>
      </c>
    </row>
    <row r="112" spans="1:5">
      <c r="A112" s="68">
        <v>0.43214399999999997</v>
      </c>
      <c r="B112" s="68">
        <v>0.37318299999999999</v>
      </c>
      <c r="C112" s="68">
        <v>44.719000000000001</v>
      </c>
      <c r="D112" s="68">
        <v>2</v>
      </c>
      <c r="E112" s="68" t="s">
        <v>467</v>
      </c>
    </row>
    <row r="113" spans="1:5">
      <c r="A113" s="68">
        <v>0.43437799999999999</v>
      </c>
      <c r="B113" s="68">
        <v>0.37321199999999999</v>
      </c>
      <c r="C113" s="68">
        <v>45.126800000000003</v>
      </c>
      <c r="D113" s="68">
        <v>2</v>
      </c>
      <c r="E113" s="68" t="s">
        <v>468</v>
      </c>
    </row>
    <row r="114" spans="1:5">
      <c r="A114" s="68">
        <v>0.43612899999999999</v>
      </c>
      <c r="B114" s="68">
        <v>0.373367</v>
      </c>
      <c r="C114" s="68">
        <v>45.5321</v>
      </c>
      <c r="D114" s="68">
        <v>2</v>
      </c>
      <c r="E114" s="68" t="s">
        <v>469</v>
      </c>
    </row>
    <row r="115" spans="1:5">
      <c r="A115" s="68">
        <v>0.43795899999999999</v>
      </c>
      <c r="B115" s="68">
        <v>0.37339600000000001</v>
      </c>
      <c r="C115" s="68">
        <v>45.936900000000001</v>
      </c>
      <c r="D115" s="68">
        <v>2</v>
      </c>
      <c r="E115" s="68" t="s">
        <v>470</v>
      </c>
    </row>
    <row r="116" spans="1:5">
      <c r="A116" s="68">
        <v>0.43989200000000001</v>
      </c>
      <c r="B116" s="68">
        <v>0.373226</v>
      </c>
      <c r="C116" s="68">
        <v>46.349699999999999</v>
      </c>
      <c r="D116" s="68">
        <v>2</v>
      </c>
      <c r="E116" s="68" t="s">
        <v>471</v>
      </c>
    </row>
    <row r="117" spans="1:5">
      <c r="A117" s="68">
        <v>0.44148399999999999</v>
      </c>
      <c r="B117" s="68">
        <v>0.37308400000000003</v>
      </c>
      <c r="C117" s="68">
        <v>46.752099999999999</v>
      </c>
      <c r="D117" s="68">
        <v>2</v>
      </c>
      <c r="E117" s="68" t="s">
        <v>472</v>
      </c>
    </row>
    <row r="118" spans="1:5">
      <c r="A118" s="68">
        <v>0.44301099999999999</v>
      </c>
      <c r="B118" s="68">
        <v>0.373056</v>
      </c>
      <c r="C118" s="68">
        <v>47.157899999999998</v>
      </c>
      <c r="D118" s="68">
        <v>2</v>
      </c>
      <c r="E118" s="68" t="s">
        <v>473</v>
      </c>
    </row>
    <row r="119" spans="1:5">
      <c r="A119" s="68">
        <v>0.44458799999999998</v>
      </c>
      <c r="B119" s="68">
        <v>0.37337999999999999</v>
      </c>
      <c r="C119" s="68">
        <v>47.562399999999997</v>
      </c>
      <c r="D119" s="68">
        <v>2</v>
      </c>
      <c r="E119" s="68" t="s">
        <v>474</v>
      </c>
    </row>
    <row r="120" spans="1:5">
      <c r="A120" s="68">
        <v>0.445774</v>
      </c>
      <c r="B120" s="68">
        <v>0.37459799999999999</v>
      </c>
      <c r="C120" s="68">
        <v>47.968499999999999</v>
      </c>
      <c r="D120" s="68">
        <v>2</v>
      </c>
      <c r="E120" s="68" t="s">
        <v>475</v>
      </c>
    </row>
    <row r="121" spans="1:5">
      <c r="A121" s="68">
        <v>0.44729999999999998</v>
      </c>
      <c r="B121" s="68">
        <v>0.37595699999999999</v>
      </c>
      <c r="C121" s="68">
        <v>48.374499999999998</v>
      </c>
      <c r="D121" s="68">
        <v>2</v>
      </c>
      <c r="E121" s="68" t="s">
        <v>476</v>
      </c>
    </row>
    <row r="122" spans="1:5">
      <c r="A122" s="68">
        <v>0.44883800000000001</v>
      </c>
      <c r="B122" s="68">
        <v>0.37785000000000002</v>
      </c>
      <c r="C122" s="68">
        <v>48.783900000000003</v>
      </c>
      <c r="D122" s="68">
        <v>2</v>
      </c>
      <c r="E122" s="68" t="s">
        <v>477</v>
      </c>
    </row>
    <row r="123" spans="1:5">
      <c r="A123" s="68">
        <v>0.45057999999999998</v>
      </c>
      <c r="B123" s="68">
        <v>0.38058700000000001</v>
      </c>
      <c r="C123" s="68">
        <v>49.187100000000001</v>
      </c>
      <c r="D123" s="68">
        <v>2</v>
      </c>
      <c r="E123" s="68" t="s">
        <v>478</v>
      </c>
    </row>
    <row r="124" spans="1:5">
      <c r="A124" s="68">
        <v>0.45206000000000002</v>
      </c>
      <c r="B124" s="68">
        <v>0.38415500000000002</v>
      </c>
      <c r="C124" s="68">
        <v>49.593000000000004</v>
      </c>
      <c r="D124" s="68">
        <v>2</v>
      </c>
      <c r="E124" s="68" t="s">
        <v>479</v>
      </c>
    </row>
    <row r="125" spans="1:5">
      <c r="A125" s="68">
        <v>0.45377699999999999</v>
      </c>
      <c r="B125" s="68">
        <v>0.38664700000000002</v>
      </c>
      <c r="C125" s="68">
        <v>50.0017</v>
      </c>
      <c r="D125" s="68">
        <v>2</v>
      </c>
      <c r="E125" s="68" t="s">
        <v>480</v>
      </c>
    </row>
    <row r="126" spans="1:5">
      <c r="A126" s="68">
        <v>0.45551999999999998</v>
      </c>
      <c r="B126" s="68">
        <v>0.38823099999999999</v>
      </c>
      <c r="C126" s="68">
        <v>50.406399999999998</v>
      </c>
      <c r="D126" s="68">
        <v>2</v>
      </c>
      <c r="E126" s="68" t="s">
        <v>481</v>
      </c>
    </row>
    <row r="127" spans="1:5">
      <c r="A127" s="68">
        <v>0.45740799999999998</v>
      </c>
      <c r="B127" s="68">
        <v>0.389905</v>
      </c>
      <c r="C127" s="68">
        <v>50.818300000000001</v>
      </c>
      <c r="D127" s="68">
        <v>2</v>
      </c>
      <c r="E127" s="68" t="s">
        <v>482</v>
      </c>
    </row>
    <row r="128" spans="1:5">
      <c r="A128" s="68">
        <v>0.459121</v>
      </c>
      <c r="B128" s="68">
        <v>0.39169399999999999</v>
      </c>
      <c r="C128" s="68">
        <v>51.220100000000002</v>
      </c>
      <c r="D128" s="68">
        <v>2</v>
      </c>
      <c r="E128" s="68" t="s">
        <v>483</v>
      </c>
    </row>
    <row r="129" spans="1:5">
      <c r="A129" s="68">
        <v>0.46086899999999997</v>
      </c>
      <c r="B129" s="68">
        <v>0.39372800000000002</v>
      </c>
      <c r="C129" s="68">
        <v>51.625900000000001</v>
      </c>
      <c r="D129" s="68">
        <v>2</v>
      </c>
      <c r="E129" s="68" t="s">
        <v>484</v>
      </c>
    </row>
    <row r="130" spans="1:5">
      <c r="A130" s="68">
        <v>0.462312</v>
      </c>
      <c r="B130" s="68">
        <v>0.39504800000000001</v>
      </c>
      <c r="C130" s="68">
        <v>52.032400000000003</v>
      </c>
      <c r="D130" s="68">
        <v>2</v>
      </c>
      <c r="E130" s="68" t="s">
        <v>485</v>
      </c>
    </row>
    <row r="131" spans="1:5">
      <c r="A131" s="68">
        <v>0.46328200000000003</v>
      </c>
      <c r="B131" s="68">
        <v>0.39630900000000002</v>
      </c>
      <c r="C131" s="68">
        <v>52.437100000000001</v>
      </c>
      <c r="D131" s="68">
        <v>2</v>
      </c>
      <c r="E131" s="68" t="s">
        <v>486</v>
      </c>
    </row>
    <row r="132" spans="1:5">
      <c r="A132" s="68">
        <v>0.46398800000000001</v>
      </c>
      <c r="B132" s="68">
        <v>0.39774399999999999</v>
      </c>
      <c r="C132" s="68">
        <v>52.841900000000003</v>
      </c>
      <c r="D132" s="68">
        <v>2</v>
      </c>
      <c r="E132" s="68" t="s">
        <v>487</v>
      </c>
    </row>
    <row r="133" spans="1:5">
      <c r="A133" s="68">
        <v>0.46440799999999999</v>
      </c>
      <c r="B133" s="68">
        <v>0.39909499999999998</v>
      </c>
      <c r="C133" s="68">
        <v>53.251100000000001</v>
      </c>
      <c r="D133" s="68">
        <v>2</v>
      </c>
      <c r="E133" s="68" t="s">
        <v>488</v>
      </c>
    </row>
    <row r="134" spans="1:5">
      <c r="A134" s="68">
        <v>0.46479100000000001</v>
      </c>
      <c r="B134" s="68">
        <v>0.40058100000000002</v>
      </c>
      <c r="C134" s="68">
        <v>53.657800000000002</v>
      </c>
      <c r="D134" s="68">
        <v>2</v>
      </c>
      <c r="E134" s="68" t="s">
        <v>489</v>
      </c>
    </row>
    <row r="135" spans="1:5">
      <c r="A135" s="68">
        <v>0.46456799999999998</v>
      </c>
      <c r="B135" s="68">
        <v>0.40220699999999998</v>
      </c>
      <c r="C135" s="68">
        <v>54.064300000000003</v>
      </c>
      <c r="D135" s="68">
        <v>2</v>
      </c>
      <c r="E135" s="68" t="s">
        <v>490</v>
      </c>
    </row>
    <row r="136" spans="1:5">
      <c r="A136" s="68">
        <v>0.464279</v>
      </c>
      <c r="B136" s="68">
        <v>0.40380300000000002</v>
      </c>
      <c r="C136" s="68">
        <v>54.469900000000003</v>
      </c>
      <c r="D136" s="68">
        <v>2</v>
      </c>
      <c r="E136" s="68" t="s">
        <v>491</v>
      </c>
    </row>
    <row r="137" spans="1:5">
      <c r="A137" s="68">
        <v>0.46415000000000001</v>
      </c>
      <c r="B137" s="68">
        <v>0.405835</v>
      </c>
      <c r="C137" s="68">
        <v>54.877600000000001</v>
      </c>
      <c r="D137" s="68">
        <v>2</v>
      </c>
      <c r="E137" s="68" t="s">
        <v>492</v>
      </c>
    </row>
    <row r="138" spans="1:5">
      <c r="A138" s="68">
        <v>0.46379399999999998</v>
      </c>
      <c r="B138" s="68">
        <v>0.40772000000000003</v>
      </c>
      <c r="C138" s="68">
        <v>55.2834</v>
      </c>
      <c r="D138" s="68">
        <v>2</v>
      </c>
      <c r="E138" s="68" t="s">
        <v>493</v>
      </c>
    </row>
    <row r="139" spans="1:5">
      <c r="A139" s="68">
        <v>0.4637</v>
      </c>
      <c r="B139" s="68">
        <v>0.40992899999999999</v>
      </c>
      <c r="C139" s="68">
        <v>55.691600000000001</v>
      </c>
      <c r="D139" s="68">
        <v>2</v>
      </c>
      <c r="E139" s="68" t="s">
        <v>494</v>
      </c>
    </row>
    <row r="140" spans="1:5">
      <c r="A140" s="68">
        <v>0.46350000000000002</v>
      </c>
      <c r="B140" s="68">
        <v>0.41273399999999999</v>
      </c>
      <c r="C140" s="68">
        <v>56.094700000000003</v>
      </c>
      <c r="D140" s="68">
        <v>2</v>
      </c>
      <c r="E140" s="68" t="s">
        <v>495</v>
      </c>
    </row>
    <row r="141" spans="1:5">
      <c r="A141" s="68">
        <v>0.46318399999999998</v>
      </c>
      <c r="B141" s="68">
        <v>0.41615400000000002</v>
      </c>
      <c r="C141" s="68">
        <v>56.502600000000001</v>
      </c>
      <c r="D141" s="68">
        <v>2</v>
      </c>
      <c r="E141" s="68" t="s">
        <v>496</v>
      </c>
    </row>
    <row r="142" spans="1:5">
      <c r="A142" s="68">
        <v>0.46291700000000002</v>
      </c>
      <c r="B142" s="68">
        <v>0.419622</v>
      </c>
      <c r="C142" s="68">
        <v>56.908799999999999</v>
      </c>
      <c r="D142" s="68">
        <v>2</v>
      </c>
      <c r="E142" s="68" t="s">
        <v>497</v>
      </c>
    </row>
    <row r="143" spans="1:5">
      <c r="A143" s="68">
        <v>0.46194299999999999</v>
      </c>
      <c r="B143" s="68">
        <v>0.42371900000000001</v>
      </c>
      <c r="C143" s="68">
        <v>57.315100000000001</v>
      </c>
      <c r="D143" s="68">
        <v>2</v>
      </c>
      <c r="E143" s="68" t="s">
        <v>498</v>
      </c>
    </row>
    <row r="144" spans="1:5">
      <c r="A144" s="68">
        <v>0.46038699999999999</v>
      </c>
      <c r="B144" s="68">
        <v>0.42801099999999997</v>
      </c>
      <c r="C144" s="68">
        <v>57.718499999999999</v>
      </c>
      <c r="D144" s="68">
        <v>2</v>
      </c>
      <c r="E144" s="68" t="s">
        <v>499</v>
      </c>
    </row>
    <row r="145" spans="1:5">
      <c r="A145" s="68">
        <v>0.459287</v>
      </c>
      <c r="B145" s="68">
        <v>0.43144100000000002</v>
      </c>
      <c r="C145" s="68">
        <v>58.125500000000002</v>
      </c>
      <c r="D145" s="68">
        <v>2</v>
      </c>
      <c r="E145" s="68" t="s">
        <v>500</v>
      </c>
    </row>
    <row r="146" spans="1:5">
      <c r="A146" s="68">
        <v>0.45753500000000003</v>
      </c>
      <c r="B146" s="68">
        <v>0.43651200000000001</v>
      </c>
      <c r="C146" s="68">
        <v>58.532400000000003</v>
      </c>
      <c r="D146" s="68">
        <v>2</v>
      </c>
      <c r="E146" s="68" t="s">
        <v>501</v>
      </c>
    </row>
    <row r="147" spans="1:5">
      <c r="A147" s="68">
        <v>0.45581700000000003</v>
      </c>
      <c r="B147" s="68">
        <v>0.44090099999999999</v>
      </c>
      <c r="C147" s="68">
        <v>58.939700000000002</v>
      </c>
      <c r="D147" s="68">
        <v>2</v>
      </c>
      <c r="E147" s="68" t="s">
        <v>502</v>
      </c>
    </row>
    <row r="148" spans="1:5">
      <c r="A148" s="68">
        <v>0.452625</v>
      </c>
      <c r="B148" s="68">
        <v>0.44385799999999997</v>
      </c>
      <c r="C148" s="68">
        <v>59.345700000000001</v>
      </c>
      <c r="D148" s="68">
        <v>2</v>
      </c>
      <c r="E148" s="68" t="s">
        <v>503</v>
      </c>
    </row>
    <row r="149" spans="1:5">
      <c r="A149" s="68">
        <v>0.45492700000000003</v>
      </c>
      <c r="B149" s="68">
        <v>0.44009599999999999</v>
      </c>
      <c r="C149" s="68">
        <v>59.749499999999998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510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43621.396516203706</v>
      </c>
      <c r="B2" s="66" t="s">
        <v>506</v>
      </c>
      <c r="C2" s="66"/>
      <c r="D2" s="66"/>
      <c r="E2" s="66">
        <v>4.9234099999999996</v>
      </c>
      <c r="F2" s="66">
        <v>2.14377</v>
      </c>
      <c r="G2" s="66">
        <v>0.62432299999999996</v>
      </c>
      <c r="H2" s="66">
        <v>0</v>
      </c>
      <c r="I2" s="66">
        <v>132910</v>
      </c>
      <c r="J2" s="66">
        <v>114</v>
      </c>
      <c r="K2" s="66">
        <v>114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2019-06-05T01:31:49Z</cp:lastPrinted>
  <dcterms:created xsi:type="dcterms:W3CDTF">2010-10-29T12:53:05Z</dcterms:created>
  <dcterms:modified xsi:type="dcterms:W3CDTF">2019-06-05T01:32:10Z</dcterms:modified>
</cp:coreProperties>
</file>