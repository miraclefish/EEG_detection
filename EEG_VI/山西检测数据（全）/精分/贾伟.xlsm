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<sst xmlns="http://schemas.openxmlformats.org/spreadsheetml/2006/main" count="701" uniqueCount="574">
  <si>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</si>
  <si>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</si>
  <si>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</si>
  <si>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</si>
  <si>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</si>
  <si>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</si>
  <si>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</si>
  <si>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</si>
  <si>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</si>
  <si>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</si>
  <si>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</si>
  <si>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</si>
  <si>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</si>
  <si>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</si>
  <si>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</si>
  <si>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</si>
  <si>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</si>
  <si>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</si>
  <si>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</si>
  <si>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</si>
  <si>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</si>
  <si>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</si>
  <si>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</si>
  <si>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</si>
  <si>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</si>
  <si>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</si>
  <si>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</si>
  <si>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</si>
  <si>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</si>
  <si>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</si>
  <si>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</si>
  <si>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</si>
  <si>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</si>
  <si>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</si>
  <si>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</si>
  <si>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</si>
  <si>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</si>
  <si>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</si>
  <si>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</si>
  <si>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</si>
  <si>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</si>
  <si>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</si>
  <si>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</si>
  <si>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</si>
  <si>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</si>
  <si>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</si>
  <si>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</si>
  <si>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</si>
  <si>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</si>
  <si>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</si>
  <si>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</si>
  <si>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</si>
  <si>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</si>
  <si>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</si>
  <si>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</si>
  <si>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</si>
  <si>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</si>
  <si>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</si>
  <si>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</si>
  <si>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</si>
  <si>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</si>
  <si>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</si>
  <si>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</si>
  <si>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</si>
  <si>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</si>
  <si>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</si>
  <si>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</si>
  <si>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</si>
  <si>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</si>
  <si>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</si>
  <si>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</si>
  <si>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</si>
  <si>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</si>
  <si>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</si>
  <si>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</si>
  <si>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</si>
  <si>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</si>
  <si>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</si>
  <si>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</si>
  <si>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</si>
  <si>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</si>
  <si>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</si>
  <si>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</si>
  <si>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</si>
  <si>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</si>
  <si>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</si>
  <si>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</si>
  <si>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</si>
  <si>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</si>
  <si>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</si>
  <si>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</si>
  <si>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</si>
  <si>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</si>
  <si>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</si>
  <si>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</si>
  <si>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</si>
  <si>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</si>
  <si>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</si>
  <si>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</si>
  <si>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</si>
  <si>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</si>
  <si>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</si>
  <si>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</si>
  <si>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</si>
  <si>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</si>
  <si>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</si>
  <si>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</si>
  <si>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</si>
  <si>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</si>
  <si>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</si>
  <si>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</si>
  <si>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</si>
  <si>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</si>
  <si>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</si>
  <si>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</si>
  <si>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</si>
  <si>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</si>
  <si>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</si>
  <si>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</si>
  <si>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</si>
  <si>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</si>
  <si>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</si>
  <si>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</si>
  <si>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</si>
  <si>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</si>
  <si>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</si>
  <si>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</si>
  <si>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</si>
  <si>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</si>
  <si>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</si>
  <si>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</si>
  <si>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</si>
  <si>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</si>
  <si>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</si>
  <si>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</si>
  <si>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</si>
  <si>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</si>
  <si>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</si>
  <si>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</si>
  <si>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</si>
  <si>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</si>
  <si>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</si>
  <si>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</si>
  <si>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</si>
  <si>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</si>
  <si>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</si>
  <si>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</si>
  <si>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</si>
  <si>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</si>
  <si>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</si>
  <si>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</si>
  <si>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</si>
  <si>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</si>
  <si>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</si>
  <si>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</si>
  <si>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</si>
  <si>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</si>
  <si>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</si>
  <si>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</si>
  <si>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</si>
  <si>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</si>
  <si>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</si>
  <si>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</si>
  <si>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</si>
  <si>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</si>
  <si>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</si>
  <si>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</si>
  <si>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</si>
  <si>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</si>
  <si>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</si>
  <si>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</si>
  <si>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</si>
  <si>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</si>
  <si>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</si>
  <si>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</si>
  <si>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</si>
  <si>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</si>
  <si>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</si>
  <si>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</si>
  <si>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</si>
  <si>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</si>
  <si>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</si>
  <si>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</si>
  <si>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</si>
  <si>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</si>
  <si>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</si>
  <si>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</si>
  <si>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</si>
  <si>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</si>
  <si>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</si>
  <si>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</si>
  <si>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</si>
  <si>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</si>
  <si>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</si>
  <si>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</si>
  <si>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</si>
  <si>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</si>
  <si>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</si>
  <si>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</si>
  <si>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</si>
  <si>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</si>
  <si>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</si>
  <si>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</si>
  <si>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</si>
  <si>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</si>
  <si>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</si>
  <si>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</si>
  <si>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</si>
  <si>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</si>
  <si>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</si>
  <si>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</si>
  <si>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</si>
  <si>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</si>
  <si>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</si>
  <si>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</si>
  <si>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</si>
  <si>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</si>
  <si>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</si>
  <si>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</si>
  <si>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</si>
  <si>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</si>
  <si>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</si>
  <si>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</si>
  <si>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</si>
  <si>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</si>
  <si>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</si>
  <si>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</si>
  <si>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</si>
  <si>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</si>
  <si>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</si>
  <si>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</si>
  <si>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</si>
  <si>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</si>
  <si>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</si>
  <si>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</si>
  <si>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</si>
  <si>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</si>
  <si>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</si>
  <si>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</si>
  <si>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</si>
  <si>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</si>
  <si>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</si>
  <si>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</si>
  <si>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</si>
  <si>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</si>
  <si>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</si>
  <si>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</si>
  <si>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</si>
  <si>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</si>
  <si>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</si>
  <si>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</si>
  <si>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</si>
  <si>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</si>
  <si>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</si>
  <si>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</si>
  <si>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</si>
  <si>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</si>
  <si>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</si>
  <si>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</si>
  <si>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</si>
  <si>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</si>
  <si>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</si>
  <si>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</si>
  <si>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</si>
  <si>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</si>
  <si>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</si>
  <si>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</si>
  <si>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</si>
  <si>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</si>
  <si>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</si>
  <si>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</si>
  <si>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</si>
  <si>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</si>
  <si>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</si>
  <si>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</si>
  <si>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</si>
  <si>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</si>
  <si>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</si>
  <si>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</si>
  <si>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</si>
  <si>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</si>
  <si>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</si>
  <si>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</si>
  <si>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</si>
  <si>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</si>
  <si>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</si>
  <si>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</si>
  <si>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</si>
  <si>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</si>
  <si>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</si>
  <si>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</si>
  <si>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</si>
  <si>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</si>
  <si>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</si>
  <si>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</si>
  <si>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</si>
  <si>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</si>
  <si>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</si>
  <si>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</si>
  <si>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</si>
  <si>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</si>
  <si>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</si>
  <si>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</si>
  <si>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</si>
  <si>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</si>
  <si>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</si>
  <si>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</si>
  <si>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</si>
  <si>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</si>
  <si>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</si>
  <si>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</si>
  <si>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</si>
  <si>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</si>
  <si>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</si>
  <si>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</si>
  <si>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</si>
  <si>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</si>
  <si>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</si>
  <si>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</si>
  <si>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</si>
  <si>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</si>
  <si>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</si>
  <si>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</si>
  <si>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</si>
  <si>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</si>
  <si>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</si>
  <si>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</si>
  <si>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</si>
  <si>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</si>
  <si>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</si>
  <si>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</si>
  <si>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</si>
  <si>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</si>
  <si>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</si>
  <si>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</si>
  <si>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</si>
  <si>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</si>
  <si>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</si>
  <si>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</si>
  <si>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</si>
  <si>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</si>
  <si>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</si>
  <si>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</si>
  <si>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</si>
  <si>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</si>
  <si>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</si>
  <si>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</si>
  <si>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</si>
  <si>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</si>
  <si>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</si>
  <si>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</si>
  <si>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</si>
  <si>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</si>
  <si>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</si>
  <si>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</si>
  <si>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</si>
  <si>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</si>
  <si>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</si>
  <si>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</si>
  <si>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</si>
  <si>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</si>
  <si>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</si>
  <si>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</si>
  <si>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</si>
  <si>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</si>
  <si>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</si>
  <si>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</si>
  <si>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</si>
  <si>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</si>
  <si>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</si>
  <si>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</si>
  <si>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</si>
  <si>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</si>
  <si>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</si>
  <si>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</si>
  <si>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</si>
  <si>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</si>
  <si>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</si>
  <si>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</si>
  <si>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</si>
  <si>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</si>
  <si>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</si>
  <si>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</si>
  <si>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</si>
  <si>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</si>
  <si>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</si>
  <si>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</si>
  <si>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</si>
  <si>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</si>
  <si>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</si>
  <si>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</si>
  <si>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</si>
  <si>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</si>
  <si>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</si>
  <si>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</si>
  <si>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</si>
  <si>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</si>
  <si>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</si>
  <si>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</si>
  <si>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</si>
  <si>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</si>
  <si>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攻击性(P7)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</si>
  <si>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</si>
  <si>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</si>
  <si>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</si>
  <si>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</si>
  <si>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</si>
  <si>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</si>
  <si>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</si>
  <si>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</si>
  <si>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</si>
  <si>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[0.384413]</t>
  </si>
  <si>
    <t>1 [0.789365]</t>
  </si>
  <si>
    <t>1 [1.193185]</t>
  </si>
  <si>
    <t>1 [1.599413]</t>
  </si>
  <si>
    <t>1 [2.007107]</t>
  </si>
  <si>
    <t>1 [2.413036]</t>
  </si>
  <si>
    <t>1 [2.821054]</t>
  </si>
  <si>
    <t>1 [3.227867]</t>
  </si>
  <si>
    <t>1 [3.633769]</t>
  </si>
  <si>
    <t>1 [4.037658]</t>
  </si>
  <si>
    <t>1 [4.445499]</t>
  </si>
  <si>
    <t>1 [4.851685]</t>
  </si>
  <si>
    <t>1 [5.259411]</t>
  </si>
  <si>
    <t>1 [5.666694]</t>
  </si>
  <si>
    <t>1 [6.070257]</t>
  </si>
  <si>
    <t>1 [6.475112]</t>
  </si>
  <si>
    <t>1 [6.883098]</t>
  </si>
  <si>
    <t>1 [7.291078]</t>
  </si>
  <si>
    <t>1 [7.696916]</t>
  </si>
  <si>
    <t>1 [8.101828]</t>
  </si>
  <si>
    <t>1 [8.505675]</t>
  </si>
  <si>
    <t>1 [8.915283]</t>
  </si>
  <si>
    <t>1 [9.322519]</t>
  </si>
  <si>
    <t>1 [9.728699]</t>
  </si>
  <si>
    <t>1 [10.128450]</t>
  </si>
  <si>
    <t>1 [10.538281]</t>
  </si>
  <si>
    <t>1 [10.946177]</t>
  </si>
  <si>
    <t>1 [11.352096]</t>
  </si>
  <si>
    <t>1 [11.757959]</t>
  </si>
  <si>
    <t>1 [12.164231]</t>
  </si>
  <si>
    <t>1 [12.572832]</t>
  </si>
  <si>
    <t>1 [12.978770]</t>
  </si>
  <si>
    <t>1 [13.381832]</t>
  </si>
  <si>
    <t>1 [13.786585]</t>
  </si>
  <si>
    <t>1 [14.194576]</t>
  </si>
  <si>
    <t>1 [14.603404]</t>
  </si>
  <si>
    <t>1 [15.008352]</t>
  </si>
  <si>
    <t>1 [15.415225]</t>
  </si>
  <si>
    <t>1 [15.819129]</t>
  </si>
  <si>
    <t>1 [16.226267]</t>
  </si>
  <si>
    <t>1 [16.635995]</t>
  </si>
  <si>
    <t>1 [17.040941]</t>
  </si>
  <si>
    <t>1 [17.448035]</t>
  </si>
  <si>
    <t>1 [17.855669]</t>
  </si>
  <si>
    <t>1 [18.259664]</t>
  </si>
  <si>
    <t>1 [18.666570]</t>
  </si>
  <si>
    <t>1 [19.068522]</t>
  </si>
  <si>
    <t>1 [19.475483]</t>
  </si>
  <si>
    <t>1 [19.882273]</t>
  </si>
  <si>
    <t>1 [20.290244]</t>
  </si>
  <si>
    <t>1 [20.695083]</t>
  </si>
  <si>
    <t>1 [21.100118]</t>
  </si>
  <si>
    <t>1 [21.508971]</t>
  </si>
  <si>
    <t>1 [21.915935]</t>
  </si>
  <si>
    <t>1 [22.321860]</t>
  </si>
  <si>
    <t>1 [22.727735]</t>
  </si>
  <si>
    <t>1 [23.130960]</t>
  </si>
  <si>
    <t>1 [23.539583]</t>
  </si>
  <si>
    <t>1 [23.949649]</t>
  </si>
  <si>
    <t>1 [24.354388]</t>
  </si>
  <si>
    <t>1 [24.758513]</t>
  </si>
  <si>
    <t>1 [25.165330]</t>
  </si>
  <si>
    <t>1 [25.572080]</t>
  </si>
  <si>
    <t>1 [25.977043]</t>
  </si>
  <si>
    <t>1 [26.383276]</t>
  </si>
  <si>
    <t>1 [26.787924]</t>
  </si>
  <si>
    <t>1 [27.195763]</t>
  </si>
  <si>
    <t>1 [27.602680]</t>
  </si>
  <si>
    <t>1 [28.008631]</t>
  </si>
  <si>
    <t>1 [28.413433]</t>
  </si>
  <si>
    <t>1 [28.819548]</t>
  </si>
  <si>
    <t>1 [29.229308]</t>
  </si>
  <si>
    <t>1 [29.637192]</t>
  </si>
  <si>
    <t>2 [30.041342]</t>
  </si>
  <si>
    <t>2 [30.524877]</t>
  </si>
  <si>
    <t>2 [30.914039]</t>
  </si>
  <si>
    <t>2 [31.303067]</t>
  </si>
  <si>
    <t>2 [31.711695]</t>
  </si>
  <si>
    <t>2 [32.114681]</t>
  </si>
  <si>
    <t>2 [32.521562]</t>
  </si>
  <si>
    <t>2 [32.930103]</t>
  </si>
  <si>
    <t>2 [33.336367]</t>
  </si>
  <si>
    <t>2 [33.743254]</t>
  </si>
  <si>
    <t>2 [34.145204]</t>
  </si>
  <si>
    <t>2 [34.554090]</t>
  </si>
  <si>
    <t>2 [34.961335]</t>
  </si>
  <si>
    <t>2 [35.366957]</t>
  </si>
  <si>
    <t>2 [35.774976]</t>
  </si>
  <si>
    <t>2 [36.181128]</t>
  </si>
  <si>
    <t>2 [36.585619]</t>
  </si>
  <si>
    <t>2 [36.994723]</t>
  </si>
  <si>
    <t>2 [37.401468]</t>
  </si>
  <si>
    <t>2 [37.806402]</t>
  </si>
  <si>
    <t>2 [38.212246]</t>
  </si>
  <si>
    <t>2 [38.616204]</t>
  </si>
  <si>
    <t>2 [39.022150]</t>
  </si>
  <si>
    <t>2 [39.426486]</t>
  </si>
  <si>
    <t>2 [39.839506]</t>
  </si>
  <si>
    <t>2 [40.241166]</t>
  </si>
  <si>
    <t>2 [40.648871]</t>
  </si>
  <si>
    <t>2 [41.056698]</t>
  </si>
  <si>
    <t>2 [41.459609]</t>
  </si>
  <si>
    <t>2 [41.866525]</t>
  </si>
  <si>
    <t>2 [42.271590]</t>
  </si>
  <si>
    <t>2 [42.684357]</t>
  </si>
  <si>
    <t>2 [43.088292]</t>
  </si>
  <si>
    <t>2 [43.492159]</t>
  </si>
  <si>
    <t>2 [43.897229]</t>
  </si>
  <si>
    <t>2 [44.303420]</t>
  </si>
  <si>
    <t>2 [44.711983]</t>
  </si>
  <si>
    <t>2 [45.117867]</t>
  </si>
  <si>
    <t>2 [45.522837]</t>
  </si>
  <si>
    <t>2 [45.929688]</t>
  </si>
  <si>
    <t>2 [46.334725]</t>
  </si>
  <si>
    <t>2 [46.740543]</t>
  </si>
  <si>
    <t>2 [47.147683]</t>
  </si>
  <si>
    <t>2 [47.553496]</t>
  </si>
  <si>
    <t>2 [47.964517]</t>
  </si>
  <si>
    <t>2 [48.368121]</t>
  </si>
  <si>
    <t>2 [48.772054]</t>
  </si>
  <si>
    <t>2 [49.179925]</t>
  </si>
  <si>
    <t>2 [49.585081]</t>
  </si>
  <si>
    <t>2 [49.993856]</t>
  </si>
  <si>
    <t>2 [50.400206]</t>
  </si>
  <si>
    <t>2 [50.806593]</t>
  </si>
  <si>
    <t>2 [51.211489]</t>
  </si>
  <si>
    <t>2 [51.616606]</t>
  </si>
  <si>
    <t>2 [52.023331]</t>
  </si>
  <si>
    <t>2 [52.429326]</t>
  </si>
  <si>
    <t>2 [52.833679]</t>
  </si>
  <si>
    <t>2 [53.241224]</t>
  </si>
  <si>
    <t>2 [53.646092]</t>
  </si>
  <si>
    <t>2 [54.053927]</t>
  </si>
  <si>
    <t>2 [54.459921]</t>
  </si>
  <si>
    <t>2 [54.868875]</t>
  </si>
  <si>
    <t>2 [55.275689]</t>
  </si>
  <si>
    <t>2 [55.683036]</t>
  </si>
  <si>
    <t>2 [56.087526]</t>
  </si>
  <si>
    <t>2 [56.492468]</t>
  </si>
  <si>
    <t>2 [56.900319]</t>
  </si>
  <si>
    <t>2 [57.305264]</t>
  </si>
  <si>
    <t>2 [57.712109]</t>
  </si>
  <si>
    <t>2 [58.117111]</t>
  </si>
  <si>
    <t>2 [58.521046]</t>
  </si>
  <si>
    <t>2 [58.931999]</t>
  </si>
  <si>
    <t>2 [59.337884]</t>
  </si>
  <si>
    <t>2 [59.742813]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</si>
  <si>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</si>
  <si>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</si>
  <si>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</si>
  <si>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</si>
  <si>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</si>
  <si>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</si>
  <si>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</si>
  <si>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</si>
  <si>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</si>
  <si>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</si>
  <si>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</si>
  <si>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</si>
  <si>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</si>
  <si>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</si>
  <si>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</si>
  <si>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贾伟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</si>
</sst>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36.301099999999998</c:v>
                </c:pt>
                <c:pt idx="1">
                  <c:v>26.821100000000001</c:v>
                </c:pt>
                <c:pt idx="2">
                  <c:v>20.348099999999999</c:v>
                </c:pt>
                <c:pt idx="3">
                  <c:v>28.1967</c:v>
                </c:pt>
                <c:pt idx="4">
                  <c:v>64.488799999999998</c:v>
                </c:pt>
                <c:pt idx="5">
                  <c:v>80.107500000000002</c:v>
                </c:pt>
                <c:pt idx="6">
                  <c:v>22.1187</c:v>
                </c:pt>
                <c:pt idx="7">
                  <c:v>71.508799999999994</c:v>
                </c:pt>
                <c:pt idx="8">
                  <c:v>18.678799999999999</c:v>
                </c:pt>
                <c:pt idx="9">
                  <c:v>36.976599999999998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0.51652856364765432</c:v>
                </c:pt>
                <c:pt idx="1">
                  <c:v>0.24212188335860069</c:v>
                </c:pt>
                <c:pt idx="2">
                  <c:v>0.24134955299374505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1871</c:v>
                </c:pt>
                <c:pt idx="7">
                  <c:v>0</c:v>
                </c:pt>
                <c:pt idx="8">
                  <c:v>714</c:v>
                </c:pt>
                <c:pt idx="9">
                  <c:v>0</c:v>
                </c:pt>
                <c:pt idx="10">
                  <c:v>0</c:v>
                </c:pt>
                <c:pt idx="11">
                  <c:v>1649</c:v>
                </c:pt>
                <c:pt idx="12">
                  <c:v>0</c:v>
                </c:pt>
                <c:pt idx="13">
                  <c:v>3688</c:v>
                </c:pt>
                <c:pt idx="14">
                  <c:v>0</c:v>
                </c:pt>
                <c:pt idx="15">
                  <c:v>0</c:v>
                </c:pt>
                <c:pt idx="16">
                  <c:v>11402</c:v>
                </c:pt>
                <c:pt idx="17">
                  <c:v>0</c:v>
                </c:pt>
                <c:pt idx="18">
                  <c:v>0</c:v>
                </c:pt>
                <c:pt idx="19">
                  <c:v>26601</c:v>
                </c:pt>
                <c:pt idx="20">
                  <c:v>0</c:v>
                </c:pt>
                <c:pt idx="21">
                  <c:v>27530</c:v>
                </c:pt>
                <c:pt idx="22">
                  <c:v>0</c:v>
                </c:pt>
                <c:pt idx="23">
                  <c:v>0</c:v>
                </c:pt>
                <c:pt idx="24">
                  <c:v>33932</c:v>
                </c:pt>
                <c:pt idx="25">
                  <c:v>0</c:v>
                </c:pt>
                <c:pt idx="26">
                  <c:v>40971</c:v>
                </c:pt>
                <c:pt idx="27">
                  <c:v>0</c:v>
                </c:pt>
                <c:pt idx="28">
                  <c:v>0</c:v>
                </c:pt>
                <c:pt idx="29">
                  <c:v>46152</c:v>
                </c:pt>
                <c:pt idx="30">
                  <c:v>0</c:v>
                </c:pt>
                <c:pt idx="31">
                  <c:v>52813</c:v>
                </c:pt>
                <c:pt idx="32">
                  <c:v>0</c:v>
                </c:pt>
                <c:pt idx="33">
                  <c:v>0</c:v>
                </c:pt>
                <c:pt idx="34">
                  <c:v>59001</c:v>
                </c:pt>
                <c:pt idx="35">
                  <c:v>0</c:v>
                </c:pt>
                <c:pt idx="36">
                  <c:v>0</c:v>
                </c:pt>
                <c:pt idx="37">
                  <c:v>64350</c:v>
                </c:pt>
                <c:pt idx="38">
                  <c:v>0</c:v>
                </c:pt>
                <c:pt idx="39">
                  <c:v>65607</c:v>
                </c:pt>
                <c:pt idx="40">
                  <c:v>0</c:v>
                </c:pt>
                <c:pt idx="41">
                  <c:v>0</c:v>
                </c:pt>
                <c:pt idx="42">
                  <c:v>84782</c:v>
                </c:pt>
                <c:pt idx="43">
                  <c:v>0</c:v>
                </c:pt>
                <c:pt idx="44">
                  <c:v>100740</c:v>
                </c:pt>
                <c:pt idx="45">
                  <c:v>0</c:v>
                </c:pt>
                <c:pt idx="46">
                  <c:v>0</c:v>
                </c:pt>
                <c:pt idx="47">
                  <c:v>116766</c:v>
                </c:pt>
                <c:pt idx="48">
                  <c:v>0</c:v>
                </c:pt>
                <c:pt idx="49">
                  <c:v>121679</c:v>
                </c:pt>
                <c:pt idx="50">
                  <c:v>0</c:v>
                </c:pt>
                <c:pt idx="51">
                  <c:v>0</c:v>
                </c:pt>
                <c:pt idx="52">
                  <c:v>131585</c:v>
                </c:pt>
                <c:pt idx="53">
                  <c:v>0</c:v>
                </c:pt>
                <c:pt idx="54">
                  <c:v>0</c:v>
                </c:pt>
                <c:pt idx="55">
                  <c:v>154003</c:v>
                </c:pt>
                <c:pt idx="56">
                  <c:v>0</c:v>
                </c:pt>
                <c:pt idx="57">
                  <c:v>162946</c:v>
                </c:pt>
                <c:pt idx="58">
                  <c:v>0</c:v>
                </c:pt>
                <c:pt idx="59">
                  <c:v>0</c:v>
                </c:pt>
                <c:pt idx="60">
                  <c:v>162237</c:v>
                </c:pt>
                <c:pt idx="61">
                  <c:v>0</c:v>
                </c:pt>
                <c:pt idx="62">
                  <c:v>168036</c:v>
                </c:pt>
                <c:pt idx="63">
                  <c:v>0</c:v>
                </c:pt>
                <c:pt idx="64">
                  <c:v>0</c:v>
                </c:pt>
                <c:pt idx="65">
                  <c:v>174023</c:v>
                </c:pt>
                <c:pt idx="66">
                  <c:v>0</c:v>
                </c:pt>
                <c:pt idx="67">
                  <c:v>166049</c:v>
                </c:pt>
                <c:pt idx="68">
                  <c:v>0</c:v>
                </c:pt>
                <c:pt idx="69">
                  <c:v>0</c:v>
                </c:pt>
                <c:pt idx="70">
                  <c:v>159533</c:v>
                </c:pt>
                <c:pt idx="71">
                  <c:v>0</c:v>
                </c:pt>
                <c:pt idx="72">
                  <c:v>0</c:v>
                </c:pt>
                <c:pt idx="73">
                  <c:v>172710</c:v>
                </c:pt>
                <c:pt idx="74">
                  <c:v>0</c:v>
                </c:pt>
                <c:pt idx="75">
                  <c:v>169784</c:v>
                </c:pt>
                <c:pt idx="76">
                  <c:v>0</c:v>
                </c:pt>
                <c:pt idx="77">
                  <c:v>0</c:v>
                </c:pt>
                <c:pt idx="78">
                  <c:v>166322</c:v>
                </c:pt>
                <c:pt idx="79">
                  <c:v>0</c:v>
                </c:pt>
                <c:pt idx="80">
                  <c:v>164768</c:v>
                </c:pt>
                <c:pt idx="81">
                  <c:v>0</c:v>
                </c:pt>
                <c:pt idx="82">
                  <c:v>0</c:v>
                </c:pt>
                <c:pt idx="83">
                  <c:v>155212</c:v>
                </c:pt>
                <c:pt idx="84">
                  <c:v>0</c:v>
                </c:pt>
                <c:pt idx="85">
                  <c:v>0</c:v>
                </c:pt>
                <c:pt idx="86">
                  <c:v>149388</c:v>
                </c:pt>
                <c:pt idx="87">
                  <c:v>0</c:v>
                </c:pt>
                <c:pt idx="88">
                  <c:v>145678</c:v>
                </c:pt>
                <c:pt idx="89">
                  <c:v>0</c:v>
                </c:pt>
                <c:pt idx="90">
                  <c:v>0</c:v>
                </c:pt>
                <c:pt idx="91">
                  <c:v>143647</c:v>
                </c:pt>
                <c:pt idx="92">
                  <c:v>0</c:v>
                </c:pt>
                <c:pt idx="93">
                  <c:v>152278</c:v>
                </c:pt>
                <c:pt idx="94">
                  <c:v>0</c:v>
                </c:pt>
                <c:pt idx="95">
                  <c:v>0</c:v>
                </c:pt>
                <c:pt idx="96">
                  <c:v>147090</c:v>
                </c:pt>
                <c:pt idx="97">
                  <c:v>0</c:v>
                </c:pt>
                <c:pt idx="98">
                  <c:v>147397</c:v>
                </c:pt>
                <c:pt idx="99">
                  <c:v>0</c:v>
                </c:pt>
                <c:pt idx="100">
                  <c:v>0</c:v>
                </c:pt>
                <c:pt idx="101">
                  <c:v>140897</c:v>
                </c:pt>
                <c:pt idx="102">
                  <c:v>0</c:v>
                </c:pt>
                <c:pt idx="103">
                  <c:v>0</c:v>
                </c:pt>
                <c:pt idx="104">
                  <c:v>143310</c:v>
                </c:pt>
                <c:pt idx="105">
                  <c:v>0</c:v>
                </c:pt>
                <c:pt idx="106">
                  <c:v>126898</c:v>
                </c:pt>
                <c:pt idx="107">
                  <c:v>0</c:v>
                </c:pt>
                <c:pt idx="108">
                  <c:v>0</c:v>
                </c:pt>
                <c:pt idx="109">
                  <c:v>116338</c:v>
                </c:pt>
                <c:pt idx="110">
                  <c:v>0</c:v>
                </c:pt>
                <c:pt idx="111">
                  <c:v>120349</c:v>
                </c:pt>
                <c:pt idx="112">
                  <c:v>0</c:v>
                </c:pt>
                <c:pt idx="113">
                  <c:v>0</c:v>
                </c:pt>
                <c:pt idx="114">
                  <c:v>115907</c:v>
                </c:pt>
                <c:pt idx="115">
                  <c:v>0</c:v>
                </c:pt>
                <c:pt idx="116">
                  <c:v>118215</c:v>
                </c:pt>
                <c:pt idx="117">
                  <c:v>0</c:v>
                </c:pt>
                <c:pt idx="118">
                  <c:v>0</c:v>
                </c:pt>
                <c:pt idx="119">
                  <c:v>116665</c:v>
                </c:pt>
                <c:pt idx="120">
                  <c:v>0</c:v>
                </c:pt>
                <c:pt idx="121">
                  <c:v>0</c:v>
                </c:pt>
                <c:pt idx="122">
                  <c:v>112523</c:v>
                </c:pt>
                <c:pt idx="123">
                  <c:v>0</c:v>
                </c:pt>
                <c:pt idx="124">
                  <c:v>104726</c:v>
                </c:pt>
                <c:pt idx="125">
                  <c:v>0</c:v>
                </c:pt>
                <c:pt idx="126">
                  <c:v>0</c:v>
                </c:pt>
                <c:pt idx="127">
                  <c:v>100350</c:v>
                </c:pt>
                <c:pt idx="128">
                  <c:v>0</c:v>
                </c:pt>
                <c:pt idx="129">
                  <c:v>85732</c:v>
                </c:pt>
                <c:pt idx="130">
                  <c:v>0</c:v>
                </c:pt>
                <c:pt idx="131">
                  <c:v>0</c:v>
                </c:pt>
                <c:pt idx="132">
                  <c:v>69384</c:v>
                </c:pt>
                <c:pt idx="133">
                  <c:v>0</c:v>
                </c:pt>
                <c:pt idx="134">
                  <c:v>59239</c:v>
                </c:pt>
                <c:pt idx="135">
                  <c:v>0</c:v>
                </c:pt>
                <c:pt idx="136">
                  <c:v>0</c:v>
                </c:pt>
                <c:pt idx="137">
                  <c:v>47488</c:v>
                </c:pt>
                <c:pt idx="138">
                  <c:v>0</c:v>
                </c:pt>
                <c:pt idx="139">
                  <c:v>0</c:v>
                </c:pt>
                <c:pt idx="140">
                  <c:v>45417</c:v>
                </c:pt>
                <c:pt idx="141">
                  <c:v>0</c:v>
                </c:pt>
                <c:pt idx="142">
                  <c:v>40703</c:v>
                </c:pt>
                <c:pt idx="143">
                  <c:v>0</c:v>
                </c:pt>
                <c:pt idx="144">
                  <c:v>0</c:v>
                </c:pt>
                <c:pt idx="145">
                  <c:v>37860</c:v>
                </c:pt>
                <c:pt idx="146">
                  <c:v>0</c:v>
                </c:pt>
                <c:pt idx="147">
                  <c:v>33708</c:v>
                </c:pt>
                <c:pt idx="148">
                  <c:v>0</c:v>
                </c:pt>
                <c:pt idx="149">
                  <c:v>0</c:v>
                </c:pt>
                <c:pt idx="150">
                  <c:v>29975</c:v>
                </c:pt>
                <c:pt idx="151">
                  <c:v>0</c:v>
                </c:pt>
                <c:pt idx="152">
                  <c:v>23559</c:v>
                </c:pt>
                <c:pt idx="153">
                  <c:v>0</c:v>
                </c:pt>
                <c:pt idx="154">
                  <c:v>0</c:v>
                </c:pt>
                <c:pt idx="155">
                  <c:v>25137</c:v>
                </c:pt>
                <c:pt idx="156">
                  <c:v>0</c:v>
                </c:pt>
                <c:pt idx="157">
                  <c:v>0</c:v>
                </c:pt>
                <c:pt idx="158">
                  <c:v>19675</c:v>
                </c:pt>
                <c:pt idx="159">
                  <c:v>0</c:v>
                </c:pt>
                <c:pt idx="160">
                  <c:v>16200</c:v>
                </c:pt>
                <c:pt idx="161">
                  <c:v>0</c:v>
                </c:pt>
                <c:pt idx="162">
                  <c:v>0</c:v>
                </c:pt>
                <c:pt idx="163">
                  <c:v>11381</c:v>
                </c:pt>
                <c:pt idx="164">
                  <c:v>0</c:v>
                </c:pt>
                <c:pt idx="165">
                  <c:v>10947</c:v>
                </c:pt>
                <c:pt idx="166">
                  <c:v>0</c:v>
                </c:pt>
                <c:pt idx="167">
                  <c:v>0</c:v>
                </c:pt>
                <c:pt idx="168">
                  <c:v>11130</c:v>
                </c:pt>
                <c:pt idx="169">
                  <c:v>0</c:v>
                </c:pt>
                <c:pt idx="170">
                  <c:v>0</c:v>
                </c:pt>
                <c:pt idx="171">
                  <c:v>7802</c:v>
                </c:pt>
                <c:pt idx="172">
                  <c:v>0</c:v>
                </c:pt>
                <c:pt idx="173">
                  <c:v>5398</c:v>
                </c:pt>
                <c:pt idx="174">
                  <c:v>0</c:v>
                </c:pt>
                <c:pt idx="175">
                  <c:v>0</c:v>
                </c:pt>
                <c:pt idx="176">
                  <c:v>3605</c:v>
                </c:pt>
                <c:pt idx="177">
                  <c:v>0</c:v>
                </c:pt>
                <c:pt idx="178">
                  <c:v>2083</c:v>
                </c:pt>
                <c:pt idx="179">
                  <c:v>0</c:v>
                </c:pt>
                <c:pt idx="180">
                  <c:v>0</c:v>
                </c:pt>
                <c:pt idx="181">
                  <c:v>875</c:v>
                </c:pt>
                <c:pt idx="182">
                  <c:v>0</c:v>
                </c:pt>
                <c:pt idx="183">
                  <c:v>259</c:v>
                </c:pt>
                <c:pt idx="184">
                  <c:v>0</c:v>
                </c:pt>
                <c:pt idx="185">
                  <c:v>0</c:v>
                </c:pt>
                <c:pt idx="186">
                  <c:v>453</c:v>
                </c:pt>
                <c:pt idx="187">
                  <c:v>0</c:v>
                </c:pt>
                <c:pt idx="188">
                  <c:v>0</c:v>
                </c:pt>
                <c:pt idx="189">
                  <c:v>123</c:v>
                </c:pt>
                <c:pt idx="190">
                  <c:v>0</c:v>
                </c:pt>
                <c:pt idx="191">
                  <c:v>121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  <c:pt idx="74">
                  <c:v>3.5529699999999997</c:v>
                </c:pt>
                <c:pt idx="75">
                  <c:v>3.5063800000000001</c:v>
                </c:pt>
                <c:pt idx="76">
                  <c:v>3.4620899999999999</c:v>
                </c:pt>
                <c:pt idx="77">
                  <c:v>3.4166400000000001</c:v>
                </c:pt>
                <c:pt idx="78">
                  <c:v>3.3699400000000002</c:v>
                </c:pt>
                <c:pt idx="79">
                  <c:v>3.3241900000000002</c:v>
                </c:pt>
                <c:pt idx="80">
                  <c:v>3.2823700000000002</c:v>
                </c:pt>
                <c:pt idx="81">
                  <c:v>3.2454000000000001</c:v>
                </c:pt>
                <c:pt idx="82">
                  <c:v>3.2103700000000002</c:v>
                </c:pt>
                <c:pt idx="83">
                  <c:v>3.1773600000000002</c:v>
                </c:pt>
                <c:pt idx="84">
                  <c:v>3.1466699999999999</c:v>
                </c:pt>
                <c:pt idx="85">
                  <c:v>3.11985</c:v>
                </c:pt>
                <c:pt idx="86">
                  <c:v>3.0983000000000001</c:v>
                </c:pt>
                <c:pt idx="87">
                  <c:v>3.0775400000000004</c:v>
                </c:pt>
                <c:pt idx="88">
                  <c:v>3.0581399999999999</c:v>
                </c:pt>
                <c:pt idx="89">
                  <c:v>3.0426500000000001</c:v>
                </c:pt>
                <c:pt idx="90">
                  <c:v>3.0288700000000004</c:v>
                </c:pt>
                <c:pt idx="91">
                  <c:v>3.0139300000000002</c:v>
                </c:pt>
                <c:pt idx="92">
                  <c:v>2.9973899999999998</c:v>
                </c:pt>
                <c:pt idx="93">
                  <c:v>2.9813400000000003</c:v>
                </c:pt>
                <c:pt idx="94">
                  <c:v>2.9692600000000002</c:v>
                </c:pt>
                <c:pt idx="95">
                  <c:v>2.96143</c:v>
                </c:pt>
                <c:pt idx="96">
                  <c:v>2.9598300000000002</c:v>
                </c:pt>
                <c:pt idx="97">
                  <c:v>2.9632900000000002</c:v>
                </c:pt>
                <c:pt idx="98">
                  <c:v>2.9700300000000004</c:v>
                </c:pt>
                <c:pt idx="99">
                  <c:v>2.97925</c:v>
                </c:pt>
                <c:pt idx="100">
                  <c:v>2.99193</c:v>
                </c:pt>
                <c:pt idx="101">
                  <c:v>3.0060900000000004</c:v>
                </c:pt>
                <c:pt idx="102">
                  <c:v>3.0249199999999998</c:v>
                </c:pt>
                <c:pt idx="103">
                  <c:v>3.05044</c:v>
                </c:pt>
                <c:pt idx="104">
                  <c:v>3.0786500000000001</c:v>
                </c:pt>
                <c:pt idx="105">
                  <c:v>3.1091500000000001</c:v>
                </c:pt>
                <c:pt idx="106">
                  <c:v>3.1417099999999998</c:v>
                </c:pt>
                <c:pt idx="107">
                  <c:v>3.17171</c:v>
                </c:pt>
                <c:pt idx="108">
                  <c:v>3.1969700000000003</c:v>
                </c:pt>
                <c:pt idx="109">
                  <c:v>3.2183600000000001</c:v>
                </c:pt>
                <c:pt idx="110">
                  <c:v>3.2384300000000001</c:v>
                </c:pt>
                <c:pt idx="111">
                  <c:v>3.2550699999999999</c:v>
                </c:pt>
                <c:pt idx="112">
                  <c:v>3.27203</c:v>
                </c:pt>
                <c:pt idx="113">
                  <c:v>3.2927600000000004</c:v>
                </c:pt>
                <c:pt idx="114">
                  <c:v>3.3167499999999999</c:v>
                </c:pt>
                <c:pt idx="115">
                  <c:v>3.3459599999999998</c:v>
                </c:pt>
                <c:pt idx="116">
                  <c:v>3.3797899999999998</c:v>
                </c:pt>
                <c:pt idx="117">
                  <c:v>3.4165200000000002</c:v>
                </c:pt>
                <c:pt idx="118">
                  <c:v>3.4546999999999999</c:v>
                </c:pt>
                <c:pt idx="119">
                  <c:v>3.49431</c:v>
                </c:pt>
                <c:pt idx="120">
                  <c:v>3.53315</c:v>
                </c:pt>
                <c:pt idx="121">
                  <c:v>3.56928</c:v>
                </c:pt>
                <c:pt idx="122">
                  <c:v>3.6026899999999999</c:v>
                </c:pt>
                <c:pt idx="123">
                  <c:v>3.6337900000000003</c:v>
                </c:pt>
                <c:pt idx="124">
                  <c:v>3.6510799999999999</c:v>
                </c:pt>
                <c:pt idx="125">
                  <c:v>3.66777</c:v>
                </c:pt>
                <c:pt idx="126">
                  <c:v>3.6842100000000002</c:v>
                </c:pt>
                <c:pt idx="127">
                  <c:v>3.6975999999999996</c:v>
                </c:pt>
                <c:pt idx="128">
                  <c:v>3.7076199999999999</c:v>
                </c:pt>
                <c:pt idx="129">
                  <c:v>3.7146600000000003</c:v>
                </c:pt>
                <c:pt idx="130">
                  <c:v>3.7187700000000001</c:v>
                </c:pt>
                <c:pt idx="131">
                  <c:v>3.71997</c:v>
                </c:pt>
                <c:pt idx="132">
                  <c:v>3.7243599999999999</c:v>
                </c:pt>
                <c:pt idx="133">
                  <c:v>3.73732</c:v>
                </c:pt>
                <c:pt idx="134">
                  <c:v>3.7569599999999999</c:v>
                </c:pt>
                <c:pt idx="135">
                  <c:v>3.77658</c:v>
                </c:pt>
                <c:pt idx="136">
                  <c:v>3.8047900000000001</c:v>
                </c:pt>
                <c:pt idx="137">
                  <c:v>3.8385200000000004</c:v>
                </c:pt>
                <c:pt idx="138">
                  <c:v>3.8721899999999998</c:v>
                </c:pt>
                <c:pt idx="139">
                  <c:v>3.9028400000000003</c:v>
                </c:pt>
                <c:pt idx="140">
                  <c:v>3.9271699999999998</c:v>
                </c:pt>
                <c:pt idx="141">
                  <c:v>3.9480199999999996</c:v>
                </c:pt>
                <c:pt idx="142">
                  <c:v>3.95913</c:v>
                </c:pt>
                <c:pt idx="143">
                  <c:v>3.9661900000000001</c:v>
                </c:pt>
                <c:pt idx="144">
                  <c:v>3.9646599999999999</c:v>
                </c:pt>
                <c:pt idx="145">
                  <c:v>3.9563700000000002</c:v>
                </c:pt>
                <c:pt idx="146">
                  <c:v>3.9575399999999998</c:v>
                </c:pt>
                <c:pt idx="147">
                  <c:v>3.9642200000000001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  <c:pt idx="74">
                  <c:v>45.107199999999999</c:v>
                </c:pt>
                <c:pt idx="75">
                  <c:v>45.3127</c:v>
                </c:pt>
                <c:pt idx="76">
                  <c:v>45.533999999999999</c:v>
                </c:pt>
                <c:pt idx="77">
                  <c:v>45.7879</c:v>
                </c:pt>
                <c:pt idx="78">
                  <c:v>46.007799999999996</c:v>
                </c:pt>
                <c:pt idx="79">
                  <c:v>46.238500000000002</c:v>
                </c:pt>
                <c:pt idx="80">
                  <c:v>46.371600000000001</c:v>
                </c:pt>
                <c:pt idx="81">
                  <c:v>46.431400000000004</c:v>
                </c:pt>
                <c:pt idx="82">
                  <c:v>46.440100000000001</c:v>
                </c:pt>
                <c:pt idx="83">
                  <c:v>46.4621</c:v>
                </c:pt>
                <c:pt idx="84">
                  <c:v>46.508000000000003</c:v>
                </c:pt>
                <c:pt idx="85">
                  <c:v>46.599699999999999</c:v>
                </c:pt>
                <c:pt idx="86">
                  <c:v>46.622100000000003</c:v>
                </c:pt>
                <c:pt idx="87">
                  <c:v>46.671399999999998</c:v>
                </c:pt>
                <c:pt idx="88">
                  <c:v>46.715899999999998</c:v>
                </c:pt>
                <c:pt idx="89">
                  <c:v>46.725899999999996</c:v>
                </c:pt>
                <c:pt idx="90">
                  <c:v>46.777299999999997</c:v>
                </c:pt>
                <c:pt idx="91">
                  <c:v>46.849800000000002</c:v>
                </c:pt>
                <c:pt idx="92">
                  <c:v>46.972500000000004</c:v>
                </c:pt>
                <c:pt idx="93">
                  <c:v>47.090199999999996</c:v>
                </c:pt>
                <c:pt idx="94">
                  <c:v>47.130300000000005</c:v>
                </c:pt>
                <c:pt idx="95">
                  <c:v>47.099400000000003</c:v>
                </c:pt>
                <c:pt idx="96">
                  <c:v>46.970299999999995</c:v>
                </c:pt>
                <c:pt idx="97">
                  <c:v>46.773299999999999</c:v>
                </c:pt>
                <c:pt idx="98">
                  <c:v>46.521799999999999</c:v>
                </c:pt>
                <c:pt idx="99">
                  <c:v>46.239100000000001</c:v>
                </c:pt>
                <c:pt idx="100">
                  <c:v>45.907899999999998</c:v>
                </c:pt>
                <c:pt idx="101">
                  <c:v>45.575500000000005</c:v>
                </c:pt>
                <c:pt idx="102">
                  <c:v>45.2014</c:v>
                </c:pt>
                <c:pt idx="103">
                  <c:v>44.778199999999998</c:v>
                </c:pt>
                <c:pt idx="104">
                  <c:v>44.373400000000004</c:v>
                </c:pt>
                <c:pt idx="105">
                  <c:v>43.960300000000004</c:v>
                </c:pt>
                <c:pt idx="106">
                  <c:v>43.530299999999997</c:v>
                </c:pt>
                <c:pt idx="107">
                  <c:v>43.226999999999997</c:v>
                </c:pt>
                <c:pt idx="108">
                  <c:v>43.101299999999995</c:v>
                </c:pt>
                <c:pt idx="109">
                  <c:v>43.052500000000002</c:v>
                </c:pt>
                <c:pt idx="110">
                  <c:v>42.949599999999997</c:v>
                </c:pt>
                <c:pt idx="111">
                  <c:v>42.921300000000002</c:v>
                </c:pt>
                <c:pt idx="112">
                  <c:v>42.907899999999998</c:v>
                </c:pt>
                <c:pt idx="113">
                  <c:v>42.8992</c:v>
                </c:pt>
                <c:pt idx="114">
                  <c:v>42.883200000000002</c:v>
                </c:pt>
                <c:pt idx="115">
                  <c:v>42.848300000000002</c:v>
                </c:pt>
                <c:pt idx="116">
                  <c:v>42.824400000000004</c:v>
                </c:pt>
                <c:pt idx="117">
                  <c:v>42.77</c:v>
                </c:pt>
                <c:pt idx="118">
                  <c:v>42.767600000000002</c:v>
                </c:pt>
                <c:pt idx="119">
                  <c:v>42.8005</c:v>
                </c:pt>
                <c:pt idx="120">
                  <c:v>42.875700000000002</c:v>
                </c:pt>
                <c:pt idx="121">
                  <c:v>43.063299999999998</c:v>
                </c:pt>
                <c:pt idx="122">
                  <c:v>43.291800000000002</c:v>
                </c:pt>
                <c:pt idx="123">
                  <c:v>43.491900000000001</c:v>
                </c:pt>
                <c:pt idx="124">
                  <c:v>43.677</c:v>
                </c:pt>
                <c:pt idx="125">
                  <c:v>43.851900000000001</c:v>
                </c:pt>
                <c:pt idx="126">
                  <c:v>44.0261</c:v>
                </c:pt>
                <c:pt idx="127">
                  <c:v>44.135799999999996</c:v>
                </c:pt>
                <c:pt idx="128">
                  <c:v>44.201599999999999</c:v>
                </c:pt>
                <c:pt idx="129">
                  <c:v>44.236199999999997</c:v>
                </c:pt>
                <c:pt idx="130">
                  <c:v>44.267600000000002</c:v>
                </c:pt>
                <c:pt idx="131">
                  <c:v>44.322899999999997</c:v>
                </c:pt>
                <c:pt idx="132">
                  <c:v>44.374400000000001</c:v>
                </c:pt>
                <c:pt idx="133">
                  <c:v>44.439599999999999</c:v>
                </c:pt>
                <c:pt idx="134">
                  <c:v>44.506099999999996</c:v>
                </c:pt>
                <c:pt idx="135">
                  <c:v>44.576300000000003</c:v>
                </c:pt>
                <c:pt idx="136">
                  <c:v>44.703800000000001</c:v>
                </c:pt>
                <c:pt idx="137">
                  <c:v>44.924500000000002</c:v>
                </c:pt>
                <c:pt idx="138">
                  <c:v>45.119</c:v>
                </c:pt>
                <c:pt idx="139">
                  <c:v>45.316400000000002</c:v>
                </c:pt>
                <c:pt idx="140">
                  <c:v>45.402000000000001</c:v>
                </c:pt>
                <c:pt idx="141">
                  <c:v>45.542000000000002</c:v>
                </c:pt>
                <c:pt idx="142">
                  <c:v>45.777099999999997</c:v>
                </c:pt>
                <c:pt idx="143">
                  <c:v>45.958500000000001</c:v>
                </c:pt>
                <c:pt idx="144">
                  <c:v>46.171500000000002</c:v>
                </c:pt>
                <c:pt idx="145">
                  <c:v>46.520600000000002</c:v>
                </c:pt>
                <c:pt idx="146">
                  <c:v>46.640799999999999</c:v>
                </c:pt>
                <c:pt idx="147">
                  <c:v>46.458799999999997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3.5945999999999998</c:v>
                </c:pt>
                <c:pt idx="1">
                  <c:v>3.5529699999999997</c:v>
                </c:pt>
                <c:pt idx="2">
                  <c:v>3.5063800000000001</c:v>
                </c:pt>
                <c:pt idx="3">
                  <c:v>3.4620899999999999</c:v>
                </c:pt>
                <c:pt idx="4">
                  <c:v>3.4166400000000001</c:v>
                </c:pt>
                <c:pt idx="5">
                  <c:v>3.3699400000000002</c:v>
                </c:pt>
                <c:pt idx="6">
                  <c:v>3.3241900000000002</c:v>
                </c:pt>
                <c:pt idx="7">
                  <c:v>3.2823700000000002</c:v>
                </c:pt>
                <c:pt idx="8">
                  <c:v>3.2454000000000001</c:v>
                </c:pt>
                <c:pt idx="9">
                  <c:v>3.2103700000000002</c:v>
                </c:pt>
                <c:pt idx="10">
                  <c:v>3.1773600000000002</c:v>
                </c:pt>
                <c:pt idx="11">
                  <c:v>3.1466699999999999</c:v>
                </c:pt>
                <c:pt idx="12">
                  <c:v>3.11985</c:v>
                </c:pt>
                <c:pt idx="13">
                  <c:v>3.0983000000000001</c:v>
                </c:pt>
                <c:pt idx="14">
                  <c:v>3.0775400000000004</c:v>
                </c:pt>
                <c:pt idx="15">
                  <c:v>3.0581399999999999</c:v>
                </c:pt>
                <c:pt idx="16">
                  <c:v>3.0426500000000001</c:v>
                </c:pt>
                <c:pt idx="17">
                  <c:v>3.0288700000000004</c:v>
                </c:pt>
                <c:pt idx="18">
                  <c:v>3.0139300000000002</c:v>
                </c:pt>
                <c:pt idx="19">
                  <c:v>2.9973899999999998</c:v>
                </c:pt>
                <c:pt idx="20">
                  <c:v>2.9813400000000003</c:v>
                </c:pt>
                <c:pt idx="21">
                  <c:v>2.9692600000000002</c:v>
                </c:pt>
                <c:pt idx="22">
                  <c:v>2.96143</c:v>
                </c:pt>
                <c:pt idx="23">
                  <c:v>2.9598300000000002</c:v>
                </c:pt>
                <c:pt idx="24">
                  <c:v>2.9632900000000002</c:v>
                </c:pt>
                <c:pt idx="25">
                  <c:v>2.9700300000000004</c:v>
                </c:pt>
                <c:pt idx="26">
                  <c:v>2.97925</c:v>
                </c:pt>
                <c:pt idx="27">
                  <c:v>2.99193</c:v>
                </c:pt>
                <c:pt idx="28">
                  <c:v>3.0060900000000004</c:v>
                </c:pt>
                <c:pt idx="29">
                  <c:v>3.0249199999999998</c:v>
                </c:pt>
                <c:pt idx="30">
                  <c:v>3.05044</c:v>
                </c:pt>
                <c:pt idx="31">
                  <c:v>3.0786500000000001</c:v>
                </c:pt>
                <c:pt idx="32">
                  <c:v>3.1091500000000001</c:v>
                </c:pt>
                <c:pt idx="33">
                  <c:v>3.1417099999999998</c:v>
                </c:pt>
                <c:pt idx="34">
                  <c:v>3.17171</c:v>
                </c:pt>
                <c:pt idx="35">
                  <c:v>3.1969700000000003</c:v>
                </c:pt>
                <c:pt idx="36">
                  <c:v>3.2183600000000001</c:v>
                </c:pt>
                <c:pt idx="37">
                  <c:v>3.2384300000000001</c:v>
                </c:pt>
                <c:pt idx="38">
                  <c:v>3.2550699999999999</c:v>
                </c:pt>
                <c:pt idx="39">
                  <c:v>3.27203</c:v>
                </c:pt>
                <c:pt idx="40">
                  <c:v>3.2927600000000004</c:v>
                </c:pt>
                <c:pt idx="41">
                  <c:v>3.3167499999999999</c:v>
                </c:pt>
                <c:pt idx="42">
                  <c:v>3.3459599999999998</c:v>
                </c:pt>
                <c:pt idx="43">
                  <c:v>3.3797899999999998</c:v>
                </c:pt>
                <c:pt idx="44">
                  <c:v>3.4165200000000002</c:v>
                </c:pt>
                <c:pt idx="45">
                  <c:v>3.4546999999999999</c:v>
                </c:pt>
                <c:pt idx="46">
                  <c:v>3.49431</c:v>
                </c:pt>
                <c:pt idx="47">
                  <c:v>3.53315</c:v>
                </c:pt>
                <c:pt idx="48">
                  <c:v>3.56928</c:v>
                </c:pt>
                <c:pt idx="49">
                  <c:v>3.6026899999999999</c:v>
                </c:pt>
                <c:pt idx="50">
                  <c:v>3.6337900000000003</c:v>
                </c:pt>
                <c:pt idx="51">
                  <c:v>3.6510799999999999</c:v>
                </c:pt>
                <c:pt idx="52">
                  <c:v>3.66777</c:v>
                </c:pt>
                <c:pt idx="53">
                  <c:v>3.6842100000000002</c:v>
                </c:pt>
                <c:pt idx="54">
                  <c:v>3.6975999999999996</c:v>
                </c:pt>
                <c:pt idx="55">
                  <c:v>3.7076199999999999</c:v>
                </c:pt>
                <c:pt idx="56">
                  <c:v>3.7146600000000003</c:v>
                </c:pt>
                <c:pt idx="57">
                  <c:v>3.7187700000000001</c:v>
                </c:pt>
                <c:pt idx="58">
                  <c:v>3.71997</c:v>
                </c:pt>
                <c:pt idx="59">
                  <c:v>3.7243599999999999</c:v>
                </c:pt>
                <c:pt idx="60">
                  <c:v>3.73732</c:v>
                </c:pt>
                <c:pt idx="61">
                  <c:v>3.7569599999999999</c:v>
                </c:pt>
                <c:pt idx="62">
                  <c:v>3.77658</c:v>
                </c:pt>
                <c:pt idx="63">
                  <c:v>3.8047900000000001</c:v>
                </c:pt>
                <c:pt idx="64">
                  <c:v>3.8385200000000004</c:v>
                </c:pt>
                <c:pt idx="65">
                  <c:v>3.8721899999999998</c:v>
                </c:pt>
                <c:pt idx="66">
                  <c:v>3.9028400000000003</c:v>
                </c:pt>
                <c:pt idx="67">
                  <c:v>3.9271699999999998</c:v>
                </c:pt>
                <c:pt idx="68">
                  <c:v>3.9480199999999996</c:v>
                </c:pt>
                <c:pt idx="69">
                  <c:v>3.95913</c:v>
                </c:pt>
                <c:pt idx="70">
                  <c:v>3.9661900000000001</c:v>
                </c:pt>
                <c:pt idx="71">
                  <c:v>3.9646599999999999</c:v>
                </c:pt>
                <c:pt idx="72">
                  <c:v>3.9563700000000002</c:v>
                </c:pt>
                <c:pt idx="73">
                  <c:v>3.9575399999999998</c:v>
                </c:pt>
                <c:pt idx="74">
                  <c:v>3.9642200000000001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45.146900000000002</c:v>
                </c:pt>
                <c:pt idx="1">
                  <c:v>45.107199999999999</c:v>
                </c:pt>
                <c:pt idx="2">
                  <c:v>45.3127</c:v>
                </c:pt>
                <c:pt idx="3">
                  <c:v>45.533999999999999</c:v>
                </c:pt>
                <c:pt idx="4">
                  <c:v>45.7879</c:v>
                </c:pt>
                <c:pt idx="5">
                  <c:v>46.007799999999996</c:v>
                </c:pt>
                <c:pt idx="6">
                  <c:v>46.238500000000002</c:v>
                </c:pt>
                <c:pt idx="7">
                  <c:v>46.371600000000001</c:v>
                </c:pt>
                <c:pt idx="8">
                  <c:v>46.431400000000004</c:v>
                </c:pt>
                <c:pt idx="9">
                  <c:v>46.440100000000001</c:v>
                </c:pt>
                <c:pt idx="10">
                  <c:v>46.4621</c:v>
                </c:pt>
                <c:pt idx="11">
                  <c:v>46.508000000000003</c:v>
                </c:pt>
                <c:pt idx="12">
                  <c:v>46.599699999999999</c:v>
                </c:pt>
                <c:pt idx="13">
                  <c:v>46.622100000000003</c:v>
                </c:pt>
                <c:pt idx="14">
                  <c:v>46.671399999999998</c:v>
                </c:pt>
                <c:pt idx="15">
                  <c:v>46.715899999999998</c:v>
                </c:pt>
                <c:pt idx="16">
                  <c:v>46.725899999999996</c:v>
                </c:pt>
                <c:pt idx="17">
                  <c:v>46.777299999999997</c:v>
                </c:pt>
                <c:pt idx="18">
                  <c:v>46.849800000000002</c:v>
                </c:pt>
                <c:pt idx="19">
                  <c:v>46.972500000000004</c:v>
                </c:pt>
                <c:pt idx="20">
                  <c:v>47.090199999999996</c:v>
                </c:pt>
                <c:pt idx="21">
                  <c:v>47.130300000000005</c:v>
                </c:pt>
                <c:pt idx="22">
                  <c:v>47.099400000000003</c:v>
                </c:pt>
                <c:pt idx="23">
                  <c:v>46.970299999999995</c:v>
                </c:pt>
                <c:pt idx="24">
                  <c:v>46.773299999999999</c:v>
                </c:pt>
                <c:pt idx="25">
                  <c:v>46.521799999999999</c:v>
                </c:pt>
                <c:pt idx="26">
                  <c:v>46.239100000000001</c:v>
                </c:pt>
                <c:pt idx="27">
                  <c:v>45.907899999999998</c:v>
                </c:pt>
                <c:pt idx="28">
                  <c:v>45.575500000000005</c:v>
                </c:pt>
                <c:pt idx="29">
                  <c:v>45.2014</c:v>
                </c:pt>
                <c:pt idx="30">
                  <c:v>44.778199999999998</c:v>
                </c:pt>
                <c:pt idx="31">
                  <c:v>44.373400000000004</c:v>
                </c:pt>
                <c:pt idx="32">
                  <c:v>43.960300000000004</c:v>
                </c:pt>
                <c:pt idx="33">
                  <c:v>43.530299999999997</c:v>
                </c:pt>
                <c:pt idx="34">
                  <c:v>43.226999999999997</c:v>
                </c:pt>
                <c:pt idx="35">
                  <c:v>43.101299999999995</c:v>
                </c:pt>
                <c:pt idx="36">
                  <c:v>43.052500000000002</c:v>
                </c:pt>
                <c:pt idx="37">
                  <c:v>42.949599999999997</c:v>
                </c:pt>
                <c:pt idx="38">
                  <c:v>42.921300000000002</c:v>
                </c:pt>
                <c:pt idx="39">
                  <c:v>42.907899999999998</c:v>
                </c:pt>
                <c:pt idx="40">
                  <c:v>42.8992</c:v>
                </c:pt>
                <c:pt idx="41">
                  <c:v>42.883200000000002</c:v>
                </c:pt>
                <c:pt idx="42">
                  <c:v>42.848300000000002</c:v>
                </c:pt>
                <c:pt idx="43">
                  <c:v>42.824400000000004</c:v>
                </c:pt>
                <c:pt idx="44">
                  <c:v>42.77</c:v>
                </c:pt>
                <c:pt idx="45">
                  <c:v>42.767600000000002</c:v>
                </c:pt>
                <c:pt idx="46">
                  <c:v>42.8005</c:v>
                </c:pt>
                <c:pt idx="47">
                  <c:v>42.875700000000002</c:v>
                </c:pt>
                <c:pt idx="48">
                  <c:v>43.063299999999998</c:v>
                </c:pt>
                <c:pt idx="49">
                  <c:v>43.291800000000002</c:v>
                </c:pt>
                <c:pt idx="50">
                  <c:v>43.491900000000001</c:v>
                </c:pt>
                <c:pt idx="51">
                  <c:v>43.677</c:v>
                </c:pt>
                <c:pt idx="52">
                  <c:v>43.851900000000001</c:v>
                </c:pt>
                <c:pt idx="53">
                  <c:v>44.0261</c:v>
                </c:pt>
                <c:pt idx="54">
                  <c:v>44.135799999999996</c:v>
                </c:pt>
                <c:pt idx="55">
                  <c:v>44.201599999999999</c:v>
                </c:pt>
                <c:pt idx="56">
                  <c:v>44.236199999999997</c:v>
                </c:pt>
                <c:pt idx="57">
                  <c:v>44.267600000000002</c:v>
                </c:pt>
                <c:pt idx="58">
                  <c:v>44.322899999999997</c:v>
                </c:pt>
                <c:pt idx="59">
                  <c:v>44.374400000000001</c:v>
                </c:pt>
                <c:pt idx="60">
                  <c:v>44.439599999999999</c:v>
                </c:pt>
                <c:pt idx="61">
                  <c:v>44.506099999999996</c:v>
                </c:pt>
                <c:pt idx="62">
                  <c:v>44.576300000000003</c:v>
                </c:pt>
                <c:pt idx="63">
                  <c:v>44.703800000000001</c:v>
                </c:pt>
                <c:pt idx="64">
                  <c:v>44.924500000000002</c:v>
                </c:pt>
                <c:pt idx="65">
                  <c:v>45.119</c:v>
                </c:pt>
                <c:pt idx="66">
                  <c:v>45.316400000000002</c:v>
                </c:pt>
                <c:pt idx="67">
                  <c:v>45.402000000000001</c:v>
                </c:pt>
                <c:pt idx="68">
                  <c:v>45.542000000000002</c:v>
                </c:pt>
                <c:pt idx="69">
                  <c:v>45.777099999999997</c:v>
                </c:pt>
                <c:pt idx="70">
                  <c:v>45.958500000000001</c:v>
                </c:pt>
                <c:pt idx="71">
                  <c:v>46.171500000000002</c:v>
                </c:pt>
                <c:pt idx="72">
                  <c:v>46.520600000000002</c:v>
                </c:pt>
                <c:pt idx="73">
                  <c:v>46.640799999999999</c:v>
                </c:pt>
                <c:pt idx="74">
                  <c:v>46.458799999999997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3.3204375675675681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46.075025675675683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3.409853783783785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45.015044594594599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3.409853783783785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45.015044594594599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0.21950754341193676</c:v>
                </c:pt>
                <c:pt idx="1">
                  <c:v>0.31527997125134211</c:v>
                </c:pt>
                <c:pt idx="2">
                  <c:v>0.46521248533672105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  <c:pt idx="74">
                  <c:v>30.0413</c:v>
                </c:pt>
                <c:pt idx="75">
                  <c:v>30.524899999999999</c:v>
                </c:pt>
                <c:pt idx="76">
                  <c:v>30.914000000000001</c:v>
                </c:pt>
                <c:pt idx="77">
                  <c:v>31.303100000000001</c:v>
                </c:pt>
                <c:pt idx="78">
                  <c:v>31.7117</c:v>
                </c:pt>
                <c:pt idx="79">
                  <c:v>32.114699999999999</c:v>
                </c:pt>
                <c:pt idx="80">
                  <c:v>32.521599999999999</c:v>
                </c:pt>
                <c:pt idx="81">
                  <c:v>32.930100000000003</c:v>
                </c:pt>
                <c:pt idx="82">
                  <c:v>33.336399999999998</c:v>
                </c:pt>
                <c:pt idx="83">
                  <c:v>33.743299999999998</c:v>
                </c:pt>
                <c:pt idx="84">
                  <c:v>34.145200000000003</c:v>
                </c:pt>
                <c:pt idx="85">
                  <c:v>34.554099999999998</c:v>
                </c:pt>
                <c:pt idx="86">
                  <c:v>34.961300000000001</c:v>
                </c:pt>
                <c:pt idx="87">
                  <c:v>35.366999999999997</c:v>
                </c:pt>
                <c:pt idx="88">
                  <c:v>35.774999999999999</c:v>
                </c:pt>
                <c:pt idx="89">
                  <c:v>36.181100000000001</c:v>
                </c:pt>
                <c:pt idx="90">
                  <c:v>36.585599999999999</c:v>
                </c:pt>
                <c:pt idx="91">
                  <c:v>36.994700000000002</c:v>
                </c:pt>
                <c:pt idx="92">
                  <c:v>37.401499999999999</c:v>
                </c:pt>
                <c:pt idx="93">
                  <c:v>37.806399999999996</c:v>
                </c:pt>
                <c:pt idx="94">
                  <c:v>38.212200000000003</c:v>
                </c:pt>
                <c:pt idx="95">
                  <c:v>38.616199999999999</c:v>
                </c:pt>
                <c:pt idx="96">
                  <c:v>39.022100000000002</c:v>
                </c:pt>
                <c:pt idx="97">
                  <c:v>39.426499999999997</c:v>
                </c:pt>
                <c:pt idx="98">
                  <c:v>39.839500000000001</c:v>
                </c:pt>
                <c:pt idx="99">
                  <c:v>40.241199999999999</c:v>
                </c:pt>
                <c:pt idx="100">
                  <c:v>40.648899999999998</c:v>
                </c:pt>
                <c:pt idx="101">
                  <c:v>41.056699999999999</c:v>
                </c:pt>
                <c:pt idx="102">
                  <c:v>41.459600000000002</c:v>
                </c:pt>
                <c:pt idx="103">
                  <c:v>41.866500000000002</c:v>
                </c:pt>
                <c:pt idx="104">
                  <c:v>42.271599999999999</c:v>
                </c:pt>
                <c:pt idx="105">
                  <c:v>42.684399999999997</c:v>
                </c:pt>
                <c:pt idx="106">
                  <c:v>43.088299999999997</c:v>
                </c:pt>
                <c:pt idx="107">
                  <c:v>43.492199999999997</c:v>
                </c:pt>
                <c:pt idx="108">
                  <c:v>43.897199999999998</c:v>
                </c:pt>
                <c:pt idx="109">
                  <c:v>44.303400000000003</c:v>
                </c:pt>
                <c:pt idx="110">
                  <c:v>44.712000000000003</c:v>
                </c:pt>
                <c:pt idx="111">
                  <c:v>45.117899999999999</c:v>
                </c:pt>
                <c:pt idx="112">
                  <c:v>45.522799999999997</c:v>
                </c:pt>
                <c:pt idx="113">
                  <c:v>45.929699999999997</c:v>
                </c:pt>
                <c:pt idx="114">
                  <c:v>46.334699999999998</c:v>
                </c:pt>
                <c:pt idx="115">
                  <c:v>46.740499999999997</c:v>
                </c:pt>
                <c:pt idx="116">
                  <c:v>47.1477</c:v>
                </c:pt>
                <c:pt idx="117">
                  <c:v>47.5535</c:v>
                </c:pt>
                <c:pt idx="118">
                  <c:v>47.964500000000001</c:v>
                </c:pt>
                <c:pt idx="119">
                  <c:v>48.368099999999998</c:v>
                </c:pt>
                <c:pt idx="120">
                  <c:v>48.772100000000002</c:v>
                </c:pt>
                <c:pt idx="121">
                  <c:v>49.179900000000004</c:v>
                </c:pt>
                <c:pt idx="122">
                  <c:v>49.585099999999997</c:v>
                </c:pt>
                <c:pt idx="123">
                  <c:v>49.993899999999996</c:v>
                </c:pt>
                <c:pt idx="124">
                  <c:v>50.400199999999998</c:v>
                </c:pt>
                <c:pt idx="125">
                  <c:v>50.806600000000003</c:v>
                </c:pt>
                <c:pt idx="126">
                  <c:v>51.211500000000001</c:v>
                </c:pt>
                <c:pt idx="127">
                  <c:v>51.616599999999998</c:v>
                </c:pt>
                <c:pt idx="128">
                  <c:v>52.023299999999999</c:v>
                </c:pt>
                <c:pt idx="129">
                  <c:v>52.429299999999998</c:v>
                </c:pt>
                <c:pt idx="130">
                  <c:v>52.8337</c:v>
                </c:pt>
                <c:pt idx="131">
                  <c:v>53.241199999999999</c:v>
                </c:pt>
                <c:pt idx="132">
                  <c:v>53.646099999999997</c:v>
                </c:pt>
                <c:pt idx="133">
                  <c:v>54.053899999999999</c:v>
                </c:pt>
                <c:pt idx="134">
                  <c:v>54.459899999999998</c:v>
                </c:pt>
                <c:pt idx="135">
                  <c:v>54.868899999999996</c:v>
                </c:pt>
                <c:pt idx="136">
                  <c:v>55.275700000000001</c:v>
                </c:pt>
                <c:pt idx="137">
                  <c:v>55.683</c:v>
                </c:pt>
                <c:pt idx="138">
                  <c:v>56.087499999999999</c:v>
                </c:pt>
                <c:pt idx="139">
                  <c:v>56.4925</c:v>
                </c:pt>
                <c:pt idx="140">
                  <c:v>56.900300000000001</c:v>
                </c:pt>
                <c:pt idx="141">
                  <c:v>57.305300000000003</c:v>
                </c:pt>
                <c:pt idx="142">
                  <c:v>57.7121</c:v>
                </c:pt>
                <c:pt idx="143">
                  <c:v>58.117100000000001</c:v>
                </c:pt>
                <c:pt idx="144">
                  <c:v>58.521000000000001</c:v>
                </c:pt>
                <c:pt idx="145">
                  <c:v>58.932000000000002</c:v>
                </c:pt>
                <c:pt idx="146">
                  <c:v>59.337899999999998</c:v>
                </c:pt>
                <c:pt idx="147">
                  <c:v>59.742800000000003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  <c:pt idx="74">
                  <c:v>3.5529699999999997</c:v>
                </c:pt>
                <c:pt idx="75">
                  <c:v>3.5063800000000001</c:v>
                </c:pt>
                <c:pt idx="76">
                  <c:v>3.4620899999999999</c:v>
                </c:pt>
                <c:pt idx="77">
                  <c:v>3.4166400000000001</c:v>
                </c:pt>
                <c:pt idx="78">
                  <c:v>3.3699400000000002</c:v>
                </c:pt>
                <c:pt idx="79">
                  <c:v>3.3241900000000002</c:v>
                </c:pt>
                <c:pt idx="80">
                  <c:v>3.2823700000000002</c:v>
                </c:pt>
                <c:pt idx="81">
                  <c:v>3.2454000000000001</c:v>
                </c:pt>
                <c:pt idx="82">
                  <c:v>3.2103700000000002</c:v>
                </c:pt>
                <c:pt idx="83">
                  <c:v>3.1773600000000002</c:v>
                </c:pt>
                <c:pt idx="84">
                  <c:v>3.1466699999999999</c:v>
                </c:pt>
                <c:pt idx="85">
                  <c:v>3.11985</c:v>
                </c:pt>
                <c:pt idx="86">
                  <c:v>3.0983000000000001</c:v>
                </c:pt>
                <c:pt idx="87">
                  <c:v>3.0775400000000004</c:v>
                </c:pt>
                <c:pt idx="88">
                  <c:v>3.0581399999999999</c:v>
                </c:pt>
                <c:pt idx="89">
                  <c:v>3.0426500000000001</c:v>
                </c:pt>
                <c:pt idx="90">
                  <c:v>3.0288700000000004</c:v>
                </c:pt>
                <c:pt idx="91">
                  <c:v>3.0139300000000002</c:v>
                </c:pt>
                <c:pt idx="92">
                  <c:v>2.9973899999999998</c:v>
                </c:pt>
                <c:pt idx="93">
                  <c:v>2.9813400000000003</c:v>
                </c:pt>
                <c:pt idx="94">
                  <c:v>2.9692600000000002</c:v>
                </c:pt>
                <c:pt idx="95">
                  <c:v>2.96143</c:v>
                </c:pt>
                <c:pt idx="96">
                  <c:v>2.9598300000000002</c:v>
                </c:pt>
                <c:pt idx="97">
                  <c:v>2.9632900000000002</c:v>
                </c:pt>
                <c:pt idx="98">
                  <c:v>2.9700300000000004</c:v>
                </c:pt>
                <c:pt idx="99">
                  <c:v>2.97925</c:v>
                </c:pt>
                <c:pt idx="100">
                  <c:v>2.99193</c:v>
                </c:pt>
                <c:pt idx="101">
                  <c:v>3.0060900000000004</c:v>
                </c:pt>
                <c:pt idx="102">
                  <c:v>3.0249199999999998</c:v>
                </c:pt>
                <c:pt idx="103">
                  <c:v>3.05044</c:v>
                </c:pt>
                <c:pt idx="104">
                  <c:v>3.0786500000000001</c:v>
                </c:pt>
                <c:pt idx="105">
                  <c:v>3.1091500000000001</c:v>
                </c:pt>
                <c:pt idx="106">
                  <c:v>3.1417099999999998</c:v>
                </c:pt>
                <c:pt idx="107">
                  <c:v>3.17171</c:v>
                </c:pt>
                <c:pt idx="108">
                  <c:v>3.1969700000000003</c:v>
                </c:pt>
                <c:pt idx="109">
                  <c:v>3.2183600000000001</c:v>
                </c:pt>
                <c:pt idx="110">
                  <c:v>3.2384300000000001</c:v>
                </c:pt>
                <c:pt idx="111">
                  <c:v>3.2550699999999999</c:v>
                </c:pt>
                <c:pt idx="112">
                  <c:v>3.27203</c:v>
                </c:pt>
                <c:pt idx="113">
                  <c:v>3.2927600000000004</c:v>
                </c:pt>
                <c:pt idx="114">
                  <c:v>3.3167499999999999</c:v>
                </c:pt>
                <c:pt idx="115">
                  <c:v>3.3459599999999998</c:v>
                </c:pt>
                <c:pt idx="116">
                  <c:v>3.3797899999999998</c:v>
                </c:pt>
                <c:pt idx="117">
                  <c:v>3.4165200000000002</c:v>
                </c:pt>
                <c:pt idx="118">
                  <c:v>3.4546999999999999</c:v>
                </c:pt>
                <c:pt idx="119">
                  <c:v>3.49431</c:v>
                </c:pt>
                <c:pt idx="120">
                  <c:v>3.53315</c:v>
                </c:pt>
                <c:pt idx="121">
                  <c:v>3.56928</c:v>
                </c:pt>
                <c:pt idx="122">
                  <c:v>3.6026899999999999</c:v>
                </c:pt>
                <c:pt idx="123">
                  <c:v>3.6337900000000003</c:v>
                </c:pt>
                <c:pt idx="124">
                  <c:v>3.6510799999999999</c:v>
                </c:pt>
                <c:pt idx="125">
                  <c:v>3.66777</c:v>
                </c:pt>
                <c:pt idx="126">
                  <c:v>3.6842100000000002</c:v>
                </c:pt>
                <c:pt idx="127">
                  <c:v>3.6975999999999996</c:v>
                </c:pt>
                <c:pt idx="128">
                  <c:v>3.7076199999999999</c:v>
                </c:pt>
                <c:pt idx="129">
                  <c:v>3.7146600000000003</c:v>
                </c:pt>
                <c:pt idx="130">
                  <c:v>3.7187700000000001</c:v>
                </c:pt>
                <c:pt idx="131">
                  <c:v>3.71997</c:v>
                </c:pt>
                <c:pt idx="132">
                  <c:v>3.7243599999999999</c:v>
                </c:pt>
                <c:pt idx="133">
                  <c:v>3.73732</c:v>
                </c:pt>
                <c:pt idx="134">
                  <c:v>3.7569599999999999</c:v>
                </c:pt>
                <c:pt idx="135">
                  <c:v>3.77658</c:v>
                </c:pt>
                <c:pt idx="136">
                  <c:v>3.8047900000000001</c:v>
                </c:pt>
                <c:pt idx="137">
                  <c:v>3.8385200000000004</c:v>
                </c:pt>
                <c:pt idx="138">
                  <c:v>3.8721899999999998</c:v>
                </c:pt>
                <c:pt idx="139">
                  <c:v>3.9028400000000003</c:v>
                </c:pt>
                <c:pt idx="140">
                  <c:v>3.9271699999999998</c:v>
                </c:pt>
                <c:pt idx="141">
                  <c:v>3.9480199999999996</c:v>
                </c:pt>
                <c:pt idx="142">
                  <c:v>3.95913</c:v>
                </c:pt>
                <c:pt idx="143">
                  <c:v>3.9661900000000001</c:v>
                </c:pt>
                <c:pt idx="144">
                  <c:v>3.9646599999999999</c:v>
                </c:pt>
                <c:pt idx="145">
                  <c:v>3.9563700000000002</c:v>
                </c:pt>
                <c:pt idx="146">
                  <c:v>3.9575399999999998</c:v>
                </c:pt>
                <c:pt idx="147">
                  <c:v>3.9642200000000001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29.6372</c:v>
                </c:pt>
                <c:pt idx="1">
                  <c:v>30.0413</c:v>
                </c:pt>
                <c:pt idx="2">
                  <c:v>30.524899999999999</c:v>
                </c:pt>
                <c:pt idx="3">
                  <c:v>30.914000000000001</c:v>
                </c:pt>
                <c:pt idx="4">
                  <c:v>31.303100000000001</c:v>
                </c:pt>
                <c:pt idx="5">
                  <c:v>31.7117</c:v>
                </c:pt>
                <c:pt idx="6">
                  <c:v>32.114699999999999</c:v>
                </c:pt>
                <c:pt idx="7">
                  <c:v>32.521599999999999</c:v>
                </c:pt>
                <c:pt idx="8">
                  <c:v>32.930100000000003</c:v>
                </c:pt>
                <c:pt idx="9">
                  <c:v>33.336399999999998</c:v>
                </c:pt>
                <c:pt idx="10">
                  <c:v>33.743299999999998</c:v>
                </c:pt>
                <c:pt idx="11">
                  <c:v>34.145200000000003</c:v>
                </c:pt>
                <c:pt idx="12">
                  <c:v>34.554099999999998</c:v>
                </c:pt>
                <c:pt idx="13">
                  <c:v>34.961300000000001</c:v>
                </c:pt>
                <c:pt idx="14">
                  <c:v>35.366999999999997</c:v>
                </c:pt>
                <c:pt idx="15">
                  <c:v>35.774999999999999</c:v>
                </c:pt>
                <c:pt idx="16">
                  <c:v>36.181100000000001</c:v>
                </c:pt>
                <c:pt idx="17">
                  <c:v>36.585599999999999</c:v>
                </c:pt>
                <c:pt idx="18">
                  <c:v>36.994700000000002</c:v>
                </c:pt>
                <c:pt idx="19">
                  <c:v>37.401499999999999</c:v>
                </c:pt>
                <c:pt idx="20">
                  <c:v>37.806399999999996</c:v>
                </c:pt>
                <c:pt idx="21">
                  <c:v>38.212200000000003</c:v>
                </c:pt>
                <c:pt idx="22">
                  <c:v>38.616199999999999</c:v>
                </c:pt>
                <c:pt idx="23">
                  <c:v>39.022100000000002</c:v>
                </c:pt>
                <c:pt idx="24">
                  <c:v>39.426499999999997</c:v>
                </c:pt>
                <c:pt idx="25">
                  <c:v>39.839500000000001</c:v>
                </c:pt>
                <c:pt idx="26">
                  <c:v>40.241199999999999</c:v>
                </c:pt>
                <c:pt idx="27">
                  <c:v>40.648899999999998</c:v>
                </c:pt>
                <c:pt idx="28">
                  <c:v>41.056699999999999</c:v>
                </c:pt>
                <c:pt idx="29">
                  <c:v>41.459600000000002</c:v>
                </c:pt>
                <c:pt idx="30">
                  <c:v>41.866500000000002</c:v>
                </c:pt>
                <c:pt idx="31">
                  <c:v>42.271599999999999</c:v>
                </c:pt>
                <c:pt idx="32">
                  <c:v>42.684399999999997</c:v>
                </c:pt>
                <c:pt idx="33">
                  <c:v>43.088299999999997</c:v>
                </c:pt>
                <c:pt idx="34">
                  <c:v>43.492199999999997</c:v>
                </c:pt>
                <c:pt idx="35">
                  <c:v>43.897199999999998</c:v>
                </c:pt>
                <c:pt idx="36">
                  <c:v>44.303400000000003</c:v>
                </c:pt>
                <c:pt idx="37">
                  <c:v>44.712000000000003</c:v>
                </c:pt>
                <c:pt idx="38">
                  <c:v>45.117899999999999</c:v>
                </c:pt>
                <c:pt idx="39">
                  <c:v>45.522799999999997</c:v>
                </c:pt>
                <c:pt idx="40">
                  <c:v>45.929699999999997</c:v>
                </c:pt>
                <c:pt idx="41">
                  <c:v>46.334699999999998</c:v>
                </c:pt>
                <c:pt idx="42">
                  <c:v>46.740499999999997</c:v>
                </c:pt>
                <c:pt idx="43">
                  <c:v>47.1477</c:v>
                </c:pt>
                <c:pt idx="44">
                  <c:v>47.5535</c:v>
                </c:pt>
                <c:pt idx="45">
                  <c:v>47.964500000000001</c:v>
                </c:pt>
                <c:pt idx="46">
                  <c:v>48.368099999999998</c:v>
                </c:pt>
                <c:pt idx="47">
                  <c:v>48.772100000000002</c:v>
                </c:pt>
                <c:pt idx="48">
                  <c:v>49.179900000000004</c:v>
                </c:pt>
                <c:pt idx="49">
                  <c:v>49.585099999999997</c:v>
                </c:pt>
                <c:pt idx="50">
                  <c:v>49.993899999999996</c:v>
                </c:pt>
                <c:pt idx="51">
                  <c:v>50.400199999999998</c:v>
                </c:pt>
                <c:pt idx="52">
                  <c:v>50.806600000000003</c:v>
                </c:pt>
                <c:pt idx="53">
                  <c:v>51.211500000000001</c:v>
                </c:pt>
                <c:pt idx="54">
                  <c:v>51.616599999999998</c:v>
                </c:pt>
                <c:pt idx="55">
                  <c:v>52.023299999999999</c:v>
                </c:pt>
                <c:pt idx="56">
                  <c:v>52.429299999999998</c:v>
                </c:pt>
                <c:pt idx="57">
                  <c:v>52.8337</c:v>
                </c:pt>
                <c:pt idx="58">
                  <c:v>53.241199999999999</c:v>
                </c:pt>
                <c:pt idx="59">
                  <c:v>53.646099999999997</c:v>
                </c:pt>
                <c:pt idx="60">
                  <c:v>54.053899999999999</c:v>
                </c:pt>
                <c:pt idx="61">
                  <c:v>54.459899999999998</c:v>
                </c:pt>
                <c:pt idx="62">
                  <c:v>54.868899999999996</c:v>
                </c:pt>
                <c:pt idx="63">
                  <c:v>55.275700000000001</c:v>
                </c:pt>
                <c:pt idx="64">
                  <c:v>55.683</c:v>
                </c:pt>
                <c:pt idx="65">
                  <c:v>56.087499999999999</c:v>
                </c:pt>
                <c:pt idx="66">
                  <c:v>56.4925</c:v>
                </c:pt>
                <c:pt idx="67">
                  <c:v>56.900300000000001</c:v>
                </c:pt>
                <c:pt idx="68">
                  <c:v>57.305300000000003</c:v>
                </c:pt>
                <c:pt idx="69">
                  <c:v>57.7121</c:v>
                </c:pt>
                <c:pt idx="70">
                  <c:v>58.117100000000001</c:v>
                </c:pt>
                <c:pt idx="71">
                  <c:v>58.521000000000001</c:v>
                </c:pt>
                <c:pt idx="72">
                  <c:v>58.932000000000002</c:v>
                </c:pt>
                <c:pt idx="73">
                  <c:v>59.337899999999998</c:v>
                </c:pt>
                <c:pt idx="74">
                  <c:v>59.742800000000003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3.5945999999999998</c:v>
                </c:pt>
                <c:pt idx="1">
                  <c:v>3.5529699999999997</c:v>
                </c:pt>
                <c:pt idx="2">
                  <c:v>3.5063800000000001</c:v>
                </c:pt>
                <c:pt idx="3">
                  <c:v>3.4620899999999999</c:v>
                </c:pt>
                <c:pt idx="4">
                  <c:v>3.4166400000000001</c:v>
                </c:pt>
                <c:pt idx="5">
                  <c:v>3.3699400000000002</c:v>
                </c:pt>
                <c:pt idx="6">
                  <c:v>3.3241900000000002</c:v>
                </c:pt>
                <c:pt idx="7">
                  <c:v>3.2823700000000002</c:v>
                </c:pt>
                <c:pt idx="8">
                  <c:v>3.2454000000000001</c:v>
                </c:pt>
                <c:pt idx="9">
                  <c:v>3.2103700000000002</c:v>
                </c:pt>
                <c:pt idx="10">
                  <c:v>3.1773600000000002</c:v>
                </c:pt>
                <c:pt idx="11">
                  <c:v>3.1466699999999999</c:v>
                </c:pt>
                <c:pt idx="12">
                  <c:v>3.11985</c:v>
                </c:pt>
                <c:pt idx="13">
                  <c:v>3.0983000000000001</c:v>
                </c:pt>
                <c:pt idx="14">
                  <c:v>3.0775400000000004</c:v>
                </c:pt>
                <c:pt idx="15">
                  <c:v>3.0581399999999999</c:v>
                </c:pt>
                <c:pt idx="16">
                  <c:v>3.0426500000000001</c:v>
                </c:pt>
                <c:pt idx="17">
                  <c:v>3.0288700000000004</c:v>
                </c:pt>
                <c:pt idx="18">
                  <c:v>3.0139300000000002</c:v>
                </c:pt>
                <c:pt idx="19">
                  <c:v>2.9973899999999998</c:v>
                </c:pt>
                <c:pt idx="20">
                  <c:v>2.9813400000000003</c:v>
                </c:pt>
                <c:pt idx="21">
                  <c:v>2.9692600000000002</c:v>
                </c:pt>
                <c:pt idx="22">
                  <c:v>2.96143</c:v>
                </c:pt>
                <c:pt idx="23">
                  <c:v>2.9598300000000002</c:v>
                </c:pt>
                <c:pt idx="24">
                  <c:v>2.9632900000000002</c:v>
                </c:pt>
                <c:pt idx="25">
                  <c:v>2.9700300000000004</c:v>
                </c:pt>
                <c:pt idx="26">
                  <c:v>2.97925</c:v>
                </c:pt>
                <c:pt idx="27">
                  <c:v>2.99193</c:v>
                </c:pt>
                <c:pt idx="28">
                  <c:v>3.0060900000000004</c:v>
                </c:pt>
                <c:pt idx="29">
                  <c:v>3.0249199999999998</c:v>
                </c:pt>
                <c:pt idx="30">
                  <c:v>3.05044</c:v>
                </c:pt>
                <c:pt idx="31">
                  <c:v>3.0786500000000001</c:v>
                </c:pt>
                <c:pt idx="32">
                  <c:v>3.1091500000000001</c:v>
                </c:pt>
                <c:pt idx="33">
                  <c:v>3.1417099999999998</c:v>
                </c:pt>
                <c:pt idx="34">
                  <c:v>3.17171</c:v>
                </c:pt>
                <c:pt idx="35">
                  <c:v>3.1969700000000003</c:v>
                </c:pt>
                <c:pt idx="36">
                  <c:v>3.2183600000000001</c:v>
                </c:pt>
                <c:pt idx="37">
                  <c:v>3.2384300000000001</c:v>
                </c:pt>
                <c:pt idx="38">
                  <c:v>3.2550699999999999</c:v>
                </c:pt>
                <c:pt idx="39">
                  <c:v>3.27203</c:v>
                </c:pt>
                <c:pt idx="40">
                  <c:v>3.2927600000000004</c:v>
                </c:pt>
                <c:pt idx="41">
                  <c:v>3.3167499999999999</c:v>
                </c:pt>
                <c:pt idx="42">
                  <c:v>3.3459599999999998</c:v>
                </c:pt>
                <c:pt idx="43">
                  <c:v>3.3797899999999998</c:v>
                </c:pt>
                <c:pt idx="44">
                  <c:v>3.4165200000000002</c:v>
                </c:pt>
                <c:pt idx="45">
                  <c:v>3.4546999999999999</c:v>
                </c:pt>
                <c:pt idx="46">
                  <c:v>3.49431</c:v>
                </c:pt>
                <c:pt idx="47">
                  <c:v>3.53315</c:v>
                </c:pt>
                <c:pt idx="48">
                  <c:v>3.56928</c:v>
                </c:pt>
                <c:pt idx="49">
                  <c:v>3.6026899999999999</c:v>
                </c:pt>
                <c:pt idx="50">
                  <c:v>3.6337900000000003</c:v>
                </c:pt>
                <c:pt idx="51">
                  <c:v>3.6510799999999999</c:v>
                </c:pt>
                <c:pt idx="52">
                  <c:v>3.66777</c:v>
                </c:pt>
                <c:pt idx="53">
                  <c:v>3.6842100000000002</c:v>
                </c:pt>
                <c:pt idx="54">
                  <c:v>3.6975999999999996</c:v>
                </c:pt>
                <c:pt idx="55">
                  <c:v>3.7076199999999999</c:v>
                </c:pt>
                <c:pt idx="56">
                  <c:v>3.7146600000000003</c:v>
                </c:pt>
                <c:pt idx="57">
                  <c:v>3.7187700000000001</c:v>
                </c:pt>
                <c:pt idx="58">
                  <c:v>3.71997</c:v>
                </c:pt>
                <c:pt idx="59">
                  <c:v>3.7243599999999999</c:v>
                </c:pt>
                <c:pt idx="60">
                  <c:v>3.73732</c:v>
                </c:pt>
                <c:pt idx="61">
                  <c:v>3.7569599999999999</c:v>
                </c:pt>
                <c:pt idx="62">
                  <c:v>3.77658</c:v>
                </c:pt>
                <c:pt idx="63">
                  <c:v>3.8047900000000001</c:v>
                </c:pt>
                <c:pt idx="64">
                  <c:v>3.8385200000000004</c:v>
                </c:pt>
                <c:pt idx="65">
                  <c:v>3.8721899999999998</c:v>
                </c:pt>
                <c:pt idx="66">
                  <c:v>3.9028400000000003</c:v>
                </c:pt>
                <c:pt idx="67">
                  <c:v>3.9271699999999998</c:v>
                </c:pt>
                <c:pt idx="68">
                  <c:v>3.9480199999999996</c:v>
                </c:pt>
                <c:pt idx="69">
                  <c:v>3.95913</c:v>
                </c:pt>
                <c:pt idx="70">
                  <c:v>3.9661900000000001</c:v>
                </c:pt>
                <c:pt idx="71">
                  <c:v>3.9646599999999999</c:v>
                </c:pt>
                <c:pt idx="72">
                  <c:v>3.9563700000000002</c:v>
                </c:pt>
                <c:pt idx="73">
                  <c:v>3.9575399999999998</c:v>
                </c:pt>
                <c:pt idx="74">
                  <c:v>3.9642200000000001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14.935700000000001</c:v>
                </c:pt>
                <c:pt idx="1">
                  <c:v>44.807100000000005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3.3204375675675681</c:v>
                </c:pt>
                <c:pt idx="1">
                  <c:v>3.409853783783785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  <c:pt idx="74">
                  <c:v>30.0413</c:v>
                </c:pt>
                <c:pt idx="75">
                  <c:v>30.524899999999999</c:v>
                </c:pt>
                <c:pt idx="76">
                  <c:v>30.914000000000001</c:v>
                </c:pt>
                <c:pt idx="77">
                  <c:v>31.303100000000001</c:v>
                </c:pt>
                <c:pt idx="78">
                  <c:v>31.7117</c:v>
                </c:pt>
                <c:pt idx="79">
                  <c:v>32.114699999999999</c:v>
                </c:pt>
                <c:pt idx="80">
                  <c:v>32.521599999999999</c:v>
                </c:pt>
                <c:pt idx="81">
                  <c:v>32.930100000000003</c:v>
                </c:pt>
                <c:pt idx="82">
                  <c:v>33.336399999999998</c:v>
                </c:pt>
                <c:pt idx="83">
                  <c:v>33.743299999999998</c:v>
                </c:pt>
                <c:pt idx="84">
                  <c:v>34.145200000000003</c:v>
                </c:pt>
                <c:pt idx="85">
                  <c:v>34.554099999999998</c:v>
                </c:pt>
                <c:pt idx="86">
                  <c:v>34.961300000000001</c:v>
                </c:pt>
                <c:pt idx="87">
                  <c:v>35.366999999999997</c:v>
                </c:pt>
                <c:pt idx="88">
                  <c:v>35.774999999999999</c:v>
                </c:pt>
                <c:pt idx="89">
                  <c:v>36.181100000000001</c:v>
                </c:pt>
                <c:pt idx="90">
                  <c:v>36.585599999999999</c:v>
                </c:pt>
                <c:pt idx="91">
                  <c:v>36.994700000000002</c:v>
                </c:pt>
                <c:pt idx="92">
                  <c:v>37.401499999999999</c:v>
                </c:pt>
                <c:pt idx="93">
                  <c:v>37.806399999999996</c:v>
                </c:pt>
                <c:pt idx="94">
                  <c:v>38.212200000000003</c:v>
                </c:pt>
                <c:pt idx="95">
                  <c:v>38.616199999999999</c:v>
                </c:pt>
                <c:pt idx="96">
                  <c:v>39.022100000000002</c:v>
                </c:pt>
                <c:pt idx="97">
                  <c:v>39.426499999999997</c:v>
                </c:pt>
                <c:pt idx="98">
                  <c:v>39.839500000000001</c:v>
                </c:pt>
                <c:pt idx="99">
                  <c:v>40.241199999999999</c:v>
                </c:pt>
                <c:pt idx="100">
                  <c:v>40.648899999999998</c:v>
                </c:pt>
                <c:pt idx="101">
                  <c:v>41.056699999999999</c:v>
                </c:pt>
                <c:pt idx="102">
                  <c:v>41.459600000000002</c:v>
                </c:pt>
                <c:pt idx="103">
                  <c:v>41.866500000000002</c:v>
                </c:pt>
                <c:pt idx="104">
                  <c:v>42.271599999999999</c:v>
                </c:pt>
                <c:pt idx="105">
                  <c:v>42.684399999999997</c:v>
                </c:pt>
                <c:pt idx="106">
                  <c:v>43.088299999999997</c:v>
                </c:pt>
                <c:pt idx="107">
                  <c:v>43.492199999999997</c:v>
                </c:pt>
                <c:pt idx="108">
                  <c:v>43.897199999999998</c:v>
                </c:pt>
                <c:pt idx="109">
                  <c:v>44.303400000000003</c:v>
                </c:pt>
                <c:pt idx="110">
                  <c:v>44.712000000000003</c:v>
                </c:pt>
                <c:pt idx="111">
                  <c:v>45.117899999999999</c:v>
                </c:pt>
                <c:pt idx="112">
                  <c:v>45.522799999999997</c:v>
                </c:pt>
                <c:pt idx="113">
                  <c:v>45.929699999999997</c:v>
                </c:pt>
                <c:pt idx="114">
                  <c:v>46.334699999999998</c:v>
                </c:pt>
                <c:pt idx="115">
                  <c:v>46.740499999999997</c:v>
                </c:pt>
                <c:pt idx="116">
                  <c:v>47.1477</c:v>
                </c:pt>
                <c:pt idx="117">
                  <c:v>47.5535</c:v>
                </c:pt>
                <c:pt idx="118">
                  <c:v>47.964500000000001</c:v>
                </c:pt>
                <c:pt idx="119">
                  <c:v>48.368099999999998</c:v>
                </c:pt>
                <c:pt idx="120">
                  <c:v>48.772100000000002</c:v>
                </c:pt>
                <c:pt idx="121">
                  <c:v>49.179900000000004</c:v>
                </c:pt>
                <c:pt idx="122">
                  <c:v>49.585099999999997</c:v>
                </c:pt>
                <c:pt idx="123">
                  <c:v>49.993899999999996</c:v>
                </c:pt>
                <c:pt idx="124">
                  <c:v>50.400199999999998</c:v>
                </c:pt>
                <c:pt idx="125">
                  <c:v>50.806600000000003</c:v>
                </c:pt>
                <c:pt idx="126">
                  <c:v>51.211500000000001</c:v>
                </c:pt>
                <c:pt idx="127">
                  <c:v>51.616599999999998</c:v>
                </c:pt>
                <c:pt idx="128">
                  <c:v>52.023299999999999</c:v>
                </c:pt>
                <c:pt idx="129">
                  <c:v>52.429299999999998</c:v>
                </c:pt>
                <c:pt idx="130">
                  <c:v>52.8337</c:v>
                </c:pt>
                <c:pt idx="131">
                  <c:v>53.241199999999999</c:v>
                </c:pt>
                <c:pt idx="132">
                  <c:v>53.646099999999997</c:v>
                </c:pt>
                <c:pt idx="133">
                  <c:v>54.053899999999999</c:v>
                </c:pt>
                <c:pt idx="134">
                  <c:v>54.459899999999998</c:v>
                </c:pt>
                <c:pt idx="135">
                  <c:v>54.868899999999996</c:v>
                </c:pt>
                <c:pt idx="136">
                  <c:v>55.275700000000001</c:v>
                </c:pt>
                <c:pt idx="137">
                  <c:v>55.683</c:v>
                </c:pt>
                <c:pt idx="138">
                  <c:v>56.087499999999999</c:v>
                </c:pt>
                <c:pt idx="139">
                  <c:v>56.4925</c:v>
                </c:pt>
                <c:pt idx="140">
                  <c:v>56.900300000000001</c:v>
                </c:pt>
                <c:pt idx="141">
                  <c:v>57.305300000000003</c:v>
                </c:pt>
                <c:pt idx="142">
                  <c:v>57.7121</c:v>
                </c:pt>
                <c:pt idx="143">
                  <c:v>58.117100000000001</c:v>
                </c:pt>
                <c:pt idx="144">
                  <c:v>58.521000000000001</c:v>
                </c:pt>
                <c:pt idx="145">
                  <c:v>58.932000000000002</c:v>
                </c:pt>
                <c:pt idx="146">
                  <c:v>59.337899999999998</c:v>
                </c:pt>
                <c:pt idx="147">
                  <c:v>59.742800000000003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  <c:pt idx="74">
                  <c:v>45.107199999999999</c:v>
                </c:pt>
                <c:pt idx="75">
                  <c:v>45.3127</c:v>
                </c:pt>
                <c:pt idx="76">
                  <c:v>45.533999999999999</c:v>
                </c:pt>
                <c:pt idx="77">
                  <c:v>45.7879</c:v>
                </c:pt>
                <c:pt idx="78">
                  <c:v>46.007799999999996</c:v>
                </c:pt>
                <c:pt idx="79">
                  <c:v>46.238500000000002</c:v>
                </c:pt>
                <c:pt idx="80">
                  <c:v>46.371600000000001</c:v>
                </c:pt>
                <c:pt idx="81">
                  <c:v>46.431400000000004</c:v>
                </c:pt>
                <c:pt idx="82">
                  <c:v>46.440100000000001</c:v>
                </c:pt>
                <c:pt idx="83">
                  <c:v>46.4621</c:v>
                </c:pt>
                <c:pt idx="84">
                  <c:v>46.508000000000003</c:v>
                </c:pt>
                <c:pt idx="85">
                  <c:v>46.599699999999999</c:v>
                </c:pt>
                <c:pt idx="86">
                  <c:v>46.622100000000003</c:v>
                </c:pt>
                <c:pt idx="87">
                  <c:v>46.671399999999998</c:v>
                </c:pt>
                <c:pt idx="88">
                  <c:v>46.715899999999998</c:v>
                </c:pt>
                <c:pt idx="89">
                  <c:v>46.725899999999996</c:v>
                </c:pt>
                <c:pt idx="90">
                  <c:v>46.777299999999997</c:v>
                </c:pt>
                <c:pt idx="91">
                  <c:v>46.849800000000002</c:v>
                </c:pt>
                <c:pt idx="92">
                  <c:v>46.972500000000004</c:v>
                </c:pt>
                <c:pt idx="93">
                  <c:v>47.090199999999996</c:v>
                </c:pt>
                <c:pt idx="94">
                  <c:v>47.130300000000005</c:v>
                </c:pt>
                <c:pt idx="95">
                  <c:v>47.099400000000003</c:v>
                </c:pt>
                <c:pt idx="96">
                  <c:v>46.970299999999995</c:v>
                </c:pt>
                <c:pt idx="97">
                  <c:v>46.773299999999999</c:v>
                </c:pt>
                <c:pt idx="98">
                  <c:v>46.521799999999999</c:v>
                </c:pt>
                <c:pt idx="99">
                  <c:v>46.239100000000001</c:v>
                </c:pt>
                <c:pt idx="100">
                  <c:v>45.907899999999998</c:v>
                </c:pt>
                <c:pt idx="101">
                  <c:v>45.575500000000005</c:v>
                </c:pt>
                <c:pt idx="102">
                  <c:v>45.2014</c:v>
                </c:pt>
                <c:pt idx="103">
                  <c:v>44.778199999999998</c:v>
                </c:pt>
                <c:pt idx="104">
                  <c:v>44.373400000000004</c:v>
                </c:pt>
                <c:pt idx="105">
                  <c:v>43.960300000000004</c:v>
                </c:pt>
                <c:pt idx="106">
                  <c:v>43.530299999999997</c:v>
                </c:pt>
                <c:pt idx="107">
                  <c:v>43.226999999999997</c:v>
                </c:pt>
                <c:pt idx="108">
                  <c:v>43.101299999999995</c:v>
                </c:pt>
                <c:pt idx="109">
                  <c:v>43.052500000000002</c:v>
                </c:pt>
                <c:pt idx="110">
                  <c:v>42.949599999999997</c:v>
                </c:pt>
                <c:pt idx="111">
                  <c:v>42.921300000000002</c:v>
                </c:pt>
                <c:pt idx="112">
                  <c:v>42.907899999999998</c:v>
                </c:pt>
                <c:pt idx="113">
                  <c:v>42.8992</c:v>
                </c:pt>
                <c:pt idx="114">
                  <c:v>42.883200000000002</c:v>
                </c:pt>
                <c:pt idx="115">
                  <c:v>42.848300000000002</c:v>
                </c:pt>
                <c:pt idx="116">
                  <c:v>42.824400000000004</c:v>
                </c:pt>
                <c:pt idx="117">
                  <c:v>42.77</c:v>
                </c:pt>
                <c:pt idx="118">
                  <c:v>42.767600000000002</c:v>
                </c:pt>
                <c:pt idx="119">
                  <c:v>42.8005</c:v>
                </c:pt>
                <c:pt idx="120">
                  <c:v>42.875700000000002</c:v>
                </c:pt>
                <c:pt idx="121">
                  <c:v>43.063299999999998</c:v>
                </c:pt>
                <c:pt idx="122">
                  <c:v>43.291800000000002</c:v>
                </c:pt>
                <c:pt idx="123">
                  <c:v>43.491900000000001</c:v>
                </c:pt>
                <c:pt idx="124">
                  <c:v>43.677</c:v>
                </c:pt>
                <c:pt idx="125">
                  <c:v>43.851900000000001</c:v>
                </c:pt>
                <c:pt idx="126">
                  <c:v>44.0261</c:v>
                </c:pt>
                <c:pt idx="127">
                  <c:v>44.135799999999996</c:v>
                </c:pt>
                <c:pt idx="128">
                  <c:v>44.201599999999999</c:v>
                </c:pt>
                <c:pt idx="129">
                  <c:v>44.236199999999997</c:v>
                </c:pt>
                <c:pt idx="130">
                  <c:v>44.267600000000002</c:v>
                </c:pt>
                <c:pt idx="131">
                  <c:v>44.322899999999997</c:v>
                </c:pt>
                <c:pt idx="132">
                  <c:v>44.374400000000001</c:v>
                </c:pt>
                <c:pt idx="133">
                  <c:v>44.439599999999999</c:v>
                </c:pt>
                <c:pt idx="134">
                  <c:v>44.506099999999996</c:v>
                </c:pt>
                <c:pt idx="135">
                  <c:v>44.576300000000003</c:v>
                </c:pt>
                <c:pt idx="136">
                  <c:v>44.703800000000001</c:v>
                </c:pt>
                <c:pt idx="137">
                  <c:v>44.924500000000002</c:v>
                </c:pt>
                <c:pt idx="138">
                  <c:v>45.119</c:v>
                </c:pt>
                <c:pt idx="139">
                  <c:v>45.316400000000002</c:v>
                </c:pt>
                <c:pt idx="140">
                  <c:v>45.402000000000001</c:v>
                </c:pt>
                <c:pt idx="141">
                  <c:v>45.542000000000002</c:v>
                </c:pt>
                <c:pt idx="142">
                  <c:v>45.777099999999997</c:v>
                </c:pt>
                <c:pt idx="143">
                  <c:v>45.958500000000001</c:v>
                </c:pt>
                <c:pt idx="144">
                  <c:v>46.171500000000002</c:v>
                </c:pt>
                <c:pt idx="145">
                  <c:v>46.520600000000002</c:v>
                </c:pt>
                <c:pt idx="146">
                  <c:v>46.640799999999999</c:v>
                </c:pt>
                <c:pt idx="147">
                  <c:v>46.458799999999997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29.6372</c:v>
                </c:pt>
                <c:pt idx="1">
                  <c:v>30.0413</c:v>
                </c:pt>
                <c:pt idx="2">
                  <c:v>30.524899999999999</c:v>
                </c:pt>
                <c:pt idx="3">
                  <c:v>30.914000000000001</c:v>
                </c:pt>
                <c:pt idx="4">
                  <c:v>31.303100000000001</c:v>
                </c:pt>
                <c:pt idx="5">
                  <c:v>31.7117</c:v>
                </c:pt>
                <c:pt idx="6">
                  <c:v>32.114699999999999</c:v>
                </c:pt>
                <c:pt idx="7">
                  <c:v>32.521599999999999</c:v>
                </c:pt>
                <c:pt idx="8">
                  <c:v>32.930100000000003</c:v>
                </c:pt>
                <c:pt idx="9">
                  <c:v>33.336399999999998</c:v>
                </c:pt>
                <c:pt idx="10">
                  <c:v>33.743299999999998</c:v>
                </c:pt>
                <c:pt idx="11">
                  <c:v>34.145200000000003</c:v>
                </c:pt>
                <c:pt idx="12">
                  <c:v>34.554099999999998</c:v>
                </c:pt>
                <c:pt idx="13">
                  <c:v>34.961300000000001</c:v>
                </c:pt>
                <c:pt idx="14">
                  <c:v>35.366999999999997</c:v>
                </c:pt>
                <c:pt idx="15">
                  <c:v>35.774999999999999</c:v>
                </c:pt>
                <c:pt idx="16">
                  <c:v>36.181100000000001</c:v>
                </c:pt>
                <c:pt idx="17">
                  <c:v>36.585599999999999</c:v>
                </c:pt>
                <c:pt idx="18">
                  <c:v>36.994700000000002</c:v>
                </c:pt>
                <c:pt idx="19">
                  <c:v>37.401499999999999</c:v>
                </c:pt>
                <c:pt idx="20">
                  <c:v>37.806399999999996</c:v>
                </c:pt>
                <c:pt idx="21">
                  <c:v>38.212200000000003</c:v>
                </c:pt>
                <c:pt idx="22">
                  <c:v>38.616199999999999</c:v>
                </c:pt>
                <c:pt idx="23">
                  <c:v>39.022100000000002</c:v>
                </c:pt>
                <c:pt idx="24">
                  <c:v>39.426499999999997</c:v>
                </c:pt>
                <c:pt idx="25">
                  <c:v>39.839500000000001</c:v>
                </c:pt>
                <c:pt idx="26">
                  <c:v>40.241199999999999</c:v>
                </c:pt>
                <c:pt idx="27">
                  <c:v>40.648899999999998</c:v>
                </c:pt>
                <c:pt idx="28">
                  <c:v>41.056699999999999</c:v>
                </c:pt>
                <c:pt idx="29">
                  <c:v>41.459600000000002</c:v>
                </c:pt>
                <c:pt idx="30">
                  <c:v>41.866500000000002</c:v>
                </c:pt>
                <c:pt idx="31">
                  <c:v>42.271599999999999</c:v>
                </c:pt>
                <c:pt idx="32">
                  <c:v>42.684399999999997</c:v>
                </c:pt>
                <c:pt idx="33">
                  <c:v>43.088299999999997</c:v>
                </c:pt>
                <c:pt idx="34">
                  <c:v>43.492199999999997</c:v>
                </c:pt>
                <c:pt idx="35">
                  <c:v>43.897199999999998</c:v>
                </c:pt>
                <c:pt idx="36">
                  <c:v>44.303400000000003</c:v>
                </c:pt>
                <c:pt idx="37">
                  <c:v>44.712000000000003</c:v>
                </c:pt>
                <c:pt idx="38">
                  <c:v>45.117899999999999</c:v>
                </c:pt>
                <c:pt idx="39">
                  <c:v>45.522799999999997</c:v>
                </c:pt>
                <c:pt idx="40">
                  <c:v>45.929699999999997</c:v>
                </c:pt>
                <c:pt idx="41">
                  <c:v>46.334699999999998</c:v>
                </c:pt>
                <c:pt idx="42">
                  <c:v>46.740499999999997</c:v>
                </c:pt>
                <c:pt idx="43">
                  <c:v>47.1477</c:v>
                </c:pt>
                <c:pt idx="44">
                  <c:v>47.5535</c:v>
                </c:pt>
                <c:pt idx="45">
                  <c:v>47.964500000000001</c:v>
                </c:pt>
                <c:pt idx="46">
                  <c:v>48.368099999999998</c:v>
                </c:pt>
                <c:pt idx="47">
                  <c:v>48.772100000000002</c:v>
                </c:pt>
                <c:pt idx="48">
                  <c:v>49.179900000000004</c:v>
                </c:pt>
                <c:pt idx="49">
                  <c:v>49.585099999999997</c:v>
                </c:pt>
                <c:pt idx="50">
                  <c:v>49.993899999999996</c:v>
                </c:pt>
                <c:pt idx="51">
                  <c:v>50.400199999999998</c:v>
                </c:pt>
                <c:pt idx="52">
                  <c:v>50.806600000000003</c:v>
                </c:pt>
                <c:pt idx="53">
                  <c:v>51.211500000000001</c:v>
                </c:pt>
                <c:pt idx="54">
                  <c:v>51.616599999999998</c:v>
                </c:pt>
                <c:pt idx="55">
                  <c:v>52.023299999999999</c:v>
                </c:pt>
                <c:pt idx="56">
                  <c:v>52.429299999999998</c:v>
                </c:pt>
                <c:pt idx="57">
                  <c:v>52.8337</c:v>
                </c:pt>
                <c:pt idx="58">
                  <c:v>53.241199999999999</c:v>
                </c:pt>
                <c:pt idx="59">
                  <c:v>53.646099999999997</c:v>
                </c:pt>
                <c:pt idx="60">
                  <c:v>54.053899999999999</c:v>
                </c:pt>
                <c:pt idx="61">
                  <c:v>54.459899999999998</c:v>
                </c:pt>
                <c:pt idx="62">
                  <c:v>54.868899999999996</c:v>
                </c:pt>
                <c:pt idx="63">
                  <c:v>55.275700000000001</c:v>
                </c:pt>
                <c:pt idx="64">
                  <c:v>55.683</c:v>
                </c:pt>
                <c:pt idx="65">
                  <c:v>56.087499999999999</c:v>
                </c:pt>
                <c:pt idx="66">
                  <c:v>56.4925</c:v>
                </c:pt>
                <c:pt idx="67">
                  <c:v>56.900300000000001</c:v>
                </c:pt>
                <c:pt idx="68">
                  <c:v>57.305300000000003</c:v>
                </c:pt>
                <c:pt idx="69">
                  <c:v>57.7121</c:v>
                </c:pt>
                <c:pt idx="70">
                  <c:v>58.117100000000001</c:v>
                </c:pt>
                <c:pt idx="71">
                  <c:v>58.521000000000001</c:v>
                </c:pt>
                <c:pt idx="72">
                  <c:v>58.932000000000002</c:v>
                </c:pt>
                <c:pt idx="73">
                  <c:v>59.337899999999998</c:v>
                </c:pt>
                <c:pt idx="74">
                  <c:v>59.742800000000003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45.146900000000002</c:v>
                </c:pt>
                <c:pt idx="1">
                  <c:v>45.107199999999999</c:v>
                </c:pt>
                <c:pt idx="2">
                  <c:v>45.3127</c:v>
                </c:pt>
                <c:pt idx="3">
                  <c:v>45.533999999999999</c:v>
                </c:pt>
                <c:pt idx="4">
                  <c:v>45.7879</c:v>
                </c:pt>
                <c:pt idx="5">
                  <c:v>46.007799999999996</c:v>
                </c:pt>
                <c:pt idx="6">
                  <c:v>46.238500000000002</c:v>
                </c:pt>
                <c:pt idx="7">
                  <c:v>46.371600000000001</c:v>
                </c:pt>
                <c:pt idx="8">
                  <c:v>46.431400000000004</c:v>
                </c:pt>
                <c:pt idx="9">
                  <c:v>46.440100000000001</c:v>
                </c:pt>
                <c:pt idx="10">
                  <c:v>46.4621</c:v>
                </c:pt>
                <c:pt idx="11">
                  <c:v>46.508000000000003</c:v>
                </c:pt>
                <c:pt idx="12">
                  <c:v>46.599699999999999</c:v>
                </c:pt>
                <c:pt idx="13">
                  <c:v>46.622100000000003</c:v>
                </c:pt>
                <c:pt idx="14">
                  <c:v>46.671399999999998</c:v>
                </c:pt>
                <c:pt idx="15">
                  <c:v>46.715899999999998</c:v>
                </c:pt>
                <c:pt idx="16">
                  <c:v>46.725899999999996</c:v>
                </c:pt>
                <c:pt idx="17">
                  <c:v>46.777299999999997</c:v>
                </c:pt>
                <c:pt idx="18">
                  <c:v>46.849800000000002</c:v>
                </c:pt>
                <c:pt idx="19">
                  <c:v>46.972500000000004</c:v>
                </c:pt>
                <c:pt idx="20">
                  <c:v>47.090199999999996</c:v>
                </c:pt>
                <c:pt idx="21">
                  <c:v>47.130300000000005</c:v>
                </c:pt>
                <c:pt idx="22">
                  <c:v>47.099400000000003</c:v>
                </c:pt>
                <c:pt idx="23">
                  <c:v>46.970299999999995</c:v>
                </c:pt>
                <c:pt idx="24">
                  <c:v>46.773299999999999</c:v>
                </c:pt>
                <c:pt idx="25">
                  <c:v>46.521799999999999</c:v>
                </c:pt>
                <c:pt idx="26">
                  <c:v>46.239100000000001</c:v>
                </c:pt>
                <c:pt idx="27">
                  <c:v>45.907899999999998</c:v>
                </c:pt>
                <c:pt idx="28">
                  <c:v>45.575500000000005</c:v>
                </c:pt>
                <c:pt idx="29">
                  <c:v>45.2014</c:v>
                </c:pt>
                <c:pt idx="30">
                  <c:v>44.778199999999998</c:v>
                </c:pt>
                <c:pt idx="31">
                  <c:v>44.373400000000004</c:v>
                </c:pt>
                <c:pt idx="32">
                  <c:v>43.960300000000004</c:v>
                </c:pt>
                <c:pt idx="33">
                  <c:v>43.530299999999997</c:v>
                </c:pt>
                <c:pt idx="34">
                  <c:v>43.226999999999997</c:v>
                </c:pt>
                <c:pt idx="35">
                  <c:v>43.101299999999995</c:v>
                </c:pt>
                <c:pt idx="36">
                  <c:v>43.052500000000002</c:v>
                </c:pt>
                <c:pt idx="37">
                  <c:v>42.949599999999997</c:v>
                </c:pt>
                <c:pt idx="38">
                  <c:v>42.921300000000002</c:v>
                </c:pt>
                <c:pt idx="39">
                  <c:v>42.907899999999998</c:v>
                </c:pt>
                <c:pt idx="40">
                  <c:v>42.8992</c:v>
                </c:pt>
                <c:pt idx="41">
                  <c:v>42.883200000000002</c:v>
                </c:pt>
                <c:pt idx="42">
                  <c:v>42.848300000000002</c:v>
                </c:pt>
                <c:pt idx="43">
                  <c:v>42.824400000000004</c:v>
                </c:pt>
                <c:pt idx="44">
                  <c:v>42.77</c:v>
                </c:pt>
                <c:pt idx="45">
                  <c:v>42.767600000000002</c:v>
                </c:pt>
                <c:pt idx="46">
                  <c:v>42.8005</c:v>
                </c:pt>
                <c:pt idx="47">
                  <c:v>42.875700000000002</c:v>
                </c:pt>
                <c:pt idx="48">
                  <c:v>43.063299999999998</c:v>
                </c:pt>
                <c:pt idx="49">
                  <c:v>43.291800000000002</c:v>
                </c:pt>
                <c:pt idx="50">
                  <c:v>43.491900000000001</c:v>
                </c:pt>
                <c:pt idx="51">
                  <c:v>43.677</c:v>
                </c:pt>
                <c:pt idx="52">
                  <c:v>43.851900000000001</c:v>
                </c:pt>
                <c:pt idx="53">
                  <c:v>44.0261</c:v>
                </c:pt>
                <c:pt idx="54">
                  <c:v>44.135799999999996</c:v>
                </c:pt>
                <c:pt idx="55">
                  <c:v>44.201599999999999</c:v>
                </c:pt>
                <c:pt idx="56">
                  <c:v>44.236199999999997</c:v>
                </c:pt>
                <c:pt idx="57">
                  <c:v>44.267600000000002</c:v>
                </c:pt>
                <c:pt idx="58">
                  <c:v>44.322899999999997</c:v>
                </c:pt>
                <c:pt idx="59">
                  <c:v>44.374400000000001</c:v>
                </c:pt>
                <c:pt idx="60">
                  <c:v>44.439599999999999</c:v>
                </c:pt>
                <c:pt idx="61">
                  <c:v>44.506099999999996</c:v>
                </c:pt>
                <c:pt idx="62">
                  <c:v>44.576300000000003</c:v>
                </c:pt>
                <c:pt idx="63">
                  <c:v>44.703800000000001</c:v>
                </c:pt>
                <c:pt idx="64">
                  <c:v>44.924500000000002</c:v>
                </c:pt>
                <c:pt idx="65">
                  <c:v>45.119</c:v>
                </c:pt>
                <c:pt idx="66">
                  <c:v>45.316400000000002</c:v>
                </c:pt>
                <c:pt idx="67">
                  <c:v>45.402000000000001</c:v>
                </c:pt>
                <c:pt idx="68">
                  <c:v>45.542000000000002</c:v>
                </c:pt>
                <c:pt idx="69">
                  <c:v>45.777099999999997</c:v>
                </c:pt>
                <c:pt idx="70">
                  <c:v>45.958500000000001</c:v>
                </c:pt>
                <c:pt idx="71">
                  <c:v>46.171500000000002</c:v>
                </c:pt>
                <c:pt idx="72">
                  <c:v>46.520600000000002</c:v>
                </c:pt>
                <c:pt idx="73">
                  <c:v>46.640799999999999</c:v>
                </c:pt>
                <c:pt idx="74">
                  <c:v>46.458799999999997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14.935700000000001</c:v>
                </c:pt>
                <c:pt idx="1">
                  <c:v>44.807100000000005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46.075025675675683</c:v>
                </c:pt>
                <c:pt idx="1">
                  <c:v>45.015044594594599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36.088200000000001</c:v>
                </c:pt>
                <c:pt idx="1">
                  <c:v>28.997599999999998</c:v>
                </c:pt>
                <c:pt idx="2">
                  <c:v>20.9223</c:v>
                </c:pt>
                <c:pt idx="3">
                  <c:v>29.822399999999998</c:v>
                </c:pt>
                <c:pt idx="4">
                  <c:v>68.313000000000002</c:v>
                </c:pt>
                <c:pt idx="5">
                  <c:v>78.796800000000005</c:v>
                </c:pt>
                <c:pt idx="6">
                  <c:v>18.999099999999999</c:v>
                </c:pt>
                <c:pt idx="7">
                  <c:v>73.157399999999996</c:v>
                </c:pt>
                <c:pt idx="8">
                  <c:v>20.227799999999998</c:v>
                </c:pt>
                <c:pt idx="9">
                  <c:v>33.704999999999998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36.351700000000001</c:v>
                </c:pt>
                <c:pt idx="1">
                  <c:v>25.9986</c:v>
                </c:pt>
                <c:pt idx="2">
                  <c:v>20.065000000000001</c:v>
                </c:pt>
                <c:pt idx="3">
                  <c:v>27.8689</c:v>
                </c:pt>
                <c:pt idx="4">
                  <c:v>59.275399999999998</c:v>
                </c:pt>
                <c:pt idx="5">
                  <c:v>80.866299999999995</c:v>
                </c:pt>
                <c:pt idx="6">
                  <c:v>22.703399999999998</c:v>
                </c:pt>
                <c:pt idx="7">
                  <c:v>69.817999999999998</c:v>
                </c:pt>
                <c:pt idx="8">
                  <c:v>17.948899999999998</c:v>
                </c:pt>
                <c:pt idx="9">
                  <c:v>38.414099999999998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0.51681583644805718</c:v>
                </c:pt>
                <c:pt idx="1">
                  <c:v>0.25019418423612805</c:v>
                </c:pt>
                <c:pt idx="2">
                  <c:v>0.23298997931581486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1863</c:v>
                </c:pt>
                <c:pt idx="7">
                  <c:v>0</c:v>
                </c:pt>
                <c:pt idx="8">
                  <c:v>608</c:v>
                </c:pt>
                <c:pt idx="9">
                  <c:v>0</c:v>
                </c:pt>
                <c:pt idx="10">
                  <c:v>0</c:v>
                </c:pt>
                <c:pt idx="11">
                  <c:v>1267</c:v>
                </c:pt>
                <c:pt idx="12">
                  <c:v>0</c:v>
                </c:pt>
                <c:pt idx="13">
                  <c:v>3283</c:v>
                </c:pt>
                <c:pt idx="14">
                  <c:v>0</c:v>
                </c:pt>
                <c:pt idx="15">
                  <c:v>0</c:v>
                </c:pt>
                <c:pt idx="16">
                  <c:v>11245</c:v>
                </c:pt>
                <c:pt idx="17">
                  <c:v>0</c:v>
                </c:pt>
                <c:pt idx="18">
                  <c:v>0</c:v>
                </c:pt>
                <c:pt idx="19">
                  <c:v>25825</c:v>
                </c:pt>
                <c:pt idx="20">
                  <c:v>0</c:v>
                </c:pt>
                <c:pt idx="21">
                  <c:v>25544</c:v>
                </c:pt>
                <c:pt idx="22">
                  <c:v>0</c:v>
                </c:pt>
                <c:pt idx="23">
                  <c:v>0</c:v>
                </c:pt>
                <c:pt idx="24">
                  <c:v>31894</c:v>
                </c:pt>
                <c:pt idx="25">
                  <c:v>0</c:v>
                </c:pt>
                <c:pt idx="26">
                  <c:v>38654</c:v>
                </c:pt>
                <c:pt idx="27">
                  <c:v>0</c:v>
                </c:pt>
                <c:pt idx="28">
                  <c:v>0</c:v>
                </c:pt>
                <c:pt idx="29">
                  <c:v>42672</c:v>
                </c:pt>
                <c:pt idx="30">
                  <c:v>0</c:v>
                </c:pt>
                <c:pt idx="31">
                  <c:v>42420</c:v>
                </c:pt>
                <c:pt idx="32">
                  <c:v>0</c:v>
                </c:pt>
                <c:pt idx="33">
                  <c:v>0</c:v>
                </c:pt>
                <c:pt idx="34">
                  <c:v>42670</c:v>
                </c:pt>
                <c:pt idx="35">
                  <c:v>0</c:v>
                </c:pt>
                <c:pt idx="36">
                  <c:v>0</c:v>
                </c:pt>
                <c:pt idx="37">
                  <c:v>37970</c:v>
                </c:pt>
                <c:pt idx="38">
                  <c:v>0</c:v>
                </c:pt>
                <c:pt idx="39">
                  <c:v>43219</c:v>
                </c:pt>
                <c:pt idx="40">
                  <c:v>0</c:v>
                </c:pt>
                <c:pt idx="41">
                  <c:v>0</c:v>
                </c:pt>
                <c:pt idx="42">
                  <c:v>49654</c:v>
                </c:pt>
                <c:pt idx="43">
                  <c:v>0</c:v>
                </c:pt>
                <c:pt idx="44">
                  <c:v>56864</c:v>
                </c:pt>
                <c:pt idx="45">
                  <c:v>0</c:v>
                </c:pt>
                <c:pt idx="46">
                  <c:v>0</c:v>
                </c:pt>
                <c:pt idx="47">
                  <c:v>66484</c:v>
                </c:pt>
                <c:pt idx="48">
                  <c:v>0</c:v>
                </c:pt>
                <c:pt idx="49">
                  <c:v>64845</c:v>
                </c:pt>
                <c:pt idx="50">
                  <c:v>0</c:v>
                </c:pt>
                <c:pt idx="51">
                  <c:v>0</c:v>
                </c:pt>
                <c:pt idx="52">
                  <c:v>70953</c:v>
                </c:pt>
                <c:pt idx="53">
                  <c:v>0</c:v>
                </c:pt>
                <c:pt idx="54">
                  <c:v>0</c:v>
                </c:pt>
                <c:pt idx="55">
                  <c:v>72647</c:v>
                </c:pt>
                <c:pt idx="56">
                  <c:v>0</c:v>
                </c:pt>
                <c:pt idx="57">
                  <c:v>63789</c:v>
                </c:pt>
                <c:pt idx="58">
                  <c:v>0</c:v>
                </c:pt>
                <c:pt idx="59">
                  <c:v>0</c:v>
                </c:pt>
                <c:pt idx="60">
                  <c:v>60021</c:v>
                </c:pt>
                <c:pt idx="61">
                  <c:v>0</c:v>
                </c:pt>
                <c:pt idx="62">
                  <c:v>57086</c:v>
                </c:pt>
                <c:pt idx="63">
                  <c:v>0</c:v>
                </c:pt>
                <c:pt idx="64">
                  <c:v>0</c:v>
                </c:pt>
                <c:pt idx="65">
                  <c:v>58903</c:v>
                </c:pt>
                <c:pt idx="66">
                  <c:v>0</c:v>
                </c:pt>
                <c:pt idx="67">
                  <c:v>52988</c:v>
                </c:pt>
                <c:pt idx="68">
                  <c:v>0</c:v>
                </c:pt>
                <c:pt idx="69">
                  <c:v>0</c:v>
                </c:pt>
                <c:pt idx="70">
                  <c:v>53982</c:v>
                </c:pt>
                <c:pt idx="71">
                  <c:v>0</c:v>
                </c:pt>
                <c:pt idx="72">
                  <c:v>0</c:v>
                </c:pt>
                <c:pt idx="73">
                  <c:v>52669</c:v>
                </c:pt>
                <c:pt idx="74">
                  <c:v>0</c:v>
                </c:pt>
                <c:pt idx="75">
                  <c:v>56606</c:v>
                </c:pt>
                <c:pt idx="76">
                  <c:v>0</c:v>
                </c:pt>
                <c:pt idx="77">
                  <c:v>0</c:v>
                </c:pt>
                <c:pt idx="78">
                  <c:v>52937</c:v>
                </c:pt>
                <c:pt idx="79">
                  <c:v>0</c:v>
                </c:pt>
                <c:pt idx="80">
                  <c:v>56917</c:v>
                </c:pt>
                <c:pt idx="81">
                  <c:v>0</c:v>
                </c:pt>
                <c:pt idx="82">
                  <c:v>0</c:v>
                </c:pt>
                <c:pt idx="83">
                  <c:v>53442</c:v>
                </c:pt>
                <c:pt idx="84">
                  <c:v>0</c:v>
                </c:pt>
                <c:pt idx="85">
                  <c:v>0</c:v>
                </c:pt>
                <c:pt idx="86">
                  <c:v>52839</c:v>
                </c:pt>
                <c:pt idx="87">
                  <c:v>0</c:v>
                </c:pt>
                <c:pt idx="88">
                  <c:v>50382</c:v>
                </c:pt>
                <c:pt idx="89">
                  <c:v>0</c:v>
                </c:pt>
                <c:pt idx="90">
                  <c:v>0</c:v>
                </c:pt>
                <c:pt idx="91">
                  <c:v>51732</c:v>
                </c:pt>
                <c:pt idx="92">
                  <c:v>0</c:v>
                </c:pt>
                <c:pt idx="93">
                  <c:v>56346</c:v>
                </c:pt>
                <c:pt idx="94">
                  <c:v>0</c:v>
                </c:pt>
                <c:pt idx="95">
                  <c:v>0</c:v>
                </c:pt>
                <c:pt idx="96">
                  <c:v>51761</c:v>
                </c:pt>
                <c:pt idx="97">
                  <c:v>0</c:v>
                </c:pt>
                <c:pt idx="98">
                  <c:v>59456</c:v>
                </c:pt>
                <c:pt idx="99">
                  <c:v>0</c:v>
                </c:pt>
                <c:pt idx="100">
                  <c:v>0</c:v>
                </c:pt>
                <c:pt idx="101">
                  <c:v>55466</c:v>
                </c:pt>
                <c:pt idx="102">
                  <c:v>0</c:v>
                </c:pt>
                <c:pt idx="103">
                  <c:v>0</c:v>
                </c:pt>
                <c:pt idx="104">
                  <c:v>59886</c:v>
                </c:pt>
                <c:pt idx="105">
                  <c:v>0</c:v>
                </c:pt>
                <c:pt idx="106">
                  <c:v>53022</c:v>
                </c:pt>
                <c:pt idx="107">
                  <c:v>0</c:v>
                </c:pt>
                <c:pt idx="108">
                  <c:v>0</c:v>
                </c:pt>
                <c:pt idx="109">
                  <c:v>48934</c:v>
                </c:pt>
                <c:pt idx="110">
                  <c:v>0</c:v>
                </c:pt>
                <c:pt idx="111">
                  <c:v>55847</c:v>
                </c:pt>
                <c:pt idx="112">
                  <c:v>0</c:v>
                </c:pt>
                <c:pt idx="113">
                  <c:v>0</c:v>
                </c:pt>
                <c:pt idx="114">
                  <c:v>56629</c:v>
                </c:pt>
                <c:pt idx="115">
                  <c:v>0</c:v>
                </c:pt>
                <c:pt idx="116">
                  <c:v>67409</c:v>
                </c:pt>
                <c:pt idx="117">
                  <c:v>0</c:v>
                </c:pt>
                <c:pt idx="118">
                  <c:v>0</c:v>
                </c:pt>
                <c:pt idx="119">
                  <c:v>69478</c:v>
                </c:pt>
                <c:pt idx="120">
                  <c:v>0</c:v>
                </c:pt>
                <c:pt idx="121">
                  <c:v>0</c:v>
                </c:pt>
                <c:pt idx="122">
                  <c:v>71406</c:v>
                </c:pt>
                <c:pt idx="123">
                  <c:v>0</c:v>
                </c:pt>
                <c:pt idx="124">
                  <c:v>67235</c:v>
                </c:pt>
                <c:pt idx="125">
                  <c:v>0</c:v>
                </c:pt>
                <c:pt idx="126">
                  <c:v>0</c:v>
                </c:pt>
                <c:pt idx="127">
                  <c:v>64610</c:v>
                </c:pt>
                <c:pt idx="128">
                  <c:v>0</c:v>
                </c:pt>
                <c:pt idx="129">
                  <c:v>54908</c:v>
                </c:pt>
                <c:pt idx="130">
                  <c:v>0</c:v>
                </c:pt>
                <c:pt idx="131">
                  <c:v>0</c:v>
                </c:pt>
                <c:pt idx="132">
                  <c:v>44683</c:v>
                </c:pt>
                <c:pt idx="133">
                  <c:v>0</c:v>
                </c:pt>
                <c:pt idx="134">
                  <c:v>38105</c:v>
                </c:pt>
                <c:pt idx="135">
                  <c:v>0</c:v>
                </c:pt>
                <c:pt idx="136">
                  <c:v>0</c:v>
                </c:pt>
                <c:pt idx="137">
                  <c:v>24834</c:v>
                </c:pt>
                <c:pt idx="138">
                  <c:v>0</c:v>
                </c:pt>
                <c:pt idx="139">
                  <c:v>0</c:v>
                </c:pt>
                <c:pt idx="140">
                  <c:v>21042</c:v>
                </c:pt>
                <c:pt idx="141">
                  <c:v>0</c:v>
                </c:pt>
                <c:pt idx="142">
                  <c:v>17305</c:v>
                </c:pt>
                <c:pt idx="143">
                  <c:v>0</c:v>
                </c:pt>
                <c:pt idx="144">
                  <c:v>0</c:v>
                </c:pt>
                <c:pt idx="145">
                  <c:v>15668</c:v>
                </c:pt>
                <c:pt idx="146">
                  <c:v>0</c:v>
                </c:pt>
                <c:pt idx="147">
                  <c:v>14025</c:v>
                </c:pt>
                <c:pt idx="148">
                  <c:v>0</c:v>
                </c:pt>
                <c:pt idx="149">
                  <c:v>0</c:v>
                </c:pt>
                <c:pt idx="150">
                  <c:v>10732</c:v>
                </c:pt>
                <c:pt idx="151">
                  <c:v>0</c:v>
                </c:pt>
                <c:pt idx="152">
                  <c:v>8141</c:v>
                </c:pt>
                <c:pt idx="153">
                  <c:v>0</c:v>
                </c:pt>
                <c:pt idx="154">
                  <c:v>0</c:v>
                </c:pt>
                <c:pt idx="155">
                  <c:v>10262</c:v>
                </c:pt>
                <c:pt idx="156">
                  <c:v>0</c:v>
                </c:pt>
                <c:pt idx="157">
                  <c:v>0</c:v>
                </c:pt>
                <c:pt idx="158">
                  <c:v>8588</c:v>
                </c:pt>
                <c:pt idx="159">
                  <c:v>0</c:v>
                </c:pt>
                <c:pt idx="160">
                  <c:v>7280</c:v>
                </c:pt>
                <c:pt idx="161">
                  <c:v>0</c:v>
                </c:pt>
                <c:pt idx="162">
                  <c:v>0</c:v>
                </c:pt>
                <c:pt idx="163">
                  <c:v>6111</c:v>
                </c:pt>
                <c:pt idx="164">
                  <c:v>0</c:v>
                </c:pt>
                <c:pt idx="165">
                  <c:v>5447</c:v>
                </c:pt>
                <c:pt idx="166">
                  <c:v>0</c:v>
                </c:pt>
                <c:pt idx="167">
                  <c:v>0</c:v>
                </c:pt>
                <c:pt idx="168">
                  <c:v>4607</c:v>
                </c:pt>
                <c:pt idx="169">
                  <c:v>0</c:v>
                </c:pt>
                <c:pt idx="170">
                  <c:v>0</c:v>
                </c:pt>
                <c:pt idx="171">
                  <c:v>2420</c:v>
                </c:pt>
                <c:pt idx="172">
                  <c:v>0</c:v>
                </c:pt>
                <c:pt idx="173">
                  <c:v>1501</c:v>
                </c:pt>
                <c:pt idx="174">
                  <c:v>0</c:v>
                </c:pt>
                <c:pt idx="175">
                  <c:v>0</c:v>
                </c:pt>
                <c:pt idx="176">
                  <c:v>1114</c:v>
                </c:pt>
                <c:pt idx="177">
                  <c:v>0</c:v>
                </c:pt>
                <c:pt idx="178">
                  <c:v>697</c:v>
                </c:pt>
                <c:pt idx="179">
                  <c:v>0</c:v>
                </c:pt>
                <c:pt idx="180">
                  <c:v>0</c:v>
                </c:pt>
                <c:pt idx="181">
                  <c:v>382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106</c:v>
                </c:pt>
                <c:pt idx="9">
                  <c:v>0</c:v>
                </c:pt>
                <c:pt idx="10">
                  <c:v>0</c:v>
                </c:pt>
                <c:pt idx="11">
                  <c:v>382</c:v>
                </c:pt>
                <c:pt idx="12">
                  <c:v>0</c:v>
                </c:pt>
                <c:pt idx="13">
                  <c:v>405</c:v>
                </c:pt>
                <c:pt idx="14">
                  <c:v>0</c:v>
                </c:pt>
                <c:pt idx="15">
                  <c:v>0</c:v>
                </c:pt>
                <c:pt idx="16">
                  <c:v>157</c:v>
                </c:pt>
                <c:pt idx="17">
                  <c:v>0</c:v>
                </c:pt>
                <c:pt idx="18">
                  <c:v>0</c:v>
                </c:pt>
                <c:pt idx="19">
                  <c:v>776</c:v>
                </c:pt>
                <c:pt idx="20">
                  <c:v>0</c:v>
                </c:pt>
                <c:pt idx="21">
                  <c:v>1986</c:v>
                </c:pt>
                <c:pt idx="22">
                  <c:v>0</c:v>
                </c:pt>
                <c:pt idx="23">
                  <c:v>0</c:v>
                </c:pt>
                <c:pt idx="24">
                  <c:v>2038</c:v>
                </c:pt>
                <c:pt idx="25">
                  <c:v>0</c:v>
                </c:pt>
                <c:pt idx="26">
                  <c:v>2317</c:v>
                </c:pt>
                <c:pt idx="27">
                  <c:v>0</c:v>
                </c:pt>
                <c:pt idx="28">
                  <c:v>0</c:v>
                </c:pt>
                <c:pt idx="29">
                  <c:v>3538</c:v>
                </c:pt>
                <c:pt idx="30">
                  <c:v>0</c:v>
                </c:pt>
                <c:pt idx="31">
                  <c:v>10520</c:v>
                </c:pt>
                <c:pt idx="32">
                  <c:v>0</c:v>
                </c:pt>
                <c:pt idx="33">
                  <c:v>0</c:v>
                </c:pt>
                <c:pt idx="34">
                  <c:v>16544</c:v>
                </c:pt>
                <c:pt idx="35">
                  <c:v>0</c:v>
                </c:pt>
                <c:pt idx="36">
                  <c:v>0</c:v>
                </c:pt>
                <c:pt idx="37">
                  <c:v>26486</c:v>
                </c:pt>
                <c:pt idx="38">
                  <c:v>0</c:v>
                </c:pt>
                <c:pt idx="39">
                  <c:v>22466</c:v>
                </c:pt>
                <c:pt idx="40">
                  <c:v>0</c:v>
                </c:pt>
                <c:pt idx="41">
                  <c:v>0</c:v>
                </c:pt>
                <c:pt idx="42">
                  <c:v>35327</c:v>
                </c:pt>
                <c:pt idx="43">
                  <c:v>0</c:v>
                </c:pt>
                <c:pt idx="44">
                  <c:v>44255</c:v>
                </c:pt>
                <c:pt idx="45">
                  <c:v>0</c:v>
                </c:pt>
                <c:pt idx="46">
                  <c:v>0</c:v>
                </c:pt>
                <c:pt idx="47">
                  <c:v>51190</c:v>
                </c:pt>
                <c:pt idx="48">
                  <c:v>0</c:v>
                </c:pt>
                <c:pt idx="49">
                  <c:v>58501</c:v>
                </c:pt>
                <c:pt idx="50">
                  <c:v>0</c:v>
                </c:pt>
                <c:pt idx="51">
                  <c:v>0</c:v>
                </c:pt>
                <c:pt idx="52">
                  <c:v>62489</c:v>
                </c:pt>
                <c:pt idx="53">
                  <c:v>0</c:v>
                </c:pt>
                <c:pt idx="54">
                  <c:v>0</c:v>
                </c:pt>
                <c:pt idx="55">
                  <c:v>83034</c:v>
                </c:pt>
                <c:pt idx="56">
                  <c:v>0</c:v>
                </c:pt>
                <c:pt idx="57">
                  <c:v>100888</c:v>
                </c:pt>
                <c:pt idx="58">
                  <c:v>0</c:v>
                </c:pt>
                <c:pt idx="59">
                  <c:v>0</c:v>
                </c:pt>
                <c:pt idx="60">
                  <c:v>103876</c:v>
                </c:pt>
                <c:pt idx="61">
                  <c:v>0</c:v>
                </c:pt>
                <c:pt idx="62">
                  <c:v>112970</c:v>
                </c:pt>
                <c:pt idx="63">
                  <c:v>0</c:v>
                </c:pt>
                <c:pt idx="64">
                  <c:v>0</c:v>
                </c:pt>
                <c:pt idx="65">
                  <c:v>117089</c:v>
                </c:pt>
                <c:pt idx="66">
                  <c:v>0</c:v>
                </c:pt>
                <c:pt idx="67">
                  <c:v>115017</c:v>
                </c:pt>
                <c:pt idx="68">
                  <c:v>0</c:v>
                </c:pt>
                <c:pt idx="69">
                  <c:v>0</c:v>
                </c:pt>
                <c:pt idx="70">
                  <c:v>107623</c:v>
                </c:pt>
                <c:pt idx="71">
                  <c:v>0</c:v>
                </c:pt>
                <c:pt idx="72">
                  <c:v>0</c:v>
                </c:pt>
                <c:pt idx="73">
                  <c:v>123058</c:v>
                </c:pt>
                <c:pt idx="74">
                  <c:v>0</c:v>
                </c:pt>
                <c:pt idx="75">
                  <c:v>115530</c:v>
                </c:pt>
                <c:pt idx="76">
                  <c:v>0</c:v>
                </c:pt>
                <c:pt idx="77">
                  <c:v>0</c:v>
                </c:pt>
                <c:pt idx="78">
                  <c:v>115431</c:v>
                </c:pt>
                <c:pt idx="79">
                  <c:v>0</c:v>
                </c:pt>
                <c:pt idx="80">
                  <c:v>110140</c:v>
                </c:pt>
                <c:pt idx="81">
                  <c:v>0</c:v>
                </c:pt>
                <c:pt idx="82">
                  <c:v>0</c:v>
                </c:pt>
                <c:pt idx="83">
                  <c:v>104132</c:v>
                </c:pt>
                <c:pt idx="84">
                  <c:v>0</c:v>
                </c:pt>
                <c:pt idx="85">
                  <c:v>0</c:v>
                </c:pt>
                <c:pt idx="86">
                  <c:v>98924</c:v>
                </c:pt>
                <c:pt idx="87">
                  <c:v>0</c:v>
                </c:pt>
                <c:pt idx="88">
                  <c:v>97651</c:v>
                </c:pt>
                <c:pt idx="89">
                  <c:v>0</c:v>
                </c:pt>
                <c:pt idx="90">
                  <c:v>0</c:v>
                </c:pt>
                <c:pt idx="91">
                  <c:v>94446</c:v>
                </c:pt>
                <c:pt idx="92">
                  <c:v>0</c:v>
                </c:pt>
                <c:pt idx="93">
                  <c:v>100151</c:v>
                </c:pt>
                <c:pt idx="94">
                  <c:v>0</c:v>
                </c:pt>
                <c:pt idx="95">
                  <c:v>0</c:v>
                </c:pt>
                <c:pt idx="96">
                  <c:v>99081</c:v>
                </c:pt>
                <c:pt idx="97">
                  <c:v>0</c:v>
                </c:pt>
                <c:pt idx="98">
                  <c:v>93875</c:v>
                </c:pt>
                <c:pt idx="99">
                  <c:v>0</c:v>
                </c:pt>
                <c:pt idx="100">
                  <c:v>0</c:v>
                </c:pt>
                <c:pt idx="101">
                  <c:v>90534</c:v>
                </c:pt>
                <c:pt idx="102">
                  <c:v>0</c:v>
                </c:pt>
                <c:pt idx="103">
                  <c:v>0</c:v>
                </c:pt>
                <c:pt idx="104">
                  <c:v>88855</c:v>
                </c:pt>
                <c:pt idx="105">
                  <c:v>0</c:v>
                </c:pt>
                <c:pt idx="106">
                  <c:v>79423</c:v>
                </c:pt>
                <c:pt idx="107">
                  <c:v>0</c:v>
                </c:pt>
                <c:pt idx="108">
                  <c:v>0</c:v>
                </c:pt>
                <c:pt idx="109">
                  <c:v>73006</c:v>
                </c:pt>
                <c:pt idx="110">
                  <c:v>0</c:v>
                </c:pt>
                <c:pt idx="111">
                  <c:v>70811</c:v>
                </c:pt>
                <c:pt idx="112">
                  <c:v>0</c:v>
                </c:pt>
                <c:pt idx="113">
                  <c:v>0</c:v>
                </c:pt>
                <c:pt idx="114">
                  <c:v>65822</c:v>
                </c:pt>
                <c:pt idx="115">
                  <c:v>0</c:v>
                </c:pt>
                <c:pt idx="116">
                  <c:v>57361</c:v>
                </c:pt>
                <c:pt idx="117">
                  <c:v>0</c:v>
                </c:pt>
                <c:pt idx="118">
                  <c:v>0</c:v>
                </c:pt>
                <c:pt idx="119">
                  <c:v>53066</c:v>
                </c:pt>
                <c:pt idx="120">
                  <c:v>0</c:v>
                </c:pt>
                <c:pt idx="121">
                  <c:v>0</c:v>
                </c:pt>
                <c:pt idx="122">
                  <c:v>45889</c:v>
                </c:pt>
                <c:pt idx="123">
                  <c:v>0</c:v>
                </c:pt>
                <c:pt idx="124">
                  <c:v>42063</c:v>
                </c:pt>
                <c:pt idx="125">
                  <c:v>0</c:v>
                </c:pt>
                <c:pt idx="126">
                  <c:v>0</c:v>
                </c:pt>
                <c:pt idx="127">
                  <c:v>39669</c:v>
                </c:pt>
                <c:pt idx="128">
                  <c:v>0</c:v>
                </c:pt>
                <c:pt idx="129">
                  <c:v>33517</c:v>
                </c:pt>
                <c:pt idx="130">
                  <c:v>0</c:v>
                </c:pt>
                <c:pt idx="131">
                  <c:v>0</c:v>
                </c:pt>
                <c:pt idx="132">
                  <c:v>26541</c:v>
                </c:pt>
                <c:pt idx="133">
                  <c:v>0</c:v>
                </c:pt>
                <c:pt idx="134">
                  <c:v>22932</c:v>
                </c:pt>
                <c:pt idx="135">
                  <c:v>0</c:v>
                </c:pt>
                <c:pt idx="136">
                  <c:v>0</c:v>
                </c:pt>
                <c:pt idx="137">
                  <c:v>24086</c:v>
                </c:pt>
                <c:pt idx="138">
                  <c:v>0</c:v>
                </c:pt>
                <c:pt idx="139">
                  <c:v>0</c:v>
                </c:pt>
                <c:pt idx="140">
                  <c:v>25398</c:v>
                </c:pt>
                <c:pt idx="141">
                  <c:v>0</c:v>
                </c:pt>
                <c:pt idx="142">
                  <c:v>24281</c:v>
                </c:pt>
                <c:pt idx="143">
                  <c:v>0</c:v>
                </c:pt>
                <c:pt idx="144">
                  <c:v>0</c:v>
                </c:pt>
                <c:pt idx="145">
                  <c:v>23432</c:v>
                </c:pt>
                <c:pt idx="146">
                  <c:v>0</c:v>
                </c:pt>
                <c:pt idx="147">
                  <c:v>21112</c:v>
                </c:pt>
                <c:pt idx="148">
                  <c:v>0</c:v>
                </c:pt>
                <c:pt idx="149">
                  <c:v>0</c:v>
                </c:pt>
                <c:pt idx="150">
                  <c:v>19716</c:v>
                </c:pt>
                <c:pt idx="151">
                  <c:v>0</c:v>
                </c:pt>
                <c:pt idx="152">
                  <c:v>16319</c:v>
                </c:pt>
                <c:pt idx="153">
                  <c:v>0</c:v>
                </c:pt>
                <c:pt idx="154">
                  <c:v>0</c:v>
                </c:pt>
                <c:pt idx="155">
                  <c:v>15779</c:v>
                </c:pt>
                <c:pt idx="156">
                  <c:v>0</c:v>
                </c:pt>
                <c:pt idx="157">
                  <c:v>0</c:v>
                </c:pt>
                <c:pt idx="158">
                  <c:v>12009</c:v>
                </c:pt>
                <c:pt idx="159">
                  <c:v>0</c:v>
                </c:pt>
                <c:pt idx="160">
                  <c:v>9549</c:v>
                </c:pt>
                <c:pt idx="161">
                  <c:v>0</c:v>
                </c:pt>
                <c:pt idx="162">
                  <c:v>0</c:v>
                </c:pt>
                <c:pt idx="163">
                  <c:v>6008</c:v>
                </c:pt>
                <c:pt idx="164">
                  <c:v>0</c:v>
                </c:pt>
                <c:pt idx="165">
                  <c:v>5588</c:v>
                </c:pt>
                <c:pt idx="166">
                  <c:v>0</c:v>
                </c:pt>
                <c:pt idx="167">
                  <c:v>0</c:v>
                </c:pt>
                <c:pt idx="168">
                  <c:v>6586</c:v>
                </c:pt>
                <c:pt idx="169">
                  <c:v>0</c:v>
                </c:pt>
                <c:pt idx="170">
                  <c:v>0</c:v>
                </c:pt>
                <c:pt idx="171">
                  <c:v>5682</c:v>
                </c:pt>
                <c:pt idx="172">
                  <c:v>0</c:v>
                </c:pt>
                <c:pt idx="173">
                  <c:v>4258</c:v>
                </c:pt>
                <c:pt idx="174">
                  <c:v>0</c:v>
                </c:pt>
                <c:pt idx="175">
                  <c:v>0</c:v>
                </c:pt>
                <c:pt idx="176">
                  <c:v>2676</c:v>
                </c:pt>
                <c:pt idx="177">
                  <c:v>0</c:v>
                </c:pt>
                <c:pt idx="178">
                  <c:v>1638</c:v>
                </c:pt>
                <c:pt idx="179">
                  <c:v>0</c:v>
                </c:pt>
                <c:pt idx="180">
                  <c:v>0</c:v>
                </c:pt>
                <c:pt idx="181">
                  <c:v>556</c:v>
                </c:pt>
                <c:pt idx="182">
                  <c:v>0</c:v>
                </c:pt>
                <c:pt idx="183">
                  <c:v>259</c:v>
                </c:pt>
                <c:pt idx="184">
                  <c:v>0</c:v>
                </c:pt>
                <c:pt idx="185">
                  <c:v>0</c:v>
                </c:pt>
                <c:pt idx="186">
                  <c:v>453</c:v>
                </c:pt>
                <c:pt idx="187">
                  <c:v>0</c:v>
                </c:pt>
                <c:pt idx="188">
                  <c:v>0</c:v>
                </c:pt>
                <c:pt idx="189">
                  <c:v>123</c:v>
                </c:pt>
                <c:pt idx="190">
                  <c:v>0</c:v>
                </c:pt>
                <c:pt idx="191">
                  <c:v>121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0.2496133755474424</c:v>
                </c:pt>
                <c:pt idx="1">
                  <c:v>0.34441331995146574</c:v>
                </c:pt>
                <c:pt idx="2">
                  <c:v>0.40597330450109181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0.51059190872056803</c:v>
                </c:pt>
                <c:pt idx="1">
                  <c:v>0.24202471375873899</c:v>
                </c:pt>
                <c:pt idx="2">
                  <c:v>0.247383377520693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9.1809674999999995</c:v>
                </c:pt>
                <c:pt idx="1">
                  <c:v>11.392505</c:v>
                </c:pt>
                <c:pt idx="2">
                  <c:v>27.840299999999999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  <c:pt idx="74">
                  <c:v>30.0413</c:v>
                </c:pt>
                <c:pt idx="75">
                  <c:v>30.524899999999999</c:v>
                </c:pt>
                <c:pt idx="76">
                  <c:v>30.914000000000001</c:v>
                </c:pt>
                <c:pt idx="77">
                  <c:v>31.303100000000001</c:v>
                </c:pt>
                <c:pt idx="78">
                  <c:v>31.7117</c:v>
                </c:pt>
                <c:pt idx="79">
                  <c:v>32.114699999999999</c:v>
                </c:pt>
                <c:pt idx="80">
                  <c:v>32.521599999999999</c:v>
                </c:pt>
                <c:pt idx="81">
                  <c:v>32.930100000000003</c:v>
                </c:pt>
                <c:pt idx="82">
                  <c:v>33.336399999999998</c:v>
                </c:pt>
                <c:pt idx="83">
                  <c:v>33.743299999999998</c:v>
                </c:pt>
                <c:pt idx="84">
                  <c:v>34.145200000000003</c:v>
                </c:pt>
                <c:pt idx="85">
                  <c:v>34.554099999999998</c:v>
                </c:pt>
                <c:pt idx="86">
                  <c:v>34.961300000000001</c:v>
                </c:pt>
                <c:pt idx="87">
                  <c:v>35.366999999999997</c:v>
                </c:pt>
                <c:pt idx="88">
                  <c:v>35.774999999999999</c:v>
                </c:pt>
                <c:pt idx="89">
                  <c:v>36.181100000000001</c:v>
                </c:pt>
                <c:pt idx="90">
                  <c:v>36.585599999999999</c:v>
                </c:pt>
                <c:pt idx="91">
                  <c:v>36.994700000000002</c:v>
                </c:pt>
                <c:pt idx="92">
                  <c:v>37.401499999999999</c:v>
                </c:pt>
                <c:pt idx="93">
                  <c:v>37.806399999999996</c:v>
                </c:pt>
                <c:pt idx="94">
                  <c:v>38.212200000000003</c:v>
                </c:pt>
                <c:pt idx="95">
                  <c:v>38.616199999999999</c:v>
                </c:pt>
                <c:pt idx="96">
                  <c:v>39.022100000000002</c:v>
                </c:pt>
                <c:pt idx="97">
                  <c:v>39.426499999999997</c:v>
                </c:pt>
                <c:pt idx="98">
                  <c:v>39.839500000000001</c:v>
                </c:pt>
                <c:pt idx="99">
                  <c:v>40.241199999999999</c:v>
                </c:pt>
                <c:pt idx="100">
                  <c:v>40.648899999999998</c:v>
                </c:pt>
                <c:pt idx="101">
                  <c:v>41.056699999999999</c:v>
                </c:pt>
                <c:pt idx="102">
                  <c:v>41.459600000000002</c:v>
                </c:pt>
                <c:pt idx="103">
                  <c:v>41.866500000000002</c:v>
                </c:pt>
                <c:pt idx="104">
                  <c:v>42.271599999999999</c:v>
                </c:pt>
                <c:pt idx="105">
                  <c:v>42.684399999999997</c:v>
                </c:pt>
                <c:pt idx="106">
                  <c:v>43.088299999999997</c:v>
                </c:pt>
                <c:pt idx="107">
                  <c:v>43.492199999999997</c:v>
                </c:pt>
                <c:pt idx="108">
                  <c:v>43.897199999999998</c:v>
                </c:pt>
                <c:pt idx="109">
                  <c:v>44.303400000000003</c:v>
                </c:pt>
                <c:pt idx="110">
                  <c:v>44.712000000000003</c:v>
                </c:pt>
                <c:pt idx="111">
                  <c:v>45.117899999999999</c:v>
                </c:pt>
                <c:pt idx="112">
                  <c:v>45.522799999999997</c:v>
                </c:pt>
                <c:pt idx="113">
                  <c:v>45.929699999999997</c:v>
                </c:pt>
                <c:pt idx="114">
                  <c:v>46.334699999999998</c:v>
                </c:pt>
                <c:pt idx="115">
                  <c:v>46.740499999999997</c:v>
                </c:pt>
                <c:pt idx="116">
                  <c:v>47.1477</c:v>
                </c:pt>
                <c:pt idx="117">
                  <c:v>47.5535</c:v>
                </c:pt>
                <c:pt idx="118">
                  <c:v>47.964500000000001</c:v>
                </c:pt>
                <c:pt idx="119">
                  <c:v>48.368099999999998</c:v>
                </c:pt>
                <c:pt idx="120">
                  <c:v>48.772100000000002</c:v>
                </c:pt>
                <c:pt idx="121">
                  <c:v>49.179900000000004</c:v>
                </c:pt>
                <c:pt idx="122">
                  <c:v>49.585099999999997</c:v>
                </c:pt>
                <c:pt idx="123">
                  <c:v>49.993899999999996</c:v>
                </c:pt>
                <c:pt idx="124">
                  <c:v>50.400199999999998</c:v>
                </c:pt>
                <c:pt idx="125">
                  <c:v>50.806600000000003</c:v>
                </c:pt>
                <c:pt idx="126">
                  <c:v>51.211500000000001</c:v>
                </c:pt>
                <c:pt idx="127">
                  <c:v>51.616599999999998</c:v>
                </c:pt>
                <c:pt idx="128">
                  <c:v>52.023299999999999</c:v>
                </c:pt>
                <c:pt idx="129">
                  <c:v>52.429299999999998</c:v>
                </c:pt>
                <c:pt idx="130">
                  <c:v>52.8337</c:v>
                </c:pt>
                <c:pt idx="131">
                  <c:v>53.241199999999999</c:v>
                </c:pt>
                <c:pt idx="132">
                  <c:v>53.646099999999997</c:v>
                </c:pt>
                <c:pt idx="133">
                  <c:v>54.053899999999999</c:v>
                </c:pt>
                <c:pt idx="134">
                  <c:v>54.459899999999998</c:v>
                </c:pt>
                <c:pt idx="135">
                  <c:v>54.868899999999996</c:v>
                </c:pt>
                <c:pt idx="136">
                  <c:v>55.275700000000001</c:v>
                </c:pt>
                <c:pt idx="137">
                  <c:v>55.683</c:v>
                </c:pt>
                <c:pt idx="138">
                  <c:v>56.087499999999999</c:v>
                </c:pt>
                <c:pt idx="139">
                  <c:v>56.4925</c:v>
                </c:pt>
                <c:pt idx="140">
                  <c:v>56.900300000000001</c:v>
                </c:pt>
                <c:pt idx="141">
                  <c:v>57.305300000000003</c:v>
                </c:pt>
                <c:pt idx="142">
                  <c:v>57.7121</c:v>
                </c:pt>
                <c:pt idx="143">
                  <c:v>58.117100000000001</c:v>
                </c:pt>
                <c:pt idx="144">
                  <c:v>58.521000000000001</c:v>
                </c:pt>
                <c:pt idx="145">
                  <c:v>58.932000000000002</c:v>
                </c:pt>
                <c:pt idx="146">
                  <c:v>59.337899999999998</c:v>
                </c:pt>
                <c:pt idx="147">
                  <c:v>59.742800000000003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  <c:pt idx="74">
                  <c:v>3.5529699999999997</c:v>
                </c:pt>
                <c:pt idx="75">
                  <c:v>3.5063800000000001</c:v>
                </c:pt>
                <c:pt idx="76">
                  <c:v>3.4620899999999999</c:v>
                </c:pt>
                <c:pt idx="77">
                  <c:v>3.4166400000000001</c:v>
                </c:pt>
                <c:pt idx="78">
                  <c:v>3.3699400000000002</c:v>
                </c:pt>
                <c:pt idx="79">
                  <c:v>3.3241900000000002</c:v>
                </c:pt>
                <c:pt idx="80">
                  <c:v>3.2823700000000002</c:v>
                </c:pt>
                <c:pt idx="81">
                  <c:v>3.2454000000000001</c:v>
                </c:pt>
                <c:pt idx="82">
                  <c:v>3.2103700000000002</c:v>
                </c:pt>
                <c:pt idx="83">
                  <c:v>3.1773600000000002</c:v>
                </c:pt>
                <c:pt idx="84">
                  <c:v>3.1466699999999999</c:v>
                </c:pt>
                <c:pt idx="85">
                  <c:v>3.11985</c:v>
                </c:pt>
                <c:pt idx="86">
                  <c:v>3.0983000000000001</c:v>
                </c:pt>
                <c:pt idx="87">
                  <c:v>3.0775400000000004</c:v>
                </c:pt>
                <c:pt idx="88">
                  <c:v>3.0581399999999999</c:v>
                </c:pt>
                <c:pt idx="89">
                  <c:v>3.0426500000000001</c:v>
                </c:pt>
                <c:pt idx="90">
                  <c:v>3.0288700000000004</c:v>
                </c:pt>
                <c:pt idx="91">
                  <c:v>3.0139300000000002</c:v>
                </c:pt>
                <c:pt idx="92">
                  <c:v>2.9973899999999998</c:v>
                </c:pt>
                <c:pt idx="93">
                  <c:v>2.9813400000000003</c:v>
                </c:pt>
                <c:pt idx="94">
                  <c:v>2.9692600000000002</c:v>
                </c:pt>
                <c:pt idx="95">
                  <c:v>2.96143</c:v>
                </c:pt>
                <c:pt idx="96">
                  <c:v>2.9598300000000002</c:v>
                </c:pt>
                <c:pt idx="97">
                  <c:v>2.9632900000000002</c:v>
                </c:pt>
                <c:pt idx="98">
                  <c:v>2.9700300000000004</c:v>
                </c:pt>
                <c:pt idx="99">
                  <c:v>2.97925</c:v>
                </c:pt>
                <c:pt idx="100">
                  <c:v>2.99193</c:v>
                </c:pt>
                <c:pt idx="101">
                  <c:v>3.0060900000000004</c:v>
                </c:pt>
                <c:pt idx="102">
                  <c:v>3.0249199999999998</c:v>
                </c:pt>
                <c:pt idx="103">
                  <c:v>3.05044</c:v>
                </c:pt>
                <c:pt idx="104">
                  <c:v>3.0786500000000001</c:v>
                </c:pt>
                <c:pt idx="105">
                  <c:v>3.1091500000000001</c:v>
                </c:pt>
                <c:pt idx="106">
                  <c:v>3.1417099999999998</c:v>
                </c:pt>
                <c:pt idx="107">
                  <c:v>3.17171</c:v>
                </c:pt>
                <c:pt idx="108">
                  <c:v>3.1969700000000003</c:v>
                </c:pt>
                <c:pt idx="109">
                  <c:v>3.2183600000000001</c:v>
                </c:pt>
                <c:pt idx="110">
                  <c:v>3.2384300000000001</c:v>
                </c:pt>
                <c:pt idx="111">
                  <c:v>3.2550699999999999</c:v>
                </c:pt>
                <c:pt idx="112">
                  <c:v>3.27203</c:v>
                </c:pt>
                <c:pt idx="113">
                  <c:v>3.2927600000000004</c:v>
                </c:pt>
                <c:pt idx="114">
                  <c:v>3.3167499999999999</c:v>
                </c:pt>
                <c:pt idx="115">
                  <c:v>3.3459599999999998</c:v>
                </c:pt>
                <c:pt idx="116">
                  <c:v>3.3797899999999998</c:v>
                </c:pt>
                <c:pt idx="117">
                  <c:v>3.4165200000000002</c:v>
                </c:pt>
                <c:pt idx="118">
                  <c:v>3.4546999999999999</c:v>
                </c:pt>
                <c:pt idx="119">
                  <c:v>3.49431</c:v>
                </c:pt>
                <c:pt idx="120">
                  <c:v>3.53315</c:v>
                </c:pt>
                <c:pt idx="121">
                  <c:v>3.56928</c:v>
                </c:pt>
                <c:pt idx="122">
                  <c:v>3.6026899999999999</c:v>
                </c:pt>
                <c:pt idx="123">
                  <c:v>3.6337900000000003</c:v>
                </c:pt>
                <c:pt idx="124">
                  <c:v>3.6510799999999999</c:v>
                </c:pt>
                <c:pt idx="125">
                  <c:v>3.66777</c:v>
                </c:pt>
                <c:pt idx="126">
                  <c:v>3.6842100000000002</c:v>
                </c:pt>
                <c:pt idx="127">
                  <c:v>3.6975999999999996</c:v>
                </c:pt>
                <c:pt idx="128">
                  <c:v>3.7076199999999999</c:v>
                </c:pt>
                <c:pt idx="129">
                  <c:v>3.7146600000000003</c:v>
                </c:pt>
                <c:pt idx="130">
                  <c:v>3.7187700000000001</c:v>
                </c:pt>
                <c:pt idx="131">
                  <c:v>3.71997</c:v>
                </c:pt>
                <c:pt idx="132">
                  <c:v>3.7243599999999999</c:v>
                </c:pt>
                <c:pt idx="133">
                  <c:v>3.73732</c:v>
                </c:pt>
                <c:pt idx="134">
                  <c:v>3.7569599999999999</c:v>
                </c:pt>
                <c:pt idx="135">
                  <c:v>3.77658</c:v>
                </c:pt>
                <c:pt idx="136">
                  <c:v>3.8047900000000001</c:v>
                </c:pt>
                <c:pt idx="137">
                  <c:v>3.8385200000000004</c:v>
                </c:pt>
                <c:pt idx="138">
                  <c:v>3.8721899999999998</c:v>
                </c:pt>
                <c:pt idx="139">
                  <c:v>3.9028400000000003</c:v>
                </c:pt>
                <c:pt idx="140">
                  <c:v>3.9271699999999998</c:v>
                </c:pt>
                <c:pt idx="141">
                  <c:v>3.9480199999999996</c:v>
                </c:pt>
                <c:pt idx="142">
                  <c:v>3.95913</c:v>
                </c:pt>
                <c:pt idx="143">
                  <c:v>3.9661900000000001</c:v>
                </c:pt>
                <c:pt idx="144">
                  <c:v>3.9646599999999999</c:v>
                </c:pt>
                <c:pt idx="145">
                  <c:v>3.9563700000000002</c:v>
                </c:pt>
                <c:pt idx="146">
                  <c:v>3.9575399999999998</c:v>
                </c:pt>
                <c:pt idx="147">
                  <c:v>3.9642200000000001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29.6372</c:v>
                </c:pt>
                <c:pt idx="1">
                  <c:v>30.0413</c:v>
                </c:pt>
                <c:pt idx="2">
                  <c:v>30.524899999999999</c:v>
                </c:pt>
                <c:pt idx="3">
                  <c:v>30.914000000000001</c:v>
                </c:pt>
                <c:pt idx="4">
                  <c:v>31.303100000000001</c:v>
                </c:pt>
                <c:pt idx="5">
                  <c:v>31.7117</c:v>
                </c:pt>
                <c:pt idx="6">
                  <c:v>32.114699999999999</c:v>
                </c:pt>
                <c:pt idx="7">
                  <c:v>32.521599999999999</c:v>
                </c:pt>
                <c:pt idx="8">
                  <c:v>32.930100000000003</c:v>
                </c:pt>
                <c:pt idx="9">
                  <c:v>33.336399999999998</c:v>
                </c:pt>
                <c:pt idx="10">
                  <c:v>33.743299999999998</c:v>
                </c:pt>
                <c:pt idx="11">
                  <c:v>34.145200000000003</c:v>
                </c:pt>
                <c:pt idx="12">
                  <c:v>34.554099999999998</c:v>
                </c:pt>
                <c:pt idx="13">
                  <c:v>34.961300000000001</c:v>
                </c:pt>
                <c:pt idx="14">
                  <c:v>35.366999999999997</c:v>
                </c:pt>
                <c:pt idx="15">
                  <c:v>35.774999999999999</c:v>
                </c:pt>
                <c:pt idx="16">
                  <c:v>36.181100000000001</c:v>
                </c:pt>
                <c:pt idx="17">
                  <c:v>36.585599999999999</c:v>
                </c:pt>
                <c:pt idx="18">
                  <c:v>36.994700000000002</c:v>
                </c:pt>
                <c:pt idx="19">
                  <c:v>37.401499999999999</c:v>
                </c:pt>
                <c:pt idx="20">
                  <c:v>37.806399999999996</c:v>
                </c:pt>
                <c:pt idx="21">
                  <c:v>38.212200000000003</c:v>
                </c:pt>
                <c:pt idx="22">
                  <c:v>38.616199999999999</c:v>
                </c:pt>
                <c:pt idx="23">
                  <c:v>39.022100000000002</c:v>
                </c:pt>
                <c:pt idx="24">
                  <c:v>39.426499999999997</c:v>
                </c:pt>
                <c:pt idx="25">
                  <c:v>39.839500000000001</c:v>
                </c:pt>
                <c:pt idx="26">
                  <c:v>40.241199999999999</c:v>
                </c:pt>
                <c:pt idx="27">
                  <c:v>40.648899999999998</c:v>
                </c:pt>
                <c:pt idx="28">
                  <c:v>41.056699999999999</c:v>
                </c:pt>
                <c:pt idx="29">
                  <c:v>41.459600000000002</c:v>
                </c:pt>
                <c:pt idx="30">
                  <c:v>41.866500000000002</c:v>
                </c:pt>
                <c:pt idx="31">
                  <c:v>42.271599999999999</c:v>
                </c:pt>
                <c:pt idx="32">
                  <c:v>42.684399999999997</c:v>
                </c:pt>
                <c:pt idx="33">
                  <c:v>43.088299999999997</c:v>
                </c:pt>
                <c:pt idx="34">
                  <c:v>43.492199999999997</c:v>
                </c:pt>
                <c:pt idx="35">
                  <c:v>43.897199999999998</c:v>
                </c:pt>
                <c:pt idx="36">
                  <c:v>44.303400000000003</c:v>
                </c:pt>
                <c:pt idx="37">
                  <c:v>44.712000000000003</c:v>
                </c:pt>
                <c:pt idx="38">
                  <c:v>45.117899999999999</c:v>
                </c:pt>
                <c:pt idx="39">
                  <c:v>45.522799999999997</c:v>
                </c:pt>
                <c:pt idx="40">
                  <c:v>45.929699999999997</c:v>
                </c:pt>
                <c:pt idx="41">
                  <c:v>46.334699999999998</c:v>
                </c:pt>
                <c:pt idx="42">
                  <c:v>46.740499999999997</c:v>
                </c:pt>
                <c:pt idx="43">
                  <c:v>47.1477</c:v>
                </c:pt>
                <c:pt idx="44">
                  <c:v>47.5535</c:v>
                </c:pt>
                <c:pt idx="45">
                  <c:v>47.964500000000001</c:v>
                </c:pt>
                <c:pt idx="46">
                  <c:v>48.368099999999998</c:v>
                </c:pt>
                <c:pt idx="47">
                  <c:v>48.772100000000002</c:v>
                </c:pt>
                <c:pt idx="48">
                  <c:v>49.179900000000004</c:v>
                </c:pt>
                <c:pt idx="49">
                  <c:v>49.585099999999997</c:v>
                </c:pt>
                <c:pt idx="50">
                  <c:v>49.993899999999996</c:v>
                </c:pt>
                <c:pt idx="51">
                  <c:v>50.400199999999998</c:v>
                </c:pt>
                <c:pt idx="52">
                  <c:v>50.806600000000003</c:v>
                </c:pt>
                <c:pt idx="53">
                  <c:v>51.211500000000001</c:v>
                </c:pt>
                <c:pt idx="54">
                  <c:v>51.616599999999998</c:v>
                </c:pt>
                <c:pt idx="55">
                  <c:v>52.023299999999999</c:v>
                </c:pt>
                <c:pt idx="56">
                  <c:v>52.429299999999998</c:v>
                </c:pt>
                <c:pt idx="57">
                  <c:v>52.8337</c:v>
                </c:pt>
                <c:pt idx="58">
                  <c:v>53.241199999999999</c:v>
                </c:pt>
                <c:pt idx="59">
                  <c:v>53.646099999999997</c:v>
                </c:pt>
                <c:pt idx="60">
                  <c:v>54.053899999999999</c:v>
                </c:pt>
                <c:pt idx="61">
                  <c:v>54.459899999999998</c:v>
                </c:pt>
                <c:pt idx="62">
                  <c:v>54.868899999999996</c:v>
                </c:pt>
                <c:pt idx="63">
                  <c:v>55.275700000000001</c:v>
                </c:pt>
                <c:pt idx="64">
                  <c:v>55.683</c:v>
                </c:pt>
                <c:pt idx="65">
                  <c:v>56.087499999999999</c:v>
                </c:pt>
                <c:pt idx="66">
                  <c:v>56.4925</c:v>
                </c:pt>
                <c:pt idx="67">
                  <c:v>56.900300000000001</c:v>
                </c:pt>
                <c:pt idx="68">
                  <c:v>57.305300000000003</c:v>
                </c:pt>
                <c:pt idx="69">
                  <c:v>57.7121</c:v>
                </c:pt>
                <c:pt idx="70">
                  <c:v>58.117100000000001</c:v>
                </c:pt>
                <c:pt idx="71">
                  <c:v>58.521000000000001</c:v>
                </c:pt>
                <c:pt idx="72">
                  <c:v>58.932000000000002</c:v>
                </c:pt>
                <c:pt idx="73">
                  <c:v>59.337899999999998</c:v>
                </c:pt>
                <c:pt idx="74">
                  <c:v>59.742800000000003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3.5945999999999998</c:v>
                </c:pt>
                <c:pt idx="1">
                  <c:v>3.5529699999999997</c:v>
                </c:pt>
                <c:pt idx="2">
                  <c:v>3.5063800000000001</c:v>
                </c:pt>
                <c:pt idx="3">
                  <c:v>3.4620899999999999</c:v>
                </c:pt>
                <c:pt idx="4">
                  <c:v>3.4166400000000001</c:v>
                </c:pt>
                <c:pt idx="5">
                  <c:v>3.3699400000000002</c:v>
                </c:pt>
                <c:pt idx="6">
                  <c:v>3.3241900000000002</c:v>
                </c:pt>
                <c:pt idx="7">
                  <c:v>3.2823700000000002</c:v>
                </c:pt>
                <c:pt idx="8">
                  <c:v>3.2454000000000001</c:v>
                </c:pt>
                <c:pt idx="9">
                  <c:v>3.2103700000000002</c:v>
                </c:pt>
                <c:pt idx="10">
                  <c:v>3.1773600000000002</c:v>
                </c:pt>
                <c:pt idx="11">
                  <c:v>3.1466699999999999</c:v>
                </c:pt>
                <c:pt idx="12">
                  <c:v>3.11985</c:v>
                </c:pt>
                <c:pt idx="13">
                  <c:v>3.0983000000000001</c:v>
                </c:pt>
                <c:pt idx="14">
                  <c:v>3.0775400000000004</c:v>
                </c:pt>
                <c:pt idx="15">
                  <c:v>3.0581399999999999</c:v>
                </c:pt>
                <c:pt idx="16">
                  <c:v>3.0426500000000001</c:v>
                </c:pt>
                <c:pt idx="17">
                  <c:v>3.0288700000000004</c:v>
                </c:pt>
                <c:pt idx="18">
                  <c:v>3.0139300000000002</c:v>
                </c:pt>
                <c:pt idx="19">
                  <c:v>2.9973899999999998</c:v>
                </c:pt>
                <c:pt idx="20">
                  <c:v>2.9813400000000003</c:v>
                </c:pt>
                <c:pt idx="21">
                  <c:v>2.9692600000000002</c:v>
                </c:pt>
                <c:pt idx="22">
                  <c:v>2.96143</c:v>
                </c:pt>
                <c:pt idx="23">
                  <c:v>2.9598300000000002</c:v>
                </c:pt>
                <c:pt idx="24">
                  <c:v>2.9632900000000002</c:v>
                </c:pt>
                <c:pt idx="25">
                  <c:v>2.9700300000000004</c:v>
                </c:pt>
                <c:pt idx="26">
                  <c:v>2.97925</c:v>
                </c:pt>
                <c:pt idx="27">
                  <c:v>2.99193</c:v>
                </c:pt>
                <c:pt idx="28">
                  <c:v>3.0060900000000004</c:v>
                </c:pt>
                <c:pt idx="29">
                  <c:v>3.0249199999999998</c:v>
                </c:pt>
                <c:pt idx="30">
                  <c:v>3.05044</c:v>
                </c:pt>
                <c:pt idx="31">
                  <c:v>3.0786500000000001</c:v>
                </c:pt>
                <c:pt idx="32">
                  <c:v>3.1091500000000001</c:v>
                </c:pt>
                <c:pt idx="33">
                  <c:v>3.1417099999999998</c:v>
                </c:pt>
                <c:pt idx="34">
                  <c:v>3.17171</c:v>
                </c:pt>
                <c:pt idx="35">
                  <c:v>3.1969700000000003</c:v>
                </c:pt>
                <c:pt idx="36">
                  <c:v>3.2183600000000001</c:v>
                </c:pt>
                <c:pt idx="37">
                  <c:v>3.2384300000000001</c:v>
                </c:pt>
                <c:pt idx="38">
                  <c:v>3.2550699999999999</c:v>
                </c:pt>
                <c:pt idx="39">
                  <c:v>3.27203</c:v>
                </c:pt>
                <c:pt idx="40">
                  <c:v>3.2927600000000004</c:v>
                </c:pt>
                <c:pt idx="41">
                  <c:v>3.3167499999999999</c:v>
                </c:pt>
                <c:pt idx="42">
                  <c:v>3.3459599999999998</c:v>
                </c:pt>
                <c:pt idx="43">
                  <c:v>3.3797899999999998</c:v>
                </c:pt>
                <c:pt idx="44">
                  <c:v>3.4165200000000002</c:v>
                </c:pt>
                <c:pt idx="45">
                  <c:v>3.4546999999999999</c:v>
                </c:pt>
                <c:pt idx="46">
                  <c:v>3.49431</c:v>
                </c:pt>
                <c:pt idx="47">
                  <c:v>3.53315</c:v>
                </c:pt>
                <c:pt idx="48">
                  <c:v>3.56928</c:v>
                </c:pt>
                <c:pt idx="49">
                  <c:v>3.6026899999999999</c:v>
                </c:pt>
                <c:pt idx="50">
                  <c:v>3.6337900000000003</c:v>
                </c:pt>
                <c:pt idx="51">
                  <c:v>3.6510799999999999</c:v>
                </c:pt>
                <c:pt idx="52">
                  <c:v>3.66777</c:v>
                </c:pt>
                <c:pt idx="53">
                  <c:v>3.6842100000000002</c:v>
                </c:pt>
                <c:pt idx="54">
                  <c:v>3.6975999999999996</c:v>
                </c:pt>
                <c:pt idx="55">
                  <c:v>3.7076199999999999</c:v>
                </c:pt>
                <c:pt idx="56">
                  <c:v>3.7146600000000003</c:v>
                </c:pt>
                <c:pt idx="57">
                  <c:v>3.7187700000000001</c:v>
                </c:pt>
                <c:pt idx="58">
                  <c:v>3.71997</c:v>
                </c:pt>
                <c:pt idx="59">
                  <c:v>3.7243599999999999</c:v>
                </c:pt>
                <c:pt idx="60">
                  <c:v>3.73732</c:v>
                </c:pt>
                <c:pt idx="61">
                  <c:v>3.7569599999999999</c:v>
                </c:pt>
                <c:pt idx="62">
                  <c:v>3.77658</c:v>
                </c:pt>
                <c:pt idx="63">
                  <c:v>3.8047900000000001</c:v>
                </c:pt>
                <c:pt idx="64">
                  <c:v>3.8385200000000004</c:v>
                </c:pt>
                <c:pt idx="65">
                  <c:v>3.8721899999999998</c:v>
                </c:pt>
                <c:pt idx="66">
                  <c:v>3.9028400000000003</c:v>
                </c:pt>
                <c:pt idx="67">
                  <c:v>3.9271699999999998</c:v>
                </c:pt>
                <c:pt idx="68">
                  <c:v>3.9480199999999996</c:v>
                </c:pt>
                <c:pt idx="69">
                  <c:v>3.95913</c:v>
                </c:pt>
                <c:pt idx="70">
                  <c:v>3.9661900000000001</c:v>
                </c:pt>
                <c:pt idx="71">
                  <c:v>3.9646599999999999</c:v>
                </c:pt>
                <c:pt idx="72">
                  <c:v>3.9563700000000002</c:v>
                </c:pt>
                <c:pt idx="73">
                  <c:v>3.9575399999999998</c:v>
                </c:pt>
                <c:pt idx="74">
                  <c:v>3.9642200000000001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14.935700000000001</c:v>
                </c:pt>
                <c:pt idx="1">
                  <c:v>44.807100000000005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3.3204375675675681</c:v>
                </c:pt>
                <c:pt idx="1">
                  <c:v>3.409853783783785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  <c:pt idx="74">
                  <c:v>30.0413</c:v>
                </c:pt>
                <c:pt idx="75">
                  <c:v>30.524899999999999</c:v>
                </c:pt>
                <c:pt idx="76">
                  <c:v>30.914000000000001</c:v>
                </c:pt>
                <c:pt idx="77">
                  <c:v>31.303100000000001</c:v>
                </c:pt>
                <c:pt idx="78">
                  <c:v>31.7117</c:v>
                </c:pt>
                <c:pt idx="79">
                  <c:v>32.114699999999999</c:v>
                </c:pt>
                <c:pt idx="80">
                  <c:v>32.521599999999999</c:v>
                </c:pt>
                <c:pt idx="81">
                  <c:v>32.930100000000003</c:v>
                </c:pt>
                <c:pt idx="82">
                  <c:v>33.336399999999998</c:v>
                </c:pt>
                <c:pt idx="83">
                  <c:v>33.743299999999998</c:v>
                </c:pt>
                <c:pt idx="84">
                  <c:v>34.145200000000003</c:v>
                </c:pt>
                <c:pt idx="85">
                  <c:v>34.554099999999998</c:v>
                </c:pt>
                <c:pt idx="86">
                  <c:v>34.961300000000001</c:v>
                </c:pt>
                <c:pt idx="87">
                  <c:v>35.366999999999997</c:v>
                </c:pt>
                <c:pt idx="88">
                  <c:v>35.774999999999999</c:v>
                </c:pt>
                <c:pt idx="89">
                  <c:v>36.181100000000001</c:v>
                </c:pt>
                <c:pt idx="90">
                  <c:v>36.585599999999999</c:v>
                </c:pt>
                <c:pt idx="91">
                  <c:v>36.994700000000002</c:v>
                </c:pt>
                <c:pt idx="92">
                  <c:v>37.401499999999999</c:v>
                </c:pt>
                <c:pt idx="93">
                  <c:v>37.806399999999996</c:v>
                </c:pt>
                <c:pt idx="94">
                  <c:v>38.212200000000003</c:v>
                </c:pt>
                <c:pt idx="95">
                  <c:v>38.616199999999999</c:v>
                </c:pt>
                <c:pt idx="96">
                  <c:v>39.022100000000002</c:v>
                </c:pt>
                <c:pt idx="97">
                  <c:v>39.426499999999997</c:v>
                </c:pt>
                <c:pt idx="98">
                  <c:v>39.839500000000001</c:v>
                </c:pt>
                <c:pt idx="99">
                  <c:v>40.241199999999999</c:v>
                </c:pt>
                <c:pt idx="100">
                  <c:v>40.648899999999998</c:v>
                </c:pt>
                <c:pt idx="101">
                  <c:v>41.056699999999999</c:v>
                </c:pt>
                <c:pt idx="102">
                  <c:v>41.459600000000002</c:v>
                </c:pt>
                <c:pt idx="103">
                  <c:v>41.866500000000002</c:v>
                </c:pt>
                <c:pt idx="104">
                  <c:v>42.271599999999999</c:v>
                </c:pt>
                <c:pt idx="105">
                  <c:v>42.684399999999997</c:v>
                </c:pt>
                <c:pt idx="106">
                  <c:v>43.088299999999997</c:v>
                </c:pt>
                <c:pt idx="107">
                  <c:v>43.492199999999997</c:v>
                </c:pt>
                <c:pt idx="108">
                  <c:v>43.897199999999998</c:v>
                </c:pt>
                <c:pt idx="109">
                  <c:v>44.303400000000003</c:v>
                </c:pt>
                <c:pt idx="110">
                  <c:v>44.712000000000003</c:v>
                </c:pt>
                <c:pt idx="111">
                  <c:v>45.117899999999999</c:v>
                </c:pt>
                <c:pt idx="112">
                  <c:v>45.522799999999997</c:v>
                </c:pt>
                <c:pt idx="113">
                  <c:v>45.929699999999997</c:v>
                </c:pt>
                <c:pt idx="114">
                  <c:v>46.334699999999998</c:v>
                </c:pt>
                <c:pt idx="115">
                  <c:v>46.740499999999997</c:v>
                </c:pt>
                <c:pt idx="116">
                  <c:v>47.1477</c:v>
                </c:pt>
                <c:pt idx="117">
                  <c:v>47.5535</c:v>
                </c:pt>
                <c:pt idx="118">
                  <c:v>47.964500000000001</c:v>
                </c:pt>
                <c:pt idx="119">
                  <c:v>48.368099999999998</c:v>
                </c:pt>
                <c:pt idx="120">
                  <c:v>48.772100000000002</c:v>
                </c:pt>
                <c:pt idx="121">
                  <c:v>49.179900000000004</c:v>
                </c:pt>
                <c:pt idx="122">
                  <c:v>49.585099999999997</c:v>
                </c:pt>
                <c:pt idx="123">
                  <c:v>49.993899999999996</c:v>
                </c:pt>
                <c:pt idx="124">
                  <c:v>50.400199999999998</c:v>
                </c:pt>
                <c:pt idx="125">
                  <c:v>50.806600000000003</c:v>
                </c:pt>
                <c:pt idx="126">
                  <c:v>51.211500000000001</c:v>
                </c:pt>
                <c:pt idx="127">
                  <c:v>51.616599999999998</c:v>
                </c:pt>
                <c:pt idx="128">
                  <c:v>52.023299999999999</c:v>
                </c:pt>
                <c:pt idx="129">
                  <c:v>52.429299999999998</c:v>
                </c:pt>
                <c:pt idx="130">
                  <c:v>52.8337</c:v>
                </c:pt>
                <c:pt idx="131">
                  <c:v>53.241199999999999</c:v>
                </c:pt>
                <c:pt idx="132">
                  <c:v>53.646099999999997</c:v>
                </c:pt>
                <c:pt idx="133">
                  <c:v>54.053899999999999</c:v>
                </c:pt>
                <c:pt idx="134">
                  <c:v>54.459899999999998</c:v>
                </c:pt>
                <c:pt idx="135">
                  <c:v>54.868899999999996</c:v>
                </c:pt>
                <c:pt idx="136">
                  <c:v>55.275700000000001</c:v>
                </c:pt>
                <c:pt idx="137">
                  <c:v>55.683</c:v>
                </c:pt>
                <c:pt idx="138">
                  <c:v>56.087499999999999</c:v>
                </c:pt>
                <c:pt idx="139">
                  <c:v>56.4925</c:v>
                </c:pt>
                <c:pt idx="140">
                  <c:v>56.900300000000001</c:v>
                </c:pt>
                <c:pt idx="141">
                  <c:v>57.305300000000003</c:v>
                </c:pt>
                <c:pt idx="142">
                  <c:v>57.7121</c:v>
                </c:pt>
                <c:pt idx="143">
                  <c:v>58.117100000000001</c:v>
                </c:pt>
                <c:pt idx="144">
                  <c:v>58.521000000000001</c:v>
                </c:pt>
                <c:pt idx="145">
                  <c:v>58.932000000000002</c:v>
                </c:pt>
                <c:pt idx="146">
                  <c:v>59.337899999999998</c:v>
                </c:pt>
                <c:pt idx="147">
                  <c:v>59.742800000000003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  <c:pt idx="74">
                  <c:v>45.107199999999999</c:v>
                </c:pt>
                <c:pt idx="75">
                  <c:v>45.3127</c:v>
                </c:pt>
                <c:pt idx="76">
                  <c:v>45.533999999999999</c:v>
                </c:pt>
                <c:pt idx="77">
                  <c:v>45.7879</c:v>
                </c:pt>
                <c:pt idx="78">
                  <c:v>46.007799999999996</c:v>
                </c:pt>
                <c:pt idx="79">
                  <c:v>46.238500000000002</c:v>
                </c:pt>
                <c:pt idx="80">
                  <c:v>46.371600000000001</c:v>
                </c:pt>
                <c:pt idx="81">
                  <c:v>46.431400000000004</c:v>
                </c:pt>
                <c:pt idx="82">
                  <c:v>46.440100000000001</c:v>
                </c:pt>
                <c:pt idx="83">
                  <c:v>46.4621</c:v>
                </c:pt>
                <c:pt idx="84">
                  <c:v>46.508000000000003</c:v>
                </c:pt>
                <c:pt idx="85">
                  <c:v>46.599699999999999</c:v>
                </c:pt>
                <c:pt idx="86">
                  <c:v>46.622100000000003</c:v>
                </c:pt>
                <c:pt idx="87">
                  <c:v>46.671399999999998</c:v>
                </c:pt>
                <c:pt idx="88">
                  <c:v>46.715899999999998</c:v>
                </c:pt>
                <c:pt idx="89">
                  <c:v>46.725899999999996</c:v>
                </c:pt>
                <c:pt idx="90">
                  <c:v>46.777299999999997</c:v>
                </c:pt>
                <c:pt idx="91">
                  <c:v>46.849800000000002</c:v>
                </c:pt>
                <c:pt idx="92">
                  <c:v>46.972500000000004</c:v>
                </c:pt>
                <c:pt idx="93">
                  <c:v>47.090199999999996</c:v>
                </c:pt>
                <c:pt idx="94">
                  <c:v>47.130300000000005</c:v>
                </c:pt>
                <c:pt idx="95">
                  <c:v>47.099400000000003</c:v>
                </c:pt>
                <c:pt idx="96">
                  <c:v>46.970299999999995</c:v>
                </c:pt>
                <c:pt idx="97">
                  <c:v>46.773299999999999</c:v>
                </c:pt>
                <c:pt idx="98">
                  <c:v>46.521799999999999</c:v>
                </c:pt>
                <c:pt idx="99">
                  <c:v>46.239100000000001</c:v>
                </c:pt>
                <c:pt idx="100">
                  <c:v>45.907899999999998</c:v>
                </c:pt>
                <c:pt idx="101">
                  <c:v>45.575500000000005</c:v>
                </c:pt>
                <c:pt idx="102">
                  <c:v>45.2014</c:v>
                </c:pt>
                <c:pt idx="103">
                  <c:v>44.778199999999998</c:v>
                </c:pt>
                <c:pt idx="104">
                  <c:v>44.373400000000004</c:v>
                </c:pt>
                <c:pt idx="105">
                  <c:v>43.960300000000004</c:v>
                </c:pt>
                <c:pt idx="106">
                  <c:v>43.530299999999997</c:v>
                </c:pt>
                <c:pt idx="107">
                  <c:v>43.226999999999997</c:v>
                </c:pt>
                <c:pt idx="108">
                  <c:v>43.101299999999995</c:v>
                </c:pt>
                <c:pt idx="109">
                  <c:v>43.052500000000002</c:v>
                </c:pt>
                <c:pt idx="110">
                  <c:v>42.949599999999997</c:v>
                </c:pt>
                <c:pt idx="111">
                  <c:v>42.921300000000002</c:v>
                </c:pt>
                <c:pt idx="112">
                  <c:v>42.907899999999998</c:v>
                </c:pt>
                <c:pt idx="113">
                  <c:v>42.8992</c:v>
                </c:pt>
                <c:pt idx="114">
                  <c:v>42.883200000000002</c:v>
                </c:pt>
                <c:pt idx="115">
                  <c:v>42.848300000000002</c:v>
                </c:pt>
                <c:pt idx="116">
                  <c:v>42.824400000000004</c:v>
                </c:pt>
                <c:pt idx="117">
                  <c:v>42.77</c:v>
                </c:pt>
                <c:pt idx="118">
                  <c:v>42.767600000000002</c:v>
                </c:pt>
                <c:pt idx="119">
                  <c:v>42.8005</c:v>
                </c:pt>
                <c:pt idx="120">
                  <c:v>42.875700000000002</c:v>
                </c:pt>
                <c:pt idx="121">
                  <c:v>43.063299999999998</c:v>
                </c:pt>
                <c:pt idx="122">
                  <c:v>43.291800000000002</c:v>
                </c:pt>
                <c:pt idx="123">
                  <c:v>43.491900000000001</c:v>
                </c:pt>
                <c:pt idx="124">
                  <c:v>43.677</c:v>
                </c:pt>
                <c:pt idx="125">
                  <c:v>43.851900000000001</c:v>
                </c:pt>
                <c:pt idx="126">
                  <c:v>44.0261</c:v>
                </c:pt>
                <c:pt idx="127">
                  <c:v>44.135799999999996</c:v>
                </c:pt>
                <c:pt idx="128">
                  <c:v>44.201599999999999</c:v>
                </c:pt>
                <c:pt idx="129">
                  <c:v>44.236199999999997</c:v>
                </c:pt>
                <c:pt idx="130">
                  <c:v>44.267600000000002</c:v>
                </c:pt>
                <c:pt idx="131">
                  <c:v>44.322899999999997</c:v>
                </c:pt>
                <c:pt idx="132">
                  <c:v>44.374400000000001</c:v>
                </c:pt>
                <c:pt idx="133">
                  <c:v>44.439599999999999</c:v>
                </c:pt>
                <c:pt idx="134">
                  <c:v>44.506099999999996</c:v>
                </c:pt>
                <c:pt idx="135">
                  <c:v>44.576300000000003</c:v>
                </c:pt>
                <c:pt idx="136">
                  <c:v>44.703800000000001</c:v>
                </c:pt>
                <c:pt idx="137">
                  <c:v>44.924500000000002</c:v>
                </c:pt>
                <c:pt idx="138">
                  <c:v>45.119</c:v>
                </c:pt>
                <c:pt idx="139">
                  <c:v>45.316400000000002</c:v>
                </c:pt>
                <c:pt idx="140">
                  <c:v>45.402000000000001</c:v>
                </c:pt>
                <c:pt idx="141">
                  <c:v>45.542000000000002</c:v>
                </c:pt>
                <c:pt idx="142">
                  <c:v>45.777099999999997</c:v>
                </c:pt>
                <c:pt idx="143">
                  <c:v>45.958500000000001</c:v>
                </c:pt>
                <c:pt idx="144">
                  <c:v>46.171500000000002</c:v>
                </c:pt>
                <c:pt idx="145">
                  <c:v>46.520600000000002</c:v>
                </c:pt>
                <c:pt idx="146">
                  <c:v>46.640799999999999</c:v>
                </c:pt>
                <c:pt idx="147">
                  <c:v>46.458799999999997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0.384413</c:v>
                </c:pt>
                <c:pt idx="2">
                  <c:v>0.78936499999999998</c:v>
                </c:pt>
                <c:pt idx="3">
                  <c:v>1.19319</c:v>
                </c:pt>
                <c:pt idx="4">
                  <c:v>1.59941</c:v>
                </c:pt>
                <c:pt idx="5">
                  <c:v>2.0071099999999999</c:v>
                </c:pt>
                <c:pt idx="6">
                  <c:v>2.4130400000000001</c:v>
                </c:pt>
                <c:pt idx="7">
                  <c:v>2.8210500000000001</c:v>
                </c:pt>
                <c:pt idx="8">
                  <c:v>3.2278699999999998</c:v>
                </c:pt>
                <c:pt idx="9">
                  <c:v>3.6337700000000002</c:v>
                </c:pt>
                <c:pt idx="10">
                  <c:v>4.0376599999999998</c:v>
                </c:pt>
                <c:pt idx="11">
                  <c:v>4.4455</c:v>
                </c:pt>
                <c:pt idx="12">
                  <c:v>4.8516899999999996</c:v>
                </c:pt>
                <c:pt idx="13">
                  <c:v>5.2594099999999999</c:v>
                </c:pt>
                <c:pt idx="14">
                  <c:v>5.66669</c:v>
                </c:pt>
                <c:pt idx="15">
                  <c:v>6.0702600000000002</c:v>
                </c:pt>
                <c:pt idx="16">
                  <c:v>6.4751099999999999</c:v>
                </c:pt>
                <c:pt idx="17">
                  <c:v>6.8830999999999998</c:v>
                </c:pt>
                <c:pt idx="18">
                  <c:v>7.29108</c:v>
                </c:pt>
                <c:pt idx="19">
                  <c:v>7.6969200000000004</c:v>
                </c:pt>
                <c:pt idx="20">
                  <c:v>8.1018299999999996</c:v>
                </c:pt>
                <c:pt idx="21">
                  <c:v>8.5056700000000003</c:v>
                </c:pt>
                <c:pt idx="22">
                  <c:v>8.9152799999999992</c:v>
                </c:pt>
                <c:pt idx="23">
                  <c:v>9.3225200000000008</c:v>
                </c:pt>
                <c:pt idx="24">
                  <c:v>9.7286999999999999</c:v>
                </c:pt>
                <c:pt idx="25">
                  <c:v>10.128500000000001</c:v>
                </c:pt>
                <c:pt idx="26">
                  <c:v>10.5383</c:v>
                </c:pt>
                <c:pt idx="27">
                  <c:v>10.946199999999999</c:v>
                </c:pt>
                <c:pt idx="28">
                  <c:v>11.3521</c:v>
                </c:pt>
                <c:pt idx="29">
                  <c:v>11.757999999999999</c:v>
                </c:pt>
                <c:pt idx="30">
                  <c:v>12.164199999999999</c:v>
                </c:pt>
                <c:pt idx="31">
                  <c:v>12.572800000000001</c:v>
                </c:pt>
                <c:pt idx="32">
                  <c:v>12.9788</c:v>
                </c:pt>
                <c:pt idx="33">
                  <c:v>13.3818</c:v>
                </c:pt>
                <c:pt idx="34">
                  <c:v>13.7866</c:v>
                </c:pt>
                <c:pt idx="35">
                  <c:v>14.194599999999999</c:v>
                </c:pt>
                <c:pt idx="36">
                  <c:v>14.603400000000001</c:v>
                </c:pt>
                <c:pt idx="37">
                  <c:v>15.0084</c:v>
                </c:pt>
                <c:pt idx="38">
                  <c:v>15.4152</c:v>
                </c:pt>
                <c:pt idx="39">
                  <c:v>15.819100000000001</c:v>
                </c:pt>
                <c:pt idx="40">
                  <c:v>16.226299999999998</c:v>
                </c:pt>
                <c:pt idx="41">
                  <c:v>16.635999999999999</c:v>
                </c:pt>
                <c:pt idx="42">
                  <c:v>17.040900000000001</c:v>
                </c:pt>
                <c:pt idx="43">
                  <c:v>17.448</c:v>
                </c:pt>
                <c:pt idx="44">
                  <c:v>17.855699999999999</c:v>
                </c:pt>
                <c:pt idx="45">
                  <c:v>18.259699999999999</c:v>
                </c:pt>
                <c:pt idx="46">
                  <c:v>18.666599999999999</c:v>
                </c:pt>
                <c:pt idx="47">
                  <c:v>19.0685</c:v>
                </c:pt>
                <c:pt idx="48">
                  <c:v>19.4755</c:v>
                </c:pt>
                <c:pt idx="49">
                  <c:v>19.882300000000001</c:v>
                </c:pt>
                <c:pt idx="50">
                  <c:v>20.290199999999999</c:v>
                </c:pt>
                <c:pt idx="51">
                  <c:v>20.6951</c:v>
                </c:pt>
                <c:pt idx="52">
                  <c:v>21.100100000000001</c:v>
                </c:pt>
                <c:pt idx="53">
                  <c:v>21.509</c:v>
                </c:pt>
                <c:pt idx="54">
                  <c:v>21.915900000000001</c:v>
                </c:pt>
                <c:pt idx="55">
                  <c:v>22.321899999999999</c:v>
                </c:pt>
                <c:pt idx="56">
                  <c:v>22.727699999999999</c:v>
                </c:pt>
                <c:pt idx="57">
                  <c:v>23.131</c:v>
                </c:pt>
                <c:pt idx="58">
                  <c:v>23.5396</c:v>
                </c:pt>
                <c:pt idx="59">
                  <c:v>23.9496</c:v>
                </c:pt>
                <c:pt idx="60">
                  <c:v>24.354399999999998</c:v>
                </c:pt>
                <c:pt idx="61">
                  <c:v>24.758500000000002</c:v>
                </c:pt>
                <c:pt idx="62">
                  <c:v>25.165299999999998</c:v>
                </c:pt>
                <c:pt idx="63">
                  <c:v>25.572099999999999</c:v>
                </c:pt>
                <c:pt idx="64">
                  <c:v>25.977</c:v>
                </c:pt>
                <c:pt idx="65">
                  <c:v>26.383299999999998</c:v>
                </c:pt>
                <c:pt idx="66">
                  <c:v>26.7879</c:v>
                </c:pt>
                <c:pt idx="67">
                  <c:v>27.195799999999998</c:v>
                </c:pt>
                <c:pt idx="68">
                  <c:v>27.602699999999999</c:v>
                </c:pt>
                <c:pt idx="69">
                  <c:v>28.008600000000001</c:v>
                </c:pt>
                <c:pt idx="70">
                  <c:v>28.413399999999999</c:v>
                </c:pt>
                <c:pt idx="71">
                  <c:v>28.819500000000001</c:v>
                </c:pt>
                <c:pt idx="72">
                  <c:v>29.229299999999999</c:v>
                </c:pt>
                <c:pt idx="73">
                  <c:v>29.6372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29.6372</c:v>
                </c:pt>
                <c:pt idx="1">
                  <c:v>30.0413</c:v>
                </c:pt>
                <c:pt idx="2">
                  <c:v>30.524899999999999</c:v>
                </c:pt>
                <c:pt idx="3">
                  <c:v>30.914000000000001</c:v>
                </c:pt>
                <c:pt idx="4">
                  <c:v>31.303100000000001</c:v>
                </c:pt>
                <c:pt idx="5">
                  <c:v>31.7117</c:v>
                </c:pt>
                <c:pt idx="6">
                  <c:v>32.114699999999999</c:v>
                </c:pt>
                <c:pt idx="7">
                  <c:v>32.521599999999999</c:v>
                </c:pt>
                <c:pt idx="8">
                  <c:v>32.930100000000003</c:v>
                </c:pt>
                <c:pt idx="9">
                  <c:v>33.336399999999998</c:v>
                </c:pt>
                <c:pt idx="10">
                  <c:v>33.743299999999998</c:v>
                </c:pt>
                <c:pt idx="11">
                  <c:v>34.145200000000003</c:v>
                </c:pt>
                <c:pt idx="12">
                  <c:v>34.554099999999998</c:v>
                </c:pt>
                <c:pt idx="13">
                  <c:v>34.961300000000001</c:v>
                </c:pt>
                <c:pt idx="14">
                  <c:v>35.366999999999997</c:v>
                </c:pt>
                <c:pt idx="15">
                  <c:v>35.774999999999999</c:v>
                </c:pt>
                <c:pt idx="16">
                  <c:v>36.181100000000001</c:v>
                </c:pt>
                <c:pt idx="17">
                  <c:v>36.585599999999999</c:v>
                </c:pt>
                <c:pt idx="18">
                  <c:v>36.994700000000002</c:v>
                </c:pt>
                <c:pt idx="19">
                  <c:v>37.401499999999999</c:v>
                </c:pt>
                <c:pt idx="20">
                  <c:v>37.806399999999996</c:v>
                </c:pt>
                <c:pt idx="21">
                  <c:v>38.212200000000003</c:v>
                </c:pt>
                <c:pt idx="22">
                  <c:v>38.616199999999999</c:v>
                </c:pt>
                <c:pt idx="23">
                  <c:v>39.022100000000002</c:v>
                </c:pt>
                <c:pt idx="24">
                  <c:v>39.426499999999997</c:v>
                </c:pt>
                <c:pt idx="25">
                  <c:v>39.839500000000001</c:v>
                </c:pt>
                <c:pt idx="26">
                  <c:v>40.241199999999999</c:v>
                </c:pt>
                <c:pt idx="27">
                  <c:v>40.648899999999998</c:v>
                </c:pt>
                <c:pt idx="28">
                  <c:v>41.056699999999999</c:v>
                </c:pt>
                <c:pt idx="29">
                  <c:v>41.459600000000002</c:v>
                </c:pt>
                <c:pt idx="30">
                  <c:v>41.866500000000002</c:v>
                </c:pt>
                <c:pt idx="31">
                  <c:v>42.271599999999999</c:v>
                </c:pt>
                <c:pt idx="32">
                  <c:v>42.684399999999997</c:v>
                </c:pt>
                <c:pt idx="33">
                  <c:v>43.088299999999997</c:v>
                </c:pt>
                <c:pt idx="34">
                  <c:v>43.492199999999997</c:v>
                </c:pt>
                <c:pt idx="35">
                  <c:v>43.897199999999998</c:v>
                </c:pt>
                <c:pt idx="36">
                  <c:v>44.303400000000003</c:v>
                </c:pt>
                <c:pt idx="37">
                  <c:v>44.712000000000003</c:v>
                </c:pt>
                <c:pt idx="38">
                  <c:v>45.117899999999999</c:v>
                </c:pt>
                <c:pt idx="39">
                  <c:v>45.522799999999997</c:v>
                </c:pt>
                <c:pt idx="40">
                  <c:v>45.929699999999997</c:v>
                </c:pt>
                <c:pt idx="41">
                  <c:v>46.334699999999998</c:v>
                </c:pt>
                <c:pt idx="42">
                  <c:v>46.740499999999997</c:v>
                </c:pt>
                <c:pt idx="43">
                  <c:v>47.1477</c:v>
                </c:pt>
                <c:pt idx="44">
                  <c:v>47.5535</c:v>
                </c:pt>
                <c:pt idx="45">
                  <c:v>47.964500000000001</c:v>
                </c:pt>
                <c:pt idx="46">
                  <c:v>48.368099999999998</c:v>
                </c:pt>
                <c:pt idx="47">
                  <c:v>48.772100000000002</c:v>
                </c:pt>
                <c:pt idx="48">
                  <c:v>49.179900000000004</c:v>
                </c:pt>
                <c:pt idx="49">
                  <c:v>49.585099999999997</c:v>
                </c:pt>
                <c:pt idx="50">
                  <c:v>49.993899999999996</c:v>
                </c:pt>
                <c:pt idx="51">
                  <c:v>50.400199999999998</c:v>
                </c:pt>
                <c:pt idx="52">
                  <c:v>50.806600000000003</c:v>
                </c:pt>
                <c:pt idx="53">
                  <c:v>51.211500000000001</c:v>
                </c:pt>
                <c:pt idx="54">
                  <c:v>51.616599999999998</c:v>
                </c:pt>
                <c:pt idx="55">
                  <c:v>52.023299999999999</c:v>
                </c:pt>
                <c:pt idx="56">
                  <c:v>52.429299999999998</c:v>
                </c:pt>
                <c:pt idx="57">
                  <c:v>52.8337</c:v>
                </c:pt>
                <c:pt idx="58">
                  <c:v>53.241199999999999</c:v>
                </c:pt>
                <c:pt idx="59">
                  <c:v>53.646099999999997</c:v>
                </c:pt>
                <c:pt idx="60">
                  <c:v>54.053899999999999</c:v>
                </c:pt>
                <c:pt idx="61">
                  <c:v>54.459899999999998</c:v>
                </c:pt>
                <c:pt idx="62">
                  <c:v>54.868899999999996</c:v>
                </c:pt>
                <c:pt idx="63">
                  <c:v>55.275700000000001</c:v>
                </c:pt>
                <c:pt idx="64">
                  <c:v>55.683</c:v>
                </c:pt>
                <c:pt idx="65">
                  <c:v>56.087499999999999</c:v>
                </c:pt>
                <c:pt idx="66">
                  <c:v>56.4925</c:v>
                </c:pt>
                <c:pt idx="67">
                  <c:v>56.900300000000001</c:v>
                </c:pt>
                <c:pt idx="68">
                  <c:v>57.305300000000003</c:v>
                </c:pt>
                <c:pt idx="69">
                  <c:v>57.7121</c:v>
                </c:pt>
                <c:pt idx="70">
                  <c:v>58.117100000000001</c:v>
                </c:pt>
                <c:pt idx="71">
                  <c:v>58.521000000000001</c:v>
                </c:pt>
                <c:pt idx="72">
                  <c:v>58.932000000000002</c:v>
                </c:pt>
                <c:pt idx="73">
                  <c:v>59.337899999999998</c:v>
                </c:pt>
                <c:pt idx="74">
                  <c:v>59.742800000000003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45.146900000000002</c:v>
                </c:pt>
                <c:pt idx="1">
                  <c:v>45.107199999999999</c:v>
                </c:pt>
                <c:pt idx="2">
                  <c:v>45.3127</c:v>
                </c:pt>
                <c:pt idx="3">
                  <c:v>45.533999999999999</c:v>
                </c:pt>
                <c:pt idx="4">
                  <c:v>45.7879</c:v>
                </c:pt>
                <c:pt idx="5">
                  <c:v>46.007799999999996</c:v>
                </c:pt>
                <c:pt idx="6">
                  <c:v>46.238500000000002</c:v>
                </c:pt>
                <c:pt idx="7">
                  <c:v>46.371600000000001</c:v>
                </c:pt>
                <c:pt idx="8">
                  <c:v>46.431400000000004</c:v>
                </c:pt>
                <c:pt idx="9">
                  <c:v>46.440100000000001</c:v>
                </c:pt>
                <c:pt idx="10">
                  <c:v>46.4621</c:v>
                </c:pt>
                <c:pt idx="11">
                  <c:v>46.508000000000003</c:v>
                </c:pt>
                <c:pt idx="12">
                  <c:v>46.599699999999999</c:v>
                </c:pt>
                <c:pt idx="13">
                  <c:v>46.622100000000003</c:v>
                </c:pt>
                <c:pt idx="14">
                  <c:v>46.671399999999998</c:v>
                </c:pt>
                <c:pt idx="15">
                  <c:v>46.715899999999998</c:v>
                </c:pt>
                <c:pt idx="16">
                  <c:v>46.725899999999996</c:v>
                </c:pt>
                <c:pt idx="17">
                  <c:v>46.777299999999997</c:v>
                </c:pt>
                <c:pt idx="18">
                  <c:v>46.849800000000002</c:v>
                </c:pt>
                <c:pt idx="19">
                  <c:v>46.972500000000004</c:v>
                </c:pt>
                <c:pt idx="20">
                  <c:v>47.090199999999996</c:v>
                </c:pt>
                <c:pt idx="21">
                  <c:v>47.130300000000005</c:v>
                </c:pt>
                <c:pt idx="22">
                  <c:v>47.099400000000003</c:v>
                </c:pt>
                <c:pt idx="23">
                  <c:v>46.970299999999995</c:v>
                </c:pt>
                <c:pt idx="24">
                  <c:v>46.773299999999999</c:v>
                </c:pt>
                <c:pt idx="25">
                  <c:v>46.521799999999999</c:v>
                </c:pt>
                <c:pt idx="26">
                  <c:v>46.239100000000001</c:v>
                </c:pt>
                <c:pt idx="27">
                  <c:v>45.907899999999998</c:v>
                </c:pt>
                <c:pt idx="28">
                  <c:v>45.575500000000005</c:v>
                </c:pt>
                <c:pt idx="29">
                  <c:v>45.2014</c:v>
                </c:pt>
                <c:pt idx="30">
                  <c:v>44.778199999999998</c:v>
                </c:pt>
                <c:pt idx="31">
                  <c:v>44.373400000000004</c:v>
                </c:pt>
                <c:pt idx="32">
                  <c:v>43.960300000000004</c:v>
                </c:pt>
                <c:pt idx="33">
                  <c:v>43.530299999999997</c:v>
                </c:pt>
                <c:pt idx="34">
                  <c:v>43.226999999999997</c:v>
                </c:pt>
                <c:pt idx="35">
                  <c:v>43.101299999999995</c:v>
                </c:pt>
                <c:pt idx="36">
                  <c:v>43.052500000000002</c:v>
                </c:pt>
                <c:pt idx="37">
                  <c:v>42.949599999999997</c:v>
                </c:pt>
                <c:pt idx="38">
                  <c:v>42.921300000000002</c:v>
                </c:pt>
                <c:pt idx="39">
                  <c:v>42.907899999999998</c:v>
                </c:pt>
                <c:pt idx="40">
                  <c:v>42.8992</c:v>
                </c:pt>
                <c:pt idx="41">
                  <c:v>42.883200000000002</c:v>
                </c:pt>
                <c:pt idx="42">
                  <c:v>42.848300000000002</c:v>
                </c:pt>
                <c:pt idx="43">
                  <c:v>42.824400000000004</c:v>
                </c:pt>
                <c:pt idx="44">
                  <c:v>42.77</c:v>
                </c:pt>
                <c:pt idx="45">
                  <c:v>42.767600000000002</c:v>
                </c:pt>
                <c:pt idx="46">
                  <c:v>42.8005</c:v>
                </c:pt>
                <c:pt idx="47">
                  <c:v>42.875700000000002</c:v>
                </c:pt>
                <c:pt idx="48">
                  <c:v>43.063299999999998</c:v>
                </c:pt>
                <c:pt idx="49">
                  <c:v>43.291800000000002</c:v>
                </c:pt>
                <c:pt idx="50">
                  <c:v>43.491900000000001</c:v>
                </c:pt>
                <c:pt idx="51">
                  <c:v>43.677</c:v>
                </c:pt>
                <c:pt idx="52">
                  <c:v>43.851900000000001</c:v>
                </c:pt>
                <c:pt idx="53">
                  <c:v>44.0261</c:v>
                </c:pt>
                <c:pt idx="54">
                  <c:v>44.135799999999996</c:v>
                </c:pt>
                <c:pt idx="55">
                  <c:v>44.201599999999999</c:v>
                </c:pt>
                <c:pt idx="56">
                  <c:v>44.236199999999997</c:v>
                </c:pt>
                <c:pt idx="57">
                  <c:v>44.267600000000002</c:v>
                </c:pt>
                <c:pt idx="58">
                  <c:v>44.322899999999997</c:v>
                </c:pt>
                <c:pt idx="59">
                  <c:v>44.374400000000001</c:v>
                </c:pt>
                <c:pt idx="60">
                  <c:v>44.439599999999999</c:v>
                </c:pt>
                <c:pt idx="61">
                  <c:v>44.506099999999996</c:v>
                </c:pt>
                <c:pt idx="62">
                  <c:v>44.576300000000003</c:v>
                </c:pt>
                <c:pt idx="63">
                  <c:v>44.703800000000001</c:v>
                </c:pt>
                <c:pt idx="64">
                  <c:v>44.924500000000002</c:v>
                </c:pt>
                <c:pt idx="65">
                  <c:v>45.119</c:v>
                </c:pt>
                <c:pt idx="66">
                  <c:v>45.316400000000002</c:v>
                </c:pt>
                <c:pt idx="67">
                  <c:v>45.402000000000001</c:v>
                </c:pt>
                <c:pt idx="68">
                  <c:v>45.542000000000002</c:v>
                </c:pt>
                <c:pt idx="69">
                  <c:v>45.777099999999997</c:v>
                </c:pt>
                <c:pt idx="70">
                  <c:v>45.958500000000001</c:v>
                </c:pt>
                <c:pt idx="71">
                  <c:v>46.171500000000002</c:v>
                </c:pt>
                <c:pt idx="72">
                  <c:v>46.520600000000002</c:v>
                </c:pt>
                <c:pt idx="73">
                  <c:v>46.640799999999999</c:v>
                </c:pt>
                <c:pt idx="74">
                  <c:v>46.458799999999997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14.935700000000001</c:v>
                </c:pt>
                <c:pt idx="1">
                  <c:v>44.807100000000005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46.075025675675683</c:v>
                </c:pt>
                <c:pt idx="1">
                  <c:v>45.015044594594599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  <c:pt idx="74">
                  <c:v>3.5529699999999997</c:v>
                </c:pt>
                <c:pt idx="75">
                  <c:v>3.5063800000000001</c:v>
                </c:pt>
                <c:pt idx="76">
                  <c:v>3.4620899999999999</c:v>
                </c:pt>
                <c:pt idx="77">
                  <c:v>3.4166400000000001</c:v>
                </c:pt>
                <c:pt idx="78">
                  <c:v>3.3699400000000002</c:v>
                </c:pt>
                <c:pt idx="79">
                  <c:v>3.3241900000000002</c:v>
                </c:pt>
                <c:pt idx="80">
                  <c:v>3.2823700000000002</c:v>
                </c:pt>
                <c:pt idx="81">
                  <c:v>3.2454000000000001</c:v>
                </c:pt>
                <c:pt idx="82">
                  <c:v>3.2103700000000002</c:v>
                </c:pt>
                <c:pt idx="83">
                  <c:v>3.1773600000000002</c:v>
                </c:pt>
                <c:pt idx="84">
                  <c:v>3.1466699999999999</c:v>
                </c:pt>
                <c:pt idx="85">
                  <c:v>3.11985</c:v>
                </c:pt>
                <c:pt idx="86">
                  <c:v>3.0983000000000001</c:v>
                </c:pt>
                <c:pt idx="87">
                  <c:v>3.0775400000000004</c:v>
                </c:pt>
                <c:pt idx="88">
                  <c:v>3.0581399999999999</c:v>
                </c:pt>
                <c:pt idx="89">
                  <c:v>3.0426500000000001</c:v>
                </c:pt>
                <c:pt idx="90">
                  <c:v>3.0288700000000004</c:v>
                </c:pt>
                <c:pt idx="91">
                  <c:v>3.0139300000000002</c:v>
                </c:pt>
                <c:pt idx="92">
                  <c:v>2.9973899999999998</c:v>
                </c:pt>
                <c:pt idx="93">
                  <c:v>2.9813400000000003</c:v>
                </c:pt>
                <c:pt idx="94">
                  <c:v>2.9692600000000002</c:v>
                </c:pt>
                <c:pt idx="95">
                  <c:v>2.96143</c:v>
                </c:pt>
                <c:pt idx="96">
                  <c:v>2.9598300000000002</c:v>
                </c:pt>
                <c:pt idx="97">
                  <c:v>2.9632900000000002</c:v>
                </c:pt>
                <c:pt idx="98">
                  <c:v>2.9700300000000004</c:v>
                </c:pt>
                <c:pt idx="99">
                  <c:v>2.97925</c:v>
                </c:pt>
                <c:pt idx="100">
                  <c:v>2.99193</c:v>
                </c:pt>
                <c:pt idx="101">
                  <c:v>3.0060900000000004</c:v>
                </c:pt>
                <c:pt idx="102">
                  <c:v>3.0249199999999998</c:v>
                </c:pt>
                <c:pt idx="103">
                  <c:v>3.05044</c:v>
                </c:pt>
                <c:pt idx="104">
                  <c:v>3.0786500000000001</c:v>
                </c:pt>
                <c:pt idx="105">
                  <c:v>3.1091500000000001</c:v>
                </c:pt>
                <c:pt idx="106">
                  <c:v>3.1417099999999998</c:v>
                </c:pt>
                <c:pt idx="107">
                  <c:v>3.17171</c:v>
                </c:pt>
                <c:pt idx="108">
                  <c:v>3.1969700000000003</c:v>
                </c:pt>
                <c:pt idx="109">
                  <c:v>3.2183600000000001</c:v>
                </c:pt>
                <c:pt idx="110">
                  <c:v>3.2384300000000001</c:v>
                </c:pt>
                <c:pt idx="111">
                  <c:v>3.2550699999999999</c:v>
                </c:pt>
                <c:pt idx="112">
                  <c:v>3.27203</c:v>
                </c:pt>
                <c:pt idx="113">
                  <c:v>3.2927600000000004</c:v>
                </c:pt>
                <c:pt idx="114">
                  <c:v>3.3167499999999999</c:v>
                </c:pt>
                <c:pt idx="115">
                  <c:v>3.3459599999999998</c:v>
                </c:pt>
                <c:pt idx="116">
                  <c:v>3.3797899999999998</c:v>
                </c:pt>
                <c:pt idx="117">
                  <c:v>3.4165200000000002</c:v>
                </c:pt>
                <c:pt idx="118">
                  <c:v>3.4546999999999999</c:v>
                </c:pt>
                <c:pt idx="119">
                  <c:v>3.49431</c:v>
                </c:pt>
                <c:pt idx="120">
                  <c:v>3.53315</c:v>
                </c:pt>
                <c:pt idx="121">
                  <c:v>3.56928</c:v>
                </c:pt>
                <c:pt idx="122">
                  <c:v>3.6026899999999999</c:v>
                </c:pt>
                <c:pt idx="123">
                  <c:v>3.6337900000000003</c:v>
                </c:pt>
                <c:pt idx="124">
                  <c:v>3.6510799999999999</c:v>
                </c:pt>
                <c:pt idx="125">
                  <c:v>3.66777</c:v>
                </c:pt>
                <c:pt idx="126">
                  <c:v>3.6842100000000002</c:v>
                </c:pt>
                <c:pt idx="127">
                  <c:v>3.6975999999999996</c:v>
                </c:pt>
                <c:pt idx="128">
                  <c:v>3.7076199999999999</c:v>
                </c:pt>
                <c:pt idx="129">
                  <c:v>3.7146600000000003</c:v>
                </c:pt>
                <c:pt idx="130">
                  <c:v>3.7187700000000001</c:v>
                </c:pt>
                <c:pt idx="131">
                  <c:v>3.71997</c:v>
                </c:pt>
                <c:pt idx="132">
                  <c:v>3.7243599999999999</c:v>
                </c:pt>
                <c:pt idx="133">
                  <c:v>3.73732</c:v>
                </c:pt>
                <c:pt idx="134">
                  <c:v>3.7569599999999999</c:v>
                </c:pt>
                <c:pt idx="135">
                  <c:v>3.77658</c:v>
                </c:pt>
                <c:pt idx="136">
                  <c:v>3.8047900000000001</c:v>
                </c:pt>
                <c:pt idx="137">
                  <c:v>3.8385200000000004</c:v>
                </c:pt>
                <c:pt idx="138">
                  <c:v>3.8721899999999998</c:v>
                </c:pt>
                <c:pt idx="139">
                  <c:v>3.9028400000000003</c:v>
                </c:pt>
                <c:pt idx="140">
                  <c:v>3.9271699999999998</c:v>
                </c:pt>
                <c:pt idx="141">
                  <c:v>3.9480199999999996</c:v>
                </c:pt>
                <c:pt idx="142">
                  <c:v>3.95913</c:v>
                </c:pt>
                <c:pt idx="143">
                  <c:v>3.9661900000000001</c:v>
                </c:pt>
                <c:pt idx="144">
                  <c:v>3.9646599999999999</c:v>
                </c:pt>
                <c:pt idx="145">
                  <c:v>3.9563700000000002</c:v>
                </c:pt>
                <c:pt idx="146">
                  <c:v>3.9575399999999998</c:v>
                </c:pt>
                <c:pt idx="147">
                  <c:v>3.9642200000000001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  <c:pt idx="74">
                  <c:v>45.107199999999999</c:v>
                </c:pt>
                <c:pt idx="75">
                  <c:v>45.3127</c:v>
                </c:pt>
                <c:pt idx="76">
                  <c:v>45.533999999999999</c:v>
                </c:pt>
                <c:pt idx="77">
                  <c:v>45.7879</c:v>
                </c:pt>
                <c:pt idx="78">
                  <c:v>46.007799999999996</c:v>
                </c:pt>
                <c:pt idx="79">
                  <c:v>46.238500000000002</c:v>
                </c:pt>
                <c:pt idx="80">
                  <c:v>46.371600000000001</c:v>
                </c:pt>
                <c:pt idx="81">
                  <c:v>46.431400000000004</c:v>
                </c:pt>
                <c:pt idx="82">
                  <c:v>46.440100000000001</c:v>
                </c:pt>
                <c:pt idx="83">
                  <c:v>46.4621</c:v>
                </c:pt>
                <c:pt idx="84">
                  <c:v>46.508000000000003</c:v>
                </c:pt>
                <c:pt idx="85">
                  <c:v>46.599699999999999</c:v>
                </c:pt>
                <c:pt idx="86">
                  <c:v>46.622100000000003</c:v>
                </c:pt>
                <c:pt idx="87">
                  <c:v>46.671399999999998</c:v>
                </c:pt>
                <c:pt idx="88">
                  <c:v>46.715899999999998</c:v>
                </c:pt>
                <c:pt idx="89">
                  <c:v>46.725899999999996</c:v>
                </c:pt>
                <c:pt idx="90">
                  <c:v>46.777299999999997</c:v>
                </c:pt>
                <c:pt idx="91">
                  <c:v>46.849800000000002</c:v>
                </c:pt>
                <c:pt idx="92">
                  <c:v>46.972500000000004</c:v>
                </c:pt>
                <c:pt idx="93">
                  <c:v>47.090199999999996</c:v>
                </c:pt>
                <c:pt idx="94">
                  <c:v>47.130300000000005</c:v>
                </c:pt>
                <c:pt idx="95">
                  <c:v>47.099400000000003</c:v>
                </c:pt>
                <c:pt idx="96">
                  <c:v>46.970299999999995</c:v>
                </c:pt>
                <c:pt idx="97">
                  <c:v>46.773299999999999</c:v>
                </c:pt>
                <c:pt idx="98">
                  <c:v>46.521799999999999</c:v>
                </c:pt>
                <c:pt idx="99">
                  <c:v>46.239100000000001</c:v>
                </c:pt>
                <c:pt idx="100">
                  <c:v>45.907899999999998</c:v>
                </c:pt>
                <c:pt idx="101">
                  <c:v>45.575500000000005</c:v>
                </c:pt>
                <c:pt idx="102">
                  <c:v>45.2014</c:v>
                </c:pt>
                <c:pt idx="103">
                  <c:v>44.778199999999998</c:v>
                </c:pt>
                <c:pt idx="104">
                  <c:v>44.373400000000004</c:v>
                </c:pt>
                <c:pt idx="105">
                  <c:v>43.960300000000004</c:v>
                </c:pt>
                <c:pt idx="106">
                  <c:v>43.530299999999997</c:v>
                </c:pt>
                <c:pt idx="107">
                  <c:v>43.226999999999997</c:v>
                </c:pt>
                <c:pt idx="108">
                  <c:v>43.101299999999995</c:v>
                </c:pt>
                <c:pt idx="109">
                  <c:v>43.052500000000002</c:v>
                </c:pt>
                <c:pt idx="110">
                  <c:v>42.949599999999997</c:v>
                </c:pt>
                <c:pt idx="111">
                  <c:v>42.921300000000002</c:v>
                </c:pt>
                <c:pt idx="112">
                  <c:v>42.907899999999998</c:v>
                </c:pt>
                <c:pt idx="113">
                  <c:v>42.8992</c:v>
                </c:pt>
                <c:pt idx="114">
                  <c:v>42.883200000000002</c:v>
                </c:pt>
                <c:pt idx="115">
                  <c:v>42.848300000000002</c:v>
                </c:pt>
                <c:pt idx="116">
                  <c:v>42.824400000000004</c:v>
                </c:pt>
                <c:pt idx="117">
                  <c:v>42.77</c:v>
                </c:pt>
                <c:pt idx="118">
                  <c:v>42.767600000000002</c:v>
                </c:pt>
                <c:pt idx="119">
                  <c:v>42.8005</c:v>
                </c:pt>
                <c:pt idx="120">
                  <c:v>42.875700000000002</c:v>
                </c:pt>
                <c:pt idx="121">
                  <c:v>43.063299999999998</c:v>
                </c:pt>
                <c:pt idx="122">
                  <c:v>43.291800000000002</c:v>
                </c:pt>
                <c:pt idx="123">
                  <c:v>43.491900000000001</c:v>
                </c:pt>
                <c:pt idx="124">
                  <c:v>43.677</c:v>
                </c:pt>
                <c:pt idx="125">
                  <c:v>43.851900000000001</c:v>
                </c:pt>
                <c:pt idx="126">
                  <c:v>44.0261</c:v>
                </c:pt>
                <c:pt idx="127">
                  <c:v>44.135799999999996</c:v>
                </c:pt>
                <c:pt idx="128">
                  <c:v>44.201599999999999</c:v>
                </c:pt>
                <c:pt idx="129">
                  <c:v>44.236199999999997</c:v>
                </c:pt>
                <c:pt idx="130">
                  <c:v>44.267600000000002</c:v>
                </c:pt>
                <c:pt idx="131">
                  <c:v>44.322899999999997</c:v>
                </c:pt>
                <c:pt idx="132">
                  <c:v>44.374400000000001</c:v>
                </c:pt>
                <c:pt idx="133">
                  <c:v>44.439599999999999</c:v>
                </c:pt>
                <c:pt idx="134">
                  <c:v>44.506099999999996</c:v>
                </c:pt>
                <c:pt idx="135">
                  <c:v>44.576300000000003</c:v>
                </c:pt>
                <c:pt idx="136">
                  <c:v>44.703800000000001</c:v>
                </c:pt>
                <c:pt idx="137">
                  <c:v>44.924500000000002</c:v>
                </c:pt>
                <c:pt idx="138">
                  <c:v>45.119</c:v>
                </c:pt>
                <c:pt idx="139">
                  <c:v>45.316400000000002</c:v>
                </c:pt>
                <c:pt idx="140">
                  <c:v>45.402000000000001</c:v>
                </c:pt>
                <c:pt idx="141">
                  <c:v>45.542000000000002</c:v>
                </c:pt>
                <c:pt idx="142">
                  <c:v>45.777099999999997</c:v>
                </c:pt>
                <c:pt idx="143">
                  <c:v>45.958500000000001</c:v>
                </c:pt>
                <c:pt idx="144">
                  <c:v>46.171500000000002</c:v>
                </c:pt>
                <c:pt idx="145">
                  <c:v>46.520600000000002</c:v>
                </c:pt>
                <c:pt idx="146">
                  <c:v>46.640799999999999</c:v>
                </c:pt>
                <c:pt idx="147">
                  <c:v>46.458799999999997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1.6832400000000001</c:v>
                </c:pt>
                <c:pt idx="1">
                  <c:v>1.72929</c:v>
                </c:pt>
                <c:pt idx="2">
                  <c:v>1.7763899999999999</c:v>
                </c:pt>
                <c:pt idx="3">
                  <c:v>1.8222700000000001</c:v>
                </c:pt>
                <c:pt idx="4">
                  <c:v>1.8677699999999999</c:v>
                </c:pt>
                <c:pt idx="5">
                  <c:v>1.9157</c:v>
                </c:pt>
                <c:pt idx="6">
                  <c:v>1.9654799999999999</c:v>
                </c:pt>
                <c:pt idx="7">
                  <c:v>2.0166599999999999</c:v>
                </c:pt>
                <c:pt idx="8">
                  <c:v>2.0677099999999999</c:v>
                </c:pt>
                <c:pt idx="9">
                  <c:v>2.1186600000000002</c:v>
                </c:pt>
                <c:pt idx="10">
                  <c:v>2.1697099999999998</c:v>
                </c:pt>
                <c:pt idx="11">
                  <c:v>2.2238500000000001</c:v>
                </c:pt>
                <c:pt idx="12">
                  <c:v>2.2790699999999999</c:v>
                </c:pt>
                <c:pt idx="13">
                  <c:v>2.3372200000000003</c:v>
                </c:pt>
                <c:pt idx="14">
                  <c:v>2.4004400000000001</c:v>
                </c:pt>
                <c:pt idx="15">
                  <c:v>2.46766</c:v>
                </c:pt>
                <c:pt idx="16">
                  <c:v>2.5372499999999998</c:v>
                </c:pt>
                <c:pt idx="17">
                  <c:v>2.6082899999999998</c:v>
                </c:pt>
                <c:pt idx="18">
                  <c:v>2.6772600000000004</c:v>
                </c:pt>
                <c:pt idx="19">
                  <c:v>2.7435</c:v>
                </c:pt>
                <c:pt idx="20">
                  <c:v>2.8112500000000002</c:v>
                </c:pt>
                <c:pt idx="21">
                  <c:v>2.8841299999999999</c:v>
                </c:pt>
                <c:pt idx="22">
                  <c:v>2.9606300000000001</c:v>
                </c:pt>
                <c:pt idx="23">
                  <c:v>3.0335000000000001</c:v>
                </c:pt>
                <c:pt idx="24">
                  <c:v>3.1008999999999998</c:v>
                </c:pt>
                <c:pt idx="25">
                  <c:v>3.1693100000000003</c:v>
                </c:pt>
                <c:pt idx="26">
                  <c:v>3.2364100000000002</c:v>
                </c:pt>
                <c:pt idx="27">
                  <c:v>3.2982200000000002</c:v>
                </c:pt>
                <c:pt idx="28">
                  <c:v>3.3601299999999998</c:v>
                </c:pt>
                <c:pt idx="29">
                  <c:v>3.41995</c:v>
                </c:pt>
                <c:pt idx="30">
                  <c:v>3.4750700000000001</c:v>
                </c:pt>
                <c:pt idx="31">
                  <c:v>3.52569</c:v>
                </c:pt>
                <c:pt idx="32">
                  <c:v>3.5719799999999999</c:v>
                </c:pt>
                <c:pt idx="33">
                  <c:v>3.6169099999999998</c:v>
                </c:pt>
                <c:pt idx="34">
                  <c:v>3.6661799999999998</c:v>
                </c:pt>
                <c:pt idx="35">
                  <c:v>3.7158899999999999</c:v>
                </c:pt>
                <c:pt idx="36">
                  <c:v>3.76098</c:v>
                </c:pt>
                <c:pt idx="37">
                  <c:v>3.8024999999999998</c:v>
                </c:pt>
                <c:pt idx="38">
                  <c:v>3.8372299999999999</c:v>
                </c:pt>
                <c:pt idx="39">
                  <c:v>3.8683899999999998</c:v>
                </c:pt>
                <c:pt idx="40">
                  <c:v>3.8943899999999996</c:v>
                </c:pt>
                <c:pt idx="41">
                  <c:v>3.9193600000000002</c:v>
                </c:pt>
                <c:pt idx="42">
                  <c:v>3.9438400000000002</c:v>
                </c:pt>
                <c:pt idx="43">
                  <c:v>3.9692100000000003</c:v>
                </c:pt>
                <c:pt idx="44">
                  <c:v>3.9920400000000003</c:v>
                </c:pt>
                <c:pt idx="45">
                  <c:v>4.0095700000000001</c:v>
                </c:pt>
                <c:pt idx="46">
                  <c:v>4.0206200000000001</c:v>
                </c:pt>
                <c:pt idx="47">
                  <c:v>4.0299300000000002</c:v>
                </c:pt>
                <c:pt idx="48">
                  <c:v>4.0385</c:v>
                </c:pt>
                <c:pt idx="49">
                  <c:v>4.0484</c:v>
                </c:pt>
                <c:pt idx="50">
                  <c:v>4.0574700000000004</c:v>
                </c:pt>
                <c:pt idx="51">
                  <c:v>4.0671099999999996</c:v>
                </c:pt>
                <c:pt idx="52">
                  <c:v>4.0748800000000003</c:v>
                </c:pt>
                <c:pt idx="53">
                  <c:v>4.0794200000000007</c:v>
                </c:pt>
                <c:pt idx="54">
                  <c:v>4.0802100000000001</c:v>
                </c:pt>
                <c:pt idx="55">
                  <c:v>4.0784099999999999</c:v>
                </c:pt>
                <c:pt idx="56">
                  <c:v>4.0784000000000002</c:v>
                </c:pt>
                <c:pt idx="57">
                  <c:v>4.0721400000000001</c:v>
                </c:pt>
                <c:pt idx="58">
                  <c:v>4.0563599999999997</c:v>
                </c:pt>
                <c:pt idx="59">
                  <c:v>4.0407299999999999</c:v>
                </c:pt>
                <c:pt idx="60">
                  <c:v>4.0210800000000004</c:v>
                </c:pt>
                <c:pt idx="61">
                  <c:v>3.9978000000000002</c:v>
                </c:pt>
                <c:pt idx="62">
                  <c:v>3.9729399999999999</c:v>
                </c:pt>
                <c:pt idx="63">
                  <c:v>3.9476899999999997</c:v>
                </c:pt>
                <c:pt idx="64">
                  <c:v>3.9295400000000003</c:v>
                </c:pt>
                <c:pt idx="65">
                  <c:v>3.90055</c:v>
                </c:pt>
                <c:pt idx="66">
                  <c:v>3.8672499999999999</c:v>
                </c:pt>
                <c:pt idx="67">
                  <c:v>3.8316400000000002</c:v>
                </c:pt>
                <c:pt idx="68">
                  <c:v>3.7855799999999999</c:v>
                </c:pt>
                <c:pt idx="69">
                  <c:v>3.7483699999999995</c:v>
                </c:pt>
                <c:pt idx="70">
                  <c:v>3.7222100000000005</c:v>
                </c:pt>
                <c:pt idx="71">
                  <c:v>3.68533</c:v>
                </c:pt>
                <c:pt idx="72">
                  <c:v>3.6341400000000004</c:v>
                </c:pt>
                <c:pt idx="73">
                  <c:v>3.5945999999999998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65.656700000000001</c:v>
                </c:pt>
                <c:pt idx="1">
                  <c:v>65.136499999999998</c:v>
                </c:pt>
                <c:pt idx="2">
                  <c:v>64.509399999999999</c:v>
                </c:pt>
                <c:pt idx="3">
                  <c:v>63.719499999999996</c:v>
                </c:pt>
                <c:pt idx="4">
                  <c:v>62.925200000000004</c:v>
                </c:pt>
                <c:pt idx="5">
                  <c:v>62.048999999999999</c:v>
                </c:pt>
                <c:pt idx="6">
                  <c:v>61.006999999999998</c:v>
                </c:pt>
                <c:pt idx="7">
                  <c:v>59.840299999999999</c:v>
                </c:pt>
                <c:pt idx="8">
                  <c:v>58.500500000000002</c:v>
                </c:pt>
                <c:pt idx="9">
                  <c:v>57.204600000000006</c:v>
                </c:pt>
                <c:pt idx="10">
                  <c:v>55.9253</c:v>
                </c:pt>
                <c:pt idx="11">
                  <c:v>54.525500000000008</c:v>
                </c:pt>
                <c:pt idx="12">
                  <c:v>53.079900000000002</c:v>
                </c:pt>
                <c:pt idx="13">
                  <c:v>51.449900000000007</c:v>
                </c:pt>
                <c:pt idx="14">
                  <c:v>49.701599999999999</c:v>
                </c:pt>
                <c:pt idx="15">
                  <c:v>47.958500000000001</c:v>
                </c:pt>
                <c:pt idx="16">
                  <c:v>46.237899999999996</c:v>
                </c:pt>
                <c:pt idx="17">
                  <c:v>44.554899999999996</c:v>
                </c:pt>
                <c:pt idx="18">
                  <c:v>43.261300000000006</c:v>
                </c:pt>
                <c:pt idx="19">
                  <c:v>42.292299999999997</c:v>
                </c:pt>
                <c:pt idx="20">
                  <c:v>41.386000000000003</c:v>
                </c:pt>
                <c:pt idx="21">
                  <c:v>40.4621</c:v>
                </c:pt>
                <c:pt idx="22">
                  <c:v>39.636099999999999</c:v>
                </c:pt>
                <c:pt idx="23">
                  <c:v>39.0914</c:v>
                </c:pt>
                <c:pt idx="24">
                  <c:v>38.778300000000002</c:v>
                </c:pt>
                <c:pt idx="25">
                  <c:v>38.508700000000005</c:v>
                </c:pt>
                <c:pt idx="26">
                  <c:v>38.326599999999999</c:v>
                </c:pt>
                <c:pt idx="27">
                  <c:v>38.311199999999999</c:v>
                </c:pt>
                <c:pt idx="28">
                  <c:v>38.269100000000002</c:v>
                </c:pt>
                <c:pt idx="29">
                  <c:v>38.282299999999999</c:v>
                </c:pt>
                <c:pt idx="30">
                  <c:v>38.389899999999997</c:v>
                </c:pt>
                <c:pt idx="31">
                  <c:v>38.531500000000001</c:v>
                </c:pt>
                <c:pt idx="32">
                  <c:v>38.749000000000002</c:v>
                </c:pt>
                <c:pt idx="33">
                  <c:v>38.947400000000002</c:v>
                </c:pt>
                <c:pt idx="34">
                  <c:v>39.0595</c:v>
                </c:pt>
                <c:pt idx="35">
                  <c:v>39.224399999999996</c:v>
                </c:pt>
                <c:pt idx="36">
                  <c:v>39.469200000000001</c:v>
                </c:pt>
                <c:pt idx="37">
                  <c:v>39.763599999999997</c:v>
                </c:pt>
                <c:pt idx="38">
                  <c:v>40.100999999999999</c:v>
                </c:pt>
                <c:pt idx="39">
                  <c:v>40.400799999999997</c:v>
                </c:pt>
                <c:pt idx="40">
                  <c:v>40.754000000000005</c:v>
                </c:pt>
                <c:pt idx="41">
                  <c:v>41.1081</c:v>
                </c:pt>
                <c:pt idx="42">
                  <c:v>41.456800000000001</c:v>
                </c:pt>
                <c:pt idx="43">
                  <c:v>41.758800000000001</c:v>
                </c:pt>
                <c:pt idx="44">
                  <c:v>42.072299999999998</c:v>
                </c:pt>
                <c:pt idx="45">
                  <c:v>42.414099999999998</c:v>
                </c:pt>
                <c:pt idx="46">
                  <c:v>42.740499999999997</c:v>
                </c:pt>
                <c:pt idx="47">
                  <c:v>43.0242</c:v>
                </c:pt>
                <c:pt idx="48">
                  <c:v>43.316900000000004</c:v>
                </c:pt>
                <c:pt idx="49">
                  <c:v>43.588700000000003</c:v>
                </c:pt>
                <c:pt idx="50">
                  <c:v>43.729800000000004</c:v>
                </c:pt>
                <c:pt idx="51">
                  <c:v>43.900800000000004</c:v>
                </c:pt>
                <c:pt idx="52">
                  <c:v>44.1006</c:v>
                </c:pt>
                <c:pt idx="53">
                  <c:v>44.372399999999999</c:v>
                </c:pt>
                <c:pt idx="54">
                  <c:v>44.759300000000003</c:v>
                </c:pt>
                <c:pt idx="55">
                  <c:v>45.0687</c:v>
                </c:pt>
                <c:pt idx="56">
                  <c:v>45.274099999999997</c:v>
                </c:pt>
                <c:pt idx="57">
                  <c:v>45.529799999999994</c:v>
                </c:pt>
                <c:pt idx="58">
                  <c:v>45.818100000000001</c:v>
                </c:pt>
                <c:pt idx="59">
                  <c:v>46.100700000000003</c:v>
                </c:pt>
                <c:pt idx="60">
                  <c:v>46.369899999999994</c:v>
                </c:pt>
                <c:pt idx="61">
                  <c:v>46.518700000000003</c:v>
                </c:pt>
                <c:pt idx="62">
                  <c:v>46.6128</c:v>
                </c:pt>
                <c:pt idx="63">
                  <c:v>46.629199999999997</c:v>
                </c:pt>
                <c:pt idx="64">
                  <c:v>46.689900000000002</c:v>
                </c:pt>
                <c:pt idx="65">
                  <c:v>46.509299999999996</c:v>
                </c:pt>
                <c:pt idx="66">
                  <c:v>46.280799999999999</c:v>
                </c:pt>
                <c:pt idx="67">
                  <c:v>46.130300000000005</c:v>
                </c:pt>
                <c:pt idx="68">
                  <c:v>45.950600000000001</c:v>
                </c:pt>
                <c:pt idx="69">
                  <c:v>45.8705</c:v>
                </c:pt>
                <c:pt idx="70">
                  <c:v>45.837699999999998</c:v>
                </c:pt>
                <c:pt idx="71">
                  <c:v>45.607500000000002</c:v>
                </c:pt>
                <c:pt idx="72">
                  <c:v>45.285199999999996</c:v>
                </c:pt>
                <c:pt idx="73">
                  <c:v>45.146900000000002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3.5945999999999998</c:v>
                </c:pt>
                <c:pt idx="1">
                  <c:v>3.5529699999999997</c:v>
                </c:pt>
                <c:pt idx="2">
                  <c:v>3.5063800000000001</c:v>
                </c:pt>
                <c:pt idx="3">
                  <c:v>3.4620899999999999</c:v>
                </c:pt>
                <c:pt idx="4">
                  <c:v>3.4166400000000001</c:v>
                </c:pt>
                <c:pt idx="5">
                  <c:v>3.3699400000000002</c:v>
                </c:pt>
                <c:pt idx="6">
                  <c:v>3.3241900000000002</c:v>
                </c:pt>
                <c:pt idx="7">
                  <c:v>3.2823700000000002</c:v>
                </c:pt>
                <c:pt idx="8">
                  <c:v>3.2454000000000001</c:v>
                </c:pt>
                <c:pt idx="9">
                  <c:v>3.2103700000000002</c:v>
                </c:pt>
                <c:pt idx="10">
                  <c:v>3.1773600000000002</c:v>
                </c:pt>
                <c:pt idx="11">
                  <c:v>3.1466699999999999</c:v>
                </c:pt>
                <c:pt idx="12">
                  <c:v>3.11985</c:v>
                </c:pt>
                <c:pt idx="13">
                  <c:v>3.0983000000000001</c:v>
                </c:pt>
                <c:pt idx="14">
                  <c:v>3.0775400000000004</c:v>
                </c:pt>
                <c:pt idx="15">
                  <c:v>3.0581399999999999</c:v>
                </c:pt>
                <c:pt idx="16">
                  <c:v>3.0426500000000001</c:v>
                </c:pt>
                <c:pt idx="17">
                  <c:v>3.0288700000000004</c:v>
                </c:pt>
                <c:pt idx="18">
                  <c:v>3.0139300000000002</c:v>
                </c:pt>
                <c:pt idx="19">
                  <c:v>2.9973899999999998</c:v>
                </c:pt>
                <c:pt idx="20">
                  <c:v>2.9813400000000003</c:v>
                </c:pt>
                <c:pt idx="21">
                  <c:v>2.9692600000000002</c:v>
                </c:pt>
                <c:pt idx="22">
                  <c:v>2.96143</c:v>
                </c:pt>
                <c:pt idx="23">
                  <c:v>2.9598300000000002</c:v>
                </c:pt>
                <c:pt idx="24">
                  <c:v>2.9632900000000002</c:v>
                </c:pt>
                <c:pt idx="25">
                  <c:v>2.9700300000000004</c:v>
                </c:pt>
                <c:pt idx="26">
                  <c:v>2.97925</c:v>
                </c:pt>
                <c:pt idx="27">
                  <c:v>2.99193</c:v>
                </c:pt>
                <c:pt idx="28">
                  <c:v>3.0060900000000004</c:v>
                </c:pt>
                <c:pt idx="29">
                  <c:v>3.0249199999999998</c:v>
                </c:pt>
                <c:pt idx="30">
                  <c:v>3.05044</c:v>
                </c:pt>
                <c:pt idx="31">
                  <c:v>3.0786500000000001</c:v>
                </c:pt>
                <c:pt idx="32">
                  <c:v>3.1091500000000001</c:v>
                </c:pt>
                <c:pt idx="33">
                  <c:v>3.1417099999999998</c:v>
                </c:pt>
                <c:pt idx="34">
                  <c:v>3.17171</c:v>
                </c:pt>
                <c:pt idx="35">
                  <c:v>3.1969700000000003</c:v>
                </c:pt>
                <c:pt idx="36">
                  <c:v>3.2183600000000001</c:v>
                </c:pt>
                <c:pt idx="37">
                  <c:v>3.2384300000000001</c:v>
                </c:pt>
                <c:pt idx="38">
                  <c:v>3.2550699999999999</c:v>
                </c:pt>
                <c:pt idx="39">
                  <c:v>3.27203</c:v>
                </c:pt>
                <c:pt idx="40">
                  <c:v>3.2927600000000004</c:v>
                </c:pt>
                <c:pt idx="41">
                  <c:v>3.3167499999999999</c:v>
                </c:pt>
                <c:pt idx="42">
                  <c:v>3.3459599999999998</c:v>
                </c:pt>
                <c:pt idx="43">
                  <c:v>3.3797899999999998</c:v>
                </c:pt>
                <c:pt idx="44">
                  <c:v>3.4165200000000002</c:v>
                </c:pt>
                <c:pt idx="45">
                  <c:v>3.4546999999999999</c:v>
                </c:pt>
                <c:pt idx="46">
                  <c:v>3.49431</c:v>
                </c:pt>
                <c:pt idx="47">
                  <c:v>3.53315</c:v>
                </c:pt>
                <c:pt idx="48">
                  <c:v>3.56928</c:v>
                </c:pt>
                <c:pt idx="49">
                  <c:v>3.6026899999999999</c:v>
                </c:pt>
                <c:pt idx="50">
                  <c:v>3.6337900000000003</c:v>
                </c:pt>
                <c:pt idx="51">
                  <c:v>3.6510799999999999</c:v>
                </c:pt>
                <c:pt idx="52">
                  <c:v>3.66777</c:v>
                </c:pt>
                <c:pt idx="53">
                  <c:v>3.6842100000000002</c:v>
                </c:pt>
                <c:pt idx="54">
                  <c:v>3.6975999999999996</c:v>
                </c:pt>
                <c:pt idx="55">
                  <c:v>3.7076199999999999</c:v>
                </c:pt>
                <c:pt idx="56">
                  <c:v>3.7146600000000003</c:v>
                </c:pt>
                <c:pt idx="57">
                  <c:v>3.7187700000000001</c:v>
                </c:pt>
                <c:pt idx="58">
                  <c:v>3.71997</c:v>
                </c:pt>
                <c:pt idx="59">
                  <c:v>3.7243599999999999</c:v>
                </c:pt>
                <c:pt idx="60">
                  <c:v>3.73732</c:v>
                </c:pt>
                <c:pt idx="61">
                  <c:v>3.7569599999999999</c:v>
                </c:pt>
                <c:pt idx="62">
                  <c:v>3.77658</c:v>
                </c:pt>
                <c:pt idx="63">
                  <c:v>3.8047900000000001</c:v>
                </c:pt>
                <c:pt idx="64">
                  <c:v>3.8385200000000004</c:v>
                </c:pt>
                <c:pt idx="65">
                  <c:v>3.8721899999999998</c:v>
                </c:pt>
                <c:pt idx="66">
                  <c:v>3.9028400000000003</c:v>
                </c:pt>
                <c:pt idx="67">
                  <c:v>3.9271699999999998</c:v>
                </c:pt>
                <c:pt idx="68">
                  <c:v>3.9480199999999996</c:v>
                </c:pt>
                <c:pt idx="69">
                  <c:v>3.95913</c:v>
                </c:pt>
                <c:pt idx="70">
                  <c:v>3.9661900000000001</c:v>
                </c:pt>
                <c:pt idx="71">
                  <c:v>3.9646599999999999</c:v>
                </c:pt>
                <c:pt idx="72">
                  <c:v>3.9563700000000002</c:v>
                </c:pt>
                <c:pt idx="73">
                  <c:v>3.9575399999999998</c:v>
                </c:pt>
                <c:pt idx="74">
                  <c:v>3.9642200000000001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45.146900000000002</c:v>
                </c:pt>
                <c:pt idx="1">
                  <c:v>45.107199999999999</c:v>
                </c:pt>
                <c:pt idx="2">
                  <c:v>45.3127</c:v>
                </c:pt>
                <c:pt idx="3">
                  <c:v>45.533999999999999</c:v>
                </c:pt>
                <c:pt idx="4">
                  <c:v>45.7879</c:v>
                </c:pt>
                <c:pt idx="5">
                  <c:v>46.007799999999996</c:v>
                </c:pt>
                <c:pt idx="6">
                  <c:v>46.238500000000002</c:v>
                </c:pt>
                <c:pt idx="7">
                  <c:v>46.371600000000001</c:v>
                </c:pt>
                <c:pt idx="8">
                  <c:v>46.431400000000004</c:v>
                </c:pt>
                <c:pt idx="9">
                  <c:v>46.440100000000001</c:v>
                </c:pt>
                <c:pt idx="10">
                  <c:v>46.4621</c:v>
                </c:pt>
                <c:pt idx="11">
                  <c:v>46.508000000000003</c:v>
                </c:pt>
                <c:pt idx="12">
                  <c:v>46.599699999999999</c:v>
                </c:pt>
                <c:pt idx="13">
                  <c:v>46.622100000000003</c:v>
                </c:pt>
                <c:pt idx="14">
                  <c:v>46.671399999999998</c:v>
                </c:pt>
                <c:pt idx="15">
                  <c:v>46.715899999999998</c:v>
                </c:pt>
                <c:pt idx="16">
                  <c:v>46.725899999999996</c:v>
                </c:pt>
                <c:pt idx="17">
                  <c:v>46.777299999999997</c:v>
                </c:pt>
                <c:pt idx="18">
                  <c:v>46.849800000000002</c:v>
                </c:pt>
                <c:pt idx="19">
                  <c:v>46.972500000000004</c:v>
                </c:pt>
                <c:pt idx="20">
                  <c:v>47.090199999999996</c:v>
                </c:pt>
                <c:pt idx="21">
                  <c:v>47.130300000000005</c:v>
                </c:pt>
                <c:pt idx="22">
                  <c:v>47.099400000000003</c:v>
                </c:pt>
                <c:pt idx="23">
                  <c:v>46.970299999999995</c:v>
                </c:pt>
                <c:pt idx="24">
                  <c:v>46.773299999999999</c:v>
                </c:pt>
                <c:pt idx="25">
                  <c:v>46.521799999999999</c:v>
                </c:pt>
                <c:pt idx="26">
                  <c:v>46.239100000000001</c:v>
                </c:pt>
                <c:pt idx="27">
                  <c:v>45.907899999999998</c:v>
                </c:pt>
                <c:pt idx="28">
                  <c:v>45.575500000000005</c:v>
                </c:pt>
                <c:pt idx="29">
                  <c:v>45.2014</c:v>
                </c:pt>
                <c:pt idx="30">
                  <c:v>44.778199999999998</c:v>
                </c:pt>
                <c:pt idx="31">
                  <c:v>44.373400000000004</c:v>
                </c:pt>
                <c:pt idx="32">
                  <c:v>43.960300000000004</c:v>
                </c:pt>
                <c:pt idx="33">
                  <c:v>43.530299999999997</c:v>
                </c:pt>
                <c:pt idx="34">
                  <c:v>43.226999999999997</c:v>
                </c:pt>
                <c:pt idx="35">
                  <c:v>43.101299999999995</c:v>
                </c:pt>
                <c:pt idx="36">
                  <c:v>43.052500000000002</c:v>
                </c:pt>
                <c:pt idx="37">
                  <c:v>42.949599999999997</c:v>
                </c:pt>
                <c:pt idx="38">
                  <c:v>42.921300000000002</c:v>
                </c:pt>
                <c:pt idx="39">
                  <c:v>42.907899999999998</c:v>
                </c:pt>
                <c:pt idx="40">
                  <c:v>42.8992</c:v>
                </c:pt>
                <c:pt idx="41">
                  <c:v>42.883200000000002</c:v>
                </c:pt>
                <c:pt idx="42">
                  <c:v>42.848300000000002</c:v>
                </c:pt>
                <c:pt idx="43">
                  <c:v>42.824400000000004</c:v>
                </c:pt>
                <c:pt idx="44">
                  <c:v>42.77</c:v>
                </c:pt>
                <c:pt idx="45">
                  <c:v>42.767600000000002</c:v>
                </c:pt>
                <c:pt idx="46">
                  <c:v>42.8005</c:v>
                </c:pt>
                <c:pt idx="47">
                  <c:v>42.875700000000002</c:v>
                </c:pt>
                <c:pt idx="48">
                  <c:v>43.063299999999998</c:v>
                </c:pt>
                <c:pt idx="49">
                  <c:v>43.291800000000002</c:v>
                </c:pt>
                <c:pt idx="50">
                  <c:v>43.491900000000001</c:v>
                </c:pt>
                <c:pt idx="51">
                  <c:v>43.677</c:v>
                </c:pt>
                <c:pt idx="52">
                  <c:v>43.851900000000001</c:v>
                </c:pt>
                <c:pt idx="53">
                  <c:v>44.0261</c:v>
                </c:pt>
                <c:pt idx="54">
                  <c:v>44.135799999999996</c:v>
                </c:pt>
                <c:pt idx="55">
                  <c:v>44.201599999999999</c:v>
                </c:pt>
                <c:pt idx="56">
                  <c:v>44.236199999999997</c:v>
                </c:pt>
                <c:pt idx="57">
                  <c:v>44.267600000000002</c:v>
                </c:pt>
                <c:pt idx="58">
                  <c:v>44.322899999999997</c:v>
                </c:pt>
                <c:pt idx="59">
                  <c:v>44.374400000000001</c:v>
                </c:pt>
                <c:pt idx="60">
                  <c:v>44.439599999999999</c:v>
                </c:pt>
                <c:pt idx="61">
                  <c:v>44.506099999999996</c:v>
                </c:pt>
                <c:pt idx="62">
                  <c:v>44.576300000000003</c:v>
                </c:pt>
                <c:pt idx="63">
                  <c:v>44.703800000000001</c:v>
                </c:pt>
                <c:pt idx="64">
                  <c:v>44.924500000000002</c:v>
                </c:pt>
                <c:pt idx="65">
                  <c:v>45.119</c:v>
                </c:pt>
                <c:pt idx="66">
                  <c:v>45.316400000000002</c:v>
                </c:pt>
                <c:pt idx="67">
                  <c:v>45.402000000000001</c:v>
                </c:pt>
                <c:pt idx="68">
                  <c:v>45.542000000000002</c:v>
                </c:pt>
                <c:pt idx="69">
                  <c:v>45.777099999999997</c:v>
                </c:pt>
                <c:pt idx="70">
                  <c:v>45.958500000000001</c:v>
                </c:pt>
                <c:pt idx="71">
                  <c:v>46.171500000000002</c:v>
                </c:pt>
                <c:pt idx="72">
                  <c:v>46.520600000000002</c:v>
                </c:pt>
                <c:pt idx="73">
                  <c:v>46.640799999999999</c:v>
                </c:pt>
                <c:pt idx="74">
                  <c:v>46.458799999999997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1.6832400000000001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65.656700000000001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3.3204375675675681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46.075025675675683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3.409853783783785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45.015044594594599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3.409853783783785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45.015044594594599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573</v>
      </c>
      <c r="D5" s="151"/>
      <c r="E5" s="151"/>
      <c r="F5" s="152"/>
      <c r="G5" s="48" t="str">
        <f>lang!B27</f>
        <v>编号</v>
      </c>
      <c r="H5" s="150">
        <v>2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572</v>
      </c>
      <c r="D6" s="188"/>
      <c r="E6" s="188"/>
      <c r="F6" s="189"/>
      <c r="G6" s="49" t="str">
        <f>lang!B28</f>
        <v xml:space="preserve"> 日期</v>
      </c>
      <c r="H6" s="172">
        <f>FH_info!A2</f>
        <v>43607.364988425928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29</v>
      </c>
      <c r="D7" s="191"/>
      <c r="E7" s="191"/>
      <c r="F7" s="192"/>
      <c r="G7" s="50" t="str">
        <f>lang!B29</f>
        <v>误差率（%）</v>
      </c>
      <c r="H7" s="175">
        <f>M!B17*1</f>
        <v>17.515000000000001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36.301099999999998</v>
      </c>
      <c r="O8" s="59">
        <f>M!C5*1</f>
        <v>9.0562799999999992</v>
      </c>
      <c r="P8" s="59">
        <f>M!D5*1</f>
        <v>24.947700000000001</v>
      </c>
      <c r="Q8" s="59">
        <f>M!E5*1</f>
        <v>20</v>
      </c>
      <c r="R8" s="59">
        <f>M!F5*1</f>
        <v>8.8516999999999992</v>
      </c>
      <c r="S8" s="59">
        <f>M!G5*1</f>
        <v>50</v>
      </c>
      <c r="T8" s="59">
        <f>M!H5*1</f>
        <v>48.713700000000003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26.821100000000001</v>
      </c>
      <c r="O9" s="59">
        <f>M!C6*1</f>
        <v>2.4448699999999999</v>
      </c>
      <c r="P9" s="59">
        <f>M!D6*1</f>
        <v>9.1154700000000002</v>
      </c>
      <c r="Q9" s="59">
        <f>M!E6*1</f>
        <v>20</v>
      </c>
      <c r="R9" s="59">
        <f>M!F6*1</f>
        <v>19.034600000000001</v>
      </c>
      <c r="S9" s="59">
        <f>M!G6*1</f>
        <v>40</v>
      </c>
      <c r="T9" s="59">
        <f>M!H6*1</f>
        <v>32.181199999999997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8.8516999999999992</v>
      </c>
      <c r="D10" s="99">
        <f>N8</f>
        <v>36.301099999999998</v>
      </c>
      <c r="E10" s="100">
        <f>T8</f>
        <v>48.713700000000003</v>
      </c>
      <c r="F10" s="91">
        <f>P8</f>
        <v>24.947700000000001</v>
      </c>
      <c r="G10" s="81" t="str">
        <f>CONCATENATE(M9,"
(20 ~ 40)")</f>
        <v>压力
(20 ~ 40)</v>
      </c>
      <c r="H10" s="98">
        <f>R9</f>
        <v>19.034600000000001</v>
      </c>
      <c r="I10" s="108">
        <f>N9</f>
        <v>26.821100000000001</v>
      </c>
      <c r="J10" s="98">
        <f>T9</f>
        <v>32.181199999999997</v>
      </c>
      <c r="K10" s="92">
        <f>P9</f>
        <v>9.1154700000000002</v>
      </c>
      <c r="L10" s="6"/>
      <c r="M10" s="27" t="str">
        <f>lang!B16</f>
        <v>焦虑</v>
      </c>
      <c r="N10" s="59">
        <f>M!B7*1</f>
        <v>20.348099999999999</v>
      </c>
      <c r="O10" s="59">
        <f>M!C7*1</f>
        <v>5.28782</v>
      </c>
      <c r="P10" s="59">
        <f>M!D7*1</f>
        <v>25.986799999999999</v>
      </c>
      <c r="Q10" s="59">
        <f>M!E7*1</f>
        <v>15</v>
      </c>
      <c r="R10" s="59">
        <f>M!F7*1</f>
        <v>7.83711</v>
      </c>
      <c r="S10" s="59">
        <f>M!G7*1</f>
        <v>40</v>
      </c>
      <c r="T10" s="59">
        <f>M!H7*1</f>
        <v>38.155299999999997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7.83711</v>
      </c>
      <c r="D11" s="102">
        <f>N10</f>
        <v>20.348099999999999</v>
      </c>
      <c r="E11" s="103">
        <f>T10</f>
        <v>38.155299999999997</v>
      </c>
      <c r="F11" s="94">
        <f>P10</f>
        <v>25.986799999999999</v>
      </c>
      <c r="G11" s="52" t="str">
        <f>CONCATENATE(M11,"
(20 ~ 50)")</f>
        <v>可疑
(20 ~ 50)</v>
      </c>
      <c r="H11" s="101">
        <f>R11</f>
        <v>14.7753</v>
      </c>
      <c r="I11" s="104">
        <f>N11</f>
        <v>28.1967</v>
      </c>
      <c r="J11" s="101">
        <f>T11</f>
        <v>32.968000000000004</v>
      </c>
      <c r="K11" s="95">
        <f>P11</f>
        <v>11.909599999999999</v>
      </c>
      <c r="L11" s="4"/>
      <c r="M11" s="27" t="str">
        <f>lang!B17</f>
        <v>可疑</v>
      </c>
      <c r="N11" s="59">
        <f>M!B8*1</f>
        <v>28.1967</v>
      </c>
      <c r="O11" s="59">
        <f>M!C8*1</f>
        <v>3.35812</v>
      </c>
      <c r="P11" s="59">
        <f>M!D8*1</f>
        <v>11.909599999999999</v>
      </c>
      <c r="Q11" s="59">
        <f>M!E8*1</f>
        <v>20</v>
      </c>
      <c r="R11" s="59">
        <f>M!F8*1</f>
        <v>14.7753</v>
      </c>
      <c r="S11" s="59">
        <f>M!G8*1</f>
        <v>50</v>
      </c>
      <c r="T11" s="59">
        <f>M!H8*1</f>
        <v>32.968000000000004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47.437899999999999</v>
      </c>
      <c r="D12" s="104">
        <f>N12</f>
        <v>64.488799999999998</v>
      </c>
      <c r="E12" s="101">
        <f>T12</f>
        <v>85.262500000000003</v>
      </c>
      <c r="F12" s="93">
        <f>P12</f>
        <v>12.5214</v>
      </c>
      <c r="G12" s="52" t="str">
        <f>CONCATENATE(M13,"
(40 ~ 100)")</f>
        <v>自信
(40 ~ 100)</v>
      </c>
      <c r="H12" s="101">
        <f>R13</f>
        <v>74.430800000000005</v>
      </c>
      <c r="I12" s="104">
        <f>N13</f>
        <v>80.107500000000002</v>
      </c>
      <c r="J12" s="101">
        <f>T13</f>
        <v>85.878299999999996</v>
      </c>
      <c r="K12" s="95">
        <f>P13</f>
        <v>2.5015000000000001</v>
      </c>
      <c r="L12" s="4"/>
      <c r="M12" s="27" t="str">
        <f>lang!B18</f>
        <v>平衡</v>
      </c>
      <c r="N12" s="59">
        <f>M!B9*1</f>
        <v>64.488799999999998</v>
      </c>
      <c r="O12" s="59">
        <f>M!C9*1</f>
        <v>8.0748899999999999</v>
      </c>
      <c r="P12" s="59">
        <f>M!D9*1</f>
        <v>12.5214</v>
      </c>
      <c r="Q12" s="59">
        <f>M!E9*1</f>
        <v>50</v>
      </c>
      <c r="R12" s="59">
        <f>M!F9*1</f>
        <v>47.437899999999999</v>
      </c>
      <c r="S12" s="59">
        <f>M!G9*1</f>
        <v>100</v>
      </c>
      <c r="T12" s="59">
        <f>M!H9*1</f>
        <v>85.262500000000003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7.1081500000000002</v>
      </c>
      <c r="D13" s="102">
        <f>N14</f>
        <v>22.1187</v>
      </c>
      <c r="E13" s="103">
        <f>T14</f>
        <v>30.9636</v>
      </c>
      <c r="F13" s="94">
        <f>P14</f>
        <v>29.2239</v>
      </c>
      <c r="G13" s="52" t="str">
        <f>CONCATENATE(M15,"
(50 ~ 100)")</f>
        <v>自我调节
(50 ~ 100)</v>
      </c>
      <c r="H13" s="101">
        <f>R15</f>
        <v>63.091200000000001</v>
      </c>
      <c r="I13" s="104">
        <f>N15</f>
        <v>71.508799999999994</v>
      </c>
      <c r="J13" s="101">
        <f>T15</f>
        <v>84.844800000000006</v>
      </c>
      <c r="K13" s="95">
        <f>P15</f>
        <v>5.85365</v>
      </c>
      <c r="L13" s="4"/>
      <c r="M13" s="27" t="str">
        <f>lang!B19</f>
        <v>自信</v>
      </c>
      <c r="N13" s="59">
        <f>M!B10*1</f>
        <v>80.107500000000002</v>
      </c>
      <c r="O13" s="59">
        <f>M!C10*1</f>
        <v>2.0038900000000002</v>
      </c>
      <c r="P13" s="59">
        <f>M!D10*1</f>
        <v>2.5015000000000001</v>
      </c>
      <c r="Q13" s="59">
        <f>M!E10*1</f>
        <v>40</v>
      </c>
      <c r="R13" s="59">
        <f>M!F10*1</f>
        <v>74.430800000000005</v>
      </c>
      <c r="S13" s="59">
        <f>M!G10*1</f>
        <v>100</v>
      </c>
      <c r="T13" s="59">
        <f>M!H10*1</f>
        <v>85.878299999999996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13.660399999999999</v>
      </c>
      <c r="D14" s="106">
        <f>N16</f>
        <v>18.678799999999999</v>
      </c>
      <c r="E14" s="107">
        <f>T16</f>
        <v>29.802099999999999</v>
      </c>
      <c r="F14" s="96">
        <f>P16</f>
        <v>19.795999999999999</v>
      </c>
      <c r="G14" s="112" t="str">
        <f>CONCATENATE(M17,"
(10 ~ 50)")</f>
        <v>神经质
(10 ~ 50)</v>
      </c>
      <c r="H14" s="105">
        <f>R17</f>
        <v>1.63931</v>
      </c>
      <c r="I14" s="106">
        <f>N17</f>
        <v>36.976599999999998</v>
      </c>
      <c r="J14" s="107">
        <f>T17</f>
        <v>42.923999999999999</v>
      </c>
      <c r="K14" s="97">
        <f>P17</f>
        <v>33.2941</v>
      </c>
      <c r="M14" s="27" t="str">
        <f>lang!B20</f>
        <v>活力</v>
      </c>
      <c r="N14" s="59">
        <f>M!B11*1</f>
        <v>22.1187</v>
      </c>
      <c r="O14" s="59">
        <f>M!C11*1</f>
        <v>6.4639499999999996</v>
      </c>
      <c r="P14" s="59">
        <f>M!D11*1</f>
        <v>29.2239</v>
      </c>
      <c r="Q14" s="59">
        <f>M!E11*1</f>
        <v>10</v>
      </c>
      <c r="R14" s="59">
        <f>M!F11*1</f>
        <v>7.1081500000000002</v>
      </c>
      <c r="S14" s="59">
        <f>M!G11*1</f>
        <v>50</v>
      </c>
      <c r="T14" s="59">
        <f>M!H11*1</f>
        <v>30.9636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71.508799999999994</v>
      </c>
      <c r="O15" s="59">
        <f>M!C12*1</f>
        <v>4.18588</v>
      </c>
      <c r="P15" s="59">
        <f>M!D12*1</f>
        <v>5.85365</v>
      </c>
      <c r="Q15" s="59">
        <f>M!E12*1</f>
        <v>50</v>
      </c>
      <c r="R15" s="59">
        <f>M!F12*1</f>
        <v>63.091200000000001</v>
      </c>
      <c r="S15" s="59">
        <f>M!G12*1</f>
        <v>100</v>
      </c>
      <c r="T15" s="59">
        <f>M!H12*1</f>
        <v>84.844800000000006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18.678799999999999</v>
      </c>
      <c r="O16" s="59">
        <f>M!C13*1</f>
        <v>3.6976599999999999</v>
      </c>
      <c r="P16" s="59">
        <f>M!D13*1</f>
        <v>19.795999999999999</v>
      </c>
      <c r="Q16" s="59">
        <f>M!E13*1</f>
        <v>10</v>
      </c>
      <c r="R16" s="59">
        <f>M!F13*1</f>
        <v>13.660399999999999</v>
      </c>
      <c r="S16" s="59">
        <f>M!G13*1</f>
        <v>25</v>
      </c>
      <c r="T16" s="59">
        <f>M!H13*1</f>
        <v>29.802099999999999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36.976599999999998</v>
      </c>
      <c r="O17" s="59">
        <f>M!C14*1</f>
        <v>12.311</v>
      </c>
      <c r="P17" s="59">
        <f>M!D14*1</f>
        <v>33.2941</v>
      </c>
      <c r="Q17" s="59">
        <f>M!E14*1</f>
        <v>10</v>
      </c>
      <c r="R17" s="59">
        <f>M!F14*1</f>
        <v>1.63931</v>
      </c>
      <c r="S17" s="59">
        <f>M!G14*1</f>
        <v>50</v>
      </c>
      <c r="T17" s="59">
        <f>M!H14*1</f>
        <v>42.923999999999999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59.555949999999996</v>
      </c>
      <c r="O18" s="22">
        <f>N18/(N18+N19+N20)</f>
        <v>0.51652856364765432</v>
      </c>
      <c r="P18" s="65">
        <f>SUM(P12:P15)/4</f>
        <v>12.525112500000001</v>
      </c>
      <c r="Q18" s="22">
        <f>P18/(P18+P19+P20)</f>
        <v>0.21950754341193676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27.91675</v>
      </c>
      <c r="O19" s="22">
        <f>N19/(N18+N19+N20)</f>
        <v>0.24212188335860069</v>
      </c>
      <c r="P19" s="18">
        <f>SUM(P8:P11)/4</f>
        <v>17.9898925</v>
      </c>
      <c r="Q19" s="22">
        <f>P19/(P18+P19+P20)</f>
        <v>0.31527997125134211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27.8277</v>
      </c>
      <c r="O20" s="22">
        <f>N20/(N18+N19+N20)</f>
        <v>0.24134955299374505</v>
      </c>
      <c r="P20" s="18">
        <f>(P16+P17)/2</f>
        <v>26.54505</v>
      </c>
      <c r="Q20" s="22">
        <f>P20/(P18+P19+P20)</f>
        <v>0.46521248533672105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-1.9541432432432504E-2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1.6423870867280177</v>
      </c>
      <c r="D25" s="44" t="str">
        <f>lang!B11</f>
        <v>频率方差</v>
      </c>
      <c r="E25" s="142">
        <f ca="1">FH!L3</f>
        <v>0.62573460099514666</v>
      </c>
      <c r="F25" s="143"/>
      <c r="G25" s="134" t="str">
        <f>lang!B12</f>
        <v>生理变化率</v>
      </c>
      <c r="H25" s="135"/>
      <c r="I25" s="62" t="str">
        <f ca="1">CONCATENATE(info!M7,"-",info!M8)</f>
        <v>38.3-65.7</v>
      </c>
      <c r="J25" s="42" t="str">
        <f>lang!B13</f>
        <v>千卡l/分钟</v>
      </c>
      <c r="K25" s="41" t="str">
        <f ca="1">CONCATENATE(info!M5,"-",info!M6)</f>
        <v>1.7-4.1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47.192700000000002</v>
      </c>
      <c r="F28" s="164"/>
      <c r="G28" s="178" t="str">
        <f>lang!B33</f>
        <v>稳定性</v>
      </c>
      <c r="H28" s="179"/>
      <c r="I28" s="180"/>
      <c r="J28" s="181">
        <f>M!B19*100</f>
        <v>65.389899999999997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43607.364988425928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0.26350000000000051</v>
      </c>
      <c r="O7" s="59">
        <f t="shared" ref="O7:T7" si="2">AG7-X7</f>
        <v>-8.2041900000000005</v>
      </c>
      <c r="P7" s="59">
        <f t="shared" si="2"/>
        <v>-22.810699999999997</v>
      </c>
      <c r="Q7" s="59">
        <f t="shared" si="2"/>
        <v>0</v>
      </c>
      <c r="R7" s="59">
        <f t="shared" si="2"/>
        <v>22.607799999999997</v>
      </c>
      <c r="S7" s="59">
        <f t="shared" si="2"/>
        <v>0</v>
      </c>
      <c r="T7" s="59">
        <f t="shared" si="2"/>
        <v>-3.0421000000000049</v>
      </c>
      <c r="U7" s="14"/>
      <c r="V7" s="27" t="str">
        <f>M7</f>
        <v>攻击性</v>
      </c>
      <c r="W7" s="59">
        <f>'M1'!B5*1</f>
        <v>36.088200000000001</v>
      </c>
      <c r="X7" s="59">
        <f>'M1'!C5*1</f>
        <v>12.0334</v>
      </c>
      <c r="Y7" s="59">
        <f>'M1'!D5*1</f>
        <v>33.344499999999996</v>
      </c>
      <c r="Z7" s="59">
        <f>'M1'!E5*1</f>
        <v>20</v>
      </c>
      <c r="AA7" s="59">
        <f>'M1'!F5*1</f>
        <v>8.8516999999999992</v>
      </c>
      <c r="AB7" s="59">
        <f>'M1'!G5*1</f>
        <v>50</v>
      </c>
      <c r="AC7" s="59">
        <f>'M1'!H5*1</f>
        <v>48.713700000000003</v>
      </c>
      <c r="AE7" s="27" t="str">
        <f>V7</f>
        <v>攻击性</v>
      </c>
      <c r="AF7" s="59">
        <f>'M2'!B5*1</f>
        <v>36.351700000000001</v>
      </c>
      <c r="AG7" s="59">
        <f>'M2'!C5*1</f>
        <v>3.8292099999999998</v>
      </c>
      <c r="AH7" s="59">
        <f>'M2'!D5*1</f>
        <v>10.533799999999999</v>
      </c>
      <c r="AI7" s="59">
        <f>'M2'!E5*1</f>
        <v>20</v>
      </c>
      <c r="AJ7" s="59">
        <f>'M2'!F5*1</f>
        <v>31.459499999999998</v>
      </c>
      <c r="AK7" s="59">
        <f>'M2'!G5*1</f>
        <v>50</v>
      </c>
      <c r="AL7" s="59">
        <f>'M2'!H5*1</f>
        <v>45.671599999999998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-2.9989999999999988</v>
      </c>
      <c r="O8" s="59">
        <f t="shared" ref="O8:O16" si="5">AG8-X8</f>
        <v>-1.3980300000000001</v>
      </c>
      <c r="P8" s="59">
        <f t="shared" ref="P8:P16" si="6">AH8-Y8</f>
        <v>-4.3491700000000009</v>
      </c>
      <c r="Q8" s="59">
        <f t="shared" ref="Q8:Q16" si="7">AI8-Z8</f>
        <v>0</v>
      </c>
      <c r="R8" s="59">
        <f t="shared" ref="R8:R16" si="8">AJ8-AA8</f>
        <v>4.2564999999999991</v>
      </c>
      <c r="S8" s="59">
        <f t="shared" ref="S8:S16" si="9">AK8-AB8</f>
        <v>0</v>
      </c>
      <c r="T8" s="59">
        <f t="shared" ref="T8:T16" si="10">AL8-AC8</f>
        <v>-4.2670999999999957</v>
      </c>
      <c r="U8" s="15"/>
      <c r="V8" s="27" t="str">
        <f t="shared" ref="V8:V16" si="11">M8</f>
        <v>压力</v>
      </c>
      <c r="W8" s="59">
        <f>'M1'!B6*1</f>
        <v>28.997599999999998</v>
      </c>
      <c r="X8" s="59">
        <f>'M1'!C6*1</f>
        <v>2.5846100000000001</v>
      </c>
      <c r="Y8" s="59">
        <f>'M1'!D6*1</f>
        <v>8.9131800000000005</v>
      </c>
      <c r="Z8" s="59">
        <f>'M1'!E6*1</f>
        <v>20</v>
      </c>
      <c r="AA8" s="59">
        <f>'M1'!F6*1</f>
        <v>19.034600000000001</v>
      </c>
      <c r="AB8" s="59">
        <f>'M1'!G6*1</f>
        <v>40</v>
      </c>
      <c r="AC8" s="59">
        <f>'M1'!H6*1</f>
        <v>32.181199999999997</v>
      </c>
      <c r="AE8" s="27" t="str">
        <f t="shared" ref="AE8:AE16" si="12">V8</f>
        <v>压力</v>
      </c>
      <c r="AF8" s="59">
        <f>'M2'!B6*1</f>
        <v>25.9986</v>
      </c>
      <c r="AG8" s="59">
        <f>'M2'!C6*1</f>
        <v>1.18658</v>
      </c>
      <c r="AH8" s="59">
        <f>'M2'!D6*1</f>
        <v>4.5640099999999997</v>
      </c>
      <c r="AI8" s="59">
        <f>'M2'!E6*1</f>
        <v>20</v>
      </c>
      <c r="AJ8" s="59">
        <f>'M2'!F6*1</f>
        <v>23.2911</v>
      </c>
      <c r="AK8" s="59">
        <f>'M2'!G6*1</f>
        <v>40</v>
      </c>
      <c r="AL8" s="59">
        <f>'M2'!H6*1</f>
        <v>27.914100000000001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22.607799999999997</v>
      </c>
      <c r="D9" s="78">
        <f>N7</f>
        <v>0.26350000000000051</v>
      </c>
      <c r="E9" s="79">
        <f>T7</f>
        <v>-3.0421000000000049</v>
      </c>
      <c r="F9" s="79">
        <f>P7</f>
        <v>-22.810699999999997</v>
      </c>
      <c r="G9" s="80" t="str">
        <f>CONCATENATE(M8,"
(20 ~ 40)")</f>
        <v>压力
(20 ~ 40)</v>
      </c>
      <c r="H9" s="77">
        <f>R8</f>
        <v>4.2564999999999991</v>
      </c>
      <c r="I9" s="81">
        <f>N8</f>
        <v>-2.9989999999999988</v>
      </c>
      <c r="J9" s="77">
        <f>T8</f>
        <v>-4.2670999999999957</v>
      </c>
      <c r="K9" s="82">
        <f>P8</f>
        <v>-4.3491700000000009</v>
      </c>
      <c r="L9" s="6"/>
      <c r="M9" s="27" t="str">
        <f>lang!B16</f>
        <v>焦虑</v>
      </c>
      <c r="N9" s="59">
        <f t="shared" si="4"/>
        <v>-0.85729999999999862</v>
      </c>
      <c r="O9" s="59">
        <f t="shared" si="5"/>
        <v>-0.26402000000000037</v>
      </c>
      <c r="P9" s="59">
        <f t="shared" si="6"/>
        <v>-0.23840000000000217</v>
      </c>
      <c r="Q9" s="59">
        <f t="shared" si="7"/>
        <v>0</v>
      </c>
      <c r="R9" s="59">
        <f t="shared" si="8"/>
        <v>-5.2777900000000004</v>
      </c>
      <c r="S9" s="59">
        <f t="shared" si="9"/>
        <v>0</v>
      </c>
      <c r="T9" s="59">
        <f t="shared" si="10"/>
        <v>-7.8301999999999978</v>
      </c>
      <c r="U9" s="14"/>
      <c r="V9" s="27" t="str">
        <f t="shared" si="11"/>
        <v>焦虑</v>
      </c>
      <c r="W9" s="59">
        <f>'M1'!B7*1</f>
        <v>20.9223</v>
      </c>
      <c r="X9" s="59">
        <f>'M1'!C7*1</f>
        <v>5.2763600000000004</v>
      </c>
      <c r="Y9" s="59">
        <f>'M1'!D7*1</f>
        <v>25.218800000000002</v>
      </c>
      <c r="Z9" s="59">
        <f>'M1'!E7*1</f>
        <v>15</v>
      </c>
      <c r="AA9" s="59">
        <f>'M1'!F7*1</f>
        <v>13.1149</v>
      </c>
      <c r="AB9" s="59">
        <f>'M1'!G7*1</f>
        <v>40</v>
      </c>
      <c r="AC9" s="59">
        <f>'M1'!H7*1</f>
        <v>38.155299999999997</v>
      </c>
      <c r="AE9" s="27" t="str">
        <f t="shared" si="12"/>
        <v>焦虑</v>
      </c>
      <c r="AF9" s="59">
        <f>'M2'!B7*1</f>
        <v>20.065000000000001</v>
      </c>
      <c r="AG9" s="59">
        <f>'M2'!C7*1</f>
        <v>5.01234</v>
      </c>
      <c r="AH9" s="59">
        <f>'M2'!D7*1</f>
        <v>24.980399999999999</v>
      </c>
      <c r="AI9" s="59">
        <f>'M2'!E7*1</f>
        <v>15</v>
      </c>
      <c r="AJ9" s="59">
        <f>'M2'!F7*1</f>
        <v>7.83711</v>
      </c>
      <c r="AK9" s="59">
        <f>'M2'!G7*1</f>
        <v>40</v>
      </c>
      <c r="AL9" s="59">
        <f>'M2'!H7*1</f>
        <v>30.325099999999999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-5.2777900000000004</v>
      </c>
      <c r="D10" s="51">
        <f>N9</f>
        <v>-0.85729999999999862</v>
      </c>
      <c r="E10" s="53">
        <f>T9</f>
        <v>-7.8301999999999978</v>
      </c>
      <c r="F10" s="53">
        <f>P9</f>
        <v>-0.23840000000000217</v>
      </c>
      <c r="G10" s="73" t="str">
        <f>CONCATENATE(M10,"
(20 ~ 50)")</f>
        <v>可疑
(20 ~ 50)</v>
      </c>
      <c r="H10" s="24">
        <f>R10</f>
        <v>9.1645000000000021</v>
      </c>
      <c r="I10" s="52">
        <f>N10</f>
        <v>-1.9534999999999982</v>
      </c>
      <c r="J10" s="24">
        <f>T10</f>
        <v>-2.7603000000000044</v>
      </c>
      <c r="K10" s="25">
        <f>P10</f>
        <v>-9.5729900000000008</v>
      </c>
      <c r="L10" s="4"/>
      <c r="M10" s="27" t="str">
        <f>lang!B17</f>
        <v>可疑</v>
      </c>
      <c r="N10" s="59">
        <f t="shared" si="4"/>
        <v>-1.9534999999999982</v>
      </c>
      <c r="O10" s="59">
        <f t="shared" si="5"/>
        <v>-2.9621900000000001</v>
      </c>
      <c r="P10" s="59">
        <f t="shared" si="6"/>
        <v>-9.5729900000000008</v>
      </c>
      <c r="Q10" s="59">
        <f t="shared" si="7"/>
        <v>0</v>
      </c>
      <c r="R10" s="59">
        <f t="shared" si="8"/>
        <v>9.1645000000000021</v>
      </c>
      <c r="S10" s="59">
        <f t="shared" si="9"/>
        <v>0</v>
      </c>
      <c r="T10" s="59">
        <f t="shared" si="10"/>
        <v>-2.7603000000000044</v>
      </c>
      <c r="U10" s="14"/>
      <c r="V10" s="27" t="str">
        <f t="shared" si="11"/>
        <v>可疑</v>
      </c>
      <c r="W10" s="59">
        <f>'M1'!B8*1</f>
        <v>29.822399999999998</v>
      </c>
      <c r="X10" s="59">
        <f>'M1'!C8*1</f>
        <v>4.4927000000000001</v>
      </c>
      <c r="Y10" s="59">
        <f>'M1'!D8*1</f>
        <v>15.0648</v>
      </c>
      <c r="Z10" s="59">
        <f>'M1'!E8*1</f>
        <v>20</v>
      </c>
      <c r="AA10" s="59">
        <f>'M1'!F8*1</f>
        <v>14.7753</v>
      </c>
      <c r="AB10" s="59">
        <f>'M1'!G8*1</f>
        <v>50</v>
      </c>
      <c r="AC10" s="59">
        <f>'M1'!H8*1</f>
        <v>32.968000000000004</v>
      </c>
      <c r="AE10" s="27" t="str">
        <f t="shared" si="12"/>
        <v>可疑</v>
      </c>
      <c r="AF10" s="59">
        <f>'M2'!B8*1</f>
        <v>27.8689</v>
      </c>
      <c r="AG10" s="59">
        <f>'M2'!C8*1</f>
        <v>1.53051</v>
      </c>
      <c r="AH10" s="59">
        <f>'M2'!D8*1</f>
        <v>5.4918100000000001</v>
      </c>
      <c r="AI10" s="59">
        <f>'M2'!E8*1</f>
        <v>20</v>
      </c>
      <c r="AJ10" s="59">
        <f>'M2'!F8*1</f>
        <v>23.939800000000002</v>
      </c>
      <c r="AK10" s="59">
        <f>'M2'!G8*1</f>
        <v>50</v>
      </c>
      <c r="AL10" s="59">
        <f>'M2'!H8*1</f>
        <v>30.207699999999999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-6.7569000000000017</v>
      </c>
      <c r="D11" s="52">
        <f>N11</f>
        <v>-9.0376000000000047</v>
      </c>
      <c r="E11" s="24">
        <f>T11</f>
        <v>-9.5240000000000009</v>
      </c>
      <c r="F11" s="24">
        <f>P11</f>
        <v>3.2421800000000012</v>
      </c>
      <c r="G11" s="73" t="str">
        <f>CONCATENATE(M12,"
(40 ~ 100)")</f>
        <v>自信
(40 ~ 100)</v>
      </c>
      <c r="H11" s="24">
        <f>R12</f>
        <v>3.517399999999995</v>
      </c>
      <c r="I11" s="52">
        <f>N12</f>
        <v>2.0694999999999908</v>
      </c>
      <c r="J11" s="24">
        <f>T12</f>
        <v>-3.1756000000000029</v>
      </c>
      <c r="K11" s="25">
        <f>P12</f>
        <v>-1.6927999999999999</v>
      </c>
      <c r="L11" s="4"/>
      <c r="M11" s="27" t="str">
        <f>lang!B18</f>
        <v>平衡</v>
      </c>
      <c r="N11" s="59">
        <f t="shared" si="4"/>
        <v>-9.0376000000000047</v>
      </c>
      <c r="O11" s="59">
        <f t="shared" si="5"/>
        <v>1.0591699999999999</v>
      </c>
      <c r="P11" s="59">
        <f t="shared" si="6"/>
        <v>3.2421800000000012</v>
      </c>
      <c r="Q11" s="59">
        <f t="shared" si="7"/>
        <v>0</v>
      </c>
      <c r="R11" s="59">
        <f t="shared" si="8"/>
        <v>-6.7569000000000017</v>
      </c>
      <c r="S11" s="59">
        <f t="shared" si="9"/>
        <v>0</v>
      </c>
      <c r="T11" s="59">
        <f t="shared" si="10"/>
        <v>-9.5240000000000009</v>
      </c>
      <c r="U11" s="14"/>
      <c r="V11" s="27" t="str">
        <f t="shared" si="11"/>
        <v>平衡</v>
      </c>
      <c r="W11" s="59">
        <f>'M1'!B9*1</f>
        <v>68.313000000000002</v>
      </c>
      <c r="X11" s="59">
        <f>'M1'!C9*1</f>
        <v>6.5204899999999997</v>
      </c>
      <c r="Y11" s="59">
        <f>'M1'!D9*1</f>
        <v>9.5450199999999992</v>
      </c>
      <c r="Z11" s="59">
        <f>'M1'!E9*1</f>
        <v>50</v>
      </c>
      <c r="AA11" s="59">
        <f>'M1'!F9*1</f>
        <v>54.194800000000001</v>
      </c>
      <c r="AB11" s="59">
        <f>'M1'!G9*1</f>
        <v>100</v>
      </c>
      <c r="AC11" s="59">
        <f>'M1'!H9*1</f>
        <v>85.262500000000003</v>
      </c>
      <c r="AE11" s="27" t="str">
        <f t="shared" si="12"/>
        <v>平衡</v>
      </c>
      <c r="AF11" s="59">
        <f>'M2'!B9*1</f>
        <v>59.275399999999998</v>
      </c>
      <c r="AG11" s="59">
        <f>'M2'!C9*1</f>
        <v>7.5796599999999996</v>
      </c>
      <c r="AH11" s="59">
        <f>'M2'!D9*1</f>
        <v>12.7872</v>
      </c>
      <c r="AI11" s="59">
        <f>'M2'!E9*1</f>
        <v>50</v>
      </c>
      <c r="AJ11" s="59">
        <f>'M2'!F9*1</f>
        <v>47.437899999999999</v>
      </c>
      <c r="AK11" s="59">
        <f>'M2'!G9*1</f>
        <v>100</v>
      </c>
      <c r="AL11" s="59">
        <f>'M2'!H9*1</f>
        <v>75.738500000000002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10.927649999999998</v>
      </c>
      <c r="D12" s="51">
        <f>N13</f>
        <v>3.7042999999999999</v>
      </c>
      <c r="E12" s="53">
        <f>T13</f>
        <v>-0.32669999999999888</v>
      </c>
      <c r="F12" s="53">
        <f>P13</f>
        <v>-24.898099999999996</v>
      </c>
      <c r="G12" s="73" t="str">
        <f>CONCATENATE(M14,"
(50 ~ 100)")</f>
        <v>自我调节
(50 ~ 100)</v>
      </c>
      <c r="H12" s="24">
        <f>R14</f>
        <v>-3.791799999999995</v>
      </c>
      <c r="I12" s="52">
        <f>N14</f>
        <v>-3.3393999999999977</v>
      </c>
      <c r="J12" s="24">
        <f>T14</f>
        <v>-6.6247000000000043</v>
      </c>
      <c r="K12" s="25">
        <f>P14</f>
        <v>0.25084000000000017</v>
      </c>
      <c r="L12" s="4"/>
      <c r="M12" s="27" t="str">
        <f>lang!B19</f>
        <v>自信</v>
      </c>
      <c r="N12" s="59">
        <f t="shared" si="4"/>
        <v>2.0694999999999908</v>
      </c>
      <c r="O12" s="59">
        <f t="shared" si="5"/>
        <v>-1.3059100000000001</v>
      </c>
      <c r="P12" s="59">
        <f t="shared" si="6"/>
        <v>-1.6927999999999999</v>
      </c>
      <c r="Q12" s="59">
        <f t="shared" si="7"/>
        <v>0</v>
      </c>
      <c r="R12" s="59">
        <f t="shared" si="8"/>
        <v>3.517399999999995</v>
      </c>
      <c r="S12" s="59">
        <f t="shared" si="9"/>
        <v>0</v>
      </c>
      <c r="T12" s="59">
        <f t="shared" si="10"/>
        <v>-3.1756000000000029</v>
      </c>
      <c r="U12" s="15"/>
      <c r="V12" s="27" t="str">
        <f t="shared" si="11"/>
        <v>自信</v>
      </c>
      <c r="W12" s="59">
        <f>'M1'!B10*1</f>
        <v>78.796800000000005</v>
      </c>
      <c r="X12" s="59">
        <f>'M1'!C10*1</f>
        <v>2.3986100000000001</v>
      </c>
      <c r="Y12" s="59">
        <f>'M1'!D10*1</f>
        <v>3.0440399999999999</v>
      </c>
      <c r="Z12" s="59">
        <f>'M1'!E10*1</f>
        <v>40</v>
      </c>
      <c r="AA12" s="59">
        <f>'M1'!F10*1</f>
        <v>74.430800000000005</v>
      </c>
      <c r="AB12" s="59">
        <f>'M1'!G10*1</f>
        <v>100</v>
      </c>
      <c r="AC12" s="59">
        <f>'M1'!H10*1</f>
        <v>85.878299999999996</v>
      </c>
      <c r="AE12" s="27" t="str">
        <f t="shared" si="12"/>
        <v>自信</v>
      </c>
      <c r="AF12" s="59">
        <f>'M2'!B10*1</f>
        <v>80.866299999999995</v>
      </c>
      <c r="AG12" s="59">
        <f>'M2'!C10*1</f>
        <v>1.0927</v>
      </c>
      <c r="AH12" s="59">
        <f>'M2'!D10*1</f>
        <v>1.35124</v>
      </c>
      <c r="AI12" s="59">
        <f>'M2'!E10*1</f>
        <v>40</v>
      </c>
      <c r="AJ12" s="59">
        <f>'M2'!F10*1</f>
        <v>77.9482</v>
      </c>
      <c r="AK12" s="59">
        <f>'M2'!G10*1</f>
        <v>100</v>
      </c>
      <c r="AL12" s="59">
        <f>'M2'!H10*1</f>
        <v>82.702699999999993</v>
      </c>
    </row>
    <row r="13" spans="2:38" ht="25.5" customHeight="1" thickBot="1">
      <c r="B13" s="72" t="str">
        <f>CONCATENATE(M15,"
(10 ~ 25)")</f>
        <v>抑郁
(10 ~ 25)</v>
      </c>
      <c r="C13" s="54">
        <f>R15</f>
        <v>-0.56890000000000107</v>
      </c>
      <c r="D13" s="55">
        <f>N15</f>
        <v>-2.2789000000000001</v>
      </c>
      <c r="E13" s="56">
        <f>T15</f>
        <v>-1.4329999999999998</v>
      </c>
      <c r="F13" s="56">
        <f>P15</f>
        <v>4.7392000000000003</v>
      </c>
      <c r="G13" s="74" t="str">
        <f>CONCATENATE(M16,"
(10 ~ 50)")</f>
        <v>神经质
(10 ~ 50)</v>
      </c>
      <c r="H13" s="54">
        <f>R16</f>
        <v>1.7837700000000001</v>
      </c>
      <c r="I13" s="55">
        <f>N16</f>
        <v>4.7090999999999994</v>
      </c>
      <c r="J13" s="56">
        <f>T16</f>
        <v>-4.2952999999999975</v>
      </c>
      <c r="K13" s="57">
        <f>P16</f>
        <v>2.2941000000000003</v>
      </c>
      <c r="M13" s="27" t="str">
        <f>lang!B20</f>
        <v>活力</v>
      </c>
      <c r="N13" s="59">
        <f t="shared" si="4"/>
        <v>3.7042999999999999</v>
      </c>
      <c r="O13" s="59">
        <f t="shared" si="5"/>
        <v>-4.0993500000000003</v>
      </c>
      <c r="P13" s="59">
        <f t="shared" si="6"/>
        <v>-24.898099999999996</v>
      </c>
      <c r="Q13" s="59">
        <f t="shared" si="7"/>
        <v>0</v>
      </c>
      <c r="R13" s="59">
        <f t="shared" si="8"/>
        <v>10.927649999999998</v>
      </c>
      <c r="S13" s="59">
        <f t="shared" si="9"/>
        <v>0</v>
      </c>
      <c r="T13" s="59">
        <f t="shared" si="10"/>
        <v>-0.32669999999999888</v>
      </c>
      <c r="U13" s="14"/>
      <c r="V13" s="27" t="str">
        <f t="shared" si="11"/>
        <v>活力</v>
      </c>
      <c r="W13" s="59">
        <f>'M1'!B11*1</f>
        <v>18.999099999999999</v>
      </c>
      <c r="X13" s="59">
        <f>'M1'!C11*1</f>
        <v>7.9671700000000003</v>
      </c>
      <c r="Y13" s="59">
        <f>'M1'!D11*1</f>
        <v>41.934399999999997</v>
      </c>
      <c r="Z13" s="59">
        <f>'M1'!E11*1</f>
        <v>10</v>
      </c>
      <c r="AA13" s="59">
        <f>'M1'!F11*1</f>
        <v>7.1081500000000002</v>
      </c>
      <c r="AB13" s="59">
        <f>'M1'!G11*1</f>
        <v>50</v>
      </c>
      <c r="AC13" s="59">
        <f>'M1'!H11*1</f>
        <v>30.9636</v>
      </c>
      <c r="AE13" s="27" t="str">
        <f t="shared" si="12"/>
        <v>活力</v>
      </c>
      <c r="AF13" s="59">
        <f>'M2'!B11*1</f>
        <v>22.703399999999998</v>
      </c>
      <c r="AG13" s="59">
        <f>'M2'!C11*1</f>
        <v>3.86782</v>
      </c>
      <c r="AH13" s="59">
        <f>'M2'!D11*1</f>
        <v>17.036300000000001</v>
      </c>
      <c r="AI13" s="59">
        <f>'M2'!E11*1</f>
        <v>10</v>
      </c>
      <c r="AJ13" s="59">
        <f>'M2'!F11*1</f>
        <v>18.035799999999998</v>
      </c>
      <c r="AK13" s="59">
        <f>'M2'!G11*1</f>
        <v>50</v>
      </c>
      <c r="AL13" s="59">
        <f>'M2'!H11*1</f>
        <v>30.636900000000001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-3.3393999999999977</v>
      </c>
      <c r="O14" s="59">
        <f t="shared" si="5"/>
        <v>-1.8100000000003114E-3</v>
      </c>
      <c r="P14" s="59">
        <f t="shared" si="6"/>
        <v>0.25084000000000017</v>
      </c>
      <c r="Q14" s="59">
        <f t="shared" si="7"/>
        <v>0</v>
      </c>
      <c r="R14" s="59">
        <f t="shared" si="8"/>
        <v>-3.791799999999995</v>
      </c>
      <c r="S14" s="59">
        <f t="shared" si="9"/>
        <v>0</v>
      </c>
      <c r="T14" s="59">
        <f t="shared" si="10"/>
        <v>-6.6247000000000043</v>
      </c>
      <c r="U14" s="14"/>
      <c r="V14" s="27" t="str">
        <f t="shared" si="11"/>
        <v>自我调节</v>
      </c>
      <c r="W14" s="59">
        <f>'M1'!B12*1</f>
        <v>73.157399999999996</v>
      </c>
      <c r="X14" s="59">
        <f>'M1'!C12*1</f>
        <v>3.8761000000000001</v>
      </c>
      <c r="Y14" s="59">
        <f>'M1'!D12*1</f>
        <v>5.2982899999999997</v>
      </c>
      <c r="Z14" s="59">
        <f>'M1'!E12*1</f>
        <v>50</v>
      </c>
      <c r="AA14" s="59">
        <f>'M1'!F12*1</f>
        <v>66.882999999999996</v>
      </c>
      <c r="AB14" s="59">
        <f>'M1'!G12*1</f>
        <v>100</v>
      </c>
      <c r="AC14" s="59">
        <f>'M1'!H12*1</f>
        <v>84.844800000000006</v>
      </c>
      <c r="AE14" s="27" t="str">
        <f t="shared" si="12"/>
        <v>自我调节</v>
      </c>
      <c r="AF14" s="59">
        <f>'M2'!B12*1</f>
        <v>69.817999999999998</v>
      </c>
      <c r="AG14" s="59">
        <f>'M2'!C12*1</f>
        <v>3.8742899999999998</v>
      </c>
      <c r="AH14" s="59">
        <f>'M2'!D12*1</f>
        <v>5.5491299999999999</v>
      </c>
      <c r="AI14" s="59">
        <f>'M2'!E12*1</f>
        <v>50</v>
      </c>
      <c r="AJ14" s="59">
        <f>'M2'!F12*1</f>
        <v>63.091200000000001</v>
      </c>
      <c r="AK14" s="59">
        <f>'M2'!G12*1</f>
        <v>100</v>
      </c>
      <c r="AL14" s="59">
        <f>'M2'!H12*1</f>
        <v>78.220100000000002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-2.2789000000000001</v>
      </c>
      <c r="O15" s="59">
        <f t="shared" si="5"/>
        <v>0.47091000000000038</v>
      </c>
      <c r="P15" s="59">
        <f t="shared" si="6"/>
        <v>4.7392000000000003</v>
      </c>
      <c r="Q15" s="59">
        <f t="shared" si="7"/>
        <v>0</v>
      </c>
      <c r="R15" s="59">
        <f t="shared" si="8"/>
        <v>-0.56890000000000107</v>
      </c>
      <c r="S15" s="59">
        <f t="shared" si="9"/>
        <v>0</v>
      </c>
      <c r="T15" s="59">
        <f t="shared" si="10"/>
        <v>-1.4329999999999998</v>
      </c>
      <c r="U15" s="14"/>
      <c r="V15" s="27" t="str">
        <f t="shared" si="11"/>
        <v>抑郁</v>
      </c>
      <c r="W15" s="59">
        <f>'M1'!B13*1</f>
        <v>20.227799999999998</v>
      </c>
      <c r="X15" s="59">
        <f>'M1'!C13*1</f>
        <v>3.3704999999999998</v>
      </c>
      <c r="Y15" s="59">
        <f>'M1'!D13*1</f>
        <v>16.662700000000001</v>
      </c>
      <c r="Z15" s="59">
        <f>'M1'!E13*1</f>
        <v>10</v>
      </c>
      <c r="AA15" s="59">
        <f>'M1'!F13*1</f>
        <v>14.2293</v>
      </c>
      <c r="AB15" s="59">
        <f>'M1'!G13*1</f>
        <v>25</v>
      </c>
      <c r="AC15" s="59">
        <f>'M1'!H13*1</f>
        <v>29.802099999999999</v>
      </c>
      <c r="AE15" s="27" t="str">
        <f t="shared" si="12"/>
        <v>抑郁</v>
      </c>
      <c r="AF15" s="59">
        <f>'M2'!B13*1</f>
        <v>17.948899999999998</v>
      </c>
      <c r="AG15" s="59">
        <f>'M2'!C13*1</f>
        <v>3.8414100000000002</v>
      </c>
      <c r="AH15" s="59">
        <f>'M2'!D13*1</f>
        <v>21.401900000000001</v>
      </c>
      <c r="AI15" s="59">
        <f>'M2'!E13*1</f>
        <v>10</v>
      </c>
      <c r="AJ15" s="59">
        <f>'M2'!F13*1</f>
        <v>13.660399999999999</v>
      </c>
      <c r="AK15" s="59">
        <f>'M2'!G13*1</f>
        <v>25</v>
      </c>
      <c r="AL15" s="59">
        <f>'M2'!H13*1</f>
        <v>28.3691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4.7090999999999994</v>
      </c>
      <c r="O16" s="59">
        <f t="shared" si="5"/>
        <v>2.3873999999999995</v>
      </c>
      <c r="P16" s="59">
        <f t="shared" si="6"/>
        <v>2.2941000000000003</v>
      </c>
      <c r="Q16" s="59">
        <f t="shared" si="7"/>
        <v>0</v>
      </c>
      <c r="R16" s="59">
        <f t="shared" si="8"/>
        <v>1.7837700000000001</v>
      </c>
      <c r="S16" s="59">
        <f t="shared" si="9"/>
        <v>0</v>
      </c>
      <c r="T16" s="59">
        <f t="shared" si="10"/>
        <v>-4.2952999999999975</v>
      </c>
      <c r="U16" s="15"/>
      <c r="V16" s="27" t="str">
        <f t="shared" si="11"/>
        <v>神经质</v>
      </c>
      <c r="W16" s="59">
        <f>'M1'!B14*1</f>
        <v>33.704999999999998</v>
      </c>
      <c r="X16" s="59">
        <f>'M1'!C14*1</f>
        <v>10.7804</v>
      </c>
      <c r="Y16" s="59">
        <f>'M1'!D14*1</f>
        <v>31.9846</v>
      </c>
      <c r="Z16" s="59">
        <f>'M1'!E14*1</f>
        <v>10</v>
      </c>
      <c r="AA16" s="59">
        <f>'M1'!F14*1</f>
        <v>1.63931</v>
      </c>
      <c r="AB16" s="59">
        <f>'M1'!G14*1</f>
        <v>50</v>
      </c>
      <c r="AC16" s="59">
        <f>'M1'!H14*1</f>
        <v>42.923999999999999</v>
      </c>
      <c r="AE16" s="27" t="str">
        <f t="shared" si="12"/>
        <v>神经质</v>
      </c>
      <c r="AF16" s="59">
        <f>'M2'!B14*1</f>
        <v>38.414099999999998</v>
      </c>
      <c r="AG16" s="59">
        <f>'M2'!C14*1</f>
        <v>13.1678</v>
      </c>
      <c r="AH16" s="59">
        <f>'M2'!D14*1</f>
        <v>34.278700000000001</v>
      </c>
      <c r="AI16" s="59">
        <f>'M2'!E14*1</f>
        <v>10</v>
      </c>
      <c r="AJ16" s="59">
        <f>'M2'!F14*1</f>
        <v>3.4230800000000001</v>
      </c>
      <c r="AK16" s="59">
        <f>'M2'!G14*1</f>
        <v>50</v>
      </c>
      <c r="AL16" s="59">
        <f>'M2'!H14*1</f>
        <v>38.628700000000002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-1.6508000000000029</v>
      </c>
      <c r="O17" s="22">
        <f>N17/(N17+N18+N19)</f>
        <v>0.90590059129385025</v>
      </c>
      <c r="P17" s="65">
        <f>SUM(P11:P14)/4</f>
        <v>-5.7744699999999982</v>
      </c>
      <c r="Q17" s="22">
        <f>P17/(P17+P18+P19)</f>
        <v>0.50210010142918193</v>
      </c>
      <c r="R17" s="14"/>
      <c r="S17" s="14"/>
      <c r="T17" s="14"/>
      <c r="U17" s="14"/>
      <c r="V17" s="21" t="str">
        <f>M17</f>
        <v>Positive</v>
      </c>
      <c r="W17" s="65">
        <f>SUM(W11:W14)/4</f>
        <v>59.816575</v>
      </c>
      <c r="X17" s="22">
        <f>W17/(W17+W18+W19)</f>
        <v>0.51681583644805718</v>
      </c>
      <c r="Y17" s="65">
        <f>SUM(Y11:Y14)/4</f>
        <v>14.9554375</v>
      </c>
      <c r="Z17" s="22">
        <f>Y17/(Y17+Y18+Y19)</f>
        <v>0.2496133755474424</v>
      </c>
      <c r="AA17" s="14"/>
      <c r="AB17" s="14"/>
      <c r="AC17" s="14"/>
      <c r="AE17" s="21" t="str">
        <f>V17</f>
        <v>Positive</v>
      </c>
      <c r="AF17" s="65">
        <f>SUM(AF11:AF14)/4</f>
        <v>58.165774999999996</v>
      </c>
      <c r="AG17" s="22">
        <f>AF17/(AF17+AF18+AF19)</f>
        <v>0.51059190872056803</v>
      </c>
      <c r="AH17" s="65">
        <f>SUM(AH11:AH14)/4</f>
        <v>9.1809674999999995</v>
      </c>
      <c r="AI17" s="22">
        <f>AH17/(AH17+AH18+AH19)</f>
        <v>0.18963544929286391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-1.3865749999999988</v>
      </c>
      <c r="O18" s="22">
        <f>N18/(N17+N18+N19)</f>
        <v>0.76090326652124252</v>
      </c>
      <c r="P18" s="18">
        <f>SUM(P7:P10)/4</f>
        <v>-9.2428150000000002</v>
      </c>
      <c r="Q18" s="22">
        <f>P18/(P17+P18+P19)</f>
        <v>0.80367866643885333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28.957625000000004</v>
      </c>
      <c r="X18" s="22">
        <f>W18/(W17+W18+W19)</f>
        <v>0.25019418423612805</v>
      </c>
      <c r="Y18" s="18">
        <f>SUM(Y7:Y10)/4</f>
        <v>20.63532</v>
      </c>
      <c r="Z18" s="22">
        <f>Y18/(Y17+Y18+Y19)</f>
        <v>0.34441331995146574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27.57105</v>
      </c>
      <c r="AG18" s="22">
        <f>AF18/(AF17+AF18+AF19)</f>
        <v>0.24202471375873899</v>
      </c>
      <c r="AH18" s="18">
        <f>SUM(AH7:AH10)/4</f>
        <v>11.392505</v>
      </c>
      <c r="AI18" s="22">
        <f>AH18/(AH17+AH18+AH19)</f>
        <v>0.23531537435964114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1.2150999999999996</v>
      </c>
      <c r="O19" s="22">
        <f>N19/(N17+N18+N19)</f>
        <v>-0.66680385781509277</v>
      </c>
      <c r="P19" s="18">
        <f>(P15+P16)/2</f>
        <v>3.5166500000000003</v>
      </c>
      <c r="Q19" s="22">
        <f>P19/(P17+P18+P19)</f>
        <v>-0.30577876786803521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26.9664</v>
      </c>
      <c r="X19" s="22">
        <f>W19/(W17+W18+W19)</f>
        <v>0.23298997931581486</v>
      </c>
      <c r="Y19" s="18">
        <f>(Y15+Y16)/2</f>
        <v>24.323650000000001</v>
      </c>
      <c r="Z19" s="22">
        <f>Y19/(Y17+Y18+Y19)</f>
        <v>0.40597330450109181</v>
      </c>
      <c r="AA19" s="14"/>
      <c r="AB19" s="14"/>
      <c r="AC19" s="14"/>
      <c r="AE19" s="21" t="str">
        <f t="shared" si="14"/>
        <v>Physiological</v>
      </c>
      <c r="AF19" s="18">
        <f>(AF15+AF16)/2</f>
        <v>28.1815</v>
      </c>
      <c r="AG19" s="22">
        <f>AF19/(AF17+AF18+AF19)</f>
        <v>0.247383377520693</v>
      </c>
      <c r="AH19" s="18">
        <f>(AH15+AH16)/2</f>
        <v>27.840299999999999</v>
      </c>
      <c r="AI19" s="22">
        <f>AH19/(AH17+AH18+AH19)</f>
        <v>0.57504917634749486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1.61/1.68</v>
      </c>
      <c r="D24" s="44" t="str">
        <f>lang!B11</f>
        <v>频率方差</v>
      </c>
      <c r="E24" s="142" t="str">
        <f ca="1">CONCATENATE(ROUND('FH1'!L3,2),"/",ROUND('FH2'!L3,2))</f>
        <v>0.7/0.56</v>
      </c>
      <c r="F24" s="143"/>
      <c r="G24" s="134" t="str">
        <f>lang!B12</f>
        <v>生理变化率</v>
      </c>
      <c r="H24" s="135"/>
      <c r="I24" s="62" t="str">
        <f ca="1">CONCATENATE(info!M7,"-",info!M8)</f>
        <v>38.3-65.7</v>
      </c>
      <c r="J24" s="42" t="str">
        <f>lang!B13</f>
        <v>千卡l/分钟</v>
      </c>
      <c r="K24" s="41" t="str">
        <f ca="1">CONCATENATE(info!M5,"-",info!M6)</f>
        <v>1.7-4.1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-9.0826999999999991</v>
      </c>
      <c r="F27" s="164"/>
      <c r="G27" s="178" t="str">
        <f>lang!B33</f>
        <v>稳定性</v>
      </c>
      <c r="H27" s="179"/>
      <c r="I27" s="180"/>
      <c r="J27" s="181">
        <f>dM!B19*100</f>
        <v>8.0802999999999958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-0.72786882387779872</v>
      </c>
      <c r="C2">
        <f t="array" aca="1" ref="C2" ca="1">CORREL(FT_E02,FT_PH02)</f>
        <v>-0.23950103661556923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1.6832400000000001</v>
      </c>
      <c r="G2" s="61">
        <f>IF(FT!B2&lt;&gt;"",FT!B2*100,"")</f>
        <v>65.656700000000001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1.72929</v>
      </c>
      <c r="G3" s="61">
        <f>IF(FT!B3&lt;&gt;"",FT!B3*100,"")</f>
        <v>65.136499999999998</v>
      </c>
      <c r="H3" s="61">
        <f t="shared" ref="H3:H66" si="1">(IF(F3&lt;&gt;"",1,""))</f>
        <v>1</v>
      </c>
      <c r="I3" t="str">
        <f>IF(FT!B3&lt;&gt;"",FT!E3,"")</f>
        <v>1 [0.384413]</v>
      </c>
      <c r="J3">
        <f>IF(FT!B3&lt;&gt;"",FT!C3,"")</f>
        <v>0.384413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0.46075025675675679</v>
      </c>
      <c r="V3">
        <f ca="1">AVERAGE(OFFSET(FT!B2,info!$L$3/2,0,info!$L$3/2,1))</f>
        <v>0.450150445945946</v>
      </c>
      <c r="W3">
        <f ca="1">AVERAGE(OFFSET(FT!A2,0,0,info!$L$3/2,1))</f>
        <v>0.33204375675675679</v>
      </c>
      <c r="X3">
        <f ca="1">AVERAGE(OFFSET(FT!A2,info!$L$3/2,0,info!$L$3/2,1))</f>
        <v>0.3409853783783785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1.7763899999999999</v>
      </c>
      <c r="G4" s="61">
        <f>IF(FT!B4&lt;&gt;"",FT!B4*100,"")</f>
        <v>64.509399999999999</v>
      </c>
      <c r="H4" s="61">
        <f t="shared" si="1"/>
        <v>1</v>
      </c>
      <c r="I4" t="str">
        <f>IF(FT!B4&lt;&gt;"",FT!E4,"")</f>
        <v>1 [0.789365]</v>
      </c>
      <c r="J4">
        <f>IF(FT!B4&lt;&gt;"",FT!C4,"")</f>
        <v>0.78936499999999998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14.935700000000001</v>
      </c>
      <c r="V4">
        <f>U4*3</f>
        <v>44.807100000000005</v>
      </c>
      <c r="W4">
        <f>U4</f>
        <v>14.935700000000001</v>
      </c>
      <c r="X4">
        <f>V4</f>
        <v>44.807100000000005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1.8222700000000001</v>
      </c>
      <c r="G5" s="61">
        <f>IF(FT!B5&lt;&gt;"",FT!B5*100,"")</f>
        <v>63.719499999999996</v>
      </c>
      <c r="H5" s="61">
        <f t="shared" si="1"/>
        <v>1</v>
      </c>
      <c r="I5" t="str">
        <f>IF(FT!B5&lt;&gt;"",FT!E5,"")</f>
        <v>1 [1.193185]</v>
      </c>
      <c r="J5">
        <f>IF(FT!B5&lt;&gt;"",FT!C5,"")</f>
        <v>1.19319</v>
      </c>
      <c r="K5" t="s">
        <v>53</v>
      </c>
      <c r="L5" s="63">
        <f ca="1">MIN(FT_E)</f>
        <v>1.6832400000000001</v>
      </c>
      <c r="M5" s="63">
        <f ca="1">ROUND(L5,1)</f>
        <v>1.7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46.075025675675683</v>
      </c>
      <c r="V5">
        <f ca="1">V3*100</f>
        <v>45.015044594594599</v>
      </c>
      <c r="W5">
        <f ca="1">W3*10</f>
        <v>3.3204375675675681</v>
      </c>
      <c r="X5">
        <f ca="1">X3*10</f>
        <v>3.409853783783785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1.8677699999999999</v>
      </c>
      <c r="G6" s="61">
        <f>IF(FT!B6&lt;&gt;"",FT!B6*100,"")</f>
        <v>62.925200000000004</v>
      </c>
      <c r="H6" s="61">
        <f t="shared" si="1"/>
        <v>1</v>
      </c>
      <c r="I6" t="str">
        <f>IF(FT!B6&lt;&gt;"",FT!E6,"")</f>
        <v>1 [1.599413]</v>
      </c>
      <c r="J6">
        <f>IF(FT!B6&lt;&gt;"",FT!C6,"")</f>
        <v>1.59941</v>
      </c>
      <c r="K6" t="s">
        <v>54</v>
      </c>
      <c r="L6" s="63">
        <f ca="1">MAX(FT_E)</f>
        <v>4.0802100000000001</v>
      </c>
      <c r="M6" s="63">
        <f ca="1">ROUND(L6,1)</f>
        <v>4.0999999999999996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1.9157</v>
      </c>
      <c r="G7" s="61">
        <f>IF(FT!B7&lt;&gt;"",FT!B7*100,"")</f>
        <v>62.048999999999999</v>
      </c>
      <c r="H7" s="61">
        <f t="shared" si="1"/>
        <v>1</v>
      </c>
      <c r="I7" t="str">
        <f>IF(FT!B7&lt;&gt;"",FT!E7,"")</f>
        <v>1 [2.007107]</v>
      </c>
      <c r="J7">
        <f>IF(FT!B7&lt;&gt;"",FT!C7,"")</f>
        <v>2.0071099999999999</v>
      </c>
      <c r="K7" t="s">
        <v>55</v>
      </c>
      <c r="L7" s="63">
        <f ca="1">MIN(FT_PH)</f>
        <v>38.269100000000002</v>
      </c>
      <c r="M7" s="63">
        <f ca="1">ROUND(L7,1)</f>
        <v>38.299999999999997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1871</v>
      </c>
      <c r="D8" s="61">
        <f>FH!B8*1</f>
        <v>1871</v>
      </c>
      <c r="E8">
        <f t="shared" si="3"/>
        <v>6</v>
      </c>
      <c r="F8" s="61">
        <f>IF(FT!A8&lt;&gt;"",FT!A8*10,"")</f>
        <v>1.9654799999999999</v>
      </c>
      <c r="G8" s="61">
        <f>IF(FT!B8&lt;&gt;"",FT!B8*100,"")</f>
        <v>61.006999999999998</v>
      </c>
      <c r="H8" s="61">
        <f t="shared" si="1"/>
        <v>1</v>
      </c>
      <c r="I8" t="str">
        <f>IF(FT!B8&lt;&gt;"",FT!E8,"")</f>
        <v>1 [2.413036]</v>
      </c>
      <c r="J8">
        <f>IF(FT!B8&lt;&gt;"",FT!C8,"")</f>
        <v>2.4130400000000001</v>
      </c>
      <c r="K8" t="s">
        <v>56</v>
      </c>
      <c r="L8" s="63">
        <f ca="1">MAX(FT_PH)</f>
        <v>65.656700000000001</v>
      </c>
      <c r="M8" s="63">
        <f ca="1">ROUND(L8,1)</f>
        <v>65.7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2.0166599999999999</v>
      </c>
      <c r="G9" s="61">
        <f>IF(FT!B9&lt;&gt;"",FT!B9*100,"")</f>
        <v>59.840299999999999</v>
      </c>
      <c r="H9" s="61">
        <f t="shared" si="1"/>
        <v>1</v>
      </c>
      <c r="I9" t="str">
        <f>IF(FT!B9&lt;&gt;"",FT!E9,"")</f>
        <v>1 [2.821054]</v>
      </c>
      <c r="J9">
        <f>IF(FT!B9&lt;&gt;"",FT!C9,"")</f>
        <v>2.8210500000000001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714</v>
      </c>
      <c r="D10" s="61">
        <f>FH!B10*1</f>
        <v>714</v>
      </c>
      <c r="E10">
        <f t="shared" si="3"/>
        <v>8</v>
      </c>
      <c r="F10" s="61">
        <f>IF(FT!A10&lt;&gt;"",FT!A10*10,"")</f>
        <v>2.0677099999999999</v>
      </c>
      <c r="G10" s="61">
        <f>IF(FT!B10&lt;&gt;"",FT!B10*100,"")</f>
        <v>58.500500000000002</v>
      </c>
      <c r="H10" s="61">
        <f t="shared" si="1"/>
        <v>1</v>
      </c>
      <c r="I10" t="str">
        <f>IF(FT!B10&lt;&gt;"",FT!E10,"")</f>
        <v>1 [3.227867]</v>
      </c>
      <c r="J10">
        <f>IF(FT!B10&lt;&gt;"",FT!C10,"")</f>
        <v>3.2278699999999998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2.1186600000000002</v>
      </c>
      <c r="G11" s="61">
        <f>IF(FT!B11&lt;&gt;"",FT!B11*100,"")</f>
        <v>57.204600000000006</v>
      </c>
      <c r="H11" s="61">
        <f t="shared" si="1"/>
        <v>1</v>
      </c>
      <c r="I11" t="str">
        <f>IF(FT!B11&lt;&gt;"",FT!E11,"")</f>
        <v>1 [3.633769]</v>
      </c>
      <c r="J11">
        <f>IF(FT!B11&lt;&gt;"",FT!C11,"")</f>
        <v>3.6337700000000002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2.1697099999999998</v>
      </c>
      <c r="G12" s="61">
        <f>IF(FT!B12&lt;&gt;"",FT!B12*100,"")</f>
        <v>55.9253</v>
      </c>
      <c r="H12" s="61">
        <f t="shared" si="1"/>
        <v>1</v>
      </c>
      <c r="I12" t="str">
        <f>IF(FT!B12&lt;&gt;"",FT!E12,"")</f>
        <v>1 [4.037658]</v>
      </c>
      <c r="J12">
        <f>IF(FT!B12&lt;&gt;"",FT!C12,"")</f>
        <v>4.0376599999999998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1649</v>
      </c>
      <c r="D13" s="61">
        <f>FH!B13*1</f>
        <v>1649</v>
      </c>
      <c r="E13">
        <f t="shared" si="3"/>
        <v>11</v>
      </c>
      <c r="F13" s="61">
        <f>IF(FT!A13&lt;&gt;"",FT!A13*10,"")</f>
        <v>2.2238500000000001</v>
      </c>
      <c r="G13" s="61">
        <f>IF(FT!B13&lt;&gt;"",FT!B13*100,"")</f>
        <v>54.525500000000008</v>
      </c>
      <c r="H13" s="61">
        <f t="shared" si="1"/>
        <v>1</v>
      </c>
      <c r="I13" t="str">
        <f>IF(FT!B13&lt;&gt;"",FT!E13,"")</f>
        <v>1 [4.445499]</v>
      </c>
      <c r="J13">
        <f>IF(FT!B13&lt;&gt;"",FT!C13,"")</f>
        <v>4.4455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2.2790699999999999</v>
      </c>
      <c r="G14" s="61">
        <f>IF(FT!B14&lt;&gt;"",FT!B14*100,"")</f>
        <v>53.079900000000002</v>
      </c>
      <c r="H14" s="61">
        <f t="shared" si="1"/>
        <v>1</v>
      </c>
      <c r="I14" t="str">
        <f>IF(FT!B14&lt;&gt;"",FT!E14,"")</f>
        <v>1 [4.851685]</v>
      </c>
      <c r="J14">
        <f>IF(FT!B14&lt;&gt;"",FT!C14,"")</f>
        <v>4.8516899999999996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3688</v>
      </c>
      <c r="D15" s="61">
        <f>FH!B15*1</f>
        <v>3688</v>
      </c>
      <c r="E15">
        <f t="shared" si="3"/>
        <v>13</v>
      </c>
      <c r="F15" s="61">
        <f>IF(FT!A15&lt;&gt;"",FT!A15*10,"")</f>
        <v>2.3372200000000003</v>
      </c>
      <c r="G15" s="61">
        <f>IF(FT!B15&lt;&gt;"",FT!B15*100,"")</f>
        <v>51.449900000000007</v>
      </c>
      <c r="H15" s="61">
        <f t="shared" si="1"/>
        <v>1</v>
      </c>
      <c r="I15" t="str">
        <f>IF(FT!B15&lt;&gt;"",FT!E15,"")</f>
        <v>1 [5.259411]</v>
      </c>
      <c r="J15">
        <f>IF(FT!B15&lt;&gt;"",FT!C15,"")</f>
        <v>5.2594099999999999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2.4004400000000001</v>
      </c>
      <c r="G16" s="61">
        <f>IF(FT!B16&lt;&gt;"",FT!B16*100,"")</f>
        <v>49.701599999999999</v>
      </c>
      <c r="H16" s="61">
        <f t="shared" si="1"/>
        <v>1</v>
      </c>
      <c r="I16" t="str">
        <f>IF(FT!B16&lt;&gt;"",FT!E16,"")</f>
        <v>1 [5.666694]</v>
      </c>
      <c r="J16">
        <f>IF(FT!B16&lt;&gt;"",FT!C16,"")</f>
        <v>5.66669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2.46766</v>
      </c>
      <c r="G17" s="61">
        <f>IF(FT!B17&lt;&gt;"",FT!B17*100,"")</f>
        <v>47.958500000000001</v>
      </c>
      <c r="H17" s="61">
        <f t="shared" si="1"/>
        <v>1</v>
      </c>
      <c r="I17" t="str">
        <f>IF(FT!B17&lt;&gt;"",FT!E17,"")</f>
        <v>1 [6.070257]</v>
      </c>
      <c r="J17">
        <f>IF(FT!B17&lt;&gt;"",FT!C17,"")</f>
        <v>6.0702600000000002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11402</v>
      </c>
      <c r="D18" s="61">
        <f>FH!B18*1</f>
        <v>11402</v>
      </c>
      <c r="E18">
        <f t="shared" si="3"/>
        <v>16</v>
      </c>
      <c r="F18" s="61">
        <f>IF(FT!A18&lt;&gt;"",FT!A18*10,"")</f>
        <v>2.5372499999999998</v>
      </c>
      <c r="G18" s="61">
        <f>IF(FT!B18&lt;&gt;"",FT!B18*100,"")</f>
        <v>46.237899999999996</v>
      </c>
      <c r="H18" s="61">
        <f t="shared" si="1"/>
        <v>1</v>
      </c>
      <c r="I18" t="str">
        <f>IF(FT!B18&lt;&gt;"",FT!E18,"")</f>
        <v>1 [6.475112]</v>
      </c>
      <c r="J18">
        <f>IF(FT!B18&lt;&gt;"",FT!C18,"")</f>
        <v>6.4751099999999999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2.6082899999999998</v>
      </c>
      <c r="G19" s="61">
        <f>IF(FT!B19&lt;&gt;"",FT!B19*100,"")</f>
        <v>44.554899999999996</v>
      </c>
      <c r="H19" s="61">
        <f t="shared" si="1"/>
        <v>1</v>
      </c>
      <c r="I19" t="str">
        <f>IF(FT!B19&lt;&gt;"",FT!E19,"")</f>
        <v>1 [6.883098]</v>
      </c>
      <c r="J19">
        <f>IF(FT!B19&lt;&gt;"",FT!C19,"")</f>
        <v>6.8830999999999998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2.6772600000000004</v>
      </c>
      <c r="G20" s="61">
        <f>IF(FT!B20&lt;&gt;"",FT!B20*100,"")</f>
        <v>43.261300000000006</v>
      </c>
      <c r="H20" s="61">
        <f t="shared" si="1"/>
        <v>1</v>
      </c>
      <c r="I20" t="str">
        <f>IF(FT!B20&lt;&gt;"",FT!E20,"")</f>
        <v>1 [7.291078]</v>
      </c>
      <c r="J20">
        <f>IF(FT!B20&lt;&gt;"",FT!C20,"")</f>
        <v>7.29108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26601</v>
      </c>
      <c r="D21" s="61">
        <f>FH!B21*1</f>
        <v>26601</v>
      </c>
      <c r="E21">
        <f t="shared" si="3"/>
        <v>19</v>
      </c>
      <c r="F21" s="61">
        <f>IF(FT!A21&lt;&gt;"",FT!A21*10,"")</f>
        <v>2.7435</v>
      </c>
      <c r="G21" s="61">
        <f>IF(FT!B21&lt;&gt;"",FT!B21*100,"")</f>
        <v>42.292299999999997</v>
      </c>
      <c r="H21" s="61">
        <f t="shared" si="1"/>
        <v>1</v>
      </c>
      <c r="I21" t="str">
        <f>IF(FT!B21&lt;&gt;"",FT!E21,"")</f>
        <v>1 [7.696916]</v>
      </c>
      <c r="J21">
        <f>IF(FT!B21&lt;&gt;"",FT!C21,"")</f>
        <v>7.6969200000000004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2.8112500000000002</v>
      </c>
      <c r="G22" s="61">
        <f>IF(FT!B22&lt;&gt;"",FT!B22*100,"")</f>
        <v>41.386000000000003</v>
      </c>
      <c r="H22" s="61">
        <f t="shared" si="1"/>
        <v>1</v>
      </c>
      <c r="I22" t="str">
        <f>IF(FT!B22&lt;&gt;"",FT!E22,"")</f>
        <v>1 [8.101828]</v>
      </c>
      <c r="J22">
        <f>IF(FT!B22&lt;&gt;"",FT!C22,"")</f>
        <v>8.1018299999999996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27530</v>
      </c>
      <c r="D23" s="61">
        <f>FH!B23*1</f>
        <v>27530</v>
      </c>
      <c r="E23">
        <f t="shared" si="3"/>
        <v>21</v>
      </c>
      <c r="F23" s="61">
        <f>IF(FT!A23&lt;&gt;"",FT!A23*10,"")</f>
        <v>2.8841299999999999</v>
      </c>
      <c r="G23" s="61">
        <f>IF(FT!B23&lt;&gt;"",FT!B23*100,"")</f>
        <v>40.4621</v>
      </c>
      <c r="H23" s="61">
        <f t="shared" si="1"/>
        <v>1</v>
      </c>
      <c r="I23" t="str">
        <f>IF(FT!B23&lt;&gt;"",FT!E23,"")</f>
        <v>1 [8.505675]</v>
      </c>
      <c r="J23">
        <f>IF(FT!B23&lt;&gt;"",FT!C23,"")</f>
        <v>8.5056700000000003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2.9606300000000001</v>
      </c>
      <c r="G24" s="61">
        <f>IF(FT!B24&lt;&gt;"",FT!B24*100,"")</f>
        <v>39.636099999999999</v>
      </c>
      <c r="H24" s="61">
        <f t="shared" si="1"/>
        <v>1</v>
      </c>
      <c r="I24" t="str">
        <f>IF(FT!B24&lt;&gt;"",FT!E24,"")</f>
        <v>1 [8.915283]</v>
      </c>
      <c r="J24">
        <f>IF(FT!B24&lt;&gt;"",FT!C24,"")</f>
        <v>8.9152799999999992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3.0335000000000001</v>
      </c>
      <c r="G25" s="61">
        <f>IF(FT!B25&lt;&gt;"",FT!B25*100,"")</f>
        <v>39.0914</v>
      </c>
      <c r="H25" s="61">
        <f t="shared" si="1"/>
        <v>1</v>
      </c>
      <c r="I25" t="str">
        <f>IF(FT!B25&lt;&gt;"",FT!E25,"")</f>
        <v>1 [9.322519]</v>
      </c>
      <c r="J25">
        <f>IF(FT!B25&lt;&gt;"",FT!C25,"")</f>
        <v>9.3225200000000008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33932</v>
      </c>
      <c r="D26" s="61">
        <f>FH!B26*1</f>
        <v>33932</v>
      </c>
      <c r="E26">
        <f t="shared" si="3"/>
        <v>24</v>
      </c>
      <c r="F26" s="61">
        <f>IF(FT!A26&lt;&gt;"",FT!A26*10,"")</f>
        <v>3.1008999999999998</v>
      </c>
      <c r="G26" s="61">
        <f>IF(FT!B26&lt;&gt;"",FT!B26*100,"")</f>
        <v>38.778300000000002</v>
      </c>
      <c r="H26" s="61">
        <f t="shared" si="1"/>
        <v>1</v>
      </c>
      <c r="I26" t="str">
        <f>IF(FT!B26&lt;&gt;"",FT!E26,"")</f>
        <v>1 [9.728699]</v>
      </c>
      <c r="J26">
        <f>IF(FT!B26&lt;&gt;"",FT!C26,"")</f>
        <v>9.7286999999999999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3.1693100000000003</v>
      </c>
      <c r="G27" s="61">
        <f>IF(FT!B27&lt;&gt;"",FT!B27*100,"")</f>
        <v>38.508700000000005</v>
      </c>
      <c r="H27" s="61">
        <f t="shared" si="1"/>
        <v>1</v>
      </c>
      <c r="I27" t="str">
        <f>IF(FT!B27&lt;&gt;"",FT!E27,"")</f>
        <v>1 [10.128450]</v>
      </c>
      <c r="J27">
        <f>IF(FT!B27&lt;&gt;"",FT!C27,"")</f>
        <v>10.128500000000001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40971</v>
      </c>
      <c r="D28" s="61">
        <f>FH!B28*1</f>
        <v>40971</v>
      </c>
      <c r="E28">
        <f t="shared" si="3"/>
        <v>26</v>
      </c>
      <c r="F28" s="61">
        <f>IF(FT!A28&lt;&gt;"",FT!A28*10,"")</f>
        <v>3.2364100000000002</v>
      </c>
      <c r="G28" s="61">
        <f>IF(FT!B28&lt;&gt;"",FT!B28*100,"")</f>
        <v>38.326599999999999</v>
      </c>
      <c r="H28" s="61">
        <f t="shared" si="1"/>
        <v>1</v>
      </c>
      <c r="I28" t="str">
        <f>IF(FT!B28&lt;&gt;"",FT!E28,"")</f>
        <v>1 [10.538281]</v>
      </c>
      <c r="J28">
        <f>IF(FT!B28&lt;&gt;"",FT!C28,"")</f>
        <v>10.5383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3.2982200000000002</v>
      </c>
      <c r="G29" s="61">
        <f>IF(FT!B29&lt;&gt;"",FT!B29*100,"")</f>
        <v>38.311199999999999</v>
      </c>
      <c r="H29" s="61">
        <f t="shared" si="1"/>
        <v>1</v>
      </c>
      <c r="I29" t="str">
        <f>IF(FT!B29&lt;&gt;"",FT!E29,"")</f>
        <v>1 [10.946177]</v>
      </c>
      <c r="J29">
        <f>IF(FT!B29&lt;&gt;"",FT!C29,"")</f>
        <v>10.946199999999999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3.3601299999999998</v>
      </c>
      <c r="G30" s="61">
        <f>IF(FT!B30&lt;&gt;"",FT!B30*100,"")</f>
        <v>38.269100000000002</v>
      </c>
      <c r="H30" s="61">
        <f t="shared" si="1"/>
        <v>1</v>
      </c>
      <c r="I30" t="str">
        <f>IF(FT!B30&lt;&gt;"",FT!E30,"")</f>
        <v>1 [11.352096]</v>
      </c>
      <c r="J30">
        <f>IF(FT!B30&lt;&gt;"",FT!C30,"")</f>
        <v>11.3521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46152</v>
      </c>
      <c r="D31" s="61">
        <f>FH!B31*1</f>
        <v>46152</v>
      </c>
      <c r="E31">
        <f t="shared" si="3"/>
        <v>29</v>
      </c>
      <c r="F31" s="61">
        <f>IF(FT!A31&lt;&gt;"",FT!A31*10,"")</f>
        <v>3.41995</v>
      </c>
      <c r="G31" s="61">
        <f>IF(FT!B31&lt;&gt;"",FT!B31*100,"")</f>
        <v>38.282299999999999</v>
      </c>
      <c r="H31" s="61">
        <f t="shared" si="1"/>
        <v>1</v>
      </c>
      <c r="I31" t="str">
        <f>IF(FT!B31&lt;&gt;"",FT!E31,"")</f>
        <v>1 [11.757959]</v>
      </c>
      <c r="J31">
        <f>IF(FT!B31&lt;&gt;"",FT!C31,"")</f>
        <v>11.757999999999999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3.4750700000000001</v>
      </c>
      <c r="G32" s="61">
        <f>IF(FT!B32&lt;&gt;"",FT!B32*100,"")</f>
        <v>38.389899999999997</v>
      </c>
      <c r="H32" s="61">
        <f t="shared" si="1"/>
        <v>1</v>
      </c>
      <c r="I32" t="str">
        <f>IF(FT!B32&lt;&gt;"",FT!E32,"")</f>
        <v>1 [12.164231]</v>
      </c>
      <c r="J32">
        <f>IF(FT!B32&lt;&gt;"",FT!C32,"")</f>
        <v>12.164199999999999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52813</v>
      </c>
      <c r="D33" s="61">
        <f>FH!B33*1</f>
        <v>52813</v>
      </c>
      <c r="E33">
        <f t="shared" si="3"/>
        <v>31</v>
      </c>
      <c r="F33" s="61">
        <f>IF(FT!A33&lt;&gt;"",FT!A33*10,"")</f>
        <v>3.52569</v>
      </c>
      <c r="G33" s="61">
        <f>IF(FT!B33&lt;&gt;"",FT!B33*100,"")</f>
        <v>38.531500000000001</v>
      </c>
      <c r="H33" s="61">
        <f t="shared" si="1"/>
        <v>1</v>
      </c>
      <c r="I33" t="str">
        <f>IF(FT!B33&lt;&gt;"",FT!E33,"")</f>
        <v>1 [12.572832]</v>
      </c>
      <c r="J33">
        <f>IF(FT!B33&lt;&gt;"",FT!C33,"")</f>
        <v>12.572800000000001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3.5719799999999999</v>
      </c>
      <c r="G34" s="61">
        <f>IF(FT!B34&lt;&gt;"",FT!B34*100,"")</f>
        <v>38.749000000000002</v>
      </c>
      <c r="H34" s="61">
        <f t="shared" si="1"/>
        <v>1</v>
      </c>
      <c r="I34" t="str">
        <f>IF(FT!B34&lt;&gt;"",FT!E34,"")</f>
        <v>1 [12.978770]</v>
      </c>
      <c r="J34">
        <f>IF(FT!B34&lt;&gt;"",FT!C34,"")</f>
        <v>12.9788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3.6169099999999998</v>
      </c>
      <c r="G35" s="61">
        <f>IF(FT!B35&lt;&gt;"",FT!B35*100,"")</f>
        <v>38.947400000000002</v>
      </c>
      <c r="H35" s="61">
        <f t="shared" si="1"/>
        <v>1</v>
      </c>
      <c r="I35" t="str">
        <f>IF(FT!B35&lt;&gt;"",FT!E35,"")</f>
        <v>1 [13.381832]</v>
      </c>
      <c r="J35">
        <f>IF(FT!B35&lt;&gt;"",FT!C35,"")</f>
        <v>13.3818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59001</v>
      </c>
      <c r="D36" s="61">
        <f>FH!B36*1</f>
        <v>59001</v>
      </c>
      <c r="E36">
        <f t="shared" si="3"/>
        <v>34</v>
      </c>
      <c r="F36" s="61">
        <f>IF(FT!A36&lt;&gt;"",FT!A36*10,"")</f>
        <v>3.6661799999999998</v>
      </c>
      <c r="G36" s="61">
        <f>IF(FT!B36&lt;&gt;"",FT!B36*100,"")</f>
        <v>39.0595</v>
      </c>
      <c r="H36" s="61">
        <f t="shared" si="1"/>
        <v>1</v>
      </c>
      <c r="I36" t="str">
        <f>IF(FT!B36&lt;&gt;"",FT!E36,"")</f>
        <v>1 [13.786585]</v>
      </c>
      <c r="J36">
        <f>IF(FT!B36&lt;&gt;"",FT!C36,"")</f>
        <v>13.7866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3.7158899999999999</v>
      </c>
      <c r="G37" s="61">
        <f>IF(FT!B37&lt;&gt;"",FT!B37*100,"")</f>
        <v>39.224399999999996</v>
      </c>
      <c r="H37" s="61">
        <f t="shared" si="1"/>
        <v>1</v>
      </c>
      <c r="I37" t="str">
        <f>IF(FT!B37&lt;&gt;"",FT!E37,"")</f>
        <v>1 [14.194576]</v>
      </c>
      <c r="J37">
        <f>IF(FT!B37&lt;&gt;"",FT!C37,"")</f>
        <v>14.194599999999999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3.76098</v>
      </c>
      <c r="G38" s="61">
        <f>IF(FT!B38&lt;&gt;"",FT!B38*100,"")</f>
        <v>39.469200000000001</v>
      </c>
      <c r="H38" s="61">
        <f t="shared" si="1"/>
        <v>1</v>
      </c>
      <c r="I38" t="str">
        <f>IF(FT!B38&lt;&gt;"",FT!E38,"")</f>
        <v>1 [14.603404]</v>
      </c>
      <c r="J38">
        <f>IF(FT!B38&lt;&gt;"",FT!C38,"")</f>
        <v>14.603400000000001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64350</v>
      </c>
      <c r="D39" s="61">
        <f>FH!B39*1</f>
        <v>64350</v>
      </c>
      <c r="E39">
        <f t="shared" si="3"/>
        <v>37</v>
      </c>
      <c r="F39" s="61">
        <f>IF(FT!A39&lt;&gt;"",FT!A39*10,"")</f>
        <v>3.8024999999999998</v>
      </c>
      <c r="G39" s="61">
        <f>IF(FT!B39&lt;&gt;"",FT!B39*100,"")</f>
        <v>39.763599999999997</v>
      </c>
      <c r="H39" s="61">
        <f t="shared" si="1"/>
        <v>1</v>
      </c>
      <c r="I39" t="str">
        <f>IF(FT!B39&lt;&gt;"",FT!E39,"")</f>
        <v>1 [15.008352]</v>
      </c>
      <c r="J39">
        <f>IF(FT!B39&lt;&gt;"",FT!C39,"")</f>
        <v>15.0084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3.8372299999999999</v>
      </c>
      <c r="G40" s="61">
        <f>IF(FT!B40&lt;&gt;"",FT!B40*100,"")</f>
        <v>40.100999999999999</v>
      </c>
      <c r="H40" s="61">
        <f t="shared" si="1"/>
        <v>1</v>
      </c>
      <c r="I40" t="str">
        <f>IF(FT!B40&lt;&gt;"",FT!E40,"")</f>
        <v>1 [15.415225]</v>
      </c>
      <c r="J40">
        <f>IF(FT!B40&lt;&gt;"",FT!C40,"")</f>
        <v>15.4152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65607</v>
      </c>
      <c r="D41" s="61">
        <f>FH!B41*1</f>
        <v>65607</v>
      </c>
      <c r="E41">
        <f t="shared" si="3"/>
        <v>39</v>
      </c>
      <c r="F41" s="61">
        <f>IF(FT!A41&lt;&gt;"",FT!A41*10,"")</f>
        <v>3.8683899999999998</v>
      </c>
      <c r="G41" s="61">
        <f>IF(FT!B41&lt;&gt;"",FT!B41*100,"")</f>
        <v>40.400799999999997</v>
      </c>
      <c r="H41" s="61">
        <f t="shared" si="1"/>
        <v>1</v>
      </c>
      <c r="I41" t="str">
        <f>IF(FT!B41&lt;&gt;"",FT!E41,"")</f>
        <v>1 [15.819129]</v>
      </c>
      <c r="J41">
        <f>IF(FT!B41&lt;&gt;"",FT!C41,"")</f>
        <v>15.819100000000001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3.8943899999999996</v>
      </c>
      <c r="G42" s="61">
        <f>IF(FT!B42&lt;&gt;"",FT!B42*100,"")</f>
        <v>40.754000000000005</v>
      </c>
      <c r="H42" s="61">
        <f t="shared" si="1"/>
        <v>1</v>
      </c>
      <c r="I42" t="str">
        <f>IF(FT!B42&lt;&gt;"",FT!E42,"")</f>
        <v>1 [16.226267]</v>
      </c>
      <c r="J42">
        <f>IF(FT!B42&lt;&gt;"",FT!C42,"")</f>
        <v>16.226299999999998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3.9193600000000002</v>
      </c>
      <c r="G43" s="61">
        <f>IF(FT!B43&lt;&gt;"",FT!B43*100,"")</f>
        <v>41.1081</v>
      </c>
      <c r="H43" s="61">
        <f t="shared" si="1"/>
        <v>1</v>
      </c>
      <c r="I43" t="str">
        <f>IF(FT!B43&lt;&gt;"",FT!E43,"")</f>
        <v>1 [16.635995]</v>
      </c>
      <c r="J43">
        <f>IF(FT!B43&lt;&gt;"",FT!C43,"")</f>
        <v>16.635999999999999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84782</v>
      </c>
      <c r="D44" s="61">
        <f>FH!B44*1</f>
        <v>84782</v>
      </c>
      <c r="E44">
        <f t="shared" si="3"/>
        <v>42</v>
      </c>
      <c r="F44" s="61">
        <f>IF(FT!A44&lt;&gt;"",FT!A44*10,"")</f>
        <v>3.9438400000000002</v>
      </c>
      <c r="G44" s="61">
        <f>IF(FT!B44&lt;&gt;"",FT!B44*100,"")</f>
        <v>41.456800000000001</v>
      </c>
      <c r="H44" s="61">
        <f t="shared" si="1"/>
        <v>1</v>
      </c>
      <c r="I44" t="str">
        <f>IF(FT!B44&lt;&gt;"",FT!E44,"")</f>
        <v>1 [17.040941]</v>
      </c>
      <c r="J44">
        <f>IF(FT!B44&lt;&gt;"",FT!C44,"")</f>
        <v>17.040900000000001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3.9692100000000003</v>
      </c>
      <c r="G45" s="61">
        <f>IF(FT!B45&lt;&gt;"",FT!B45*100,"")</f>
        <v>41.758800000000001</v>
      </c>
      <c r="H45" s="61">
        <f t="shared" si="1"/>
        <v>1</v>
      </c>
      <c r="I45" t="str">
        <f>IF(FT!B45&lt;&gt;"",FT!E45,"")</f>
        <v>1 [17.448035]</v>
      </c>
      <c r="J45">
        <f>IF(FT!B45&lt;&gt;"",FT!C45,"")</f>
        <v>17.448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100740</v>
      </c>
      <c r="D46" s="61">
        <f>FH!B46*1</f>
        <v>100740</v>
      </c>
      <c r="E46">
        <f t="shared" si="3"/>
        <v>44</v>
      </c>
      <c r="F46" s="61">
        <f>IF(FT!A46&lt;&gt;"",FT!A46*10,"")</f>
        <v>3.9920400000000003</v>
      </c>
      <c r="G46" s="61">
        <f>IF(FT!B46&lt;&gt;"",FT!B46*100,"")</f>
        <v>42.072299999999998</v>
      </c>
      <c r="H46" s="61">
        <f t="shared" si="1"/>
        <v>1</v>
      </c>
      <c r="I46" t="str">
        <f>IF(FT!B46&lt;&gt;"",FT!E46,"")</f>
        <v>1 [17.855669]</v>
      </c>
      <c r="J46">
        <f>IF(FT!B46&lt;&gt;"",FT!C46,"")</f>
        <v>17.855699999999999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4.0095700000000001</v>
      </c>
      <c r="G47" s="61">
        <f>IF(FT!B47&lt;&gt;"",FT!B47*100,"")</f>
        <v>42.414099999999998</v>
      </c>
      <c r="H47" s="61">
        <f t="shared" si="1"/>
        <v>1</v>
      </c>
      <c r="I47" t="str">
        <f>IF(FT!B47&lt;&gt;"",FT!E47,"")</f>
        <v>1 [18.259664]</v>
      </c>
      <c r="J47">
        <f>IF(FT!B47&lt;&gt;"",FT!C47,"")</f>
        <v>18.259699999999999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4.0206200000000001</v>
      </c>
      <c r="G48" s="61">
        <f>IF(FT!B48&lt;&gt;"",FT!B48*100,"")</f>
        <v>42.740499999999997</v>
      </c>
      <c r="H48" s="61">
        <f t="shared" si="1"/>
        <v>1</v>
      </c>
      <c r="I48" t="str">
        <f>IF(FT!B48&lt;&gt;"",FT!E48,"")</f>
        <v>1 [18.666570]</v>
      </c>
      <c r="J48">
        <f>IF(FT!B48&lt;&gt;"",FT!C48,"")</f>
        <v>18.666599999999999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116766</v>
      </c>
      <c r="D49" s="61">
        <f>FH!B49*1</f>
        <v>116766</v>
      </c>
      <c r="E49">
        <f t="shared" si="3"/>
        <v>47</v>
      </c>
      <c r="F49" s="61">
        <f>IF(FT!A49&lt;&gt;"",FT!A49*10,"")</f>
        <v>4.0299300000000002</v>
      </c>
      <c r="G49" s="61">
        <f>IF(FT!B49&lt;&gt;"",FT!B49*100,"")</f>
        <v>43.0242</v>
      </c>
      <c r="H49" s="61">
        <f t="shared" si="1"/>
        <v>1</v>
      </c>
      <c r="I49" t="str">
        <f>IF(FT!B49&lt;&gt;"",FT!E49,"")</f>
        <v>1 [19.068522]</v>
      </c>
      <c r="J49">
        <f>IF(FT!B49&lt;&gt;"",FT!C49,"")</f>
        <v>19.0685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4.0385</v>
      </c>
      <c r="G50" s="61">
        <f>IF(FT!B50&lt;&gt;"",FT!B50*100,"")</f>
        <v>43.316900000000004</v>
      </c>
      <c r="H50" s="61">
        <f t="shared" si="1"/>
        <v>1</v>
      </c>
      <c r="I50" t="str">
        <f>IF(FT!B50&lt;&gt;"",FT!E50,"")</f>
        <v>1 [19.475483]</v>
      </c>
      <c r="J50">
        <f>IF(FT!B50&lt;&gt;"",FT!C50,"")</f>
        <v>19.4755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121679</v>
      </c>
      <c r="D51" s="61">
        <f>FH!B51*1</f>
        <v>121679</v>
      </c>
      <c r="E51">
        <f t="shared" si="3"/>
        <v>49</v>
      </c>
      <c r="F51" s="61">
        <f>IF(FT!A51&lt;&gt;"",FT!A51*10,"")</f>
        <v>4.0484</v>
      </c>
      <c r="G51" s="61">
        <f>IF(FT!B51&lt;&gt;"",FT!B51*100,"")</f>
        <v>43.588700000000003</v>
      </c>
      <c r="H51" s="61">
        <f t="shared" si="1"/>
        <v>1</v>
      </c>
      <c r="I51" t="str">
        <f>IF(FT!B51&lt;&gt;"",FT!E51,"")</f>
        <v>1 [19.882273]</v>
      </c>
      <c r="J51">
        <f>IF(FT!B51&lt;&gt;"",FT!C51,"")</f>
        <v>19.882300000000001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4.0574700000000004</v>
      </c>
      <c r="G52" s="61">
        <f>IF(FT!B52&lt;&gt;"",FT!B52*100,"")</f>
        <v>43.729800000000004</v>
      </c>
      <c r="H52" s="61">
        <f t="shared" si="1"/>
        <v>1</v>
      </c>
      <c r="I52" t="str">
        <f>IF(FT!B52&lt;&gt;"",FT!E52,"")</f>
        <v>1 [20.290244]</v>
      </c>
      <c r="J52">
        <f>IF(FT!B52&lt;&gt;"",FT!C52,"")</f>
        <v>20.290199999999999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4.0671099999999996</v>
      </c>
      <c r="G53" s="61">
        <f>IF(FT!B53&lt;&gt;"",FT!B53*100,"")</f>
        <v>43.900800000000004</v>
      </c>
      <c r="H53" s="61">
        <f t="shared" si="1"/>
        <v>1</v>
      </c>
      <c r="I53" t="str">
        <f>IF(FT!B53&lt;&gt;"",FT!E53,"")</f>
        <v>1 [20.695083]</v>
      </c>
      <c r="J53">
        <f>IF(FT!B53&lt;&gt;"",FT!C53,"")</f>
        <v>20.6951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131585</v>
      </c>
      <c r="D54" s="61">
        <f>FH!B54*1</f>
        <v>131585</v>
      </c>
      <c r="E54">
        <f t="shared" si="3"/>
        <v>52</v>
      </c>
      <c r="F54" s="61">
        <f>IF(FT!A54&lt;&gt;"",FT!A54*10,"")</f>
        <v>4.0748800000000003</v>
      </c>
      <c r="G54" s="61">
        <f>IF(FT!B54&lt;&gt;"",FT!B54*100,"")</f>
        <v>44.1006</v>
      </c>
      <c r="H54" s="61">
        <f t="shared" si="1"/>
        <v>1</v>
      </c>
      <c r="I54" t="str">
        <f>IF(FT!B54&lt;&gt;"",FT!E54,"")</f>
        <v>1 [21.100118]</v>
      </c>
      <c r="J54">
        <f>IF(FT!B54&lt;&gt;"",FT!C54,"")</f>
        <v>21.100100000000001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4.0794200000000007</v>
      </c>
      <c r="G55" s="61">
        <f>IF(FT!B55&lt;&gt;"",FT!B55*100,"")</f>
        <v>44.372399999999999</v>
      </c>
      <c r="H55" s="61">
        <f t="shared" si="1"/>
        <v>1</v>
      </c>
      <c r="I55" t="str">
        <f>IF(FT!B55&lt;&gt;"",FT!E55,"")</f>
        <v>1 [21.508971]</v>
      </c>
      <c r="J55">
        <f>IF(FT!B55&lt;&gt;"",FT!C55,"")</f>
        <v>21.509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4.0802100000000001</v>
      </c>
      <c r="G56" s="61">
        <f>IF(FT!B56&lt;&gt;"",FT!B56*100,"")</f>
        <v>44.759300000000003</v>
      </c>
      <c r="H56" s="61">
        <f t="shared" si="1"/>
        <v>1</v>
      </c>
      <c r="I56" t="str">
        <f>IF(FT!B56&lt;&gt;"",FT!E56,"")</f>
        <v>1 [21.915935]</v>
      </c>
      <c r="J56">
        <f>IF(FT!B56&lt;&gt;"",FT!C56,"")</f>
        <v>21.915900000000001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154003</v>
      </c>
      <c r="D57" s="61">
        <f>FH!B57*1</f>
        <v>154003</v>
      </c>
      <c r="E57">
        <f t="shared" si="3"/>
        <v>55</v>
      </c>
      <c r="F57" s="61">
        <f>IF(FT!A57&lt;&gt;"",FT!A57*10,"")</f>
        <v>4.0784099999999999</v>
      </c>
      <c r="G57" s="61">
        <f>IF(FT!B57&lt;&gt;"",FT!B57*100,"")</f>
        <v>45.0687</v>
      </c>
      <c r="H57" s="61">
        <f t="shared" si="1"/>
        <v>1</v>
      </c>
      <c r="I57" t="str">
        <f>IF(FT!B57&lt;&gt;"",FT!E57,"")</f>
        <v>1 [22.321860]</v>
      </c>
      <c r="J57">
        <f>IF(FT!B57&lt;&gt;"",FT!C57,"")</f>
        <v>22.321899999999999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4.0784000000000002</v>
      </c>
      <c r="G58" s="61">
        <f>IF(FT!B58&lt;&gt;"",FT!B58*100,"")</f>
        <v>45.274099999999997</v>
      </c>
      <c r="H58" s="61">
        <f t="shared" si="1"/>
        <v>1</v>
      </c>
      <c r="I58" t="str">
        <f>IF(FT!B58&lt;&gt;"",FT!E58,"")</f>
        <v>1 [22.727735]</v>
      </c>
      <c r="J58">
        <f>IF(FT!B58&lt;&gt;"",FT!C58,"")</f>
        <v>22.727699999999999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162946</v>
      </c>
      <c r="D59" s="61">
        <f>FH!B59*1</f>
        <v>162946</v>
      </c>
      <c r="E59">
        <f t="shared" si="3"/>
        <v>57</v>
      </c>
      <c r="F59" s="61">
        <f>IF(FT!A59&lt;&gt;"",FT!A59*10,"")</f>
        <v>4.0721400000000001</v>
      </c>
      <c r="G59" s="61">
        <f>IF(FT!B59&lt;&gt;"",FT!B59*100,"")</f>
        <v>45.529799999999994</v>
      </c>
      <c r="H59" s="61">
        <f t="shared" si="1"/>
        <v>1</v>
      </c>
      <c r="I59" t="str">
        <f>IF(FT!B59&lt;&gt;"",FT!E59,"")</f>
        <v>1 [23.130960]</v>
      </c>
      <c r="J59">
        <f>IF(FT!B59&lt;&gt;"",FT!C59,"")</f>
        <v>23.131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4.0563599999999997</v>
      </c>
      <c r="G60" s="61">
        <f>IF(FT!B60&lt;&gt;"",FT!B60*100,"")</f>
        <v>45.818100000000001</v>
      </c>
      <c r="H60" s="61">
        <f t="shared" si="1"/>
        <v>1</v>
      </c>
      <c r="I60" t="str">
        <f>IF(FT!B60&lt;&gt;"",FT!E60,"")</f>
        <v>1 [23.539583]</v>
      </c>
      <c r="J60">
        <f>IF(FT!B60&lt;&gt;"",FT!C60,"")</f>
        <v>23.5396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4.0407299999999999</v>
      </c>
      <c r="G61" s="61">
        <f>IF(FT!B61&lt;&gt;"",FT!B61*100,"")</f>
        <v>46.100700000000003</v>
      </c>
      <c r="H61" s="61">
        <f t="shared" si="1"/>
        <v>1</v>
      </c>
      <c r="I61" t="str">
        <f>IF(FT!B61&lt;&gt;"",FT!E61,"")</f>
        <v>1 [23.949649]</v>
      </c>
      <c r="J61">
        <f>IF(FT!B61&lt;&gt;"",FT!C61,"")</f>
        <v>23.9496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162237</v>
      </c>
      <c r="D62" s="61">
        <f>FH!B62*1</f>
        <v>162237</v>
      </c>
      <c r="E62">
        <f t="shared" si="3"/>
        <v>60</v>
      </c>
      <c r="F62" s="61">
        <f>IF(FT!A62&lt;&gt;"",FT!A62*10,"")</f>
        <v>4.0210800000000004</v>
      </c>
      <c r="G62" s="61">
        <f>IF(FT!B62&lt;&gt;"",FT!B62*100,"")</f>
        <v>46.369899999999994</v>
      </c>
      <c r="H62" s="61">
        <f t="shared" si="1"/>
        <v>1</v>
      </c>
      <c r="I62" t="str">
        <f>IF(FT!B62&lt;&gt;"",FT!E62,"")</f>
        <v>1 [24.354388]</v>
      </c>
      <c r="J62">
        <f>IF(FT!B62&lt;&gt;"",FT!C62,"")</f>
        <v>24.354399999999998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3.9978000000000002</v>
      </c>
      <c r="G63" s="61">
        <f>IF(FT!B63&lt;&gt;"",FT!B63*100,"")</f>
        <v>46.518700000000003</v>
      </c>
      <c r="H63" s="61">
        <f t="shared" si="1"/>
        <v>1</v>
      </c>
      <c r="I63" t="str">
        <f>IF(FT!B63&lt;&gt;"",FT!E63,"")</f>
        <v>1 [24.758513]</v>
      </c>
      <c r="J63">
        <f>IF(FT!B63&lt;&gt;"",FT!C63,"")</f>
        <v>24.758500000000002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168036</v>
      </c>
      <c r="D64" s="61">
        <f>FH!B64*1</f>
        <v>168036</v>
      </c>
      <c r="E64">
        <f t="shared" si="3"/>
        <v>62</v>
      </c>
      <c r="F64" s="61">
        <f>IF(FT!A64&lt;&gt;"",FT!A64*10,"")</f>
        <v>3.9729399999999999</v>
      </c>
      <c r="G64" s="61">
        <f>IF(FT!B64&lt;&gt;"",FT!B64*100,"")</f>
        <v>46.6128</v>
      </c>
      <c r="H64" s="61">
        <f t="shared" si="1"/>
        <v>1</v>
      </c>
      <c r="I64" t="str">
        <f>IF(FT!B64&lt;&gt;"",FT!E64,"")</f>
        <v>1 [25.165330]</v>
      </c>
      <c r="J64">
        <f>IF(FT!B64&lt;&gt;"",FT!C64,"")</f>
        <v>25.165299999999998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3.9476899999999997</v>
      </c>
      <c r="G65" s="61">
        <f>IF(FT!B65&lt;&gt;"",FT!B65*100,"")</f>
        <v>46.629199999999997</v>
      </c>
      <c r="H65" s="61">
        <f t="shared" si="1"/>
        <v>1</v>
      </c>
      <c r="I65" t="str">
        <f>IF(FT!B65&lt;&gt;"",FT!E65,"")</f>
        <v>1 [25.572080]</v>
      </c>
      <c r="J65">
        <f>IF(FT!B65&lt;&gt;"",FT!C65,"")</f>
        <v>25.572099999999999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3.9295400000000003</v>
      </c>
      <c r="G66" s="61">
        <f>IF(FT!B66&lt;&gt;"",FT!B66*100,"")</f>
        <v>46.689900000000002</v>
      </c>
      <c r="H66" s="61">
        <f t="shared" si="1"/>
        <v>1</v>
      </c>
      <c r="I66" t="str">
        <f>IF(FT!B66&lt;&gt;"",FT!E66,"")</f>
        <v>1 [25.977043]</v>
      </c>
      <c r="J66">
        <f>IF(FT!B66&lt;&gt;"",FT!C66,"")</f>
        <v>25.977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174023</v>
      </c>
      <c r="D67" s="61">
        <f>FH!B67*1</f>
        <v>174023</v>
      </c>
      <c r="E67">
        <f t="shared" si="3"/>
        <v>65</v>
      </c>
      <c r="F67" s="61">
        <f>IF(FT!A67&lt;&gt;"",FT!A67*10,"")</f>
        <v>3.90055</v>
      </c>
      <c r="G67" s="61">
        <f>IF(FT!B67&lt;&gt;"",FT!B67*100,"")</f>
        <v>46.509299999999996</v>
      </c>
      <c r="H67" s="61">
        <f t="shared" ref="H67:H130" si="9">(IF(F67&lt;&gt;"",1,""))</f>
        <v>1</v>
      </c>
      <c r="I67" t="str">
        <f>IF(FT!B67&lt;&gt;"",FT!E67,"")</f>
        <v>1 [26.383276]</v>
      </c>
      <c r="J67">
        <f>IF(FT!B67&lt;&gt;"",FT!C67,"")</f>
        <v>26.383299999999998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3.8672499999999999</v>
      </c>
      <c r="G68" s="61">
        <f>IF(FT!B68&lt;&gt;"",FT!B68*100,"")</f>
        <v>46.280799999999999</v>
      </c>
      <c r="H68" s="61">
        <f t="shared" si="9"/>
        <v>1</v>
      </c>
      <c r="I68" t="str">
        <f>IF(FT!B68&lt;&gt;"",FT!E68,"")</f>
        <v>1 [26.787924]</v>
      </c>
      <c r="J68">
        <f>IF(FT!B68&lt;&gt;"",FT!C68,"")</f>
        <v>26.7879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166049</v>
      </c>
      <c r="D69" s="61">
        <f>FH!B69*1</f>
        <v>166049</v>
      </c>
      <c r="E69">
        <f t="shared" si="11"/>
        <v>67</v>
      </c>
      <c r="F69" s="61">
        <f>IF(FT!A69&lt;&gt;"",FT!A69*10,"")</f>
        <v>3.8316400000000002</v>
      </c>
      <c r="G69" s="61">
        <f>IF(FT!B69&lt;&gt;"",FT!B69*100,"")</f>
        <v>46.130300000000005</v>
      </c>
      <c r="H69" s="61">
        <f t="shared" si="9"/>
        <v>1</v>
      </c>
      <c r="I69" t="str">
        <f>IF(FT!B69&lt;&gt;"",FT!E69,"")</f>
        <v>1 [27.195763]</v>
      </c>
      <c r="J69">
        <f>IF(FT!B69&lt;&gt;"",FT!C69,"")</f>
        <v>27.195799999999998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3.7855799999999999</v>
      </c>
      <c r="G70" s="61">
        <f>IF(FT!B70&lt;&gt;"",FT!B70*100,"")</f>
        <v>45.950600000000001</v>
      </c>
      <c r="H70" s="61">
        <f t="shared" si="9"/>
        <v>1</v>
      </c>
      <c r="I70" t="str">
        <f>IF(FT!B70&lt;&gt;"",FT!E70,"")</f>
        <v>1 [27.602680]</v>
      </c>
      <c r="J70">
        <f>IF(FT!B70&lt;&gt;"",FT!C70,"")</f>
        <v>27.602699999999999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3.7483699999999995</v>
      </c>
      <c r="G71" s="61">
        <f>IF(FT!B71&lt;&gt;"",FT!B71*100,"")</f>
        <v>45.8705</v>
      </c>
      <c r="H71" s="61">
        <f t="shared" si="9"/>
        <v>1</v>
      </c>
      <c r="I71" t="str">
        <f>IF(FT!B71&lt;&gt;"",FT!E71,"")</f>
        <v>1 [28.008631]</v>
      </c>
      <c r="J71">
        <f>IF(FT!B71&lt;&gt;"",FT!C71,"")</f>
        <v>28.008600000000001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159533</v>
      </c>
      <c r="D72" s="61">
        <f>FH!B72*1</f>
        <v>159533</v>
      </c>
      <c r="E72">
        <f t="shared" si="11"/>
        <v>70</v>
      </c>
      <c r="F72" s="61">
        <f>IF(FT!A72&lt;&gt;"",FT!A72*10,"")</f>
        <v>3.7222100000000005</v>
      </c>
      <c r="G72" s="61">
        <f>IF(FT!B72&lt;&gt;"",FT!B72*100,"")</f>
        <v>45.837699999999998</v>
      </c>
      <c r="H72" s="61">
        <f t="shared" si="9"/>
        <v>1</v>
      </c>
      <c r="I72" t="str">
        <f>IF(FT!B72&lt;&gt;"",FT!E72,"")</f>
        <v>1 [28.413433]</v>
      </c>
      <c r="J72">
        <f>IF(FT!B72&lt;&gt;"",FT!C72,"")</f>
        <v>28.413399999999999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3.68533</v>
      </c>
      <c r="G73" s="61">
        <f>IF(FT!B73&lt;&gt;"",FT!B73*100,"")</f>
        <v>45.607500000000002</v>
      </c>
      <c r="H73" s="61">
        <f t="shared" si="9"/>
        <v>1</v>
      </c>
      <c r="I73" t="str">
        <f>IF(FT!B73&lt;&gt;"",FT!E73,"")</f>
        <v>1 [28.819548]</v>
      </c>
      <c r="J73">
        <f>IF(FT!B73&lt;&gt;"",FT!C73,"")</f>
        <v>28.819500000000001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3.6341400000000004</v>
      </c>
      <c r="G74" s="61">
        <f>IF(FT!B74&lt;&gt;"",FT!B74*100,"")</f>
        <v>45.285199999999996</v>
      </c>
      <c r="H74" s="61">
        <f t="shared" si="9"/>
        <v>1</v>
      </c>
      <c r="I74" t="str">
        <f>IF(FT!B74&lt;&gt;"",FT!E74,"")</f>
        <v>1 [29.229308]</v>
      </c>
      <c r="J74">
        <f>IF(FT!B74&lt;&gt;"",FT!C74,"")</f>
        <v>29.229299999999999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172710</v>
      </c>
      <c r="D75" s="61">
        <f>FH!B75*1</f>
        <v>172710</v>
      </c>
      <c r="E75">
        <f t="shared" si="11"/>
        <v>73</v>
      </c>
      <c r="F75" s="61">
        <f>IF(FT!A75&lt;&gt;"",FT!A75*10,"")</f>
        <v>3.5945999999999998</v>
      </c>
      <c r="G75" s="61">
        <f>IF(FT!B75&lt;&gt;"",FT!B75*100,"")</f>
        <v>45.146900000000002</v>
      </c>
      <c r="H75" s="61">
        <f t="shared" si="9"/>
        <v>1</v>
      </c>
      <c r="I75" t="str">
        <f>IF(FT!B75&lt;&gt;"",FT!E75,"")</f>
        <v>1 [29.637192]</v>
      </c>
      <c r="J75">
        <f>IF(FT!B75&lt;&gt;"",FT!C75,"")</f>
        <v>29.6372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3.5529699999999997</v>
      </c>
      <c r="G76" s="61">
        <f>IF(FT!B76&lt;&gt;"",FT!B76*100,"")</f>
        <v>45.107199999999999</v>
      </c>
      <c r="H76" s="61">
        <f t="shared" si="9"/>
        <v>1</v>
      </c>
      <c r="I76" t="str">
        <f>IF(FT!B76&lt;&gt;"",FT!E76,"")</f>
        <v>2 [30.041342]</v>
      </c>
      <c r="J76">
        <f>IF(FT!B76&lt;&gt;"",FT!C76,"")</f>
        <v>30.0413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169784</v>
      </c>
      <c r="D77" s="61">
        <f>FH!B77*1</f>
        <v>169784</v>
      </c>
      <c r="E77">
        <f t="shared" si="11"/>
        <v>75</v>
      </c>
      <c r="F77" s="61">
        <f>IF(FT!A77&lt;&gt;"",FT!A77*10,"")</f>
        <v>3.5063800000000001</v>
      </c>
      <c r="G77" s="61">
        <f>IF(FT!B77&lt;&gt;"",FT!B77*100,"")</f>
        <v>45.3127</v>
      </c>
      <c r="H77" s="61">
        <f t="shared" si="9"/>
        <v>1</v>
      </c>
      <c r="I77" t="str">
        <f>IF(FT!B77&lt;&gt;"",FT!E77,"")</f>
        <v>2 [30.524877]</v>
      </c>
      <c r="J77">
        <f>IF(FT!B77&lt;&gt;"",FT!C77,"")</f>
        <v>30.524899999999999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3.4620899999999999</v>
      </c>
      <c r="G78" s="61">
        <f>IF(FT!B78&lt;&gt;"",FT!B78*100,"")</f>
        <v>45.533999999999999</v>
      </c>
      <c r="H78" s="61">
        <f t="shared" si="9"/>
        <v>1</v>
      </c>
      <c r="I78" t="str">
        <f>IF(FT!B78&lt;&gt;"",FT!E78,"")</f>
        <v>2 [30.914039]</v>
      </c>
      <c r="J78">
        <f>IF(FT!B78&lt;&gt;"",FT!C78,"")</f>
        <v>30.914000000000001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3.4166400000000001</v>
      </c>
      <c r="G79" s="61">
        <f>IF(FT!B79&lt;&gt;"",FT!B79*100,"")</f>
        <v>45.7879</v>
      </c>
      <c r="H79" s="61">
        <f t="shared" si="9"/>
        <v>1</v>
      </c>
      <c r="I79" t="str">
        <f>IF(FT!B79&lt;&gt;"",FT!E79,"")</f>
        <v>2 [31.303067]</v>
      </c>
      <c r="J79">
        <f>IF(FT!B79&lt;&gt;"",FT!C79,"")</f>
        <v>31.303100000000001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166322</v>
      </c>
      <c r="D80" s="61">
        <f>FH!B80*1</f>
        <v>166322</v>
      </c>
      <c r="E80">
        <f t="shared" si="11"/>
        <v>78</v>
      </c>
      <c r="F80" s="61">
        <f>IF(FT!A80&lt;&gt;"",FT!A80*10,"")</f>
        <v>3.3699400000000002</v>
      </c>
      <c r="G80" s="61">
        <f>IF(FT!B80&lt;&gt;"",FT!B80*100,"")</f>
        <v>46.007799999999996</v>
      </c>
      <c r="H80" s="61">
        <f t="shared" si="9"/>
        <v>1</v>
      </c>
      <c r="I80" t="str">
        <f>IF(FT!B80&lt;&gt;"",FT!E80,"")</f>
        <v>2 [31.711695]</v>
      </c>
      <c r="J80">
        <f>IF(FT!B80&lt;&gt;"",FT!C80,"")</f>
        <v>31.7117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3.3241900000000002</v>
      </c>
      <c r="G81" s="61">
        <f>IF(FT!B81&lt;&gt;"",FT!B81*100,"")</f>
        <v>46.238500000000002</v>
      </c>
      <c r="H81" s="61">
        <f t="shared" si="9"/>
        <v>1</v>
      </c>
      <c r="I81" t="str">
        <f>IF(FT!B81&lt;&gt;"",FT!E81,"")</f>
        <v>2 [32.114681]</v>
      </c>
      <c r="J81">
        <f>IF(FT!B81&lt;&gt;"",FT!C81,"")</f>
        <v>32.114699999999999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164768</v>
      </c>
      <c r="D82" s="61">
        <f>FH!B82*1</f>
        <v>164768</v>
      </c>
      <c r="E82">
        <f t="shared" si="11"/>
        <v>80</v>
      </c>
      <c r="F82" s="61">
        <f>IF(FT!A82&lt;&gt;"",FT!A82*10,"")</f>
        <v>3.2823700000000002</v>
      </c>
      <c r="G82" s="61">
        <f>IF(FT!B82&lt;&gt;"",FT!B82*100,"")</f>
        <v>46.371600000000001</v>
      </c>
      <c r="H82" s="61">
        <f t="shared" si="9"/>
        <v>1</v>
      </c>
      <c r="I82" t="str">
        <f>IF(FT!B82&lt;&gt;"",FT!E82,"")</f>
        <v>2 [32.521562]</v>
      </c>
      <c r="J82">
        <f>IF(FT!B82&lt;&gt;"",FT!C82,"")</f>
        <v>32.521599999999999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3.2454000000000001</v>
      </c>
      <c r="G83" s="61">
        <f>IF(FT!B83&lt;&gt;"",FT!B83*100,"")</f>
        <v>46.431400000000004</v>
      </c>
      <c r="H83" s="61">
        <f t="shared" si="9"/>
        <v>1</v>
      </c>
      <c r="I83" t="str">
        <f>IF(FT!B83&lt;&gt;"",FT!E83,"")</f>
        <v>2 [32.930103]</v>
      </c>
      <c r="J83">
        <f>IF(FT!B83&lt;&gt;"",FT!C83,"")</f>
        <v>32.930100000000003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3.2103700000000002</v>
      </c>
      <c r="G84" s="61">
        <f>IF(FT!B84&lt;&gt;"",FT!B84*100,"")</f>
        <v>46.440100000000001</v>
      </c>
      <c r="H84" s="61">
        <f t="shared" si="9"/>
        <v>1</v>
      </c>
      <c r="I84" t="str">
        <f>IF(FT!B84&lt;&gt;"",FT!E84,"")</f>
        <v>2 [33.336367]</v>
      </c>
      <c r="J84">
        <f>IF(FT!B84&lt;&gt;"",FT!C84,"")</f>
        <v>33.336399999999998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155212</v>
      </c>
      <c r="D85" s="61">
        <f>FH!B85*1</f>
        <v>155212</v>
      </c>
      <c r="E85">
        <f t="shared" si="11"/>
        <v>83</v>
      </c>
      <c r="F85" s="61">
        <f>IF(FT!A85&lt;&gt;"",FT!A85*10,"")</f>
        <v>3.1773600000000002</v>
      </c>
      <c r="G85" s="61">
        <f>IF(FT!B85&lt;&gt;"",FT!B85*100,"")</f>
        <v>46.4621</v>
      </c>
      <c r="H85" s="61">
        <f t="shared" si="9"/>
        <v>1</v>
      </c>
      <c r="I85" t="str">
        <f>IF(FT!B85&lt;&gt;"",FT!E85,"")</f>
        <v>2 [33.743254]</v>
      </c>
      <c r="J85">
        <f>IF(FT!B85&lt;&gt;"",FT!C85,"")</f>
        <v>33.743299999999998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3.1466699999999999</v>
      </c>
      <c r="G86" s="61">
        <f>IF(FT!B86&lt;&gt;"",FT!B86*100,"")</f>
        <v>46.508000000000003</v>
      </c>
      <c r="H86" s="61">
        <f t="shared" si="9"/>
        <v>1</v>
      </c>
      <c r="I86" t="str">
        <f>IF(FT!B86&lt;&gt;"",FT!E86,"")</f>
        <v>2 [34.145204]</v>
      </c>
      <c r="J86">
        <f>IF(FT!B86&lt;&gt;"",FT!C86,"")</f>
        <v>34.145200000000003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3.11985</v>
      </c>
      <c r="G87" s="61">
        <f>IF(FT!B87&lt;&gt;"",FT!B87*100,"")</f>
        <v>46.599699999999999</v>
      </c>
      <c r="H87" s="61">
        <f t="shared" si="9"/>
        <v>1</v>
      </c>
      <c r="I87" t="str">
        <f>IF(FT!B87&lt;&gt;"",FT!E87,"")</f>
        <v>2 [34.554090]</v>
      </c>
      <c r="J87">
        <f>IF(FT!B87&lt;&gt;"",FT!C87,"")</f>
        <v>34.554099999999998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149388</v>
      </c>
      <c r="D88" s="61">
        <f>FH!B88*1</f>
        <v>149388</v>
      </c>
      <c r="E88">
        <f t="shared" si="11"/>
        <v>86</v>
      </c>
      <c r="F88" s="61">
        <f>IF(FT!A88&lt;&gt;"",FT!A88*10,"")</f>
        <v>3.0983000000000001</v>
      </c>
      <c r="G88" s="61">
        <f>IF(FT!B88&lt;&gt;"",FT!B88*100,"")</f>
        <v>46.622100000000003</v>
      </c>
      <c r="H88" s="61">
        <f t="shared" si="9"/>
        <v>1</v>
      </c>
      <c r="I88" t="str">
        <f>IF(FT!B88&lt;&gt;"",FT!E88,"")</f>
        <v>2 [34.961335]</v>
      </c>
      <c r="J88">
        <f>IF(FT!B88&lt;&gt;"",FT!C88,"")</f>
        <v>34.961300000000001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3.0775400000000004</v>
      </c>
      <c r="G89" s="61">
        <f>IF(FT!B89&lt;&gt;"",FT!B89*100,"")</f>
        <v>46.671399999999998</v>
      </c>
      <c r="H89" s="61">
        <f t="shared" si="9"/>
        <v>1</v>
      </c>
      <c r="I89" t="str">
        <f>IF(FT!B89&lt;&gt;"",FT!E89,"")</f>
        <v>2 [35.366957]</v>
      </c>
      <c r="J89">
        <f>IF(FT!B89&lt;&gt;"",FT!C89,"")</f>
        <v>35.366999999999997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145678</v>
      </c>
      <c r="D90" s="61">
        <f>FH!B90*1</f>
        <v>145678</v>
      </c>
      <c r="E90">
        <f t="shared" si="11"/>
        <v>88</v>
      </c>
      <c r="F90" s="61">
        <f>IF(FT!A90&lt;&gt;"",FT!A90*10,"")</f>
        <v>3.0581399999999999</v>
      </c>
      <c r="G90" s="61">
        <f>IF(FT!B90&lt;&gt;"",FT!B90*100,"")</f>
        <v>46.715899999999998</v>
      </c>
      <c r="H90" s="61">
        <f t="shared" si="9"/>
        <v>1</v>
      </c>
      <c r="I90" t="str">
        <f>IF(FT!B90&lt;&gt;"",FT!E90,"")</f>
        <v>2 [35.774976]</v>
      </c>
      <c r="J90">
        <f>IF(FT!B90&lt;&gt;"",FT!C90,"")</f>
        <v>35.774999999999999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3.0426500000000001</v>
      </c>
      <c r="G91" s="61">
        <f>IF(FT!B91&lt;&gt;"",FT!B91*100,"")</f>
        <v>46.725899999999996</v>
      </c>
      <c r="H91" s="61">
        <f t="shared" si="9"/>
        <v>1</v>
      </c>
      <c r="I91" t="str">
        <f>IF(FT!B91&lt;&gt;"",FT!E91,"")</f>
        <v>2 [36.181128]</v>
      </c>
      <c r="J91">
        <f>IF(FT!B91&lt;&gt;"",FT!C91,"")</f>
        <v>36.181100000000001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3.0288700000000004</v>
      </c>
      <c r="G92" s="61">
        <f>IF(FT!B92&lt;&gt;"",FT!B92*100,"")</f>
        <v>46.777299999999997</v>
      </c>
      <c r="H92" s="61">
        <f t="shared" si="9"/>
        <v>1</v>
      </c>
      <c r="I92" t="str">
        <f>IF(FT!B92&lt;&gt;"",FT!E92,"")</f>
        <v>2 [36.585619]</v>
      </c>
      <c r="J92">
        <f>IF(FT!B92&lt;&gt;"",FT!C92,"")</f>
        <v>36.585599999999999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143647</v>
      </c>
      <c r="D93" s="61">
        <f>FH!B93*1</f>
        <v>143647</v>
      </c>
      <c r="E93">
        <f t="shared" si="11"/>
        <v>91</v>
      </c>
      <c r="F93" s="61">
        <f>IF(FT!A93&lt;&gt;"",FT!A93*10,"")</f>
        <v>3.0139300000000002</v>
      </c>
      <c r="G93" s="61">
        <f>IF(FT!B93&lt;&gt;"",FT!B93*100,"")</f>
        <v>46.849800000000002</v>
      </c>
      <c r="H93" s="61">
        <f t="shared" si="9"/>
        <v>1</v>
      </c>
      <c r="I93" t="str">
        <f>IF(FT!B93&lt;&gt;"",FT!E93,"")</f>
        <v>2 [36.994723]</v>
      </c>
      <c r="J93">
        <f>IF(FT!B93&lt;&gt;"",FT!C93,"")</f>
        <v>36.994700000000002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2.9973899999999998</v>
      </c>
      <c r="G94" s="61">
        <f>IF(FT!B94&lt;&gt;"",FT!B94*100,"")</f>
        <v>46.972500000000004</v>
      </c>
      <c r="H94" s="61">
        <f t="shared" si="9"/>
        <v>1</v>
      </c>
      <c r="I94" t="str">
        <f>IF(FT!B94&lt;&gt;"",FT!E94,"")</f>
        <v>2 [37.401468]</v>
      </c>
      <c r="J94">
        <f>IF(FT!B94&lt;&gt;"",FT!C94,"")</f>
        <v>37.401499999999999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152278</v>
      </c>
      <c r="D95" s="61">
        <f>FH!B95*1</f>
        <v>152278</v>
      </c>
      <c r="E95">
        <f t="shared" si="11"/>
        <v>93</v>
      </c>
      <c r="F95" s="61">
        <f>IF(FT!A95&lt;&gt;"",FT!A95*10,"")</f>
        <v>2.9813400000000003</v>
      </c>
      <c r="G95" s="61">
        <f>IF(FT!B95&lt;&gt;"",FT!B95*100,"")</f>
        <v>47.090199999999996</v>
      </c>
      <c r="H95" s="61">
        <f t="shared" si="9"/>
        <v>1</v>
      </c>
      <c r="I95" t="str">
        <f>IF(FT!B95&lt;&gt;"",FT!E95,"")</f>
        <v>2 [37.806402]</v>
      </c>
      <c r="J95">
        <f>IF(FT!B95&lt;&gt;"",FT!C95,"")</f>
        <v>37.806399999999996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2.9692600000000002</v>
      </c>
      <c r="G96" s="61">
        <f>IF(FT!B96&lt;&gt;"",FT!B96*100,"")</f>
        <v>47.130300000000005</v>
      </c>
      <c r="H96" s="61">
        <f t="shared" si="9"/>
        <v>1</v>
      </c>
      <c r="I96" t="str">
        <f>IF(FT!B96&lt;&gt;"",FT!E96,"")</f>
        <v>2 [38.212246]</v>
      </c>
      <c r="J96">
        <f>IF(FT!B96&lt;&gt;"",FT!C96,"")</f>
        <v>38.212200000000003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2.96143</v>
      </c>
      <c r="G97" s="61">
        <f>IF(FT!B97&lt;&gt;"",FT!B97*100,"")</f>
        <v>47.099400000000003</v>
      </c>
      <c r="H97" s="61">
        <f t="shared" si="9"/>
        <v>1</v>
      </c>
      <c r="I97" t="str">
        <f>IF(FT!B97&lt;&gt;"",FT!E97,"")</f>
        <v>2 [38.616204]</v>
      </c>
      <c r="J97">
        <f>IF(FT!B97&lt;&gt;"",FT!C97,"")</f>
        <v>38.616199999999999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147090</v>
      </c>
      <c r="D98" s="61">
        <f>FH!B98*1</f>
        <v>147090</v>
      </c>
      <c r="E98">
        <f t="shared" si="11"/>
        <v>96</v>
      </c>
      <c r="F98" s="61">
        <f>IF(FT!A98&lt;&gt;"",FT!A98*10,"")</f>
        <v>2.9598300000000002</v>
      </c>
      <c r="G98" s="61">
        <f>IF(FT!B98&lt;&gt;"",FT!B98*100,"")</f>
        <v>46.970299999999995</v>
      </c>
      <c r="H98" s="61">
        <f t="shared" si="9"/>
        <v>1</v>
      </c>
      <c r="I98" t="str">
        <f>IF(FT!B98&lt;&gt;"",FT!E98,"")</f>
        <v>2 [39.022150]</v>
      </c>
      <c r="J98">
        <f>IF(FT!B98&lt;&gt;"",FT!C98,"")</f>
        <v>39.022100000000002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2.9632900000000002</v>
      </c>
      <c r="G99" s="61">
        <f>IF(FT!B99&lt;&gt;"",FT!B99*100,"")</f>
        <v>46.773299999999999</v>
      </c>
      <c r="H99" s="61">
        <f t="shared" si="9"/>
        <v>1</v>
      </c>
      <c r="I99" t="str">
        <f>IF(FT!B99&lt;&gt;"",FT!E99,"")</f>
        <v>2 [39.426486]</v>
      </c>
      <c r="J99">
        <f>IF(FT!B99&lt;&gt;"",FT!C99,"")</f>
        <v>39.426499999999997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147397</v>
      </c>
      <c r="D100" s="61">
        <f>FH!B100*1</f>
        <v>147397</v>
      </c>
      <c r="E100">
        <f t="shared" si="11"/>
        <v>98</v>
      </c>
      <c r="F100" s="61">
        <f>IF(FT!A100&lt;&gt;"",FT!A100*10,"")</f>
        <v>2.9700300000000004</v>
      </c>
      <c r="G100" s="61">
        <f>IF(FT!B100&lt;&gt;"",FT!B100*100,"")</f>
        <v>46.521799999999999</v>
      </c>
      <c r="H100" s="61">
        <f t="shared" si="9"/>
        <v>1</v>
      </c>
      <c r="I100" t="str">
        <f>IF(FT!B100&lt;&gt;"",FT!E100,"")</f>
        <v>2 [39.839506]</v>
      </c>
      <c r="J100">
        <f>IF(FT!B100&lt;&gt;"",FT!C100,"")</f>
        <v>39.839500000000001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2.97925</v>
      </c>
      <c r="G101" s="61">
        <f>IF(FT!B101&lt;&gt;"",FT!B101*100,"")</f>
        <v>46.239100000000001</v>
      </c>
      <c r="H101" s="61">
        <f t="shared" si="9"/>
        <v>1</v>
      </c>
      <c r="I101" t="str">
        <f>IF(FT!B101&lt;&gt;"",FT!E101,"")</f>
        <v>2 [40.241166]</v>
      </c>
      <c r="J101">
        <f>IF(FT!B101&lt;&gt;"",FT!C101,"")</f>
        <v>40.241199999999999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2.99193</v>
      </c>
      <c r="G102" s="61">
        <f>IF(FT!B102&lt;&gt;"",FT!B102*100,"")</f>
        <v>45.907899999999998</v>
      </c>
      <c r="H102" s="61">
        <f t="shared" si="9"/>
        <v>1</v>
      </c>
      <c r="I102" t="str">
        <f>IF(FT!B102&lt;&gt;"",FT!E102,"")</f>
        <v>2 [40.648871]</v>
      </c>
      <c r="J102">
        <f>IF(FT!B102&lt;&gt;"",FT!C102,"")</f>
        <v>40.648899999999998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140897</v>
      </c>
      <c r="D103" s="61">
        <f>FH!B103*1</f>
        <v>140897</v>
      </c>
      <c r="E103">
        <f t="shared" si="11"/>
        <v>101</v>
      </c>
      <c r="F103" s="61">
        <f>IF(FT!A103&lt;&gt;"",FT!A103*10,"")</f>
        <v>3.0060900000000004</v>
      </c>
      <c r="G103" s="61">
        <f>IF(FT!B103&lt;&gt;"",FT!B103*100,"")</f>
        <v>45.575500000000005</v>
      </c>
      <c r="H103" s="61">
        <f t="shared" si="9"/>
        <v>1</v>
      </c>
      <c r="I103" t="str">
        <f>IF(FT!B103&lt;&gt;"",FT!E103,"")</f>
        <v>2 [41.056698]</v>
      </c>
      <c r="J103">
        <f>IF(FT!B103&lt;&gt;"",FT!C103,"")</f>
        <v>41.056699999999999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3.0249199999999998</v>
      </c>
      <c r="G104" s="61">
        <f>IF(FT!B104&lt;&gt;"",FT!B104*100,"")</f>
        <v>45.2014</v>
      </c>
      <c r="H104" s="61">
        <f t="shared" si="9"/>
        <v>1</v>
      </c>
      <c r="I104" t="str">
        <f>IF(FT!B104&lt;&gt;"",FT!E104,"")</f>
        <v>2 [41.459609]</v>
      </c>
      <c r="J104">
        <f>IF(FT!B104&lt;&gt;"",FT!C104,"")</f>
        <v>41.459600000000002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3.05044</v>
      </c>
      <c r="G105" s="61">
        <f>IF(FT!B105&lt;&gt;"",FT!B105*100,"")</f>
        <v>44.778199999999998</v>
      </c>
      <c r="H105" s="61">
        <f t="shared" si="9"/>
        <v>1</v>
      </c>
      <c r="I105" t="str">
        <f>IF(FT!B105&lt;&gt;"",FT!E105,"")</f>
        <v>2 [41.866525]</v>
      </c>
      <c r="J105">
        <f>IF(FT!B105&lt;&gt;"",FT!C105,"")</f>
        <v>41.866500000000002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143310</v>
      </c>
      <c r="D106" s="61">
        <f>FH!B106*1</f>
        <v>143310</v>
      </c>
      <c r="E106">
        <f t="shared" si="11"/>
        <v>104</v>
      </c>
      <c r="F106" s="61">
        <f>IF(FT!A106&lt;&gt;"",FT!A106*10,"")</f>
        <v>3.0786500000000001</v>
      </c>
      <c r="G106" s="61">
        <f>IF(FT!B106&lt;&gt;"",FT!B106*100,"")</f>
        <v>44.373400000000004</v>
      </c>
      <c r="H106" s="61">
        <f t="shared" si="9"/>
        <v>1</v>
      </c>
      <c r="I106" t="str">
        <f>IF(FT!B106&lt;&gt;"",FT!E106,"")</f>
        <v>2 [42.271590]</v>
      </c>
      <c r="J106">
        <f>IF(FT!B106&lt;&gt;"",FT!C106,"")</f>
        <v>42.271599999999999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3.1091500000000001</v>
      </c>
      <c r="G107" s="61">
        <f>IF(FT!B107&lt;&gt;"",FT!B107*100,"")</f>
        <v>43.960300000000004</v>
      </c>
      <c r="H107" s="61">
        <f t="shared" si="9"/>
        <v>1</v>
      </c>
      <c r="I107" t="str">
        <f>IF(FT!B107&lt;&gt;"",FT!E107,"")</f>
        <v>2 [42.684357]</v>
      </c>
      <c r="J107">
        <f>IF(FT!B107&lt;&gt;"",FT!C107,"")</f>
        <v>42.684399999999997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126898</v>
      </c>
      <c r="D108" s="61">
        <f>FH!B108*1</f>
        <v>126898</v>
      </c>
      <c r="E108">
        <f t="shared" si="11"/>
        <v>106</v>
      </c>
      <c r="F108" s="61">
        <f>IF(FT!A108&lt;&gt;"",FT!A108*10,"")</f>
        <v>3.1417099999999998</v>
      </c>
      <c r="G108" s="61">
        <f>IF(FT!B108&lt;&gt;"",FT!B108*100,"")</f>
        <v>43.530299999999997</v>
      </c>
      <c r="H108" s="61">
        <f t="shared" si="9"/>
        <v>1</v>
      </c>
      <c r="I108" t="str">
        <f>IF(FT!B108&lt;&gt;"",FT!E108,"")</f>
        <v>2 [43.088292]</v>
      </c>
      <c r="J108">
        <f>IF(FT!B108&lt;&gt;"",FT!C108,"")</f>
        <v>43.088299999999997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3.17171</v>
      </c>
      <c r="G109" s="61">
        <f>IF(FT!B109&lt;&gt;"",FT!B109*100,"")</f>
        <v>43.226999999999997</v>
      </c>
      <c r="H109" s="61">
        <f t="shared" si="9"/>
        <v>1</v>
      </c>
      <c r="I109" t="str">
        <f>IF(FT!B109&lt;&gt;"",FT!E109,"")</f>
        <v>2 [43.492159]</v>
      </c>
      <c r="J109">
        <f>IF(FT!B109&lt;&gt;"",FT!C109,"")</f>
        <v>43.492199999999997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3.1969700000000003</v>
      </c>
      <c r="G110" s="61">
        <f>IF(FT!B110&lt;&gt;"",FT!B110*100,"")</f>
        <v>43.101299999999995</v>
      </c>
      <c r="H110" s="61">
        <f t="shared" si="9"/>
        <v>1</v>
      </c>
      <c r="I110" t="str">
        <f>IF(FT!B110&lt;&gt;"",FT!E110,"")</f>
        <v>2 [43.897229]</v>
      </c>
      <c r="J110">
        <f>IF(FT!B110&lt;&gt;"",FT!C110,"")</f>
        <v>43.897199999999998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116338</v>
      </c>
      <c r="D111" s="61">
        <f>FH!B111*1</f>
        <v>116338</v>
      </c>
      <c r="E111">
        <f t="shared" si="11"/>
        <v>109</v>
      </c>
      <c r="F111" s="61">
        <f>IF(FT!A111&lt;&gt;"",FT!A111*10,"")</f>
        <v>3.2183600000000001</v>
      </c>
      <c r="G111" s="61">
        <f>IF(FT!B111&lt;&gt;"",FT!B111*100,"")</f>
        <v>43.052500000000002</v>
      </c>
      <c r="H111" s="61">
        <f t="shared" si="9"/>
        <v>1</v>
      </c>
      <c r="I111" t="str">
        <f>IF(FT!B111&lt;&gt;"",FT!E111,"")</f>
        <v>2 [44.303420]</v>
      </c>
      <c r="J111">
        <f>IF(FT!B111&lt;&gt;"",FT!C111,"")</f>
        <v>44.303400000000003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3.2384300000000001</v>
      </c>
      <c r="G112" s="61">
        <f>IF(FT!B112&lt;&gt;"",FT!B112*100,"")</f>
        <v>42.949599999999997</v>
      </c>
      <c r="H112" s="61">
        <f t="shared" si="9"/>
        <v>1</v>
      </c>
      <c r="I112" t="str">
        <f>IF(FT!B112&lt;&gt;"",FT!E112,"")</f>
        <v>2 [44.711983]</v>
      </c>
      <c r="J112">
        <f>IF(FT!B112&lt;&gt;"",FT!C112,"")</f>
        <v>44.712000000000003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120349</v>
      </c>
      <c r="D113" s="61">
        <f>FH!B113*1</f>
        <v>120349</v>
      </c>
      <c r="E113">
        <f t="shared" si="11"/>
        <v>111</v>
      </c>
      <c r="F113" s="61">
        <f>IF(FT!A113&lt;&gt;"",FT!A113*10,"")</f>
        <v>3.2550699999999999</v>
      </c>
      <c r="G113" s="61">
        <f>IF(FT!B113&lt;&gt;"",FT!B113*100,"")</f>
        <v>42.921300000000002</v>
      </c>
      <c r="H113" s="61">
        <f t="shared" si="9"/>
        <v>1</v>
      </c>
      <c r="I113" t="str">
        <f>IF(FT!B113&lt;&gt;"",FT!E113,"")</f>
        <v>2 [45.117867]</v>
      </c>
      <c r="J113">
        <f>IF(FT!B113&lt;&gt;"",FT!C113,"")</f>
        <v>45.117899999999999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3.27203</v>
      </c>
      <c r="G114" s="61">
        <f>IF(FT!B114&lt;&gt;"",FT!B114*100,"")</f>
        <v>42.907899999999998</v>
      </c>
      <c r="H114" s="61">
        <f t="shared" si="9"/>
        <v>1</v>
      </c>
      <c r="I114" t="str">
        <f>IF(FT!B114&lt;&gt;"",FT!E114,"")</f>
        <v>2 [45.522837]</v>
      </c>
      <c r="J114">
        <f>IF(FT!B114&lt;&gt;"",FT!C114,"")</f>
        <v>45.522799999999997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3.2927600000000004</v>
      </c>
      <c r="G115" s="61">
        <f>IF(FT!B115&lt;&gt;"",FT!B115*100,"")</f>
        <v>42.8992</v>
      </c>
      <c r="H115" s="61">
        <f t="shared" si="9"/>
        <v>1</v>
      </c>
      <c r="I115" t="str">
        <f>IF(FT!B115&lt;&gt;"",FT!E115,"")</f>
        <v>2 [45.929688]</v>
      </c>
      <c r="J115">
        <f>IF(FT!B115&lt;&gt;"",FT!C115,"")</f>
        <v>45.929699999999997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115907</v>
      </c>
      <c r="D116" s="61">
        <f>FH!B116*1</f>
        <v>115907</v>
      </c>
      <c r="E116">
        <f t="shared" si="11"/>
        <v>114</v>
      </c>
      <c r="F116" s="61">
        <f>IF(FT!A116&lt;&gt;"",FT!A116*10,"")</f>
        <v>3.3167499999999999</v>
      </c>
      <c r="G116" s="61">
        <f>IF(FT!B116&lt;&gt;"",FT!B116*100,"")</f>
        <v>42.883200000000002</v>
      </c>
      <c r="H116" s="61">
        <f t="shared" si="9"/>
        <v>1</v>
      </c>
      <c r="I116" t="str">
        <f>IF(FT!B116&lt;&gt;"",FT!E116,"")</f>
        <v>2 [46.334725]</v>
      </c>
      <c r="J116">
        <f>IF(FT!B116&lt;&gt;"",FT!C116,"")</f>
        <v>46.334699999999998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3.3459599999999998</v>
      </c>
      <c r="G117" s="61">
        <f>IF(FT!B117&lt;&gt;"",FT!B117*100,"")</f>
        <v>42.848300000000002</v>
      </c>
      <c r="H117" s="61">
        <f t="shared" si="9"/>
        <v>1</v>
      </c>
      <c r="I117" t="str">
        <f>IF(FT!B117&lt;&gt;"",FT!E117,"")</f>
        <v>2 [46.740543]</v>
      </c>
      <c r="J117">
        <f>IF(FT!B117&lt;&gt;"",FT!C117,"")</f>
        <v>46.740499999999997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118215</v>
      </c>
      <c r="D118" s="61">
        <f>FH!B118*1</f>
        <v>118215</v>
      </c>
      <c r="E118">
        <f t="shared" si="11"/>
        <v>116</v>
      </c>
      <c r="F118" s="61">
        <f>IF(FT!A118&lt;&gt;"",FT!A118*10,"")</f>
        <v>3.3797899999999998</v>
      </c>
      <c r="G118" s="61">
        <f>IF(FT!B118&lt;&gt;"",FT!B118*100,"")</f>
        <v>42.824400000000004</v>
      </c>
      <c r="H118" s="61">
        <f t="shared" si="9"/>
        <v>1</v>
      </c>
      <c r="I118" t="str">
        <f>IF(FT!B118&lt;&gt;"",FT!E118,"")</f>
        <v>2 [47.147683]</v>
      </c>
      <c r="J118">
        <f>IF(FT!B118&lt;&gt;"",FT!C118,"")</f>
        <v>47.1477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3.4165200000000002</v>
      </c>
      <c r="G119" s="61">
        <f>IF(FT!B119&lt;&gt;"",FT!B119*100,"")</f>
        <v>42.77</v>
      </c>
      <c r="H119" s="61">
        <f t="shared" si="9"/>
        <v>1</v>
      </c>
      <c r="I119" t="str">
        <f>IF(FT!B119&lt;&gt;"",FT!E119,"")</f>
        <v>2 [47.553496]</v>
      </c>
      <c r="J119">
        <f>IF(FT!B119&lt;&gt;"",FT!C119,"")</f>
        <v>47.5535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3.4546999999999999</v>
      </c>
      <c r="G120" s="61">
        <f>IF(FT!B120&lt;&gt;"",FT!B120*100,"")</f>
        <v>42.767600000000002</v>
      </c>
      <c r="H120" s="61">
        <f t="shared" si="9"/>
        <v>1</v>
      </c>
      <c r="I120" t="str">
        <f>IF(FT!B120&lt;&gt;"",FT!E120,"")</f>
        <v>2 [47.964517]</v>
      </c>
      <c r="J120">
        <f>IF(FT!B120&lt;&gt;"",FT!C120,"")</f>
        <v>47.964500000000001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116665</v>
      </c>
      <c r="D121" s="61">
        <f>FH!B121*1</f>
        <v>116665</v>
      </c>
      <c r="E121">
        <f t="shared" si="11"/>
        <v>119</v>
      </c>
      <c r="F121" s="61">
        <f>IF(FT!A121&lt;&gt;"",FT!A121*10,"")</f>
        <v>3.49431</v>
      </c>
      <c r="G121" s="61">
        <f>IF(FT!B121&lt;&gt;"",FT!B121*100,"")</f>
        <v>42.8005</v>
      </c>
      <c r="H121" s="61">
        <f t="shared" si="9"/>
        <v>1</v>
      </c>
      <c r="I121" t="str">
        <f>IF(FT!B121&lt;&gt;"",FT!E121,"")</f>
        <v>2 [48.368121]</v>
      </c>
      <c r="J121">
        <f>IF(FT!B121&lt;&gt;"",FT!C121,"")</f>
        <v>48.368099999999998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3.53315</v>
      </c>
      <c r="G122" s="61">
        <f>IF(FT!B122&lt;&gt;"",FT!B122*100,"")</f>
        <v>42.875700000000002</v>
      </c>
      <c r="H122" s="61">
        <f t="shared" si="9"/>
        <v>1</v>
      </c>
      <c r="I122" t="str">
        <f>IF(FT!B122&lt;&gt;"",FT!E122,"")</f>
        <v>2 [48.772054]</v>
      </c>
      <c r="J122">
        <f>IF(FT!B122&lt;&gt;"",FT!C122,"")</f>
        <v>48.772100000000002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3.56928</v>
      </c>
      <c r="G123" s="61">
        <f>IF(FT!B123&lt;&gt;"",FT!B123*100,"")</f>
        <v>43.063299999999998</v>
      </c>
      <c r="H123" s="61">
        <f t="shared" si="9"/>
        <v>1</v>
      </c>
      <c r="I123" t="str">
        <f>IF(FT!B123&lt;&gt;"",FT!E123,"")</f>
        <v>2 [49.179925]</v>
      </c>
      <c r="J123">
        <f>IF(FT!B123&lt;&gt;"",FT!C123,"")</f>
        <v>49.179900000000004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112523</v>
      </c>
      <c r="D124" s="61">
        <f>FH!B124*1</f>
        <v>112523</v>
      </c>
      <c r="E124">
        <f t="shared" si="11"/>
        <v>122</v>
      </c>
      <c r="F124" s="61">
        <f>IF(FT!A124&lt;&gt;"",FT!A124*10,"")</f>
        <v>3.6026899999999999</v>
      </c>
      <c r="G124" s="61">
        <f>IF(FT!B124&lt;&gt;"",FT!B124*100,"")</f>
        <v>43.291800000000002</v>
      </c>
      <c r="H124" s="61">
        <f t="shared" si="9"/>
        <v>1</v>
      </c>
      <c r="I124" t="str">
        <f>IF(FT!B124&lt;&gt;"",FT!E124,"")</f>
        <v>2 [49.585081]</v>
      </c>
      <c r="J124">
        <f>IF(FT!B124&lt;&gt;"",FT!C124,"")</f>
        <v>49.585099999999997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3.6337900000000003</v>
      </c>
      <c r="G125" s="61">
        <f>IF(FT!B125&lt;&gt;"",FT!B125*100,"")</f>
        <v>43.491900000000001</v>
      </c>
      <c r="H125" s="61">
        <f t="shared" si="9"/>
        <v>1</v>
      </c>
      <c r="I125" t="str">
        <f>IF(FT!B125&lt;&gt;"",FT!E125,"")</f>
        <v>2 [49.993856]</v>
      </c>
      <c r="J125">
        <f>IF(FT!B125&lt;&gt;"",FT!C125,"")</f>
        <v>49.993899999999996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104726</v>
      </c>
      <c r="D126" s="61">
        <f>FH!B126*1</f>
        <v>104726</v>
      </c>
      <c r="E126">
        <f t="shared" si="11"/>
        <v>124</v>
      </c>
      <c r="F126" s="61">
        <f>IF(FT!A126&lt;&gt;"",FT!A126*10,"")</f>
        <v>3.6510799999999999</v>
      </c>
      <c r="G126" s="61">
        <f>IF(FT!B126&lt;&gt;"",FT!B126*100,"")</f>
        <v>43.677</v>
      </c>
      <c r="H126" s="61">
        <f t="shared" si="9"/>
        <v>1</v>
      </c>
      <c r="I126" t="str">
        <f>IF(FT!B126&lt;&gt;"",FT!E126,"")</f>
        <v>2 [50.400206]</v>
      </c>
      <c r="J126">
        <f>IF(FT!B126&lt;&gt;"",FT!C126,"")</f>
        <v>50.400199999999998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3.66777</v>
      </c>
      <c r="G127" s="61">
        <f>IF(FT!B127&lt;&gt;"",FT!B127*100,"")</f>
        <v>43.851900000000001</v>
      </c>
      <c r="H127" s="61">
        <f t="shared" si="9"/>
        <v>1</v>
      </c>
      <c r="I127" t="str">
        <f>IF(FT!B127&lt;&gt;"",FT!E127,"")</f>
        <v>2 [50.806593]</v>
      </c>
      <c r="J127">
        <f>IF(FT!B127&lt;&gt;"",FT!C127,"")</f>
        <v>50.806600000000003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3.6842100000000002</v>
      </c>
      <c r="G128" s="61">
        <f>IF(FT!B128&lt;&gt;"",FT!B128*100,"")</f>
        <v>44.0261</v>
      </c>
      <c r="H128" s="61">
        <f t="shared" si="9"/>
        <v>1</v>
      </c>
      <c r="I128" t="str">
        <f>IF(FT!B128&lt;&gt;"",FT!E128,"")</f>
        <v>2 [51.211489]</v>
      </c>
      <c r="J128">
        <f>IF(FT!B128&lt;&gt;"",FT!C128,"")</f>
        <v>51.211500000000001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100350</v>
      </c>
      <c r="D129" s="61">
        <f>FH!B129*1</f>
        <v>100350</v>
      </c>
      <c r="E129">
        <f t="shared" si="11"/>
        <v>127</v>
      </c>
      <c r="F129" s="61">
        <f>IF(FT!A129&lt;&gt;"",FT!A129*10,"")</f>
        <v>3.6975999999999996</v>
      </c>
      <c r="G129" s="61">
        <f>IF(FT!B129&lt;&gt;"",FT!B129*100,"")</f>
        <v>44.135799999999996</v>
      </c>
      <c r="H129" s="61">
        <f t="shared" si="9"/>
        <v>1</v>
      </c>
      <c r="I129" t="str">
        <f>IF(FT!B129&lt;&gt;"",FT!E129,"")</f>
        <v>2 [51.616606]</v>
      </c>
      <c r="J129">
        <f>IF(FT!B129&lt;&gt;"",FT!C129,"")</f>
        <v>51.616599999999998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3.7076199999999999</v>
      </c>
      <c r="G130" s="61">
        <f>IF(FT!B130&lt;&gt;"",FT!B130*100,"")</f>
        <v>44.201599999999999</v>
      </c>
      <c r="H130" s="61">
        <f t="shared" si="9"/>
        <v>1</v>
      </c>
      <c r="I130" t="str">
        <f>IF(FT!B130&lt;&gt;"",FT!E130,"")</f>
        <v>2 [52.023331]</v>
      </c>
      <c r="J130">
        <f>IF(FT!B130&lt;&gt;"",FT!C130,"")</f>
        <v>52.023299999999999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85732</v>
      </c>
      <c r="D131" s="61">
        <f>FH!B131*1</f>
        <v>85732</v>
      </c>
      <c r="E131">
        <f t="shared" si="11"/>
        <v>129</v>
      </c>
      <c r="F131" s="61">
        <f>IF(FT!A131&lt;&gt;"",FT!A131*10,"")</f>
        <v>3.7146600000000003</v>
      </c>
      <c r="G131" s="61">
        <f>IF(FT!B131&lt;&gt;"",FT!B131*100,"")</f>
        <v>44.236199999999997</v>
      </c>
      <c r="H131" s="61">
        <f t="shared" ref="H131:H194" si="13">(IF(F131&lt;&gt;"",1,""))</f>
        <v>1</v>
      </c>
      <c r="I131" t="str">
        <f>IF(FT!B131&lt;&gt;"",FT!E131,"")</f>
        <v>2 [52.429326]</v>
      </c>
      <c r="J131">
        <f>IF(FT!B131&lt;&gt;"",FT!C131,"")</f>
        <v>52.429299999999998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3.7187700000000001</v>
      </c>
      <c r="G132" s="61">
        <f>IF(FT!B132&lt;&gt;"",FT!B132*100,"")</f>
        <v>44.267600000000002</v>
      </c>
      <c r="H132" s="61">
        <f t="shared" si="13"/>
        <v>1</v>
      </c>
      <c r="I132" t="str">
        <f>IF(FT!B132&lt;&gt;"",FT!E132,"")</f>
        <v>2 [52.833679]</v>
      </c>
      <c r="J132">
        <f>IF(FT!B132&lt;&gt;"",FT!C132,"")</f>
        <v>52.8337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3.71997</v>
      </c>
      <c r="G133" s="61">
        <f>IF(FT!B133&lt;&gt;"",FT!B133*100,"")</f>
        <v>44.322899999999997</v>
      </c>
      <c r="H133" s="61">
        <f t="shared" si="13"/>
        <v>1</v>
      </c>
      <c r="I133" t="str">
        <f>IF(FT!B133&lt;&gt;"",FT!E133,"")</f>
        <v>2 [53.241224]</v>
      </c>
      <c r="J133">
        <f>IF(FT!B133&lt;&gt;"",FT!C133,"")</f>
        <v>53.241199999999999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69384</v>
      </c>
      <c r="D134" s="61">
        <f>FH!B134*1</f>
        <v>69384</v>
      </c>
      <c r="E134">
        <f t="shared" si="15"/>
        <v>132</v>
      </c>
      <c r="F134" s="61">
        <f>IF(FT!A134&lt;&gt;"",FT!A134*10,"")</f>
        <v>3.7243599999999999</v>
      </c>
      <c r="G134" s="61">
        <f>IF(FT!B134&lt;&gt;"",FT!B134*100,"")</f>
        <v>44.374400000000001</v>
      </c>
      <c r="H134" s="61">
        <f t="shared" si="13"/>
        <v>1</v>
      </c>
      <c r="I134" t="str">
        <f>IF(FT!B134&lt;&gt;"",FT!E134,"")</f>
        <v>2 [53.646092]</v>
      </c>
      <c r="J134">
        <f>IF(FT!B134&lt;&gt;"",FT!C134,"")</f>
        <v>53.646099999999997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3.73732</v>
      </c>
      <c r="G135" s="61">
        <f>IF(FT!B135&lt;&gt;"",FT!B135*100,"")</f>
        <v>44.439599999999999</v>
      </c>
      <c r="H135" s="61">
        <f t="shared" si="13"/>
        <v>1</v>
      </c>
      <c r="I135" t="str">
        <f>IF(FT!B135&lt;&gt;"",FT!E135,"")</f>
        <v>2 [54.053927]</v>
      </c>
      <c r="J135">
        <f>IF(FT!B135&lt;&gt;"",FT!C135,"")</f>
        <v>54.053899999999999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59239</v>
      </c>
      <c r="D136" s="61">
        <f>FH!B136*1</f>
        <v>59239</v>
      </c>
      <c r="E136">
        <f t="shared" si="15"/>
        <v>134</v>
      </c>
      <c r="F136" s="61">
        <f>IF(FT!A136&lt;&gt;"",FT!A136*10,"")</f>
        <v>3.7569599999999999</v>
      </c>
      <c r="G136" s="61">
        <f>IF(FT!B136&lt;&gt;"",FT!B136*100,"")</f>
        <v>44.506099999999996</v>
      </c>
      <c r="H136" s="61">
        <f t="shared" si="13"/>
        <v>1</v>
      </c>
      <c r="I136" t="str">
        <f>IF(FT!B136&lt;&gt;"",FT!E136,"")</f>
        <v>2 [54.459921]</v>
      </c>
      <c r="J136">
        <f>IF(FT!B136&lt;&gt;"",FT!C136,"")</f>
        <v>54.459899999999998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3.77658</v>
      </c>
      <c r="G137" s="61">
        <f>IF(FT!B137&lt;&gt;"",FT!B137*100,"")</f>
        <v>44.576300000000003</v>
      </c>
      <c r="H137" s="61">
        <f t="shared" si="13"/>
        <v>1</v>
      </c>
      <c r="I137" t="str">
        <f>IF(FT!B137&lt;&gt;"",FT!E137,"")</f>
        <v>2 [54.868875]</v>
      </c>
      <c r="J137">
        <f>IF(FT!B137&lt;&gt;"",FT!C137,"")</f>
        <v>54.868899999999996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3.8047900000000001</v>
      </c>
      <c r="G138" s="61">
        <f>IF(FT!B138&lt;&gt;"",FT!B138*100,"")</f>
        <v>44.703800000000001</v>
      </c>
      <c r="H138" s="61">
        <f t="shared" si="13"/>
        <v>1</v>
      </c>
      <c r="I138" t="str">
        <f>IF(FT!B138&lt;&gt;"",FT!E138,"")</f>
        <v>2 [55.275689]</v>
      </c>
      <c r="J138">
        <f>IF(FT!B138&lt;&gt;"",FT!C138,"")</f>
        <v>55.275700000000001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47488</v>
      </c>
      <c r="D139" s="61">
        <f>FH!B139*1</f>
        <v>47488</v>
      </c>
      <c r="E139">
        <f t="shared" si="15"/>
        <v>137</v>
      </c>
      <c r="F139" s="61">
        <f>IF(FT!A139&lt;&gt;"",FT!A139*10,"")</f>
        <v>3.8385200000000004</v>
      </c>
      <c r="G139" s="61">
        <f>IF(FT!B139&lt;&gt;"",FT!B139*100,"")</f>
        <v>44.924500000000002</v>
      </c>
      <c r="H139" s="61">
        <f t="shared" si="13"/>
        <v>1</v>
      </c>
      <c r="I139" t="str">
        <f>IF(FT!B139&lt;&gt;"",FT!E139,"")</f>
        <v>2 [55.683036]</v>
      </c>
      <c r="J139">
        <f>IF(FT!B139&lt;&gt;"",FT!C139,"")</f>
        <v>55.683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3.8721899999999998</v>
      </c>
      <c r="G140" s="61">
        <f>IF(FT!B140&lt;&gt;"",FT!B140*100,"")</f>
        <v>45.119</v>
      </c>
      <c r="H140" s="61">
        <f t="shared" si="13"/>
        <v>1</v>
      </c>
      <c r="I140" t="str">
        <f>IF(FT!B140&lt;&gt;"",FT!E140,"")</f>
        <v>2 [56.087526]</v>
      </c>
      <c r="J140">
        <f>IF(FT!B140&lt;&gt;"",FT!C140,"")</f>
        <v>56.087499999999999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3.9028400000000003</v>
      </c>
      <c r="G141" s="61">
        <f>IF(FT!B141&lt;&gt;"",FT!B141*100,"")</f>
        <v>45.316400000000002</v>
      </c>
      <c r="H141" s="61">
        <f t="shared" si="13"/>
        <v>1</v>
      </c>
      <c r="I141" t="str">
        <f>IF(FT!B141&lt;&gt;"",FT!E141,"")</f>
        <v>2 [56.492468]</v>
      </c>
      <c r="J141">
        <f>IF(FT!B141&lt;&gt;"",FT!C141,"")</f>
        <v>56.4925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45417</v>
      </c>
      <c r="D142" s="61">
        <f>FH!B142*1</f>
        <v>45417</v>
      </c>
      <c r="E142">
        <f t="shared" si="15"/>
        <v>140</v>
      </c>
      <c r="F142" s="61">
        <f>IF(FT!A142&lt;&gt;"",FT!A142*10,"")</f>
        <v>3.9271699999999998</v>
      </c>
      <c r="G142" s="61">
        <f>IF(FT!B142&lt;&gt;"",FT!B142*100,"")</f>
        <v>45.402000000000001</v>
      </c>
      <c r="H142" s="61">
        <f t="shared" si="13"/>
        <v>1</v>
      </c>
      <c r="I142" t="str">
        <f>IF(FT!B142&lt;&gt;"",FT!E142,"")</f>
        <v>2 [56.900319]</v>
      </c>
      <c r="J142">
        <f>IF(FT!B142&lt;&gt;"",FT!C142,"")</f>
        <v>56.900300000000001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3.9480199999999996</v>
      </c>
      <c r="G143" s="61">
        <f>IF(FT!B143&lt;&gt;"",FT!B143*100,"")</f>
        <v>45.542000000000002</v>
      </c>
      <c r="H143" s="61">
        <f t="shared" si="13"/>
        <v>1</v>
      </c>
      <c r="I143" t="str">
        <f>IF(FT!B143&lt;&gt;"",FT!E143,"")</f>
        <v>2 [57.305264]</v>
      </c>
      <c r="J143">
        <f>IF(FT!B143&lt;&gt;"",FT!C143,"")</f>
        <v>57.305300000000003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40703</v>
      </c>
      <c r="D144" s="61">
        <f>FH!B144*1</f>
        <v>40703</v>
      </c>
      <c r="E144">
        <f t="shared" si="15"/>
        <v>142</v>
      </c>
      <c r="F144" s="61">
        <f>IF(FT!A144&lt;&gt;"",FT!A144*10,"")</f>
        <v>3.95913</v>
      </c>
      <c r="G144" s="61">
        <f>IF(FT!B144&lt;&gt;"",FT!B144*100,"")</f>
        <v>45.777099999999997</v>
      </c>
      <c r="H144" s="61">
        <f t="shared" si="13"/>
        <v>1</v>
      </c>
      <c r="I144" t="str">
        <f>IF(FT!B144&lt;&gt;"",FT!E144,"")</f>
        <v>2 [57.712109]</v>
      </c>
      <c r="J144">
        <f>IF(FT!B144&lt;&gt;"",FT!C144,"")</f>
        <v>57.7121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3.9661900000000001</v>
      </c>
      <c r="G145" s="61">
        <f>IF(FT!B145&lt;&gt;"",FT!B145*100,"")</f>
        <v>45.958500000000001</v>
      </c>
      <c r="H145" s="61">
        <f t="shared" si="13"/>
        <v>1</v>
      </c>
      <c r="I145" t="str">
        <f>IF(FT!B145&lt;&gt;"",FT!E145,"")</f>
        <v>2 [58.117111]</v>
      </c>
      <c r="J145">
        <f>IF(FT!B145&lt;&gt;"",FT!C145,"")</f>
        <v>58.117100000000001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3.9646599999999999</v>
      </c>
      <c r="G146" s="61">
        <f>IF(FT!B146&lt;&gt;"",FT!B146*100,"")</f>
        <v>46.171500000000002</v>
      </c>
      <c r="H146" s="61">
        <f t="shared" si="13"/>
        <v>1</v>
      </c>
      <c r="I146" t="str">
        <f>IF(FT!B146&lt;&gt;"",FT!E146,"")</f>
        <v>2 [58.521046]</v>
      </c>
      <c r="J146">
        <f>IF(FT!B146&lt;&gt;"",FT!C146,"")</f>
        <v>58.521000000000001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37860</v>
      </c>
      <c r="D147" s="61">
        <f>FH!B147*1</f>
        <v>37860</v>
      </c>
      <c r="E147">
        <f t="shared" si="15"/>
        <v>145</v>
      </c>
      <c r="F147" s="61">
        <f>IF(FT!A147&lt;&gt;"",FT!A147*10,"")</f>
        <v>3.9563700000000002</v>
      </c>
      <c r="G147" s="61">
        <f>IF(FT!B147&lt;&gt;"",FT!B147*100,"")</f>
        <v>46.520600000000002</v>
      </c>
      <c r="H147" s="61">
        <f t="shared" si="13"/>
        <v>1</v>
      </c>
      <c r="I147" t="str">
        <f>IF(FT!B147&lt;&gt;"",FT!E147,"")</f>
        <v>2 [58.931999]</v>
      </c>
      <c r="J147">
        <f>IF(FT!B147&lt;&gt;"",FT!C147,"")</f>
        <v>58.932000000000002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3.9575399999999998</v>
      </c>
      <c r="G148" s="61">
        <f>IF(FT!B148&lt;&gt;"",FT!B148*100,"")</f>
        <v>46.640799999999999</v>
      </c>
      <c r="H148" s="61">
        <f t="shared" si="13"/>
        <v>1</v>
      </c>
      <c r="I148" t="str">
        <f>IF(FT!B148&lt;&gt;"",FT!E148,"")</f>
        <v>2 [59.337884]</v>
      </c>
      <c r="J148">
        <f>IF(FT!B148&lt;&gt;"",FT!C148,"")</f>
        <v>59.337899999999998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33708</v>
      </c>
      <c r="D149" s="61">
        <f>FH!B149*1</f>
        <v>33708</v>
      </c>
      <c r="E149">
        <f t="shared" si="15"/>
        <v>147</v>
      </c>
      <c r="F149" s="61">
        <f>IF(FT!A149&lt;&gt;"",FT!A149*10,"")</f>
        <v>3.9642200000000001</v>
      </c>
      <c r="G149" s="61">
        <f>IF(FT!B149&lt;&gt;"",FT!B149*100,"")</f>
        <v>46.458799999999997</v>
      </c>
      <c r="H149" s="61">
        <f t="shared" si="13"/>
        <v>1</v>
      </c>
      <c r="I149" t="str">
        <f>IF(FT!B149&lt;&gt;"",FT!E149,"")</f>
        <v>2 [59.742813]</v>
      </c>
      <c r="J149">
        <f>IF(FT!B149&lt;&gt;"",FT!C149,"")</f>
        <v>59.742800000000003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29975</v>
      </c>
      <c r="D152" s="61">
        <f>FH!B152*1</f>
        <v>29975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23559</v>
      </c>
      <c r="D154" s="61">
        <f>FH!B154*1</f>
        <v>23559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25137</v>
      </c>
      <c r="D157" s="61">
        <f>FH!B157*1</f>
        <v>25137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19675</v>
      </c>
      <c r="D160" s="61">
        <f>FH!B160*1</f>
        <v>19675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16200</v>
      </c>
      <c r="D162" s="61">
        <f>FH!B162*1</f>
        <v>16200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11381</v>
      </c>
      <c r="D165" s="61">
        <f>FH!B165*1</f>
        <v>11381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10947</v>
      </c>
      <c r="D167" s="61">
        <f>FH!B167*1</f>
        <v>10947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11130</v>
      </c>
      <c r="D170" s="61">
        <f>FH!B170*1</f>
        <v>11130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7802</v>
      </c>
      <c r="D173" s="61">
        <f>FH!B173*1</f>
        <v>7802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5398</v>
      </c>
      <c r="D175" s="61">
        <f>FH!B175*1</f>
        <v>5398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3605</v>
      </c>
      <c r="D178" s="61">
        <f>FH!B178*1</f>
        <v>3605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2083</v>
      </c>
      <c r="D180" s="61">
        <f>FH!B180*1</f>
        <v>2083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875</v>
      </c>
      <c r="D183" s="61">
        <f>FH!B183*1</f>
        <v>875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259</v>
      </c>
      <c r="D185" s="61">
        <f>FH!B185*1</f>
        <v>259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453</v>
      </c>
      <c r="D188" s="61">
        <f>FH!B188*1</f>
        <v>453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123</v>
      </c>
      <c r="D191" s="61">
        <f>FH!B191*1</f>
        <v>123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121</v>
      </c>
      <c r="D193" s="61">
        <f>FH!B193*1</f>
        <v>121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36.301099999999998</v>
      </c>
      <c r="C5" s="66">
        <v>9.0562799999999992</v>
      </c>
      <c r="D5" s="66">
        <v>24.947700000000001</v>
      </c>
      <c r="E5" s="66">
        <v>20</v>
      </c>
      <c r="F5" s="66">
        <v>8.8516999999999992</v>
      </c>
      <c r="G5" s="66">
        <v>50</v>
      </c>
      <c r="H5" s="66">
        <v>48.713700000000003</v>
      </c>
    </row>
    <row r="6" spans="1:8">
      <c r="A6" s="58" t="s">
        <v>303</v>
      </c>
      <c r="B6" s="66">
        <v>26.821100000000001</v>
      </c>
      <c r="C6" s="66">
        <v>2.4448699999999999</v>
      </c>
      <c r="D6" s="66">
        <v>9.1154700000000002</v>
      </c>
      <c r="E6" s="66">
        <v>20</v>
      </c>
      <c r="F6" s="66">
        <v>19.034600000000001</v>
      </c>
      <c r="G6" s="66">
        <v>40</v>
      </c>
      <c r="H6" s="66">
        <v>32.181199999999997</v>
      </c>
    </row>
    <row r="7" spans="1:8">
      <c r="A7" s="58" t="s">
        <v>304</v>
      </c>
      <c r="B7" s="66">
        <v>20.348099999999999</v>
      </c>
      <c r="C7" s="66">
        <v>5.28782</v>
      </c>
      <c r="D7" s="66">
        <v>25.986799999999999</v>
      </c>
      <c r="E7" s="66">
        <v>15</v>
      </c>
      <c r="F7" s="66">
        <v>7.83711</v>
      </c>
      <c r="G7" s="66">
        <v>40</v>
      </c>
      <c r="H7" s="66">
        <v>38.155299999999997</v>
      </c>
    </row>
    <row r="8" spans="1:8">
      <c r="A8" s="58" t="s">
        <v>305</v>
      </c>
      <c r="B8" s="66">
        <v>28.1967</v>
      </c>
      <c r="C8" s="66">
        <v>3.35812</v>
      </c>
      <c r="D8" s="66">
        <v>11.909599999999999</v>
      </c>
      <c r="E8" s="66">
        <v>20</v>
      </c>
      <c r="F8" s="66">
        <v>14.7753</v>
      </c>
      <c r="G8" s="66">
        <v>50</v>
      </c>
      <c r="H8" s="66">
        <v>32.968000000000004</v>
      </c>
    </row>
    <row r="9" spans="1:8">
      <c r="A9" s="58" t="s">
        <v>306</v>
      </c>
      <c r="B9" s="66">
        <v>64.488799999999998</v>
      </c>
      <c r="C9" s="66">
        <v>8.0748899999999999</v>
      </c>
      <c r="D9" s="66">
        <v>12.5214</v>
      </c>
      <c r="E9" s="66">
        <v>50</v>
      </c>
      <c r="F9" s="66">
        <v>47.437899999999999</v>
      </c>
      <c r="G9" s="66">
        <v>100</v>
      </c>
      <c r="H9" s="66">
        <v>85.262500000000003</v>
      </c>
    </row>
    <row r="10" spans="1:8">
      <c r="A10" s="58" t="s">
        <v>307</v>
      </c>
      <c r="B10" s="66">
        <v>80.107500000000002</v>
      </c>
      <c r="C10" s="66">
        <v>2.0038900000000002</v>
      </c>
      <c r="D10" s="66">
        <v>2.5015000000000001</v>
      </c>
      <c r="E10" s="66">
        <v>40</v>
      </c>
      <c r="F10" s="66">
        <v>74.430800000000005</v>
      </c>
      <c r="G10" s="66">
        <v>100</v>
      </c>
      <c r="H10" s="66">
        <v>85.878299999999996</v>
      </c>
    </row>
    <row r="11" spans="1:8">
      <c r="A11" s="58" t="s">
        <v>308</v>
      </c>
      <c r="B11" s="66">
        <v>22.1187</v>
      </c>
      <c r="C11" s="66">
        <v>6.4639499999999996</v>
      </c>
      <c r="D11" s="66">
        <v>29.2239</v>
      </c>
      <c r="E11" s="66">
        <v>10</v>
      </c>
      <c r="F11" s="66">
        <v>7.1081500000000002</v>
      </c>
      <c r="G11" s="66">
        <v>50</v>
      </c>
      <c r="H11" s="66">
        <v>30.9636</v>
      </c>
    </row>
    <row r="12" spans="1:8">
      <c r="A12" s="58" t="s">
        <v>309</v>
      </c>
      <c r="B12" s="66">
        <v>71.508799999999994</v>
      </c>
      <c r="C12" s="66">
        <v>4.18588</v>
      </c>
      <c r="D12" s="66">
        <v>5.85365</v>
      </c>
      <c r="E12" s="66">
        <v>50</v>
      </c>
      <c r="F12" s="66">
        <v>63.091200000000001</v>
      </c>
      <c r="G12" s="66">
        <v>100</v>
      </c>
      <c r="H12" s="66">
        <v>84.844800000000006</v>
      </c>
    </row>
    <row r="13" spans="1:8">
      <c r="A13" s="58" t="s">
        <v>310</v>
      </c>
      <c r="B13" s="66">
        <v>18.678799999999999</v>
      </c>
      <c r="C13" s="66">
        <v>3.6976599999999999</v>
      </c>
      <c r="D13" s="66">
        <v>19.795999999999999</v>
      </c>
      <c r="E13" s="66">
        <v>10</v>
      </c>
      <c r="F13" s="66">
        <v>13.660399999999999</v>
      </c>
      <c r="G13" s="66">
        <v>25</v>
      </c>
      <c r="H13" s="66">
        <v>29.802099999999999</v>
      </c>
    </row>
    <row r="14" spans="1:8">
      <c r="A14" s="58" t="s">
        <v>311</v>
      </c>
      <c r="B14" s="66">
        <v>36.976599999999998</v>
      </c>
      <c r="C14" s="66">
        <v>12.311</v>
      </c>
      <c r="D14" s="66">
        <v>33.2941</v>
      </c>
      <c r="E14" s="66">
        <v>10</v>
      </c>
      <c r="F14" s="66">
        <v>1.63931</v>
      </c>
      <c r="G14" s="66">
        <v>50</v>
      </c>
      <c r="H14" s="66">
        <v>42.923999999999999</v>
      </c>
    </row>
    <row r="15" spans="1:8">
      <c r="A15" s="58" t="s">
        <v>312</v>
      </c>
      <c r="B15" s="66">
        <v>7.2841400000000001E-2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8.4129399999999993E-2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17.515000000000001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0.47192699999999999</v>
      </c>
      <c r="C18" s="66">
        <v>0.104714</v>
      </c>
      <c r="D18" s="66">
        <v>0.221885</v>
      </c>
      <c r="E18" s="66">
        <v>0</v>
      </c>
      <c r="F18" s="66">
        <v>0.36721399999999998</v>
      </c>
      <c r="G18" s="66">
        <v>0</v>
      </c>
      <c r="H18" s="66">
        <v>0.57664099999999996</v>
      </c>
    </row>
    <row r="19" spans="1:8">
      <c r="A19" s="58" t="s">
        <v>316</v>
      </c>
      <c r="B19" s="66">
        <v>0.65389900000000001</v>
      </c>
      <c r="C19" s="66">
        <v>7.6493099999999994E-2</v>
      </c>
      <c r="D19" s="66">
        <v>0.11698</v>
      </c>
      <c r="E19" s="66">
        <v>0</v>
      </c>
      <c r="F19" s="66">
        <v>0.57740599999999997</v>
      </c>
      <c r="G19" s="66">
        <v>0</v>
      </c>
      <c r="H19" s="66">
        <v>0.73039200000000004</v>
      </c>
    </row>
    <row r="20" spans="1:8">
      <c r="A20" s="58" t="s">
        <v>317</v>
      </c>
      <c r="B20" s="66">
        <v>6.5843100000000001E-4</v>
      </c>
      <c r="C20" s="66">
        <v>1.4859199999999999E-2</v>
      </c>
      <c r="D20" s="66">
        <v>22.567699999999999</v>
      </c>
      <c r="E20" s="66">
        <v>0</v>
      </c>
      <c r="F20" s="196">
        <v>9.15256E-6</v>
      </c>
      <c r="G20" s="66">
        <v>0</v>
      </c>
      <c r="H20" s="66">
        <v>0.11922099999999999</v>
      </c>
    </row>
    <row r="21" spans="1:8">
      <c r="A21" s="58" t="s">
        <v>318</v>
      </c>
      <c r="B21" s="66">
        <v>6.2466500000000001E-2</v>
      </c>
      <c r="C21" s="66">
        <v>0.201628</v>
      </c>
      <c r="D21" s="66">
        <v>3.2277800000000001</v>
      </c>
      <c r="E21" s="66">
        <v>0</v>
      </c>
      <c r="F21" s="66">
        <v>1.0312E-4</v>
      </c>
      <c r="G21" s="66">
        <v>0</v>
      </c>
      <c r="H21" s="66">
        <v>1.37334</v>
      </c>
    </row>
    <row r="22" spans="1:8">
      <c r="A22" s="58" t="s">
        <v>319</v>
      </c>
      <c r="B22" s="66">
        <v>40.504100000000001</v>
      </c>
      <c r="C22" s="66">
        <v>10.1775</v>
      </c>
      <c r="D22" s="66">
        <v>0.251272</v>
      </c>
      <c r="E22" s="66">
        <v>0</v>
      </c>
      <c r="F22" s="66">
        <v>15.8276</v>
      </c>
      <c r="G22" s="66">
        <v>0</v>
      </c>
      <c r="H22" s="66">
        <v>61.221400000000003</v>
      </c>
    </row>
    <row r="23" spans="1:8">
      <c r="A23" s="58" t="s">
        <v>320</v>
      </c>
      <c r="B23" s="66">
        <v>17.207100000000001</v>
      </c>
      <c r="C23" s="66">
        <v>3.2643399999999998</v>
      </c>
      <c r="D23" s="66">
        <v>0.18970899999999999</v>
      </c>
      <c r="E23" s="66">
        <v>0</v>
      </c>
      <c r="F23" s="66">
        <v>8.1907999999999994</v>
      </c>
      <c r="G23" s="66">
        <v>0</v>
      </c>
      <c r="H23" s="66">
        <v>19.8766</v>
      </c>
    </row>
    <row r="24" spans="1:8">
      <c r="A24" s="58" t="s">
        <v>321</v>
      </c>
      <c r="B24" s="66">
        <v>1.16916E-3</v>
      </c>
      <c r="C24" s="66">
        <v>9.9742800000000003E-3</v>
      </c>
      <c r="D24" s="66">
        <v>8.5311699999999995</v>
      </c>
      <c r="E24" s="66">
        <v>0</v>
      </c>
      <c r="F24" s="66">
        <v>1.01735E-4</v>
      </c>
      <c r="G24" s="66">
        <v>0</v>
      </c>
      <c r="H24" s="66">
        <v>7.8454200000000002E-2</v>
      </c>
    </row>
    <row r="25" spans="1:8">
      <c r="A25" s="58" t="s">
        <v>322</v>
      </c>
      <c r="B25" s="66">
        <v>0.127385</v>
      </c>
      <c r="C25" s="66">
        <v>0.104739</v>
      </c>
      <c r="D25" s="66">
        <v>0.82222099999999998</v>
      </c>
      <c r="E25" s="66">
        <v>0</v>
      </c>
      <c r="F25" s="66">
        <v>1.5751000000000001E-2</v>
      </c>
      <c r="G25" s="66">
        <v>0</v>
      </c>
      <c r="H25" s="66">
        <v>0.46663900000000003</v>
      </c>
    </row>
    <row r="26" spans="1:8">
      <c r="A26" s="58" t="s">
        <v>323</v>
      </c>
      <c r="B26" s="66">
        <v>2.1993199999999999E-4</v>
      </c>
      <c r="C26" s="66">
        <v>1.61802E-3</v>
      </c>
      <c r="D26" s="66">
        <v>7.3569100000000001</v>
      </c>
      <c r="E26" s="66">
        <v>0</v>
      </c>
      <c r="F26" s="196">
        <v>3.2825599999999999E-6</v>
      </c>
      <c r="G26" s="66">
        <v>0</v>
      </c>
      <c r="H26" s="66">
        <v>1.4545000000000001E-2</v>
      </c>
    </row>
    <row r="27" spans="1:8">
      <c r="A27" s="58" t="s">
        <v>324</v>
      </c>
      <c r="B27" s="196">
        <v>-3.2825599999999999E-6</v>
      </c>
      <c r="C27" s="66">
        <v>8.3355699999999996E-4</v>
      </c>
      <c r="D27" s="66">
        <v>-253.935</v>
      </c>
      <c r="E27" s="66">
        <v>0</v>
      </c>
      <c r="F27" s="66">
        <v>-5.1601900000000003E-3</v>
      </c>
      <c r="G27" s="66">
        <v>0</v>
      </c>
      <c r="H27" s="66">
        <v>6.6898599999999997E-3</v>
      </c>
    </row>
    <row r="28" spans="1:8">
      <c r="A28" s="58" t="s">
        <v>325</v>
      </c>
      <c r="B28" s="66">
        <v>1.09342E-2</v>
      </c>
      <c r="C28" s="66">
        <v>1.7326100000000001E-2</v>
      </c>
      <c r="D28" s="66">
        <v>1.58457</v>
      </c>
      <c r="E28" s="66">
        <v>0</v>
      </c>
      <c r="F28" s="196">
        <v>2.6041699999999998E-5</v>
      </c>
      <c r="G28" s="66">
        <v>0</v>
      </c>
      <c r="H28" s="66">
        <v>9.6516900000000003E-2</v>
      </c>
    </row>
    <row r="29" spans="1:8">
      <c r="A29" s="58" t="s">
        <v>326</v>
      </c>
      <c r="B29" s="66">
        <v>72.716800000000006</v>
      </c>
      <c r="C29" s="66">
        <v>9.91554</v>
      </c>
      <c r="D29" s="66">
        <v>0.13635800000000001</v>
      </c>
      <c r="E29" s="66">
        <v>0</v>
      </c>
      <c r="F29" s="66">
        <v>46.435099999999998</v>
      </c>
      <c r="G29" s="66">
        <v>0</v>
      </c>
      <c r="H29" s="66">
        <v>104.23699999999999</v>
      </c>
    </row>
    <row r="30" spans="1:8">
      <c r="A30" s="58" t="s">
        <v>327</v>
      </c>
      <c r="B30" s="66">
        <v>25.096399999999999</v>
      </c>
      <c r="C30" s="66">
        <v>5.6460699999999999</v>
      </c>
      <c r="D30" s="66">
        <v>0.22497600000000001</v>
      </c>
      <c r="E30" s="66">
        <v>0</v>
      </c>
      <c r="F30" s="66">
        <v>9.7111199999999993</v>
      </c>
      <c r="G30" s="66">
        <v>0</v>
      </c>
      <c r="H30" s="66">
        <v>31.3673</v>
      </c>
    </row>
    <row r="31" spans="1:8">
      <c r="A31" s="58" t="s">
        <v>328</v>
      </c>
      <c r="B31" s="66">
        <v>137.57300000000001</v>
      </c>
      <c r="C31" s="66">
        <v>38.168300000000002</v>
      </c>
      <c r="D31" s="66">
        <v>0.27744099999999999</v>
      </c>
      <c r="E31" s="66">
        <v>0</v>
      </c>
      <c r="F31" s="66">
        <v>33.6693</v>
      </c>
      <c r="G31" s="66">
        <v>0</v>
      </c>
      <c r="H31" s="66">
        <v>182.93700000000001</v>
      </c>
    </row>
    <row r="32" spans="1:8">
      <c r="A32" s="58" t="s">
        <v>329</v>
      </c>
      <c r="B32" s="66">
        <v>0.203481</v>
      </c>
      <c r="C32" s="66">
        <v>5.28782E-2</v>
      </c>
      <c r="D32" s="66">
        <v>0.25986799999999999</v>
      </c>
      <c r="E32" s="66">
        <v>0.15</v>
      </c>
      <c r="F32" s="66">
        <v>7.8371099999999999E-2</v>
      </c>
      <c r="G32" s="66">
        <v>0.4</v>
      </c>
      <c r="H32" s="66">
        <v>0.38155299999999998</v>
      </c>
    </row>
    <row r="33" spans="1:8">
      <c r="A33" s="58" t="s">
        <v>330</v>
      </c>
      <c r="B33" s="66">
        <v>0.38589899999999999</v>
      </c>
      <c r="C33" s="66">
        <v>3.7583600000000002E-2</v>
      </c>
      <c r="D33" s="66">
        <v>9.7392500000000007E-2</v>
      </c>
      <c r="E33" s="66">
        <v>0</v>
      </c>
      <c r="F33" s="66">
        <v>0.28545599999999999</v>
      </c>
      <c r="G33" s="66">
        <v>0</v>
      </c>
      <c r="H33" s="66">
        <v>0.45819100000000001</v>
      </c>
    </row>
    <row r="34" spans="1:8">
      <c r="A34" s="58" t="s">
        <v>331</v>
      </c>
      <c r="B34" s="66">
        <v>0.18678800000000001</v>
      </c>
      <c r="C34" s="66">
        <v>3.6976599999999998E-2</v>
      </c>
      <c r="D34" s="66">
        <v>0.19796</v>
      </c>
      <c r="E34" s="66">
        <v>0.1</v>
      </c>
      <c r="F34" s="66">
        <v>0.136604</v>
      </c>
      <c r="G34" s="66">
        <v>0.25</v>
      </c>
      <c r="H34" s="66">
        <v>0.29802099999999998</v>
      </c>
    </row>
    <row r="35" spans="1:8">
      <c r="A35" s="58" t="s">
        <v>332</v>
      </c>
      <c r="B35" s="66">
        <v>8.5533799999999993E-2</v>
      </c>
      <c r="C35" s="66">
        <v>2.5784899999999999E-2</v>
      </c>
      <c r="D35" s="66">
        <v>0.301458</v>
      </c>
      <c r="E35" s="66">
        <v>0</v>
      </c>
      <c r="F35" s="66">
        <v>3.1761900000000003E-2</v>
      </c>
      <c r="G35" s="66">
        <v>0</v>
      </c>
      <c r="H35" s="66">
        <v>0.17560600000000001</v>
      </c>
    </row>
    <row r="36" spans="1:8">
      <c r="A36" s="58" t="s">
        <v>333</v>
      </c>
      <c r="B36" s="66">
        <v>0.16945499999999999</v>
      </c>
      <c r="C36" s="66">
        <v>0.100676</v>
      </c>
      <c r="D36" s="66">
        <v>0.59411499999999995</v>
      </c>
      <c r="E36" s="66">
        <v>0</v>
      </c>
      <c r="F36" s="66">
        <v>4.0579900000000002E-2</v>
      </c>
      <c r="G36" s="66">
        <v>0</v>
      </c>
      <c r="H36" s="66">
        <v>0.55771999999999999</v>
      </c>
    </row>
    <row r="37" spans="1:8">
      <c r="A37" s="58" t="s">
        <v>334</v>
      </c>
      <c r="B37" s="66">
        <v>0.36976599999999998</v>
      </c>
      <c r="C37" s="66">
        <v>0.12311</v>
      </c>
      <c r="D37" s="66">
        <v>0.33294099999999999</v>
      </c>
      <c r="E37" s="66">
        <v>0.1</v>
      </c>
      <c r="F37" s="66">
        <v>1.6393100000000001E-2</v>
      </c>
      <c r="G37" s="66">
        <v>0.5</v>
      </c>
      <c r="H37" s="66">
        <v>0.42924000000000001</v>
      </c>
    </row>
    <row r="38" spans="1:8">
      <c r="A38" s="58" t="s">
        <v>335</v>
      </c>
      <c r="B38" s="66">
        <v>-6.6720499999999996</v>
      </c>
      <c r="C38" s="66">
        <v>26.805599999999998</v>
      </c>
      <c r="D38" s="66">
        <v>-4.0175900000000002</v>
      </c>
      <c r="E38" s="66">
        <v>0</v>
      </c>
      <c r="F38" s="66">
        <v>-67.201300000000003</v>
      </c>
      <c r="G38" s="66">
        <v>0</v>
      </c>
      <c r="H38" s="66">
        <v>153.93100000000001</v>
      </c>
    </row>
    <row r="39" spans="1:8">
      <c r="A39" s="58" t="s">
        <v>336</v>
      </c>
      <c r="B39" s="66">
        <v>-3.04596</v>
      </c>
      <c r="C39" s="66">
        <v>3.0876399999999999</v>
      </c>
      <c r="D39" s="66">
        <v>-1.0136799999999999</v>
      </c>
      <c r="E39" s="66">
        <v>0</v>
      </c>
      <c r="F39" s="66">
        <v>-14.818899999999999</v>
      </c>
      <c r="G39" s="66">
        <v>0</v>
      </c>
      <c r="H39" s="66">
        <v>10.6999</v>
      </c>
    </row>
    <row r="40" spans="1:8">
      <c r="A40" s="58" t="s">
        <v>337</v>
      </c>
      <c r="B40" s="66">
        <v>-1.83501</v>
      </c>
      <c r="C40" s="66">
        <v>0.50563999999999998</v>
      </c>
      <c r="D40" s="66">
        <v>-0.27555099999999999</v>
      </c>
      <c r="E40" s="66">
        <v>0</v>
      </c>
      <c r="F40" s="66">
        <v>-2.8757999999999999</v>
      </c>
      <c r="G40" s="66">
        <v>0</v>
      </c>
      <c r="H40" s="66">
        <v>-1.0817000000000001</v>
      </c>
    </row>
    <row r="41" spans="1:8">
      <c r="A41" s="58" t="s">
        <v>338</v>
      </c>
      <c r="B41" s="66">
        <v>-8.4187600000000001E-2</v>
      </c>
      <c r="C41" s="66">
        <v>0.26454</v>
      </c>
      <c r="D41" s="66">
        <v>-3.1422599999999998</v>
      </c>
      <c r="E41" s="66">
        <v>0</v>
      </c>
      <c r="F41" s="66">
        <v>-0.85714299999999999</v>
      </c>
      <c r="G41" s="66">
        <v>0</v>
      </c>
      <c r="H41" s="66">
        <v>1</v>
      </c>
    </row>
    <row r="42" spans="1:8">
      <c r="A42" s="58" t="s">
        <v>339</v>
      </c>
      <c r="B42" s="66">
        <v>-0.117164</v>
      </c>
      <c r="C42" s="66">
        <v>5.6649100000000001E-2</v>
      </c>
      <c r="D42" s="66">
        <v>-0.48349999999999999</v>
      </c>
      <c r="E42" s="66">
        <v>0</v>
      </c>
      <c r="F42" s="66">
        <v>-0.27527499999999999</v>
      </c>
      <c r="G42" s="66">
        <v>0</v>
      </c>
      <c r="H42" s="66">
        <v>5.8823500000000001E-2</v>
      </c>
    </row>
    <row r="43" spans="1:8">
      <c r="A43" s="58" t="s">
        <v>340</v>
      </c>
      <c r="B43" s="66">
        <v>-0.14502200000000001</v>
      </c>
      <c r="C43" s="66">
        <v>2.9250700000000001E-2</v>
      </c>
      <c r="D43" s="66">
        <v>-0.20169799999999999</v>
      </c>
      <c r="E43" s="66">
        <v>0</v>
      </c>
      <c r="F43" s="66">
        <v>-0.195912</v>
      </c>
      <c r="G43" s="66">
        <v>0</v>
      </c>
      <c r="H43" s="66">
        <v>-7.8808299999999998E-2</v>
      </c>
    </row>
    <row r="44" spans="1:8">
      <c r="A44" s="58" t="s">
        <v>341</v>
      </c>
      <c r="B44" s="66">
        <v>-6.7945200000000003</v>
      </c>
      <c r="C44" s="66">
        <v>12.918900000000001</v>
      </c>
      <c r="D44" s="66">
        <v>-1.90137</v>
      </c>
      <c r="E44" s="66">
        <v>0</v>
      </c>
      <c r="F44" s="66">
        <v>-31.605799999999999</v>
      </c>
      <c r="G44" s="66">
        <v>0</v>
      </c>
      <c r="H44" s="66">
        <v>30.831299999999999</v>
      </c>
    </row>
    <row r="45" spans="1:8">
      <c r="A45" s="58" t="s">
        <v>342</v>
      </c>
      <c r="B45" s="66">
        <v>46.209499999999998</v>
      </c>
      <c r="C45" s="66">
        <v>7.6298199999999996</v>
      </c>
      <c r="D45" s="66">
        <v>0.16511400000000001</v>
      </c>
      <c r="E45" s="66">
        <v>0</v>
      </c>
      <c r="F45" s="66">
        <v>31.42</v>
      </c>
      <c r="G45" s="66">
        <v>0</v>
      </c>
      <c r="H45" s="66">
        <v>68.545199999999994</v>
      </c>
    </row>
    <row r="46" spans="1:8">
      <c r="A46" s="58" t="s">
        <v>343</v>
      </c>
      <c r="B46" s="66">
        <v>26.483599999999999</v>
      </c>
      <c r="C46" s="66">
        <v>6.0110000000000001</v>
      </c>
      <c r="D46" s="66">
        <v>0.22697100000000001</v>
      </c>
      <c r="E46" s="66">
        <v>0</v>
      </c>
      <c r="F46" s="66">
        <v>5.4416700000000002</v>
      </c>
      <c r="G46" s="66">
        <v>0</v>
      </c>
      <c r="H46" s="66">
        <v>33.328499999999998</v>
      </c>
    </row>
    <row r="47" spans="1:8">
      <c r="A47" s="58" t="s">
        <v>344</v>
      </c>
      <c r="B47" s="66">
        <v>1.1309499999999999</v>
      </c>
      <c r="C47" s="66">
        <v>0.61903900000000001</v>
      </c>
      <c r="D47" s="66">
        <v>0.54736099999999999</v>
      </c>
      <c r="E47" s="66">
        <v>0</v>
      </c>
      <c r="F47" s="66">
        <v>0.242114</v>
      </c>
      <c r="G47" s="66">
        <v>0</v>
      </c>
      <c r="H47" s="66">
        <v>3.7226300000000001</v>
      </c>
    </row>
    <row r="48" spans="1:8">
      <c r="A48" s="58" t="s">
        <v>345</v>
      </c>
      <c r="B48" s="66">
        <v>0.87982800000000005</v>
      </c>
      <c r="C48" s="66">
        <v>0.240814</v>
      </c>
      <c r="D48" s="66">
        <v>0.27370499999999998</v>
      </c>
      <c r="E48" s="66">
        <v>0</v>
      </c>
      <c r="F48" s="66">
        <v>0.61291300000000004</v>
      </c>
      <c r="G48" s="66">
        <v>0</v>
      </c>
      <c r="H48" s="66">
        <v>1.38581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0.26350000000000051</v>
      </c>
      <c r="C5" s="66">
        <f>'M2'!C5-'M1'!C5</f>
        <v>-8.2041900000000005</v>
      </c>
      <c r="D5" s="66">
        <f>'M2'!D5-'M1'!D5</f>
        <v>-22.810699999999997</v>
      </c>
      <c r="E5" s="66">
        <f>'M2'!E5-'M1'!E5</f>
        <v>0</v>
      </c>
      <c r="F5" s="66">
        <f>'M2'!F5-'M1'!F5</f>
        <v>22.607799999999997</v>
      </c>
      <c r="G5" s="66">
        <f>'M2'!G5-'M1'!G5</f>
        <v>0</v>
      </c>
      <c r="H5" s="66">
        <f>'M2'!H5-'M1'!H5</f>
        <v>-3.0421000000000049</v>
      </c>
    </row>
    <row r="6" spans="1:8">
      <c r="A6" s="66" t="s">
        <v>244</v>
      </c>
      <c r="B6" s="66">
        <f>'M2'!B6-'M1'!B6</f>
        <v>-2.9989999999999988</v>
      </c>
      <c r="C6" s="66">
        <f>'M2'!C6-'M1'!C6</f>
        <v>-1.3980300000000001</v>
      </c>
      <c r="D6" s="66">
        <f>'M2'!D6-'M1'!D6</f>
        <v>-4.3491700000000009</v>
      </c>
      <c r="E6" s="66">
        <f>'M2'!E6-'M1'!E6</f>
        <v>0</v>
      </c>
      <c r="F6" s="66">
        <f>'M2'!F6-'M1'!F6</f>
        <v>4.2564999999999991</v>
      </c>
      <c r="G6" s="66">
        <f>'M2'!G6-'M1'!G6</f>
        <v>0</v>
      </c>
      <c r="H6" s="66">
        <f>'M2'!H6-'M1'!H6</f>
        <v>-4.2670999999999957</v>
      </c>
    </row>
    <row r="7" spans="1:8">
      <c r="A7" s="66" t="s">
        <v>245</v>
      </c>
      <c r="B7" s="66">
        <f>'M2'!B7-'M1'!B7</f>
        <v>-0.85729999999999862</v>
      </c>
      <c r="C7" s="66">
        <f>'M2'!C7-'M1'!C7</f>
        <v>-0.26402000000000037</v>
      </c>
      <c r="D7" s="66">
        <f>'M2'!D7-'M1'!D7</f>
        <v>-0.23840000000000217</v>
      </c>
      <c r="E7" s="66">
        <f>'M2'!E7-'M1'!E7</f>
        <v>0</v>
      </c>
      <c r="F7" s="66">
        <f>'M2'!F7-'M1'!F7</f>
        <v>-5.2777900000000004</v>
      </c>
      <c r="G7" s="66">
        <f>'M2'!G7-'M1'!G7</f>
        <v>0</v>
      </c>
      <c r="H7" s="66">
        <f>'M2'!H7-'M1'!H7</f>
        <v>-7.8301999999999978</v>
      </c>
    </row>
    <row r="8" spans="1:8">
      <c r="A8" s="66" t="s">
        <v>246</v>
      </c>
      <c r="B8" s="66">
        <f>'M2'!B8-'M1'!B8</f>
        <v>-1.9534999999999982</v>
      </c>
      <c r="C8" s="66">
        <f>'M2'!C8-'M1'!C8</f>
        <v>-2.9621900000000001</v>
      </c>
      <c r="D8" s="66">
        <f>'M2'!D8-'M1'!D8</f>
        <v>-9.5729900000000008</v>
      </c>
      <c r="E8" s="66">
        <f>'M2'!E8-'M1'!E8</f>
        <v>0</v>
      </c>
      <c r="F8" s="66">
        <f>'M2'!F8-'M1'!F8</f>
        <v>9.1645000000000021</v>
      </c>
      <c r="G8" s="66">
        <f>'M2'!G8-'M1'!G8</f>
        <v>0</v>
      </c>
      <c r="H8" s="66">
        <f>'M2'!H8-'M1'!H8</f>
        <v>-2.7603000000000044</v>
      </c>
    </row>
    <row r="9" spans="1:8">
      <c r="A9" s="66" t="s">
        <v>247</v>
      </c>
      <c r="B9" s="66">
        <f>'M2'!B9-'M1'!B9</f>
        <v>-9.0376000000000047</v>
      </c>
      <c r="C9" s="66">
        <f>'M2'!C9-'M1'!C9</f>
        <v>1.0591699999999999</v>
      </c>
      <c r="D9" s="66">
        <f>'M2'!D9-'M1'!D9</f>
        <v>3.2421800000000012</v>
      </c>
      <c r="E9" s="66">
        <f>'M2'!E9-'M1'!E9</f>
        <v>0</v>
      </c>
      <c r="F9" s="66">
        <f>'M2'!F9-'M1'!F9</f>
        <v>-6.7569000000000017</v>
      </c>
      <c r="G9" s="66">
        <f>'M2'!G9-'M1'!G9</f>
        <v>0</v>
      </c>
      <c r="H9" s="66">
        <f>'M2'!H9-'M1'!H9</f>
        <v>-9.5240000000000009</v>
      </c>
    </row>
    <row r="10" spans="1:8">
      <c r="A10" s="66" t="s">
        <v>248</v>
      </c>
      <c r="B10" s="66">
        <f>'M2'!B10-'M1'!B10</f>
        <v>2.0694999999999908</v>
      </c>
      <c r="C10" s="66">
        <f>'M2'!C10-'M1'!C10</f>
        <v>-1.3059100000000001</v>
      </c>
      <c r="D10" s="66">
        <f>'M2'!D10-'M1'!D10</f>
        <v>-1.6927999999999999</v>
      </c>
      <c r="E10" s="66">
        <f>'M2'!E10-'M1'!E10</f>
        <v>0</v>
      </c>
      <c r="F10" s="66">
        <f>'M2'!F10-'M1'!F10</f>
        <v>3.517399999999995</v>
      </c>
      <c r="G10" s="66">
        <f>'M2'!G10-'M1'!G10</f>
        <v>0</v>
      </c>
      <c r="H10" s="66">
        <f>'M2'!H10-'M1'!H10</f>
        <v>-3.1756000000000029</v>
      </c>
    </row>
    <row r="11" spans="1:8">
      <c r="A11" s="66" t="s">
        <v>249</v>
      </c>
      <c r="B11" s="66">
        <f>'M2'!B11-'M1'!B11</f>
        <v>3.7042999999999999</v>
      </c>
      <c r="C11" s="66">
        <f>'M2'!C11-'M1'!C11</f>
        <v>-4.0993500000000003</v>
      </c>
      <c r="D11" s="66">
        <f>'M2'!D11-'M1'!D11</f>
        <v>-24.898099999999996</v>
      </c>
      <c r="E11" s="66">
        <f>'M2'!E11-'M1'!E11</f>
        <v>0</v>
      </c>
      <c r="F11" s="66">
        <f>'M2'!F11-'M1'!F11</f>
        <v>10.927649999999998</v>
      </c>
      <c r="G11" s="66">
        <f>'M2'!G11-'M1'!G11</f>
        <v>0</v>
      </c>
      <c r="H11" s="66">
        <f>'M2'!H11-'M1'!H11</f>
        <v>-0.32669999999999888</v>
      </c>
    </row>
    <row r="12" spans="1:8">
      <c r="A12" s="66" t="s">
        <v>250</v>
      </c>
      <c r="B12" s="66">
        <f>'M2'!B12-'M1'!B12</f>
        <v>-3.3393999999999977</v>
      </c>
      <c r="C12" s="66">
        <f>'M2'!C12-'M1'!C12</f>
        <v>-1.8100000000003114E-3</v>
      </c>
      <c r="D12" s="66">
        <f>'M2'!D12-'M1'!D12</f>
        <v>0.25084000000000017</v>
      </c>
      <c r="E12" s="66">
        <f>'M2'!E12-'M1'!E12</f>
        <v>0</v>
      </c>
      <c r="F12" s="66">
        <f>'M2'!F12-'M1'!F12</f>
        <v>-3.791799999999995</v>
      </c>
      <c r="G12" s="66">
        <f>'M2'!G12-'M1'!G12</f>
        <v>0</v>
      </c>
      <c r="H12" s="66">
        <f>'M2'!H12-'M1'!H12</f>
        <v>-6.6247000000000043</v>
      </c>
    </row>
    <row r="13" spans="1:8">
      <c r="A13" s="66" t="s">
        <v>251</v>
      </c>
      <c r="B13" s="66">
        <f>'M2'!B13-'M1'!B13</f>
        <v>-2.2789000000000001</v>
      </c>
      <c r="C13" s="66">
        <f>'M2'!C13-'M1'!C13</f>
        <v>0.47091000000000038</v>
      </c>
      <c r="D13" s="66">
        <f>'M2'!D13-'M1'!D13</f>
        <v>4.7392000000000003</v>
      </c>
      <c r="E13" s="66">
        <f>'M2'!E13-'M1'!E13</f>
        <v>0</v>
      </c>
      <c r="F13" s="66">
        <f>'M2'!F13-'M1'!F13</f>
        <v>-0.56890000000000107</v>
      </c>
      <c r="G13" s="66">
        <f>'M2'!G13-'M1'!G13</f>
        <v>0</v>
      </c>
      <c r="H13" s="66">
        <f>'M2'!H13-'M1'!H13</f>
        <v>-1.4329999999999998</v>
      </c>
    </row>
    <row r="14" spans="1:8">
      <c r="A14" s="66" t="s">
        <v>252</v>
      </c>
      <c r="B14" s="66">
        <f>'M2'!B14-'M1'!B14</f>
        <v>4.7090999999999994</v>
      </c>
      <c r="C14" s="66">
        <f>'M2'!C14-'M1'!C14</f>
        <v>2.3873999999999995</v>
      </c>
      <c r="D14" s="66">
        <f>'M2'!D14-'M1'!D14</f>
        <v>2.2941000000000003</v>
      </c>
      <c r="E14" s="66">
        <f>'M2'!E14-'M1'!E14</f>
        <v>0</v>
      </c>
      <c r="F14" s="66">
        <f>'M2'!F14-'M1'!F14</f>
        <v>1.7837700000000001</v>
      </c>
      <c r="G14" s="66">
        <f>'M2'!G14-'M1'!G14</f>
        <v>0</v>
      </c>
      <c r="H14" s="66">
        <f>'M2'!H14-'M1'!H14</f>
        <v>-4.2952999999999975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-9.0826999999999991E-2</v>
      </c>
      <c r="C18" s="66">
        <f>'M2'!C18-'M1'!C18</f>
        <v>0.104714</v>
      </c>
      <c r="D18" s="66">
        <f>'M2'!D18-'M1'!D18</f>
        <v>0.221885</v>
      </c>
      <c r="E18" s="66">
        <f>'M2'!E18-'M1'!E18</f>
        <v>0</v>
      </c>
      <c r="F18" s="66">
        <f>'M2'!F18-'M1'!F18</f>
        <v>0.36721399999999998</v>
      </c>
      <c r="G18" s="66">
        <f>'M2'!G18-'M1'!G18</f>
        <v>0</v>
      </c>
      <c r="H18" s="66">
        <f>'M2'!H18-'M1'!H18</f>
        <v>0.57664099999999996</v>
      </c>
    </row>
    <row r="19" spans="1:8">
      <c r="A19" s="66" t="s">
        <v>256</v>
      </c>
      <c r="B19" s="66">
        <f>'M2'!B19-'M1'!B19</f>
        <v>8.0802999999999958E-2</v>
      </c>
      <c r="C19" s="66">
        <f>'M2'!C19-'M1'!C19</f>
        <v>7.6493099999999994E-2</v>
      </c>
      <c r="D19" s="66">
        <f>'M2'!D19-'M1'!D19</f>
        <v>0.11698</v>
      </c>
      <c r="E19" s="66">
        <f>'M2'!E19-'M1'!E19</f>
        <v>0</v>
      </c>
      <c r="F19" s="66">
        <f>'M2'!F19-'M1'!F19</f>
        <v>0.57740599999999997</v>
      </c>
      <c r="G19" s="66">
        <f>'M2'!G19-'M1'!G19</f>
        <v>0</v>
      </c>
      <c r="H19" s="66">
        <f>'M2'!H19-'M1'!H19</f>
        <v>0.73039200000000004</v>
      </c>
    </row>
    <row r="20" spans="1:8">
      <c r="A20" s="66" t="s">
        <v>63</v>
      </c>
      <c r="B20" s="66">
        <f>'M2'!B20-'M1'!B20</f>
        <v>2.7088200000000007E-4</v>
      </c>
      <c r="C20" s="66">
        <f>'M2'!C20-'M1'!C20</f>
        <v>1.2499999999999994E-3</v>
      </c>
      <c r="D20" s="66">
        <f>'M2'!D20-'M1'!D20</f>
        <v>-7.4925999999999995</v>
      </c>
      <c r="E20" s="66">
        <f>'M2'!E20-'M1'!E20</f>
        <v>0</v>
      </c>
      <c r="F20" s="66">
        <f>'M2'!F20-'M1'!F20</f>
        <v>1.9528040000000003E-5</v>
      </c>
      <c r="G20" s="66">
        <f>'M2'!G20-'M1'!G20</f>
        <v>0</v>
      </c>
      <c r="H20" s="66">
        <f>'M2'!H20-'M1'!H20</f>
        <v>-1.2777999999999998E-2</v>
      </c>
    </row>
    <row r="21" spans="1:8">
      <c r="A21" s="66" t="s">
        <v>64</v>
      </c>
      <c r="B21" s="66">
        <f>'M2'!B21-'M1'!B21</f>
        <v>2.2252500000000001E-2</v>
      </c>
      <c r="C21" s="66">
        <f>'M2'!C21-'M1'!C21</f>
        <v>8.1914999999999988E-2</v>
      </c>
      <c r="D21" s="66">
        <f>'M2'!D21-'M1'!D21</f>
        <v>0.22694999999999999</v>
      </c>
      <c r="E21" s="66">
        <f>'M2'!E21-'M1'!E21</f>
        <v>0</v>
      </c>
      <c r="F21" s="66">
        <f>'M2'!F21-'M1'!F21</f>
        <v>1.2573E-3</v>
      </c>
      <c r="G21" s="66">
        <f>'M2'!G21-'M1'!G21</f>
        <v>0</v>
      </c>
      <c r="H21" s="66">
        <f>'M2'!H21-'M1'!H21</f>
        <v>0.64834000000000003</v>
      </c>
    </row>
    <row r="22" spans="1:8">
      <c r="A22" s="66" t="s">
        <v>65</v>
      </c>
      <c r="B22" s="66">
        <f>'M2'!B22-'M1'!B22</f>
        <v>1.7089999999999961</v>
      </c>
      <c r="C22" s="66">
        <f>'M2'!C22-'M1'!C22</f>
        <v>1.6162100000000006</v>
      </c>
      <c r="D22" s="66">
        <f>'M2'!D22-'M1'!D22</f>
        <v>2.9217999999999994E-2</v>
      </c>
      <c r="E22" s="66">
        <f>'M2'!E22-'M1'!E22</f>
        <v>0</v>
      </c>
      <c r="F22" s="66">
        <f>'M2'!F22-'M1'!F22</f>
        <v>-0.93639999999999901</v>
      </c>
      <c r="G22" s="66">
        <f>'M2'!G22-'M1'!G22</f>
        <v>0</v>
      </c>
      <c r="H22" s="66">
        <f>'M2'!H22-'M1'!H22</f>
        <v>1.093900000000005</v>
      </c>
    </row>
    <row r="23" spans="1:8">
      <c r="A23" s="66" t="s">
        <v>66</v>
      </c>
      <c r="B23" s="66">
        <f>'M2'!B23-'M1'!B23</f>
        <v>3.4957000000000011</v>
      </c>
      <c r="C23" s="66">
        <f>'M2'!C23-'M1'!C23</f>
        <v>-2.9206639999999999</v>
      </c>
      <c r="D23" s="66">
        <f>'M2'!D23-'M1'!D23</f>
        <v>-0.22291630000000001</v>
      </c>
      <c r="E23" s="66">
        <f>'M2'!E23-'M1'!E23</f>
        <v>0</v>
      </c>
      <c r="F23" s="66">
        <f>'M2'!F23-'M1'!F23</f>
        <v>7.0665000000000013</v>
      </c>
      <c r="G23" s="66">
        <f>'M2'!G23-'M1'!G23</f>
        <v>0</v>
      </c>
      <c r="H23" s="66">
        <f>'M2'!H23-'M1'!H23</f>
        <v>-9.3399999999999039E-2</v>
      </c>
    </row>
    <row r="24" spans="1:8">
      <c r="A24" s="66" t="s">
        <v>67</v>
      </c>
      <c r="B24" s="66">
        <f>'M2'!B24-'M1'!B24</f>
        <v>8.39378E-4</v>
      </c>
      <c r="C24" s="66">
        <f>'M2'!C24-'M1'!C24</f>
        <v>2.3681499999999994E-3</v>
      </c>
      <c r="D24" s="66">
        <f>'M2'!D24-'M1'!D24</f>
        <v>-3.6960100000000002</v>
      </c>
      <c r="E24" s="66">
        <f>'M2'!E24-'M1'!E24</f>
        <v>0</v>
      </c>
      <c r="F24" s="66">
        <f>'M2'!F24-'M1'!F24</f>
        <v>-9.757999999999997E-6</v>
      </c>
      <c r="G24" s="66">
        <f>'M2'!G24-'M1'!G24</f>
        <v>0</v>
      </c>
      <c r="H24" s="66">
        <f>'M2'!H24-'M1'!H24</f>
        <v>3.9809299999999999E-2</v>
      </c>
    </row>
    <row r="25" spans="1:8">
      <c r="A25" s="66" t="s">
        <v>68</v>
      </c>
      <c r="B25" s="66">
        <f>'M2'!B25-'M1'!B25</f>
        <v>4.6462000000000003E-2</v>
      </c>
      <c r="C25" s="66">
        <f>'M2'!C25-'M1'!C25</f>
        <v>5.1230700000000004E-2</v>
      </c>
      <c r="D25" s="66">
        <f>'M2'!D25-'M1'!D25</f>
        <v>0.12998100000000001</v>
      </c>
      <c r="E25" s="66">
        <f>'M2'!E25-'M1'!E25</f>
        <v>0</v>
      </c>
      <c r="F25" s="66">
        <f>'M2'!F25-'M1'!F25</f>
        <v>-5.0165999999999995E-3</v>
      </c>
      <c r="G25" s="66">
        <f>'M2'!G25-'M1'!G25</f>
        <v>0</v>
      </c>
      <c r="H25" s="66">
        <f>'M2'!H25-'M1'!H25</f>
        <v>0.15247500000000003</v>
      </c>
    </row>
    <row r="26" spans="1:8">
      <c r="A26" s="66" t="s">
        <v>69</v>
      </c>
      <c r="B26" s="66">
        <f>'M2'!B26-'M1'!B26</f>
        <v>1.1489000000000001E-4</v>
      </c>
      <c r="C26" s="66">
        <f>'M2'!C26-'M1'!C26</f>
        <v>5.0680000000000018E-4</v>
      </c>
      <c r="D26" s="66">
        <f>'M2'!D26-'M1'!D26</f>
        <v>-1.2377899999999995</v>
      </c>
      <c r="E26" s="66">
        <f>'M2'!E26-'M1'!E26</f>
        <v>0</v>
      </c>
      <c r="F26" s="66">
        <f>'M2'!F26-'M1'!F26</f>
        <v>3.2825699999999997E-6</v>
      </c>
      <c r="G26" s="66">
        <f>'M2'!G26-'M1'!G26</f>
        <v>0</v>
      </c>
      <c r="H26" s="66">
        <f>'M2'!H26-'M1'!H26</f>
        <v>7.0509100000000005E-3</v>
      </c>
    </row>
    <row r="27" spans="1:8">
      <c r="A27" s="66" t="s">
        <v>70</v>
      </c>
      <c r="B27" s="66">
        <f>'M2'!B27-'M1'!B27</f>
        <v>0</v>
      </c>
      <c r="C27" s="66">
        <f>'M2'!C27-'M1'!C27</f>
        <v>1.7052999999999947E-5</v>
      </c>
      <c r="D27" s="66">
        <f>'M2'!D27-'M1'!D27</f>
        <v>-5.1950000000000216</v>
      </c>
      <c r="E27" s="66">
        <f>'M2'!E27-'M1'!E27</f>
        <v>0</v>
      </c>
      <c r="F27" s="66">
        <f>'M2'!F27-'M1'!F27</f>
        <v>1.1259199999999999E-3</v>
      </c>
      <c r="G27" s="66">
        <f>'M2'!G27-'M1'!G27</f>
        <v>0</v>
      </c>
      <c r="H27" s="66">
        <f>'M2'!H27-'M1'!H27</f>
        <v>8.4689999999999939E-4</v>
      </c>
    </row>
    <row r="28" spans="1:8">
      <c r="A28" s="66" t="s">
        <v>71</v>
      </c>
      <c r="B28" s="66">
        <f>'M2'!B28-'M1'!B28</f>
        <v>2.7799699999999997E-3</v>
      </c>
      <c r="C28" s="66">
        <f>'M2'!C28-'M1'!C28</f>
        <v>5.0708000000000003E-3</v>
      </c>
      <c r="D28" s="66">
        <f>'M2'!D28-'M1'!D28</f>
        <v>7.6319999999999943E-2</v>
      </c>
      <c r="E28" s="66">
        <f>'M2'!E28-'M1'!E28</f>
        <v>0</v>
      </c>
      <c r="F28" s="66">
        <f>'M2'!F28-'M1'!F28</f>
        <v>3.743493E-4</v>
      </c>
      <c r="G28" s="66">
        <f>'M2'!G28-'M1'!G28</f>
        <v>0</v>
      </c>
      <c r="H28" s="66">
        <f>'M2'!H28-'M1'!H28</f>
        <v>3.2408800000000001E-2</v>
      </c>
    </row>
    <row r="29" spans="1:8">
      <c r="A29" s="66" t="s">
        <v>72</v>
      </c>
      <c r="B29" s="66">
        <f>'M2'!B29-'M1'!B29</f>
        <v>-2.0848000000000013</v>
      </c>
      <c r="C29" s="66">
        <f>'M2'!C29-'M1'!C29</f>
        <v>-1.75718</v>
      </c>
      <c r="D29" s="66">
        <f>'M2'!D29-'M1'!D29</f>
        <v>-2.0289000000000001E-2</v>
      </c>
      <c r="E29" s="66">
        <f>'M2'!E29-'M1'!E29</f>
        <v>0</v>
      </c>
      <c r="F29" s="66">
        <f>'M2'!F29-'M1'!F29</f>
        <v>4.0176000000000016</v>
      </c>
      <c r="G29" s="66">
        <f>'M2'!G29-'M1'!G29</f>
        <v>0</v>
      </c>
      <c r="H29" s="66">
        <f>'M2'!H29-'M1'!H29</f>
        <v>-8.0614999999999952</v>
      </c>
    </row>
    <row r="30" spans="1:8">
      <c r="A30" s="66" t="s">
        <v>73</v>
      </c>
      <c r="B30" s="66">
        <f>'M2'!B30-'M1'!B30</f>
        <v>5.1405999999999992</v>
      </c>
      <c r="C30" s="66">
        <f>'M2'!C30-'M1'!C30</f>
        <v>-5.4182699999999997</v>
      </c>
      <c r="D30" s="66">
        <f>'M2'!D30-'M1'!D30</f>
        <v>-0.28308699999999998</v>
      </c>
      <c r="E30" s="66">
        <f>'M2'!E30-'M1'!E30</f>
        <v>0</v>
      </c>
      <c r="F30" s="66">
        <f>'M2'!F30-'M1'!F30</f>
        <v>13.613080000000002</v>
      </c>
      <c r="G30" s="66">
        <f>'M2'!G30-'M1'!G30</f>
        <v>0</v>
      </c>
      <c r="H30" s="66">
        <f>'M2'!H30-'M1'!H30</f>
        <v>-0.90419999999999945</v>
      </c>
    </row>
    <row r="31" spans="1:8">
      <c r="A31" s="66" t="s">
        <v>74</v>
      </c>
      <c r="B31" s="66">
        <f>'M2'!B31-'M1'!B31</f>
        <v>12.700000000000003</v>
      </c>
      <c r="C31" s="66">
        <f>'M2'!C31-'M1'!C31</f>
        <v>-29.813799999999997</v>
      </c>
      <c r="D31" s="66">
        <f>'M2'!D31-'M1'!D31</f>
        <v>-0.24481900000000001</v>
      </c>
      <c r="E31" s="66">
        <f>'M2'!E31-'M1'!E31</f>
        <v>0</v>
      </c>
      <c r="F31" s="66">
        <f>'M2'!F31-'M1'!F31</f>
        <v>74.080700000000007</v>
      </c>
      <c r="G31" s="66">
        <f>'M2'!G31-'M1'!G31</f>
        <v>0</v>
      </c>
      <c r="H31" s="66">
        <f>'M2'!H31-'M1'!H31</f>
        <v>-9.0790000000000077</v>
      </c>
    </row>
    <row r="32" spans="1:8">
      <c r="A32" s="66" t="s">
        <v>75</v>
      </c>
      <c r="B32" s="66">
        <f>'M2'!B32-'M1'!B32</f>
        <v>-8.5729999999999973E-3</v>
      </c>
      <c r="C32" s="66">
        <f>'M2'!C32-'M1'!C32</f>
        <v>-2.6402000000000023E-3</v>
      </c>
      <c r="D32" s="66">
        <f>'M2'!D32-'M1'!D32</f>
        <v>-2.384000000000025E-3</v>
      </c>
      <c r="E32" s="66">
        <f>'M2'!E32-'M1'!E32</f>
        <v>0</v>
      </c>
      <c r="F32" s="66">
        <f>'M2'!F32-'M1'!F32</f>
        <v>-5.2777899999999989E-2</v>
      </c>
      <c r="G32" s="66">
        <f>'M2'!G32-'M1'!G32</f>
        <v>0</v>
      </c>
      <c r="H32" s="66">
        <f>'M2'!H32-'M1'!H32</f>
        <v>-7.8301999999999983E-2</v>
      </c>
    </row>
    <row r="33" spans="1:8">
      <c r="A33" s="66" t="s">
        <v>76</v>
      </c>
      <c r="B33" s="66">
        <f>'M2'!B33-'M1'!B33</f>
        <v>5.6228999999999973E-2</v>
      </c>
      <c r="C33" s="66">
        <f>'M2'!C33-'M1'!C33</f>
        <v>-1.3703799999999999E-2</v>
      </c>
      <c r="D33" s="66">
        <f>'M2'!D33-'M1'!D33</f>
        <v>-4.9852099999999996E-2</v>
      </c>
      <c r="E33" s="66">
        <f>'M2'!E33-'M1'!E33</f>
        <v>0</v>
      </c>
      <c r="F33" s="66">
        <f>'M2'!F33-'M1'!F33</f>
        <v>6.784100000000004E-2</v>
      </c>
      <c r="G33" s="66">
        <f>'M2'!G33-'M1'!G33</f>
        <v>0</v>
      </c>
      <c r="H33" s="66">
        <f>'M2'!H33-'M1'!H33</f>
        <v>3.7756000000000012E-2</v>
      </c>
    </row>
    <row r="34" spans="1:8">
      <c r="A34" s="66" t="s">
        <v>77</v>
      </c>
      <c r="B34" s="66">
        <f>'M2'!B34-'M1'!B34</f>
        <v>-2.2789000000000004E-2</v>
      </c>
      <c r="C34" s="66">
        <f>'M2'!C34-'M1'!C34</f>
        <v>4.7091000000000008E-3</v>
      </c>
      <c r="D34" s="66">
        <f>'M2'!D34-'M1'!D34</f>
        <v>4.739199999999999E-2</v>
      </c>
      <c r="E34" s="66">
        <f>'M2'!E34-'M1'!E34</f>
        <v>0</v>
      </c>
      <c r="F34" s="66">
        <f>'M2'!F34-'M1'!F34</f>
        <v>-5.6889999999999996E-3</v>
      </c>
      <c r="G34" s="66">
        <f>'M2'!G34-'M1'!G34</f>
        <v>0</v>
      </c>
      <c r="H34" s="66">
        <f>'M2'!H34-'M1'!H34</f>
        <v>-1.4329999999999954E-2</v>
      </c>
    </row>
    <row r="35" spans="1:8">
      <c r="A35" s="66" t="s">
        <v>78</v>
      </c>
      <c r="B35" s="66">
        <f>'M2'!B35-'M1'!B35</f>
        <v>-2.6873000000000036E-3</v>
      </c>
      <c r="C35" s="66">
        <f>'M2'!C35-'M1'!C35</f>
        <v>3.3669999999999881E-4</v>
      </c>
      <c r="D35" s="66">
        <f>'M2'!D35-'M1'!D35</f>
        <v>1.3423999999999991E-2</v>
      </c>
      <c r="E35" s="66">
        <f>'M2'!E35-'M1'!E35</f>
        <v>0</v>
      </c>
      <c r="F35" s="66">
        <f>'M2'!F35-'M1'!F35</f>
        <v>6.3106999999999955E-3</v>
      </c>
      <c r="G35" s="66">
        <f>'M2'!G35-'M1'!G35</f>
        <v>0</v>
      </c>
      <c r="H35" s="66">
        <f>'M2'!H35-'M1'!H35</f>
        <v>-2.008500000000002E-2</v>
      </c>
    </row>
    <row r="36" spans="1:8">
      <c r="A36" s="66" t="s">
        <v>79</v>
      </c>
      <c r="B36" s="66">
        <f>'M2'!B36-'M1'!B36</f>
        <v>-2.3103999999999986E-2</v>
      </c>
      <c r="C36" s="66">
        <f>'M2'!C36-'M1'!C36</f>
        <v>-2.6923999999999976E-3</v>
      </c>
      <c r="D36" s="66">
        <f>'M2'!D36-'M1'!D36</f>
        <v>6.5579000000000054E-2</v>
      </c>
      <c r="E36" s="66">
        <f>'M2'!E36-'M1'!E36</f>
        <v>0</v>
      </c>
      <c r="F36" s="66">
        <f>'M2'!F36-'M1'!F36</f>
        <v>-1.8520999999999954E-3</v>
      </c>
      <c r="G36" s="66">
        <f>'M2'!G36-'M1'!G36</f>
        <v>0</v>
      </c>
      <c r="H36" s="66">
        <f>'M2'!H36-'M1'!H36</f>
        <v>-3.4772000000000025E-2</v>
      </c>
    </row>
    <row r="37" spans="1:8">
      <c r="A37" s="66" t="s">
        <v>80</v>
      </c>
      <c r="B37" s="66">
        <f>'M2'!B37-'M1'!B37</f>
        <v>4.7090999999999994E-2</v>
      </c>
      <c r="C37" s="66">
        <f>'M2'!C37-'M1'!C37</f>
        <v>2.3873999999999992E-2</v>
      </c>
      <c r="D37" s="66">
        <f>'M2'!D37-'M1'!D37</f>
        <v>2.2940999999999989E-2</v>
      </c>
      <c r="E37" s="66">
        <f>'M2'!E37-'M1'!E37</f>
        <v>0</v>
      </c>
      <c r="F37" s="66">
        <f>'M2'!F37-'M1'!F37</f>
        <v>1.7837699999999998E-2</v>
      </c>
      <c r="G37" s="66">
        <f>'M2'!G37-'M1'!G37</f>
        <v>0</v>
      </c>
      <c r="H37" s="66">
        <f>'M2'!H37-'M1'!H37</f>
        <v>-4.2953000000000019E-2</v>
      </c>
    </row>
    <row r="38" spans="1:8">
      <c r="A38" s="66" t="s">
        <v>81</v>
      </c>
      <c r="B38" s="66">
        <f>'M2'!B38-'M1'!B38</f>
        <v>-0.81774999999999931</v>
      </c>
      <c r="C38" s="66">
        <f>'M2'!C38-'M1'!C38</f>
        <v>6.3277999999999999</v>
      </c>
      <c r="D38" s="66">
        <f>'M2'!D38-'M1'!D38</f>
        <v>-0.45973999999999959</v>
      </c>
      <c r="E38" s="66">
        <f>'M2'!E38-'M1'!E38</f>
        <v>0</v>
      </c>
      <c r="F38" s="66">
        <f>'M2'!F38-'M1'!F38</f>
        <v>-4.6777000000000015</v>
      </c>
      <c r="G38" s="66">
        <f>'M2'!G38-'M1'!G38</f>
        <v>0</v>
      </c>
      <c r="H38" s="66">
        <f>'M2'!H38-'M1'!H38</f>
        <v>77.901600000000016</v>
      </c>
    </row>
    <row r="39" spans="1:8">
      <c r="A39" s="66" t="s">
        <v>82</v>
      </c>
      <c r="B39" s="66">
        <f>'M2'!B39-'M1'!B39</f>
        <v>-1.4617799999999996</v>
      </c>
      <c r="C39" s="66">
        <f>'M2'!C39-'M1'!C39</f>
        <v>0.53932000000000002</v>
      </c>
      <c r="D39" s="66">
        <f>'M2'!D39-'M1'!D39</f>
        <v>0.30246499999999987</v>
      </c>
      <c r="E39" s="66">
        <f>'M2'!E39-'M1'!E39</f>
        <v>0</v>
      </c>
      <c r="F39" s="66">
        <f>'M2'!F39-'M1'!F39</f>
        <v>-4.2645</v>
      </c>
      <c r="G39" s="66">
        <f>'M2'!G39-'M1'!G39</f>
        <v>0</v>
      </c>
      <c r="H39" s="66">
        <f>'M2'!H39-'M1'!H39</f>
        <v>9.0125199999999985</v>
      </c>
    </row>
    <row r="40" spans="1:8">
      <c r="A40" s="66" t="s">
        <v>83</v>
      </c>
      <c r="B40" s="66">
        <f>'M2'!B40-'M1'!B40</f>
        <v>-0.91075000000000017</v>
      </c>
      <c r="C40" s="66">
        <f>'M2'!C40-'M1'!C40</f>
        <v>0.178479</v>
      </c>
      <c r="D40" s="66">
        <f>'M2'!D40-'M1'!D40</f>
        <v>-8.0680000000000196E-3</v>
      </c>
      <c r="E40" s="66">
        <f>'M2'!E40-'M1'!E40</f>
        <v>0</v>
      </c>
      <c r="F40" s="66">
        <f>'M2'!F40-'M1'!F40</f>
        <v>-0.36961999999999984</v>
      </c>
      <c r="G40" s="66">
        <f>'M2'!G40-'M1'!G40</f>
        <v>0</v>
      </c>
      <c r="H40" s="66">
        <f>'M2'!H40-'M1'!H40</f>
        <v>-0.2663399999999998</v>
      </c>
    </row>
    <row r="41" spans="1:8">
      <c r="A41" s="66" t="s">
        <v>84</v>
      </c>
      <c r="B41" s="66">
        <f>'M2'!B41-'M1'!B41</f>
        <v>-4.5367999999999936E-3</v>
      </c>
      <c r="C41" s="66">
        <f>'M2'!C41-'M1'!C41</f>
        <v>-3.8635000000000003E-2</v>
      </c>
      <c r="D41" s="66">
        <f>'M2'!D41-'M1'!D41</f>
        <v>0.61037000000000008</v>
      </c>
      <c r="E41" s="66">
        <f>'M2'!E41-'M1'!E41</f>
        <v>0</v>
      </c>
      <c r="F41" s="66">
        <f>'M2'!F41-'M1'!F41</f>
        <v>-0.11246199999999995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-1.9447999999999993E-2</v>
      </c>
      <c r="C42" s="66">
        <f>'M2'!C42-'M1'!C42</f>
        <v>3.6964000000000025E-3</v>
      </c>
      <c r="D42" s="66">
        <f>'M2'!D42-'M1'!D42</f>
        <v>4.4081999999999955E-2</v>
      </c>
      <c r="E42" s="66">
        <f>'M2'!E42-'M1'!E42</f>
        <v>0</v>
      </c>
      <c r="F42" s="66">
        <f>'M2'!F42-'M1'!F42</f>
        <v>-1.5048999999999979E-2</v>
      </c>
      <c r="G42" s="66">
        <f>'M2'!G42-'M1'!G42</f>
        <v>0</v>
      </c>
      <c r="H42" s="66">
        <f>'M2'!H42-'M1'!H42</f>
        <v>3.5017800000000002E-2</v>
      </c>
    </row>
    <row r="43" spans="1:8">
      <c r="A43" s="66" t="s">
        <v>86</v>
      </c>
      <c r="B43" s="66">
        <f>'M2'!B43-'M1'!B43</f>
        <v>-4.3872999999999995E-2</v>
      </c>
      <c r="C43" s="66">
        <f>'M2'!C43-'M1'!C43</f>
        <v>-1.6871999999999998E-3</v>
      </c>
      <c r="D43" s="66">
        <f>'M2'!D43-'M1'!D43</f>
        <v>6.6738999999999993E-2</v>
      </c>
      <c r="E43" s="66">
        <f>'M2'!E43-'M1'!E43</f>
        <v>0</v>
      </c>
      <c r="F43" s="66">
        <f>'M2'!F43-'M1'!F43</f>
        <v>-3.867000000000001E-2</v>
      </c>
      <c r="G43" s="66">
        <f>'M2'!G43-'M1'!G43</f>
        <v>0</v>
      </c>
      <c r="H43" s="66">
        <f>'M2'!H43-'M1'!H43</f>
        <v>-2.6927699999999999E-2</v>
      </c>
    </row>
    <row r="44" spans="1:8">
      <c r="A44" s="66" t="s">
        <v>87</v>
      </c>
      <c r="B44" s="66">
        <f>'M2'!B44-'M1'!B44</f>
        <v>17.549285000000001</v>
      </c>
      <c r="C44" s="66">
        <f>'M2'!C44-'M1'!C44</f>
        <v>2.4123099999999997</v>
      </c>
      <c r="D44" s="66">
        <f>'M2'!D44-'M1'!D44</f>
        <v>14.919981999999999</v>
      </c>
      <c r="E44" s="66">
        <f>'M2'!E44-'M1'!E44</f>
        <v>0</v>
      </c>
      <c r="F44" s="66">
        <f>'M2'!F44-'M1'!F44</f>
        <v>13.145399999999999</v>
      </c>
      <c r="G44" s="66">
        <f>'M2'!G44-'M1'!G44</f>
        <v>0</v>
      </c>
      <c r="H44" s="66">
        <f>'M2'!H44-'M1'!H44</f>
        <v>31.626702999999999</v>
      </c>
    </row>
    <row r="45" spans="1:8">
      <c r="A45" s="66" t="s">
        <v>88</v>
      </c>
      <c r="B45" s="66">
        <f>'M2'!B45-'M1'!B45</f>
        <v>-1.0951999999999984</v>
      </c>
      <c r="C45" s="66">
        <f>'M2'!C45-'M1'!C45</f>
        <v>-2.0920300000000003</v>
      </c>
      <c r="D45" s="66">
        <f>'M2'!D45-'M1'!D45</f>
        <v>-4.1252000000000011E-2</v>
      </c>
      <c r="E45" s="66">
        <f>'M2'!E45-'M1'!E45</f>
        <v>0</v>
      </c>
      <c r="F45" s="66">
        <f>'M2'!F45-'M1'!F45</f>
        <v>-2.7201999999999984</v>
      </c>
      <c r="G45" s="66">
        <f>'M2'!G45-'M1'!G45</f>
        <v>0</v>
      </c>
      <c r="H45" s="66">
        <f>'M2'!H45-'M1'!H45</f>
        <v>-4.6633999999999958</v>
      </c>
    </row>
    <row r="46" spans="1:8">
      <c r="A46" s="66" t="s">
        <v>89</v>
      </c>
      <c r="B46" s="66">
        <f>'M2'!B46-'M1'!B46</f>
        <v>-2.2333999999999996</v>
      </c>
      <c r="C46" s="66">
        <f>'M2'!C46-'M1'!C46</f>
        <v>-6.6616999999999997</v>
      </c>
      <c r="D46" s="66">
        <f>'M2'!D46-'M1'!D46</f>
        <v>-0.22879070000000001</v>
      </c>
      <c r="E46" s="66">
        <f>'M2'!E46-'M1'!E46</f>
        <v>0</v>
      </c>
      <c r="F46" s="66">
        <f>'M2'!F46-'M1'!F46</f>
        <v>17.870229999999999</v>
      </c>
      <c r="G46" s="66">
        <f>'M2'!G46-'M1'!G46</f>
        <v>0</v>
      </c>
      <c r="H46" s="66">
        <f>'M2'!H46-'M1'!H46</f>
        <v>-3.9013999999999989</v>
      </c>
    </row>
    <row r="47" spans="1:8">
      <c r="A47" s="66" t="s">
        <v>90</v>
      </c>
      <c r="B47" s="66">
        <f>'M2'!B47-'M1'!B47</f>
        <v>0.29296000000000011</v>
      </c>
      <c r="C47" s="66">
        <f>'M2'!C47-'M1'!C47</f>
        <v>6.7930999999999964E-2</v>
      </c>
      <c r="D47" s="66">
        <f>'M2'!D47-'M1'!D47</f>
        <v>-7.0512000000000019E-2</v>
      </c>
      <c r="E47" s="66">
        <f>'M2'!E47-'M1'!E47</f>
        <v>0</v>
      </c>
      <c r="F47" s="66">
        <f>'M2'!F47-'M1'!F47</f>
        <v>-0.15151500000000001</v>
      </c>
      <c r="G47" s="66">
        <f>'M2'!G47-'M1'!G47</f>
        <v>0</v>
      </c>
      <c r="H47" s="66">
        <f>'M2'!H47-'M1'!H47</f>
        <v>-0.58336999999999994</v>
      </c>
    </row>
    <row r="48" spans="1:8">
      <c r="A48" s="66" t="s">
        <v>91</v>
      </c>
      <c r="B48" s="66">
        <f>'M2'!B48-'M1'!B48</f>
        <v>-0.23687399999999992</v>
      </c>
      <c r="C48" s="66">
        <f>'M2'!C48-'M1'!C48</f>
        <v>-3.014E-2</v>
      </c>
      <c r="D48" s="66">
        <f>'M2'!D48-'M1'!D48</f>
        <v>2.8722999999999999E-2</v>
      </c>
      <c r="E48" s="66">
        <f>'M2'!E48-'M1'!E48</f>
        <v>0</v>
      </c>
      <c r="F48" s="66">
        <f>'M2'!F48-'M1'!F48</f>
        <v>-6.0944999999999916E-2</v>
      </c>
      <c r="G48" s="66">
        <f>'M2'!G48-'M1'!G48</f>
        <v>0</v>
      </c>
      <c r="H48" s="66">
        <f>'M2'!H48-'M1'!H48</f>
        <v>-6.194999999999995E-2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36.088200000000001</v>
      </c>
      <c r="C5" s="66">
        <v>12.0334</v>
      </c>
      <c r="D5" s="66">
        <v>33.344499999999996</v>
      </c>
      <c r="E5" s="66">
        <v>20</v>
      </c>
      <c r="F5" s="66">
        <v>8.8516999999999992</v>
      </c>
      <c r="G5" s="66">
        <v>50</v>
      </c>
      <c r="H5" s="66">
        <v>48.713700000000003</v>
      </c>
    </row>
    <row r="6" spans="1:8">
      <c r="A6" s="66" t="s">
        <v>358</v>
      </c>
      <c r="B6" s="66">
        <v>28.997599999999998</v>
      </c>
      <c r="C6" s="66">
        <v>2.5846100000000001</v>
      </c>
      <c r="D6" s="66">
        <v>8.9131800000000005</v>
      </c>
      <c r="E6" s="66">
        <v>20</v>
      </c>
      <c r="F6" s="66">
        <v>19.034600000000001</v>
      </c>
      <c r="G6" s="66">
        <v>40</v>
      </c>
      <c r="H6" s="66">
        <v>32.181199999999997</v>
      </c>
    </row>
    <row r="7" spans="1:8">
      <c r="A7" s="66" t="s">
        <v>359</v>
      </c>
      <c r="B7" s="66">
        <v>20.9223</v>
      </c>
      <c r="C7" s="66">
        <v>5.2763600000000004</v>
      </c>
      <c r="D7" s="66">
        <v>25.218800000000002</v>
      </c>
      <c r="E7" s="66">
        <v>15</v>
      </c>
      <c r="F7" s="66">
        <v>13.1149</v>
      </c>
      <c r="G7" s="66">
        <v>40</v>
      </c>
      <c r="H7" s="66">
        <v>38.155299999999997</v>
      </c>
    </row>
    <row r="8" spans="1:8">
      <c r="A8" s="66" t="s">
        <v>360</v>
      </c>
      <c r="B8" s="66">
        <v>29.822399999999998</v>
      </c>
      <c r="C8" s="66">
        <v>4.4927000000000001</v>
      </c>
      <c r="D8" s="66">
        <v>15.0648</v>
      </c>
      <c r="E8" s="66">
        <v>20</v>
      </c>
      <c r="F8" s="66">
        <v>14.7753</v>
      </c>
      <c r="G8" s="66">
        <v>50</v>
      </c>
      <c r="H8" s="66">
        <v>32.968000000000004</v>
      </c>
    </row>
    <row r="9" spans="1:8">
      <c r="A9" s="66" t="s">
        <v>361</v>
      </c>
      <c r="B9" s="66">
        <v>68.313000000000002</v>
      </c>
      <c r="C9" s="66">
        <v>6.5204899999999997</v>
      </c>
      <c r="D9" s="66">
        <v>9.5450199999999992</v>
      </c>
      <c r="E9" s="66">
        <v>50</v>
      </c>
      <c r="F9" s="66">
        <v>54.194800000000001</v>
      </c>
      <c r="G9" s="66">
        <v>100</v>
      </c>
      <c r="H9" s="66">
        <v>85.262500000000003</v>
      </c>
    </row>
    <row r="10" spans="1:8">
      <c r="A10" s="66" t="s">
        <v>362</v>
      </c>
      <c r="B10" s="66">
        <v>78.796800000000005</v>
      </c>
      <c r="C10" s="66">
        <v>2.3986100000000001</v>
      </c>
      <c r="D10" s="66">
        <v>3.0440399999999999</v>
      </c>
      <c r="E10" s="66">
        <v>40</v>
      </c>
      <c r="F10" s="66">
        <v>74.430800000000005</v>
      </c>
      <c r="G10" s="66">
        <v>100</v>
      </c>
      <c r="H10" s="66">
        <v>85.878299999999996</v>
      </c>
    </row>
    <row r="11" spans="1:8">
      <c r="A11" s="66" t="s">
        <v>363</v>
      </c>
      <c r="B11" s="66">
        <v>18.999099999999999</v>
      </c>
      <c r="C11" s="66">
        <v>7.9671700000000003</v>
      </c>
      <c r="D11" s="66">
        <v>41.934399999999997</v>
      </c>
      <c r="E11" s="66">
        <v>10</v>
      </c>
      <c r="F11" s="66">
        <v>7.1081500000000002</v>
      </c>
      <c r="G11" s="66">
        <v>50</v>
      </c>
      <c r="H11" s="66">
        <v>30.9636</v>
      </c>
    </row>
    <row r="12" spans="1:8">
      <c r="A12" s="66" t="s">
        <v>364</v>
      </c>
      <c r="B12" s="66">
        <v>73.157399999999996</v>
      </c>
      <c r="C12" s="66">
        <v>3.8761000000000001</v>
      </c>
      <c r="D12" s="66">
        <v>5.2982899999999997</v>
      </c>
      <c r="E12" s="66">
        <v>50</v>
      </c>
      <c r="F12" s="66">
        <v>66.882999999999996</v>
      </c>
      <c r="G12" s="66">
        <v>100</v>
      </c>
      <c r="H12" s="66">
        <v>84.844800000000006</v>
      </c>
    </row>
    <row r="13" spans="1:8">
      <c r="A13" s="66" t="s">
        <v>365</v>
      </c>
      <c r="B13" s="66">
        <v>20.227799999999998</v>
      </c>
      <c r="C13" s="66">
        <v>3.3704999999999998</v>
      </c>
      <c r="D13" s="66">
        <v>16.662700000000001</v>
      </c>
      <c r="E13" s="66">
        <v>10</v>
      </c>
      <c r="F13" s="66">
        <v>14.2293</v>
      </c>
      <c r="G13" s="66">
        <v>25</v>
      </c>
      <c r="H13" s="66">
        <v>29.802099999999999</v>
      </c>
    </row>
    <row r="14" spans="1:8">
      <c r="A14" s="66" t="s">
        <v>366</v>
      </c>
      <c r="B14" s="66">
        <v>33.704999999999998</v>
      </c>
      <c r="C14" s="66">
        <v>10.7804</v>
      </c>
      <c r="D14" s="66">
        <v>31.9846</v>
      </c>
      <c r="E14" s="66">
        <v>10</v>
      </c>
      <c r="F14" s="66">
        <v>1.63931</v>
      </c>
      <c r="G14" s="66">
        <v>50</v>
      </c>
      <c r="H14" s="66">
        <v>42.923999999999999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0.56275399999999998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0.57309600000000005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5.3087399999999997E-4</v>
      </c>
      <c r="C20" s="66">
        <v>1.4222800000000001E-2</v>
      </c>
      <c r="D20" s="66">
        <v>26.7913</v>
      </c>
      <c r="E20" s="66">
        <v>0</v>
      </c>
      <c r="F20" s="196">
        <v>9.15256E-6</v>
      </c>
      <c r="G20" s="66">
        <v>0</v>
      </c>
      <c r="H20" s="66">
        <v>0.11922099999999999</v>
      </c>
    </row>
    <row r="21" spans="1:8">
      <c r="A21" s="66" t="s">
        <v>373</v>
      </c>
      <c r="B21" s="66">
        <v>5.3200900000000002E-2</v>
      </c>
      <c r="C21" s="66">
        <v>0.15490100000000001</v>
      </c>
      <c r="D21" s="66">
        <v>2.9116200000000001</v>
      </c>
      <c r="E21" s="66">
        <v>0</v>
      </c>
      <c r="F21" s="66">
        <v>1.0312E-4</v>
      </c>
      <c r="G21" s="66">
        <v>0</v>
      </c>
      <c r="H21" s="66">
        <v>0.72499999999999998</v>
      </c>
    </row>
    <row r="22" spans="1:8">
      <c r="A22" s="66" t="s">
        <v>374</v>
      </c>
      <c r="B22" s="66">
        <v>40.031100000000002</v>
      </c>
      <c r="C22" s="66">
        <v>9.29129</v>
      </c>
      <c r="D22" s="66">
        <v>0.232102</v>
      </c>
      <c r="E22" s="66">
        <v>0</v>
      </c>
      <c r="F22" s="66">
        <v>16.763999999999999</v>
      </c>
      <c r="G22" s="66">
        <v>0</v>
      </c>
      <c r="H22" s="66">
        <v>60.127499999999998</v>
      </c>
    </row>
    <row r="23" spans="1:8">
      <c r="A23" s="66" t="s">
        <v>375</v>
      </c>
      <c r="B23" s="66">
        <v>13.941599999999999</v>
      </c>
      <c r="C23" s="66">
        <v>3.8542000000000001</v>
      </c>
      <c r="D23" s="66">
        <v>0.276453</v>
      </c>
      <c r="E23" s="66">
        <v>0</v>
      </c>
      <c r="F23" s="66">
        <v>8.1907999999999994</v>
      </c>
      <c r="G23" s="66">
        <v>0</v>
      </c>
      <c r="H23" s="66">
        <v>19.8766</v>
      </c>
    </row>
    <row r="24" spans="1:8">
      <c r="A24" s="66" t="s">
        <v>376</v>
      </c>
      <c r="B24" s="66">
        <v>8.4946200000000005E-4</v>
      </c>
      <c r="C24" s="66">
        <v>8.7135500000000005E-3</v>
      </c>
      <c r="D24" s="66">
        <v>10.2577</v>
      </c>
      <c r="E24" s="66">
        <v>0</v>
      </c>
      <c r="F24" s="66">
        <v>1.11493E-4</v>
      </c>
      <c r="G24" s="66">
        <v>0</v>
      </c>
      <c r="H24" s="66">
        <v>3.8644900000000003E-2</v>
      </c>
    </row>
    <row r="25" spans="1:8">
      <c r="A25" s="66" t="s">
        <v>377</v>
      </c>
      <c r="B25" s="66">
        <v>0.109318</v>
      </c>
      <c r="C25" s="66">
        <v>7.2895299999999996E-2</v>
      </c>
      <c r="D25" s="66">
        <v>0.666821</v>
      </c>
      <c r="E25" s="66">
        <v>0</v>
      </c>
      <c r="F25" s="66">
        <v>2.0767600000000001E-2</v>
      </c>
      <c r="G25" s="66">
        <v>0</v>
      </c>
      <c r="H25" s="66">
        <v>0.314164</v>
      </c>
    </row>
    <row r="26" spans="1:8">
      <c r="A26" s="66" t="s">
        <v>378</v>
      </c>
      <c r="B26" s="66">
        <v>1.7725799999999999E-4</v>
      </c>
      <c r="C26" s="66">
        <v>1.3398399999999999E-3</v>
      </c>
      <c r="D26" s="66">
        <v>7.5586799999999998</v>
      </c>
      <c r="E26" s="66">
        <v>0</v>
      </c>
      <c r="F26" s="196">
        <v>3.2825599999999999E-6</v>
      </c>
      <c r="G26" s="66">
        <v>0</v>
      </c>
      <c r="H26" s="66">
        <v>7.4940900000000001E-3</v>
      </c>
    </row>
    <row r="27" spans="1:8">
      <c r="A27" s="66" t="s">
        <v>379</v>
      </c>
      <c r="B27" s="196">
        <v>-3.2825599999999999E-6</v>
      </c>
      <c r="C27" s="66">
        <v>8.2533300000000003E-4</v>
      </c>
      <c r="D27" s="66">
        <v>-251.429</v>
      </c>
      <c r="E27" s="66">
        <v>0</v>
      </c>
      <c r="F27" s="66">
        <v>-5.1601900000000003E-3</v>
      </c>
      <c r="G27" s="66">
        <v>0</v>
      </c>
      <c r="H27" s="66">
        <v>5.8429600000000003E-3</v>
      </c>
    </row>
    <row r="28" spans="1:8">
      <c r="A28" s="66" t="s">
        <v>380</v>
      </c>
      <c r="B28" s="66">
        <v>9.7835300000000004E-3</v>
      </c>
      <c r="C28" s="66">
        <v>1.4471299999999999E-2</v>
      </c>
      <c r="D28" s="66">
        <v>1.47915</v>
      </c>
      <c r="E28" s="66">
        <v>0</v>
      </c>
      <c r="F28" s="196">
        <v>2.6041699999999998E-5</v>
      </c>
      <c r="G28" s="66">
        <v>0</v>
      </c>
      <c r="H28" s="66">
        <v>6.4108100000000001E-2</v>
      </c>
    </row>
    <row r="29" spans="1:8">
      <c r="A29" s="66" t="s">
        <v>381</v>
      </c>
      <c r="B29" s="66">
        <v>73.724199999999996</v>
      </c>
      <c r="C29" s="66">
        <v>10.739699999999999</v>
      </c>
      <c r="D29" s="66">
        <v>0.145674</v>
      </c>
      <c r="E29" s="66">
        <v>0</v>
      </c>
      <c r="F29" s="66">
        <v>46.435099999999998</v>
      </c>
      <c r="G29" s="66">
        <v>0</v>
      </c>
      <c r="H29" s="66">
        <v>104.23699999999999</v>
      </c>
    </row>
    <row r="30" spans="1:8">
      <c r="A30" s="66" t="s">
        <v>382</v>
      </c>
      <c r="B30" s="66">
        <v>20.276700000000002</v>
      </c>
      <c r="C30" s="66">
        <v>7.0093699999999997</v>
      </c>
      <c r="D30" s="66">
        <v>0.34568599999999999</v>
      </c>
      <c r="E30" s="66">
        <v>0</v>
      </c>
      <c r="F30" s="66">
        <v>9.7111199999999993</v>
      </c>
      <c r="G30" s="66">
        <v>0</v>
      </c>
      <c r="H30" s="66">
        <v>31.3673</v>
      </c>
    </row>
    <row r="31" spans="1:8">
      <c r="A31" s="66" t="s">
        <v>383</v>
      </c>
      <c r="B31" s="66">
        <v>127.764</v>
      </c>
      <c r="C31" s="66">
        <v>46.017899999999997</v>
      </c>
      <c r="D31" s="66">
        <v>0.36018</v>
      </c>
      <c r="E31" s="66">
        <v>0</v>
      </c>
      <c r="F31" s="66">
        <v>33.6693</v>
      </c>
      <c r="G31" s="66">
        <v>0</v>
      </c>
      <c r="H31" s="66">
        <v>182.93700000000001</v>
      </c>
    </row>
    <row r="32" spans="1:8">
      <c r="A32" s="66" t="s">
        <v>384</v>
      </c>
      <c r="B32" s="66">
        <v>0.20922299999999999</v>
      </c>
      <c r="C32" s="66">
        <v>5.2763600000000001E-2</v>
      </c>
      <c r="D32" s="66">
        <v>0.25218800000000002</v>
      </c>
      <c r="E32" s="66">
        <v>0.15</v>
      </c>
      <c r="F32" s="66">
        <v>0.13114899999999999</v>
      </c>
      <c r="G32" s="66">
        <v>0.4</v>
      </c>
      <c r="H32" s="66">
        <v>0.38155299999999998</v>
      </c>
    </row>
    <row r="33" spans="1:8">
      <c r="A33" s="66" t="s">
        <v>385</v>
      </c>
      <c r="B33" s="66">
        <v>0.34301300000000001</v>
      </c>
      <c r="C33" s="66">
        <v>3.78164E-2</v>
      </c>
      <c r="D33" s="66">
        <v>0.110248</v>
      </c>
      <c r="E33" s="66">
        <v>0</v>
      </c>
      <c r="F33" s="66">
        <v>0.28545599999999999</v>
      </c>
      <c r="G33" s="66">
        <v>0</v>
      </c>
      <c r="H33" s="66">
        <v>0.420435</v>
      </c>
    </row>
    <row r="34" spans="1:8">
      <c r="A34" s="66" t="s">
        <v>386</v>
      </c>
      <c r="B34" s="66">
        <v>0.20227800000000001</v>
      </c>
      <c r="C34" s="66">
        <v>3.3704999999999999E-2</v>
      </c>
      <c r="D34" s="66">
        <v>0.166627</v>
      </c>
      <c r="E34" s="66">
        <v>0.1</v>
      </c>
      <c r="F34" s="66">
        <v>0.142293</v>
      </c>
      <c r="G34" s="66">
        <v>0.25</v>
      </c>
      <c r="H34" s="66">
        <v>0.29802099999999998</v>
      </c>
    </row>
    <row r="35" spans="1:8">
      <c r="A35" s="66" t="s">
        <v>387</v>
      </c>
      <c r="B35" s="66">
        <v>8.6831900000000004E-2</v>
      </c>
      <c r="C35" s="66">
        <v>2.5615700000000002E-2</v>
      </c>
      <c r="D35" s="66">
        <v>0.29500300000000002</v>
      </c>
      <c r="E35" s="66">
        <v>0</v>
      </c>
      <c r="F35" s="66">
        <v>3.1761900000000003E-2</v>
      </c>
      <c r="G35" s="66">
        <v>0</v>
      </c>
      <c r="H35" s="66">
        <v>0.17560600000000001</v>
      </c>
    </row>
    <row r="36" spans="1:8">
      <c r="A36" s="66" t="s">
        <v>388</v>
      </c>
      <c r="B36" s="66">
        <v>0.18046999999999999</v>
      </c>
      <c r="C36" s="66">
        <v>0.101642</v>
      </c>
      <c r="D36" s="66">
        <v>0.56320999999999999</v>
      </c>
      <c r="E36" s="66">
        <v>0</v>
      </c>
      <c r="F36" s="66">
        <v>4.2431999999999997E-2</v>
      </c>
      <c r="G36" s="66">
        <v>0</v>
      </c>
      <c r="H36" s="66">
        <v>0.55771999999999999</v>
      </c>
    </row>
    <row r="37" spans="1:8">
      <c r="A37" s="66" t="s">
        <v>389</v>
      </c>
      <c r="B37" s="66">
        <v>0.33705000000000002</v>
      </c>
      <c r="C37" s="66">
        <v>0.107804</v>
      </c>
      <c r="D37" s="66">
        <v>0.31984600000000002</v>
      </c>
      <c r="E37" s="66">
        <v>0.1</v>
      </c>
      <c r="F37" s="66">
        <v>1.6393100000000001E-2</v>
      </c>
      <c r="G37" s="66">
        <v>0.5</v>
      </c>
      <c r="H37" s="66">
        <v>0.42924000000000001</v>
      </c>
    </row>
    <row r="38" spans="1:8">
      <c r="A38" s="66" t="s">
        <v>390</v>
      </c>
      <c r="B38" s="66">
        <v>-5.9837800000000003</v>
      </c>
      <c r="C38" s="66">
        <v>23.421800000000001</v>
      </c>
      <c r="D38" s="66">
        <v>-3.9142100000000002</v>
      </c>
      <c r="E38" s="66">
        <v>0</v>
      </c>
      <c r="F38" s="66">
        <v>-62.523600000000002</v>
      </c>
      <c r="G38" s="66">
        <v>0</v>
      </c>
      <c r="H38" s="66">
        <v>76.029399999999995</v>
      </c>
    </row>
    <row r="39" spans="1:8">
      <c r="A39" s="66" t="s">
        <v>391</v>
      </c>
      <c r="B39" s="66">
        <v>-2.3622800000000002</v>
      </c>
      <c r="C39" s="66">
        <v>2.74071</v>
      </c>
      <c r="D39" s="66">
        <v>-1.1601999999999999</v>
      </c>
      <c r="E39" s="66">
        <v>0</v>
      </c>
      <c r="F39" s="66">
        <v>-10.554399999999999</v>
      </c>
      <c r="G39" s="66">
        <v>0</v>
      </c>
      <c r="H39" s="66">
        <v>1.6873800000000001</v>
      </c>
    </row>
    <row r="40" spans="1:8">
      <c r="A40" s="66" t="s">
        <v>392</v>
      </c>
      <c r="B40" s="66">
        <v>-1.6283099999999999</v>
      </c>
      <c r="C40" s="66">
        <v>0.28247299999999997</v>
      </c>
      <c r="D40" s="66">
        <v>-0.17347599999999999</v>
      </c>
      <c r="E40" s="66">
        <v>0</v>
      </c>
      <c r="F40" s="66">
        <v>-2.5061800000000001</v>
      </c>
      <c r="G40" s="66">
        <v>0</v>
      </c>
      <c r="H40" s="66">
        <v>-1.0817000000000001</v>
      </c>
    </row>
    <row r="41" spans="1:8">
      <c r="A41" s="66" t="s">
        <v>393</v>
      </c>
      <c r="B41" s="66">
        <v>-8.3858500000000002E-2</v>
      </c>
      <c r="C41" s="66">
        <v>0.28314800000000001</v>
      </c>
      <c r="D41" s="66">
        <v>-3.3765000000000001</v>
      </c>
      <c r="E41" s="66">
        <v>0</v>
      </c>
      <c r="F41" s="66">
        <v>-0.74468100000000004</v>
      </c>
      <c r="G41" s="66">
        <v>0</v>
      </c>
      <c r="H41" s="66">
        <v>1</v>
      </c>
    </row>
    <row r="42" spans="1:8">
      <c r="A42" s="66" t="s">
        <v>394</v>
      </c>
      <c r="B42" s="66">
        <v>-0.10950799999999999</v>
      </c>
      <c r="C42" s="66">
        <v>5.28222E-2</v>
      </c>
      <c r="D42" s="66">
        <v>-0.48235899999999998</v>
      </c>
      <c r="E42" s="66">
        <v>0</v>
      </c>
      <c r="F42" s="66">
        <v>-0.26022600000000001</v>
      </c>
      <c r="G42" s="66">
        <v>0</v>
      </c>
      <c r="H42" s="66">
        <v>2.3805699999999999E-2</v>
      </c>
    </row>
    <row r="43" spans="1:8">
      <c r="A43" s="66" t="s">
        <v>395</v>
      </c>
      <c r="B43" s="66">
        <v>-0.117586</v>
      </c>
      <c r="C43" s="66">
        <v>2.4357799999999999E-2</v>
      </c>
      <c r="D43" s="66">
        <v>-0.207149</v>
      </c>
      <c r="E43" s="66">
        <v>0</v>
      </c>
      <c r="F43" s="66">
        <v>-0.15724199999999999</v>
      </c>
      <c r="G43" s="66">
        <v>0</v>
      </c>
      <c r="H43" s="66">
        <v>-7.8808299999999998E-2</v>
      </c>
    </row>
    <row r="44" spans="1:8">
      <c r="A44" s="66" t="s">
        <v>396</v>
      </c>
      <c r="B44" s="66">
        <v>-16.7881</v>
      </c>
      <c r="C44" s="66">
        <v>8.5565899999999999</v>
      </c>
      <c r="D44" s="66">
        <v>-0.50968199999999997</v>
      </c>
      <c r="E44" s="66">
        <v>0</v>
      </c>
      <c r="F44" s="66">
        <v>-31.605799999999999</v>
      </c>
      <c r="G44" s="66">
        <v>0</v>
      </c>
      <c r="H44" s="66">
        <v>-0.79540299999999997</v>
      </c>
    </row>
    <row r="45" spans="1:8">
      <c r="A45" s="66" t="s">
        <v>397</v>
      </c>
      <c r="B45" s="66">
        <v>47.003599999999999</v>
      </c>
      <c r="C45" s="66">
        <v>8.5082599999999999</v>
      </c>
      <c r="D45" s="66">
        <v>0.18101300000000001</v>
      </c>
      <c r="E45" s="66">
        <v>0</v>
      </c>
      <c r="F45" s="66">
        <v>34.1402</v>
      </c>
      <c r="G45" s="66">
        <v>0</v>
      </c>
      <c r="H45" s="66">
        <v>68.545199999999994</v>
      </c>
    </row>
    <row r="46" spans="1:8">
      <c r="A46" s="66" t="s">
        <v>398</v>
      </c>
      <c r="B46" s="66">
        <v>28.534500000000001</v>
      </c>
      <c r="C46" s="66">
        <v>8.2308299999999992</v>
      </c>
      <c r="D46" s="66">
        <v>0.28845100000000001</v>
      </c>
      <c r="E46" s="66">
        <v>0</v>
      </c>
      <c r="F46" s="66">
        <v>5.4416700000000002</v>
      </c>
      <c r="G46" s="66">
        <v>0</v>
      </c>
      <c r="H46" s="66">
        <v>33.328499999999998</v>
      </c>
    </row>
    <row r="47" spans="1:8">
      <c r="A47" s="66" t="s">
        <v>399</v>
      </c>
      <c r="B47" s="66">
        <v>1.04999</v>
      </c>
      <c r="C47" s="66">
        <v>0.58286199999999999</v>
      </c>
      <c r="D47" s="66">
        <v>0.55510999999999999</v>
      </c>
      <c r="E47" s="66">
        <v>0</v>
      </c>
      <c r="F47" s="66">
        <v>0.39362900000000001</v>
      </c>
      <c r="G47" s="66">
        <v>0</v>
      </c>
      <c r="H47" s="66">
        <v>3.7226300000000001</v>
      </c>
    </row>
    <row r="48" spans="1:8">
      <c r="A48" s="66" t="s">
        <v>400</v>
      </c>
      <c r="B48" s="66">
        <v>1.0725499999999999</v>
      </c>
      <c r="C48" s="66">
        <v>0.24515700000000001</v>
      </c>
      <c r="D48" s="66">
        <v>0.228574</v>
      </c>
      <c r="E48" s="66">
        <v>0</v>
      </c>
      <c r="F48" s="66">
        <v>0.67385799999999996</v>
      </c>
      <c r="G48" s="66">
        <v>0</v>
      </c>
      <c r="H48" s="66">
        <v>1.38581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401</v>
      </c>
      <c r="B5" s="66">
        <v>36.351700000000001</v>
      </c>
      <c r="C5" s="66">
        <v>3.8292099999999998</v>
      </c>
      <c r="D5" s="66">
        <v>10.533799999999999</v>
      </c>
      <c r="E5" s="66">
        <v>20</v>
      </c>
      <c r="F5" s="66">
        <v>31.459499999999998</v>
      </c>
      <c r="G5" s="66">
        <v>50</v>
      </c>
      <c r="H5" s="66">
        <v>45.671599999999998</v>
      </c>
    </row>
    <row r="6" spans="1:8">
      <c r="A6" s="66" t="s">
        <v>358</v>
      </c>
      <c r="B6" s="66">
        <v>25.9986</v>
      </c>
      <c r="C6" s="66">
        <v>1.18658</v>
      </c>
      <c r="D6" s="66">
        <v>4.5640099999999997</v>
      </c>
      <c r="E6" s="66">
        <v>20</v>
      </c>
      <c r="F6" s="66">
        <v>23.2911</v>
      </c>
      <c r="G6" s="66">
        <v>40</v>
      </c>
      <c r="H6" s="66">
        <v>27.914100000000001</v>
      </c>
    </row>
    <row r="7" spans="1:8">
      <c r="A7" s="66" t="s">
        <v>359</v>
      </c>
      <c r="B7" s="66">
        <v>20.065000000000001</v>
      </c>
      <c r="C7" s="66">
        <v>5.01234</v>
      </c>
      <c r="D7" s="66">
        <v>24.980399999999999</v>
      </c>
      <c r="E7" s="66">
        <v>15</v>
      </c>
      <c r="F7" s="66">
        <v>7.83711</v>
      </c>
      <c r="G7" s="66">
        <v>40</v>
      </c>
      <c r="H7" s="66">
        <v>30.325099999999999</v>
      </c>
    </row>
    <row r="8" spans="1:8">
      <c r="A8" s="66" t="s">
        <v>360</v>
      </c>
      <c r="B8" s="66">
        <v>27.8689</v>
      </c>
      <c r="C8" s="66">
        <v>1.53051</v>
      </c>
      <c r="D8" s="66">
        <v>5.4918100000000001</v>
      </c>
      <c r="E8" s="66">
        <v>20</v>
      </c>
      <c r="F8" s="66">
        <v>23.939800000000002</v>
      </c>
      <c r="G8" s="66">
        <v>50</v>
      </c>
      <c r="H8" s="66">
        <v>30.207699999999999</v>
      </c>
    </row>
    <row r="9" spans="1:8">
      <c r="A9" s="66" t="s">
        <v>361</v>
      </c>
      <c r="B9" s="66">
        <v>59.275399999999998</v>
      </c>
      <c r="C9" s="66">
        <v>7.5796599999999996</v>
      </c>
      <c r="D9" s="66">
        <v>12.7872</v>
      </c>
      <c r="E9" s="66">
        <v>50</v>
      </c>
      <c r="F9" s="66">
        <v>47.437899999999999</v>
      </c>
      <c r="G9" s="66">
        <v>100</v>
      </c>
      <c r="H9" s="66">
        <v>75.738500000000002</v>
      </c>
    </row>
    <row r="10" spans="1:8">
      <c r="A10" s="66" t="s">
        <v>362</v>
      </c>
      <c r="B10" s="66">
        <v>80.866299999999995</v>
      </c>
      <c r="C10" s="66">
        <v>1.0927</v>
      </c>
      <c r="D10" s="66">
        <v>1.35124</v>
      </c>
      <c r="E10" s="66">
        <v>40</v>
      </c>
      <c r="F10" s="66">
        <v>77.9482</v>
      </c>
      <c r="G10" s="66">
        <v>100</v>
      </c>
      <c r="H10" s="66">
        <v>82.702699999999993</v>
      </c>
    </row>
    <row r="11" spans="1:8">
      <c r="A11" s="66" t="s">
        <v>363</v>
      </c>
      <c r="B11" s="66">
        <v>22.703399999999998</v>
      </c>
      <c r="C11" s="66">
        <v>3.86782</v>
      </c>
      <c r="D11" s="66">
        <v>17.036300000000001</v>
      </c>
      <c r="E11" s="66">
        <v>10</v>
      </c>
      <c r="F11" s="66">
        <v>18.035799999999998</v>
      </c>
      <c r="G11" s="66">
        <v>50</v>
      </c>
      <c r="H11" s="66">
        <v>30.636900000000001</v>
      </c>
    </row>
    <row r="12" spans="1:8">
      <c r="A12" s="66" t="s">
        <v>364</v>
      </c>
      <c r="B12" s="66">
        <v>69.817999999999998</v>
      </c>
      <c r="C12" s="66">
        <v>3.8742899999999998</v>
      </c>
      <c r="D12" s="66">
        <v>5.5491299999999999</v>
      </c>
      <c r="E12" s="66">
        <v>50</v>
      </c>
      <c r="F12" s="66">
        <v>63.091200000000001</v>
      </c>
      <c r="G12" s="66">
        <v>100</v>
      </c>
      <c r="H12" s="66">
        <v>78.220100000000002</v>
      </c>
    </row>
    <row r="13" spans="1:8">
      <c r="A13" s="66" t="s">
        <v>365</v>
      </c>
      <c r="B13" s="66">
        <v>17.948899999999998</v>
      </c>
      <c r="C13" s="66">
        <v>3.8414100000000002</v>
      </c>
      <c r="D13" s="66">
        <v>21.401900000000001</v>
      </c>
      <c r="E13" s="66">
        <v>10</v>
      </c>
      <c r="F13" s="66">
        <v>13.660399999999999</v>
      </c>
      <c r="G13" s="66">
        <v>25</v>
      </c>
      <c r="H13" s="66">
        <v>28.3691</v>
      </c>
    </row>
    <row r="14" spans="1:8">
      <c r="A14" s="66" t="s">
        <v>366</v>
      </c>
      <c r="B14" s="66">
        <v>38.414099999999998</v>
      </c>
      <c r="C14" s="66">
        <v>13.1678</v>
      </c>
      <c r="D14" s="66">
        <v>34.278700000000001</v>
      </c>
      <c r="E14" s="66">
        <v>10</v>
      </c>
      <c r="F14" s="66">
        <v>3.4230800000000001</v>
      </c>
      <c r="G14" s="66">
        <v>50</v>
      </c>
      <c r="H14" s="66">
        <v>38.628700000000002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0.47192699999999999</v>
      </c>
      <c r="C18" s="66">
        <v>0.104714</v>
      </c>
      <c r="D18" s="66">
        <v>0.221885</v>
      </c>
      <c r="E18" s="66">
        <v>0</v>
      </c>
      <c r="F18" s="66">
        <v>0.36721399999999998</v>
      </c>
      <c r="G18" s="66">
        <v>0</v>
      </c>
      <c r="H18" s="66">
        <v>0.57664099999999996</v>
      </c>
    </row>
    <row r="19" spans="1:8">
      <c r="A19" s="66" t="s">
        <v>371</v>
      </c>
      <c r="B19" s="66">
        <v>0.65389900000000001</v>
      </c>
      <c r="C19" s="66">
        <v>7.6493099999999994E-2</v>
      </c>
      <c r="D19" s="66">
        <v>0.11698</v>
      </c>
      <c r="E19" s="66">
        <v>0</v>
      </c>
      <c r="F19" s="66">
        <v>0.57740599999999997</v>
      </c>
      <c r="G19" s="66">
        <v>0</v>
      </c>
      <c r="H19" s="66">
        <v>0.73039200000000004</v>
      </c>
    </row>
    <row r="20" spans="1:8">
      <c r="A20" s="66" t="s">
        <v>402</v>
      </c>
      <c r="B20" s="66">
        <v>8.0175600000000004E-4</v>
      </c>
      <c r="C20" s="66">
        <v>1.54728E-2</v>
      </c>
      <c r="D20" s="66">
        <v>19.2987</v>
      </c>
      <c r="E20" s="66">
        <v>0</v>
      </c>
      <c r="F20" s="196">
        <v>2.8680600000000001E-5</v>
      </c>
      <c r="G20" s="66">
        <v>0</v>
      </c>
      <c r="H20" s="66">
        <v>0.106443</v>
      </c>
    </row>
    <row r="21" spans="1:8">
      <c r="A21" s="66" t="s">
        <v>373</v>
      </c>
      <c r="B21" s="66">
        <v>7.5453400000000004E-2</v>
      </c>
      <c r="C21" s="66">
        <v>0.236816</v>
      </c>
      <c r="D21" s="66">
        <v>3.1385700000000001</v>
      </c>
      <c r="E21" s="66">
        <v>0</v>
      </c>
      <c r="F21" s="66">
        <v>1.36042E-3</v>
      </c>
      <c r="G21" s="66">
        <v>0</v>
      </c>
      <c r="H21" s="66">
        <v>1.37334</v>
      </c>
    </row>
    <row r="22" spans="1:8">
      <c r="A22" s="66" t="s">
        <v>374</v>
      </c>
      <c r="B22" s="66">
        <v>41.740099999999998</v>
      </c>
      <c r="C22" s="66">
        <v>10.907500000000001</v>
      </c>
      <c r="D22" s="66">
        <v>0.26132</v>
      </c>
      <c r="E22" s="66">
        <v>0</v>
      </c>
      <c r="F22" s="66">
        <v>15.8276</v>
      </c>
      <c r="G22" s="66">
        <v>0</v>
      </c>
      <c r="H22" s="66">
        <v>61.221400000000003</v>
      </c>
    </row>
    <row r="23" spans="1:8">
      <c r="A23" s="66" t="s">
        <v>375</v>
      </c>
      <c r="B23" s="66">
        <v>17.4373</v>
      </c>
      <c r="C23" s="66">
        <v>0.93353600000000003</v>
      </c>
      <c r="D23" s="66">
        <v>5.35367E-2</v>
      </c>
      <c r="E23" s="66">
        <v>0</v>
      </c>
      <c r="F23" s="66">
        <v>15.257300000000001</v>
      </c>
      <c r="G23" s="66">
        <v>0</v>
      </c>
      <c r="H23" s="66">
        <v>19.783200000000001</v>
      </c>
    </row>
    <row r="24" spans="1:8">
      <c r="A24" s="66" t="s">
        <v>376</v>
      </c>
      <c r="B24" s="66">
        <v>1.68884E-3</v>
      </c>
      <c r="C24" s="66">
        <v>1.10817E-2</v>
      </c>
      <c r="D24" s="66">
        <v>6.5616899999999996</v>
      </c>
      <c r="E24" s="66">
        <v>0</v>
      </c>
      <c r="F24" s="66">
        <v>1.01735E-4</v>
      </c>
      <c r="G24" s="66">
        <v>0</v>
      </c>
      <c r="H24" s="66">
        <v>7.8454200000000002E-2</v>
      </c>
    </row>
    <row r="25" spans="1:8">
      <c r="A25" s="66" t="s">
        <v>377</v>
      </c>
      <c r="B25" s="66">
        <v>0.15578</v>
      </c>
      <c r="C25" s="66">
        <v>0.124126</v>
      </c>
      <c r="D25" s="66">
        <v>0.79680200000000001</v>
      </c>
      <c r="E25" s="66">
        <v>0</v>
      </c>
      <c r="F25" s="66">
        <v>1.5751000000000001E-2</v>
      </c>
      <c r="G25" s="66">
        <v>0</v>
      </c>
      <c r="H25" s="66">
        <v>0.46663900000000003</v>
      </c>
    </row>
    <row r="26" spans="1:8">
      <c r="A26" s="66" t="s">
        <v>378</v>
      </c>
      <c r="B26" s="66">
        <v>2.92148E-4</v>
      </c>
      <c r="C26" s="66">
        <v>1.8466400000000001E-3</v>
      </c>
      <c r="D26" s="66">
        <v>6.3208900000000003</v>
      </c>
      <c r="E26" s="66">
        <v>0</v>
      </c>
      <c r="F26" s="196">
        <v>6.5651299999999996E-6</v>
      </c>
      <c r="G26" s="66">
        <v>0</v>
      </c>
      <c r="H26" s="66">
        <v>1.4545000000000001E-2</v>
      </c>
    </row>
    <row r="27" spans="1:8">
      <c r="A27" s="66" t="s">
        <v>379</v>
      </c>
      <c r="B27" s="196">
        <v>-3.2825599999999999E-6</v>
      </c>
      <c r="C27" s="66">
        <v>8.4238599999999998E-4</v>
      </c>
      <c r="D27" s="66">
        <v>-256.62400000000002</v>
      </c>
      <c r="E27" s="66">
        <v>0</v>
      </c>
      <c r="F27" s="66">
        <v>-4.0342700000000004E-3</v>
      </c>
      <c r="G27" s="66">
        <v>0</v>
      </c>
      <c r="H27" s="66">
        <v>6.6898599999999997E-3</v>
      </c>
    </row>
    <row r="28" spans="1:8">
      <c r="A28" s="66" t="s">
        <v>380</v>
      </c>
      <c r="B28" s="66">
        <v>1.25635E-2</v>
      </c>
      <c r="C28" s="66">
        <v>1.95421E-2</v>
      </c>
      <c r="D28" s="66">
        <v>1.5554699999999999</v>
      </c>
      <c r="E28" s="66">
        <v>0</v>
      </c>
      <c r="F28" s="66">
        <v>4.00391E-4</v>
      </c>
      <c r="G28" s="66">
        <v>0</v>
      </c>
      <c r="H28" s="66">
        <v>9.6516900000000003E-2</v>
      </c>
    </row>
    <row r="29" spans="1:8">
      <c r="A29" s="66" t="s">
        <v>381</v>
      </c>
      <c r="B29" s="66">
        <v>71.639399999999995</v>
      </c>
      <c r="C29" s="66">
        <v>8.9825199999999992</v>
      </c>
      <c r="D29" s="66">
        <v>0.125385</v>
      </c>
      <c r="E29" s="66">
        <v>0</v>
      </c>
      <c r="F29" s="66">
        <v>50.4527</v>
      </c>
      <c r="G29" s="66">
        <v>0</v>
      </c>
      <c r="H29" s="66">
        <v>96.1755</v>
      </c>
    </row>
    <row r="30" spans="1:8">
      <c r="A30" s="66" t="s">
        <v>382</v>
      </c>
      <c r="B30" s="66">
        <v>25.417300000000001</v>
      </c>
      <c r="C30" s="66">
        <v>1.5911</v>
      </c>
      <c r="D30" s="66">
        <v>6.2599000000000002E-2</v>
      </c>
      <c r="E30" s="66">
        <v>0</v>
      </c>
      <c r="F30" s="66">
        <v>23.324200000000001</v>
      </c>
      <c r="G30" s="66">
        <v>0</v>
      </c>
      <c r="H30" s="66">
        <v>30.463100000000001</v>
      </c>
    </row>
    <row r="31" spans="1:8">
      <c r="A31" s="66" t="s">
        <v>383</v>
      </c>
      <c r="B31" s="66">
        <v>140.464</v>
      </c>
      <c r="C31" s="66">
        <v>16.2041</v>
      </c>
      <c r="D31" s="66">
        <v>0.11536100000000001</v>
      </c>
      <c r="E31" s="66">
        <v>0</v>
      </c>
      <c r="F31" s="66">
        <v>107.75</v>
      </c>
      <c r="G31" s="66">
        <v>0</v>
      </c>
      <c r="H31" s="66">
        <v>173.858</v>
      </c>
    </row>
    <row r="32" spans="1:8">
      <c r="A32" s="66" t="s">
        <v>384</v>
      </c>
      <c r="B32" s="66">
        <v>0.20065</v>
      </c>
      <c r="C32" s="66">
        <v>5.0123399999999999E-2</v>
      </c>
      <c r="D32" s="66">
        <v>0.249804</v>
      </c>
      <c r="E32" s="66">
        <v>0.15</v>
      </c>
      <c r="F32" s="66">
        <v>7.8371099999999999E-2</v>
      </c>
      <c r="G32" s="66">
        <v>0.4</v>
      </c>
      <c r="H32" s="66">
        <v>0.30325099999999999</v>
      </c>
    </row>
    <row r="33" spans="1:8">
      <c r="A33" s="66" t="s">
        <v>385</v>
      </c>
      <c r="B33" s="66">
        <v>0.39924199999999999</v>
      </c>
      <c r="C33" s="66">
        <v>2.4112600000000001E-2</v>
      </c>
      <c r="D33" s="66">
        <v>6.0395900000000002E-2</v>
      </c>
      <c r="E33" s="66">
        <v>0</v>
      </c>
      <c r="F33" s="66">
        <v>0.35329700000000003</v>
      </c>
      <c r="G33" s="66">
        <v>0</v>
      </c>
      <c r="H33" s="66">
        <v>0.45819100000000001</v>
      </c>
    </row>
    <row r="34" spans="1:8">
      <c r="A34" s="66" t="s">
        <v>386</v>
      </c>
      <c r="B34" s="66">
        <v>0.17948900000000001</v>
      </c>
      <c r="C34" s="66">
        <v>3.84141E-2</v>
      </c>
      <c r="D34" s="66">
        <v>0.21401899999999999</v>
      </c>
      <c r="E34" s="66">
        <v>0.1</v>
      </c>
      <c r="F34" s="66">
        <v>0.136604</v>
      </c>
      <c r="G34" s="66">
        <v>0.25</v>
      </c>
      <c r="H34" s="66">
        <v>0.28369100000000003</v>
      </c>
    </row>
    <row r="35" spans="1:8">
      <c r="A35" s="66" t="s">
        <v>387</v>
      </c>
      <c r="B35" s="66">
        <v>8.41446E-2</v>
      </c>
      <c r="C35" s="66">
        <v>2.59524E-2</v>
      </c>
      <c r="D35" s="66">
        <v>0.30842700000000001</v>
      </c>
      <c r="E35" s="66">
        <v>0</v>
      </c>
      <c r="F35" s="66">
        <v>3.8072599999999998E-2</v>
      </c>
      <c r="G35" s="66">
        <v>0</v>
      </c>
      <c r="H35" s="66">
        <v>0.15552099999999999</v>
      </c>
    </row>
    <row r="36" spans="1:8">
      <c r="A36" s="66" t="s">
        <v>388</v>
      </c>
      <c r="B36" s="66">
        <v>0.15736600000000001</v>
      </c>
      <c r="C36" s="66">
        <v>9.8949599999999999E-2</v>
      </c>
      <c r="D36" s="66">
        <v>0.62878900000000004</v>
      </c>
      <c r="E36" s="66">
        <v>0</v>
      </c>
      <c r="F36" s="66">
        <v>4.0579900000000002E-2</v>
      </c>
      <c r="G36" s="66">
        <v>0</v>
      </c>
      <c r="H36" s="66">
        <v>0.52294799999999997</v>
      </c>
    </row>
    <row r="37" spans="1:8">
      <c r="A37" s="66" t="s">
        <v>389</v>
      </c>
      <c r="B37" s="66">
        <v>0.38414100000000001</v>
      </c>
      <c r="C37" s="66">
        <v>0.13167799999999999</v>
      </c>
      <c r="D37" s="66">
        <v>0.34278700000000001</v>
      </c>
      <c r="E37" s="66">
        <v>0.1</v>
      </c>
      <c r="F37" s="66">
        <v>3.4230799999999999E-2</v>
      </c>
      <c r="G37" s="66">
        <v>0.5</v>
      </c>
      <c r="H37" s="66">
        <v>0.38628699999999999</v>
      </c>
    </row>
    <row r="38" spans="1:8">
      <c r="A38" s="66" t="s">
        <v>390</v>
      </c>
      <c r="B38" s="66">
        <v>-6.8015299999999996</v>
      </c>
      <c r="C38" s="66">
        <v>29.749600000000001</v>
      </c>
      <c r="D38" s="66">
        <v>-4.3739499999999998</v>
      </c>
      <c r="E38" s="66">
        <v>0</v>
      </c>
      <c r="F38" s="66">
        <v>-67.201300000000003</v>
      </c>
      <c r="G38" s="66">
        <v>0</v>
      </c>
      <c r="H38" s="66">
        <v>153.93100000000001</v>
      </c>
    </row>
    <row r="39" spans="1:8">
      <c r="A39" s="66" t="s">
        <v>391</v>
      </c>
      <c r="B39" s="66">
        <v>-3.8240599999999998</v>
      </c>
      <c r="C39" s="66">
        <v>3.28003</v>
      </c>
      <c r="D39" s="66">
        <v>-0.85773500000000003</v>
      </c>
      <c r="E39" s="66">
        <v>0</v>
      </c>
      <c r="F39" s="66">
        <v>-14.818899999999999</v>
      </c>
      <c r="G39" s="66">
        <v>0</v>
      </c>
      <c r="H39" s="66">
        <v>10.6999</v>
      </c>
    </row>
    <row r="40" spans="1:8">
      <c r="A40" s="66" t="s">
        <v>392</v>
      </c>
      <c r="B40" s="66">
        <v>-2.5390600000000001</v>
      </c>
      <c r="C40" s="66">
        <v>0.46095199999999997</v>
      </c>
      <c r="D40" s="66">
        <v>-0.18154400000000001</v>
      </c>
      <c r="E40" s="66">
        <v>0</v>
      </c>
      <c r="F40" s="66">
        <v>-2.8757999999999999</v>
      </c>
      <c r="G40" s="66">
        <v>0</v>
      </c>
      <c r="H40" s="66">
        <v>-1.3480399999999999</v>
      </c>
    </row>
    <row r="41" spans="1:8">
      <c r="A41" s="66" t="s">
        <v>393</v>
      </c>
      <c r="B41" s="66">
        <v>-8.8395299999999996E-2</v>
      </c>
      <c r="C41" s="66">
        <v>0.24451300000000001</v>
      </c>
      <c r="D41" s="66">
        <v>-2.76613</v>
      </c>
      <c r="E41" s="66">
        <v>0</v>
      </c>
      <c r="F41" s="66">
        <v>-0.85714299999999999</v>
      </c>
      <c r="G41" s="66">
        <v>0</v>
      </c>
      <c r="H41" s="66">
        <v>1</v>
      </c>
    </row>
    <row r="42" spans="1:8">
      <c r="A42" s="66" t="s">
        <v>394</v>
      </c>
      <c r="B42" s="66">
        <v>-0.12895599999999999</v>
      </c>
      <c r="C42" s="66">
        <v>5.6518600000000002E-2</v>
      </c>
      <c r="D42" s="66">
        <v>-0.43827700000000003</v>
      </c>
      <c r="E42" s="66">
        <v>0</v>
      </c>
      <c r="F42" s="66">
        <v>-0.27527499999999999</v>
      </c>
      <c r="G42" s="66">
        <v>0</v>
      </c>
      <c r="H42" s="66">
        <v>5.8823500000000001E-2</v>
      </c>
    </row>
    <row r="43" spans="1:8">
      <c r="A43" s="66" t="s">
        <v>395</v>
      </c>
      <c r="B43" s="66">
        <v>-0.16145899999999999</v>
      </c>
      <c r="C43" s="66">
        <v>2.2670599999999999E-2</v>
      </c>
      <c r="D43" s="66">
        <v>-0.14041000000000001</v>
      </c>
      <c r="E43" s="66">
        <v>0</v>
      </c>
      <c r="F43" s="66">
        <v>-0.195912</v>
      </c>
      <c r="G43" s="66">
        <v>0</v>
      </c>
      <c r="H43" s="66">
        <v>-0.105736</v>
      </c>
    </row>
    <row r="44" spans="1:8">
      <c r="A44" s="66" t="s">
        <v>396</v>
      </c>
      <c r="B44" s="66">
        <v>0.761185</v>
      </c>
      <c r="C44" s="66">
        <v>10.9689</v>
      </c>
      <c r="D44" s="66">
        <v>14.410299999999999</v>
      </c>
      <c r="E44" s="66">
        <v>0</v>
      </c>
      <c r="F44" s="66">
        <v>-18.4604</v>
      </c>
      <c r="G44" s="66">
        <v>0</v>
      </c>
      <c r="H44" s="66">
        <v>30.831299999999999</v>
      </c>
    </row>
    <row r="45" spans="1:8">
      <c r="A45" s="66" t="s">
        <v>397</v>
      </c>
      <c r="B45" s="66">
        <v>45.9084</v>
      </c>
      <c r="C45" s="66">
        <v>6.4162299999999997</v>
      </c>
      <c r="D45" s="66">
        <v>0.139761</v>
      </c>
      <c r="E45" s="66">
        <v>0</v>
      </c>
      <c r="F45" s="66">
        <v>31.42</v>
      </c>
      <c r="G45" s="66">
        <v>0</v>
      </c>
      <c r="H45" s="66">
        <v>63.881799999999998</v>
      </c>
    </row>
    <row r="46" spans="1:8">
      <c r="A46" s="66" t="s">
        <v>398</v>
      </c>
      <c r="B46" s="66">
        <v>26.301100000000002</v>
      </c>
      <c r="C46" s="66">
        <v>1.5691299999999999</v>
      </c>
      <c r="D46" s="66">
        <v>5.9660299999999999E-2</v>
      </c>
      <c r="E46" s="66">
        <v>0</v>
      </c>
      <c r="F46" s="66">
        <v>23.311900000000001</v>
      </c>
      <c r="G46" s="66">
        <v>0</v>
      </c>
      <c r="H46" s="66">
        <v>29.427099999999999</v>
      </c>
    </row>
    <row r="47" spans="1:8">
      <c r="A47" s="66" t="s">
        <v>399</v>
      </c>
      <c r="B47" s="66">
        <v>1.3429500000000001</v>
      </c>
      <c r="C47" s="66">
        <v>0.65079299999999995</v>
      </c>
      <c r="D47" s="66">
        <v>0.48459799999999997</v>
      </c>
      <c r="E47" s="66">
        <v>0</v>
      </c>
      <c r="F47" s="66">
        <v>0.242114</v>
      </c>
      <c r="G47" s="66">
        <v>0</v>
      </c>
      <c r="H47" s="66">
        <v>3.1392600000000002</v>
      </c>
    </row>
    <row r="48" spans="1:8">
      <c r="A48" s="66" t="s">
        <v>400</v>
      </c>
      <c r="B48" s="66">
        <v>0.83567599999999997</v>
      </c>
      <c r="C48" s="66">
        <v>0.21501700000000001</v>
      </c>
      <c r="D48" s="66">
        <v>0.257297</v>
      </c>
      <c r="E48" s="66">
        <v>0</v>
      </c>
      <c r="F48" s="66">
        <v>0.61291300000000004</v>
      </c>
      <c r="G48" s="66">
        <v>0</v>
      </c>
      <c r="H48" s="66">
        <v>1.32386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85.064763469961775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1.6423870867280177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0.62573460099514666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1871</v>
      </c>
      <c r="B8" s="66">
        <v>1871</v>
      </c>
      <c r="D8">
        <f t="shared" si="0"/>
        <v>1.0751452394223752E-2</v>
      </c>
      <c r="E8">
        <f t="shared" si="0"/>
        <v>1.0751452394223752E-2</v>
      </c>
      <c r="G8">
        <f t="shared" ca="1" si="1"/>
        <v>6</v>
      </c>
      <c r="H8">
        <f t="shared" ca="1" si="2"/>
        <v>6.4508714365342515E-2</v>
      </c>
      <c r="I8">
        <f t="shared" ca="1" si="3"/>
        <v>67.209875102783158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714</v>
      </c>
      <c r="B10" s="66">
        <v>714</v>
      </c>
      <c r="D10">
        <f t="shared" si="0"/>
        <v>4.1029059377208762E-3</v>
      </c>
      <c r="E10">
        <f t="shared" si="0"/>
        <v>4.1029059377208762E-3</v>
      </c>
      <c r="G10">
        <f t="shared" ca="1" si="1"/>
        <v>8</v>
      </c>
      <c r="H10">
        <f t="shared" ca="1" si="2"/>
        <v>3.282324750176701E-2</v>
      </c>
      <c r="I10">
        <f t="shared" ca="1" si="3"/>
        <v>24.367067151114192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1649</v>
      </c>
      <c r="B13" s="66">
        <v>1649</v>
      </c>
      <c r="D13">
        <f t="shared" si="0"/>
        <v>9.4757589514029763E-3</v>
      </c>
      <c r="E13">
        <f t="shared" si="0"/>
        <v>9.4757589514029763E-3</v>
      </c>
      <c r="G13">
        <f t="shared" ca="1" si="1"/>
        <v>11</v>
      </c>
      <c r="H13">
        <f t="shared" ca="1" si="2"/>
        <v>0.10423334846543274</v>
      </c>
      <c r="I13">
        <f t="shared" ca="1" si="3"/>
        <v>51.98012085059689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3688</v>
      </c>
      <c r="B15" s="66">
        <v>3688</v>
      </c>
      <c r="D15">
        <f t="shared" si="0"/>
        <v>2.1192600978031641E-2</v>
      </c>
      <c r="E15">
        <f t="shared" si="0"/>
        <v>2.1192600978031641E-2</v>
      </c>
      <c r="G15">
        <f t="shared" ca="1" si="1"/>
        <v>13</v>
      </c>
      <c r="H15">
        <f t="shared" ca="1" si="2"/>
        <v>0.27550381271441132</v>
      </c>
      <c r="I15">
        <f t="shared" ca="1" si="3"/>
        <v>110.06017327665832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11402</v>
      </c>
      <c r="B18" s="66">
        <v>11402</v>
      </c>
      <c r="D18">
        <f t="shared" si="0"/>
        <v>6.5520074932623851E-2</v>
      </c>
      <c r="E18">
        <f t="shared" si="0"/>
        <v>6.5520074932623851E-2</v>
      </c>
      <c r="G18">
        <f t="shared" ca="1" si="1"/>
        <v>16</v>
      </c>
      <c r="H18">
        <f t="shared" ca="1" si="2"/>
        <v>1.0483211989219816</v>
      </c>
      <c r="I18">
        <f t="shared" ca="1" si="3"/>
        <v>312.52692798739514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26601</v>
      </c>
      <c r="B21" s="66">
        <v>26601</v>
      </c>
      <c r="D21">
        <f t="shared" si="0"/>
        <v>0.15285910483097062</v>
      </c>
      <c r="E21">
        <f t="shared" si="0"/>
        <v>0.15285910483097062</v>
      </c>
      <c r="G21">
        <f t="shared" ca="1" si="1"/>
        <v>19</v>
      </c>
      <c r="H21">
        <f t="shared" ca="1" si="2"/>
        <v>2.9043229917884417</v>
      </c>
      <c r="I21">
        <f t="shared" ca="1" si="3"/>
        <v>667.1616603395496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27530</v>
      </c>
      <c r="B23" s="66">
        <v>27530</v>
      </c>
      <c r="D23">
        <f t="shared" si="0"/>
        <v>0.1581974796434954</v>
      </c>
      <c r="E23">
        <f t="shared" si="0"/>
        <v>0.1581974796434954</v>
      </c>
      <c r="G23">
        <f t="shared" ca="1" si="1"/>
        <v>21</v>
      </c>
      <c r="H23">
        <f t="shared" ca="1" si="2"/>
        <v>3.3221470725134035</v>
      </c>
      <c r="I23">
        <f t="shared" ca="1" si="3"/>
        <v>649.28895361683783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33932</v>
      </c>
      <c r="B26" s="66">
        <v>33932</v>
      </c>
      <c r="D26">
        <f t="shared" si="0"/>
        <v>0.19498572027835401</v>
      </c>
      <c r="E26">
        <f t="shared" si="0"/>
        <v>0.19498572027835401</v>
      </c>
      <c r="G26">
        <f t="shared" ca="1" si="1"/>
        <v>24</v>
      </c>
      <c r="H26">
        <f t="shared" ca="1" si="2"/>
        <v>4.679657286680496</v>
      </c>
      <c r="I26">
        <f t="shared" ca="1" si="3"/>
        <v>727.08329310999795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40971</v>
      </c>
      <c r="B28" s="66">
        <v>40971</v>
      </c>
      <c r="D28">
        <f t="shared" si="0"/>
        <v>0.23543439660274793</v>
      </c>
      <c r="E28">
        <f t="shared" si="0"/>
        <v>0.23543439660274793</v>
      </c>
      <c r="G28">
        <f t="shared" ca="1" si="1"/>
        <v>26</v>
      </c>
      <c r="H28">
        <f t="shared" ca="1" si="2"/>
        <v>6.1212943116714458</v>
      </c>
      <c r="I28">
        <f t="shared" ca="1" si="3"/>
        <v>821.34733277805037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46152</v>
      </c>
      <c r="B31" s="66">
        <v>46152</v>
      </c>
      <c r="D31">
        <f t="shared" si="0"/>
        <v>0.26520632330209226</v>
      </c>
      <c r="E31">
        <f t="shared" si="0"/>
        <v>0.26520632330209226</v>
      </c>
      <c r="G31">
        <f t="shared" ca="1" si="1"/>
        <v>29</v>
      </c>
      <c r="H31">
        <f t="shared" ca="1" si="2"/>
        <v>7.6909833757606751</v>
      </c>
      <c r="I31">
        <f t="shared" ca="1" si="3"/>
        <v>833.61181858842951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52813</v>
      </c>
      <c r="B33" s="66">
        <v>52813</v>
      </c>
      <c r="D33">
        <f t="shared" si="0"/>
        <v>0.30348287295357512</v>
      </c>
      <c r="E33">
        <f t="shared" si="0"/>
        <v>0.30348287295357512</v>
      </c>
      <c r="G33">
        <f t="shared" ca="1" si="1"/>
        <v>31</v>
      </c>
      <c r="H33">
        <f t="shared" ca="1" si="2"/>
        <v>9.4079690615608289</v>
      </c>
      <c r="I33">
        <f t="shared" ca="1" si="3"/>
        <v>887.08002765703179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59001</v>
      </c>
      <c r="B36" s="66">
        <v>59001</v>
      </c>
      <c r="D36">
        <f t="shared" si="0"/>
        <v>0.33904139108048936</v>
      </c>
      <c r="E36">
        <f t="shared" si="0"/>
        <v>0.33904139108048936</v>
      </c>
      <c r="G36">
        <f t="shared" ca="1" si="1"/>
        <v>34</v>
      </c>
      <c r="H36">
        <f t="shared" ca="1" si="2"/>
        <v>11.527407296736639</v>
      </c>
      <c r="I36">
        <f t="shared" ca="1" si="3"/>
        <v>884.0877449326448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64350</v>
      </c>
      <c r="B39" s="66">
        <v>64350</v>
      </c>
      <c r="D39">
        <f t="shared" si="0"/>
        <v>0.36977870741223862</v>
      </c>
      <c r="E39">
        <f t="shared" si="0"/>
        <v>0.36977870741223862</v>
      </c>
      <c r="G39">
        <f t="shared" ca="1" si="1"/>
        <v>37</v>
      </c>
      <c r="H39">
        <f t="shared" ca="1" si="2"/>
        <v>13.681812174252828</v>
      </c>
      <c r="I39">
        <f t="shared" ca="1" si="3"/>
        <v>854.27071545539377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65607</v>
      </c>
      <c r="B41" s="66">
        <v>65607</v>
      </c>
      <c r="D41">
        <f t="shared" si="0"/>
        <v>0.37700189055469679</v>
      </c>
      <c r="E41">
        <f t="shared" si="0"/>
        <v>0.37700189055469679</v>
      </c>
      <c r="G41">
        <f t="shared" ca="1" si="1"/>
        <v>39</v>
      </c>
      <c r="H41">
        <f t="shared" ca="1" si="2"/>
        <v>14.703073731633175</v>
      </c>
      <c r="I41">
        <f t="shared" ca="1" si="3"/>
        <v>799.983849131954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84782</v>
      </c>
      <c r="B44" s="66">
        <v>84782</v>
      </c>
      <c r="D44">
        <f t="shared" si="0"/>
        <v>0.48718847508662649</v>
      </c>
      <c r="E44">
        <f t="shared" si="0"/>
        <v>0.48718847508662649</v>
      </c>
      <c r="G44">
        <f t="shared" ca="1" si="1"/>
        <v>42</v>
      </c>
      <c r="H44">
        <f t="shared" ca="1" si="2"/>
        <v>20.461915953638314</v>
      </c>
      <c r="I44">
        <f t="shared" ca="1" si="3"/>
        <v>903.52700724401564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100740</v>
      </c>
      <c r="B46" s="66">
        <v>100740</v>
      </c>
      <c r="D46">
        <f t="shared" si="0"/>
        <v>0.57888899743137401</v>
      </c>
      <c r="E46">
        <f t="shared" si="0"/>
        <v>0.57888899743137401</v>
      </c>
      <c r="G46">
        <f t="shared" ca="1" si="1"/>
        <v>44</v>
      </c>
      <c r="H46">
        <f t="shared" ca="1" si="2"/>
        <v>25.471115886980456</v>
      </c>
      <c r="I46">
        <f t="shared" ca="1" si="3"/>
        <v>976.18908325643849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116766</v>
      </c>
      <c r="B49" s="66">
        <v>116766</v>
      </c>
      <c r="D49">
        <f t="shared" si="0"/>
        <v>0.6709802727225711</v>
      </c>
      <c r="E49">
        <f t="shared" si="0"/>
        <v>0.6709802727225711</v>
      </c>
      <c r="G49">
        <f t="shared" ca="1" si="1"/>
        <v>47</v>
      </c>
      <c r="H49">
        <f t="shared" ca="1" si="2"/>
        <v>31.536072817960843</v>
      </c>
      <c r="I49">
        <f t="shared" ca="1" si="3"/>
        <v>972.20090892471865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121679</v>
      </c>
      <c r="B51" s="66">
        <v>121679</v>
      </c>
      <c r="D51">
        <f t="shared" si="0"/>
        <v>0.69921217310355532</v>
      </c>
      <c r="E51">
        <f t="shared" si="0"/>
        <v>0.69921217310355532</v>
      </c>
      <c r="G51">
        <f t="shared" ca="1" si="1"/>
        <v>49</v>
      </c>
      <c r="H51">
        <f t="shared" ca="1" si="2"/>
        <v>34.261396482074211</v>
      </c>
      <c r="I51">
        <f t="shared" ca="1" si="3"/>
        <v>909.44231432576714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131585</v>
      </c>
      <c r="B54" s="66">
        <v>131585</v>
      </c>
      <c r="D54">
        <f t="shared" si="0"/>
        <v>0.75613568321428781</v>
      </c>
      <c r="E54">
        <f t="shared" si="0"/>
        <v>0.75613568321428781</v>
      </c>
      <c r="G54">
        <f t="shared" ca="1" si="1"/>
        <v>52</v>
      </c>
      <c r="H54">
        <f t="shared" ca="1" si="2"/>
        <v>39.319055527142964</v>
      </c>
      <c r="I54">
        <f t="shared" ca="1" si="3"/>
        <v>826.66694854563355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154003</v>
      </c>
      <c r="B57" s="66">
        <v>154003</v>
      </c>
      <c r="D57">
        <f t="shared" si="0"/>
        <v>0.88495773547174794</v>
      </c>
      <c r="E57">
        <f t="shared" si="0"/>
        <v>0.88495773547174794</v>
      </c>
      <c r="G57">
        <f t="shared" ca="1" si="1"/>
        <v>55</v>
      </c>
      <c r="H57">
        <f t="shared" ca="1" si="2"/>
        <v>48.672675450946137</v>
      </c>
      <c r="I57">
        <f t="shared" ca="1" si="3"/>
        <v>799.90444973215438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162946</v>
      </c>
      <c r="B59" s="66">
        <v>162946</v>
      </c>
      <c r="D59">
        <f t="shared" si="0"/>
        <v>0.93634749429673092</v>
      </c>
      <c r="E59">
        <f t="shared" si="0"/>
        <v>0.93634749429673092</v>
      </c>
      <c r="G59">
        <f t="shared" ca="1" si="1"/>
        <v>57</v>
      </c>
      <c r="H59">
        <f t="shared" ca="1" si="2"/>
        <v>53.371807174913663</v>
      </c>
      <c r="I59">
        <f t="shared" ca="1" si="3"/>
        <v>737.49626517548325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162237</v>
      </c>
      <c r="B62" s="66">
        <v>162237</v>
      </c>
      <c r="D62">
        <f t="shared" si="0"/>
        <v>0.93227332019330778</v>
      </c>
      <c r="E62">
        <f t="shared" si="0"/>
        <v>0.93227332019330778</v>
      </c>
      <c r="G62">
        <f t="shared" ca="1" si="1"/>
        <v>60</v>
      </c>
      <c r="H62">
        <f t="shared" ca="1" si="2"/>
        <v>55.93639921159847</v>
      </c>
      <c r="I62">
        <f t="shared" ca="1" si="3"/>
        <v>585.69359811979405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168036</v>
      </c>
      <c r="B64" s="66">
        <v>168036</v>
      </c>
      <c r="D64">
        <f t="shared" si="0"/>
        <v>0.96559650161185595</v>
      </c>
      <c r="E64">
        <f t="shared" si="0"/>
        <v>0.96559650161185595</v>
      </c>
      <c r="G64">
        <f t="shared" ca="1" si="1"/>
        <v>62</v>
      </c>
      <c r="H64">
        <f t="shared" ca="1" si="2"/>
        <v>59.866983099935069</v>
      </c>
      <c r="I64">
        <f t="shared" ca="1" si="3"/>
        <v>513.68122684213517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174023</v>
      </c>
      <c r="B67" s="66">
        <v>174023</v>
      </c>
      <c r="D67">
        <f t="shared" ref="D67:E130" si="4">IFERROR( A67/MAX(A$2:A$257), 0 )</f>
        <v>1</v>
      </c>
      <c r="E67">
        <f t="shared" si="4"/>
        <v>1</v>
      </c>
      <c r="G67">
        <f t="shared" ref="G67:G130" ca="1" si="5">CELL("row",D67)-2</f>
        <v>65</v>
      </c>
      <c r="H67">
        <f t="shared" ref="H67:H130" ca="1" si="6">D67*G67</f>
        <v>65</v>
      </c>
      <c r="I67">
        <f t="shared" ref="I67:I130" ca="1" si="7">D67*((G67-$L$1)^2)</f>
        <v>402.59473310551249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166049</v>
      </c>
      <c r="B69" s="66">
        <v>166049</v>
      </c>
      <c r="D69">
        <f t="shared" si="4"/>
        <v>0.95417847066192396</v>
      </c>
      <c r="E69">
        <f t="shared" si="4"/>
        <v>0.95417847066192396</v>
      </c>
      <c r="G69">
        <f t="shared" ca="1" si="5"/>
        <v>67</v>
      </c>
      <c r="H69">
        <f t="shared" ca="1" si="6"/>
        <v>63.929957534348908</v>
      </c>
      <c r="I69">
        <f t="shared" ca="1" si="7"/>
        <v>311.38247932596556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159533</v>
      </c>
      <c r="B72" s="66">
        <v>159533</v>
      </c>
      <c r="D72">
        <f t="shared" si="4"/>
        <v>0.91673514420507629</v>
      </c>
      <c r="E72">
        <f t="shared" si="4"/>
        <v>0.91673514420507629</v>
      </c>
      <c r="G72">
        <f t="shared" ca="1" si="5"/>
        <v>70</v>
      </c>
      <c r="H72">
        <f t="shared" ca="1" si="6"/>
        <v>64.171460094355339</v>
      </c>
      <c r="I72">
        <f t="shared" ca="1" si="7"/>
        <v>208.05038098405157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172710</v>
      </c>
      <c r="B75" s="66">
        <v>172710</v>
      </c>
      <c r="D75">
        <f t="shared" si="4"/>
        <v>0.99245502031340682</v>
      </c>
      <c r="E75">
        <f t="shared" si="4"/>
        <v>0.99245502031340682</v>
      </c>
      <c r="G75">
        <f t="shared" ca="1" si="5"/>
        <v>73</v>
      </c>
      <c r="H75">
        <f t="shared" ca="1" si="6"/>
        <v>72.449216482878697</v>
      </c>
      <c r="I75">
        <f t="shared" ca="1" si="7"/>
        <v>144.46028152772618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169784</v>
      </c>
      <c r="B77" s="66">
        <v>169784</v>
      </c>
      <c r="D77">
        <f t="shared" si="4"/>
        <v>0.97564115088235459</v>
      </c>
      <c r="E77">
        <f t="shared" si="4"/>
        <v>0.97564115088235459</v>
      </c>
      <c r="G77">
        <f t="shared" ca="1" si="5"/>
        <v>75</v>
      </c>
      <c r="H77">
        <f t="shared" ca="1" si="6"/>
        <v>73.173086316176594</v>
      </c>
      <c r="I77">
        <f t="shared" ca="1" si="7"/>
        <v>98.831925354157391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166322</v>
      </c>
      <c r="B80" s="66">
        <v>166322</v>
      </c>
      <c r="D80">
        <f t="shared" si="4"/>
        <v>0.95574722881458196</v>
      </c>
      <c r="E80">
        <f t="shared" si="4"/>
        <v>0.95574722881458196</v>
      </c>
      <c r="G80">
        <f t="shared" ca="1" si="5"/>
        <v>78</v>
      </c>
      <c r="H80">
        <f t="shared" ca="1" si="6"/>
        <v>74.548283847537391</v>
      </c>
      <c r="I80">
        <f t="shared" ca="1" si="7"/>
        <v>47.70218800646758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164768</v>
      </c>
      <c r="B82" s="66">
        <v>164768</v>
      </c>
      <c r="D82">
        <f t="shared" si="4"/>
        <v>0.94681737471483651</v>
      </c>
      <c r="E82">
        <f t="shared" si="4"/>
        <v>0.94681737471483651</v>
      </c>
      <c r="G82">
        <f t="shared" ca="1" si="5"/>
        <v>80</v>
      </c>
      <c r="H82">
        <f t="shared" ca="1" si="6"/>
        <v>75.745389977186917</v>
      </c>
      <c r="I82">
        <f t="shared" ca="1" si="7"/>
        <v>24.287597396718997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155212</v>
      </c>
      <c r="B85" s="66">
        <v>155212</v>
      </c>
      <c r="D85">
        <f t="shared" si="4"/>
        <v>0.89190509300494758</v>
      </c>
      <c r="E85">
        <f t="shared" si="4"/>
        <v>0.89190509300494758</v>
      </c>
      <c r="G85">
        <f t="shared" ca="1" si="5"/>
        <v>83</v>
      </c>
      <c r="H85">
        <f t="shared" ca="1" si="6"/>
        <v>74.028122719410646</v>
      </c>
      <c r="I85">
        <f t="shared" ca="1" si="7"/>
        <v>3.8024127706300437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149388</v>
      </c>
      <c r="B88" s="66">
        <v>149388</v>
      </c>
      <c r="D88">
        <f t="shared" si="4"/>
        <v>0.85843825241491067</v>
      </c>
      <c r="E88">
        <f t="shared" si="4"/>
        <v>0.85843825241491067</v>
      </c>
      <c r="G88">
        <f t="shared" ca="1" si="5"/>
        <v>86</v>
      </c>
      <c r="H88">
        <f t="shared" ca="1" si="6"/>
        <v>73.825689707682315</v>
      </c>
      <c r="I88">
        <f t="shared" ca="1" si="7"/>
        <v>0.75084792607307471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145678</v>
      </c>
      <c r="B90" s="66">
        <v>145678</v>
      </c>
      <c r="D90">
        <f t="shared" si="4"/>
        <v>0.83711923136596889</v>
      </c>
      <c r="E90">
        <f t="shared" si="4"/>
        <v>0.83711923136596889</v>
      </c>
      <c r="G90">
        <f t="shared" ca="1" si="5"/>
        <v>88</v>
      </c>
      <c r="H90">
        <f t="shared" ca="1" si="6"/>
        <v>73.666492360205268</v>
      </c>
      <c r="I90">
        <f t="shared" ca="1" si="7"/>
        <v>7.212295740210438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143647</v>
      </c>
      <c r="B93" s="66">
        <v>143647</v>
      </c>
      <c r="D93">
        <f t="shared" si="4"/>
        <v>0.82544836027421664</v>
      </c>
      <c r="E93">
        <f t="shared" si="4"/>
        <v>0.82544836027421664</v>
      </c>
      <c r="G93">
        <f t="shared" ca="1" si="5"/>
        <v>91</v>
      </c>
      <c r="H93">
        <f t="shared" ca="1" si="6"/>
        <v>75.11580078495372</v>
      </c>
      <c r="I93">
        <f t="shared" ca="1" si="7"/>
        <v>29.07809635271429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152278</v>
      </c>
      <c r="B95" s="66">
        <v>152278</v>
      </c>
      <c r="D95">
        <f t="shared" si="4"/>
        <v>0.875045252639019</v>
      </c>
      <c r="E95">
        <f t="shared" si="4"/>
        <v>0.875045252639019</v>
      </c>
      <c r="G95">
        <f t="shared" ca="1" si="5"/>
        <v>93</v>
      </c>
      <c r="H95">
        <f t="shared" ca="1" si="6"/>
        <v>81.37920849542877</v>
      </c>
      <c r="I95">
        <f t="shared" ca="1" si="7"/>
        <v>55.099830906410283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147090</v>
      </c>
      <c r="B98" s="66">
        <v>147090</v>
      </c>
      <c r="D98">
        <f t="shared" si="4"/>
        <v>0.84523310137165775</v>
      </c>
      <c r="E98">
        <f t="shared" si="4"/>
        <v>0.84523310137165775</v>
      </c>
      <c r="G98">
        <f t="shared" ca="1" si="5"/>
        <v>96</v>
      </c>
      <c r="H98">
        <f t="shared" ca="1" si="6"/>
        <v>81.142377731679147</v>
      </c>
      <c r="I98">
        <f t="shared" ca="1" si="7"/>
        <v>101.07246540454898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147397</v>
      </c>
      <c r="B100" s="66">
        <v>147397</v>
      </c>
      <c r="D100">
        <f t="shared" si="4"/>
        <v>0.84699723599754051</v>
      </c>
      <c r="E100">
        <f t="shared" si="4"/>
        <v>0.84699723599754051</v>
      </c>
      <c r="G100">
        <f t="shared" ca="1" si="5"/>
        <v>98</v>
      </c>
      <c r="H100">
        <f t="shared" ca="1" si="6"/>
        <v>83.005729127758968</v>
      </c>
      <c r="I100">
        <f t="shared" ca="1" si="7"/>
        <v>141.71986896872335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140897</v>
      </c>
      <c r="B103" s="66">
        <v>140897</v>
      </c>
      <c r="D103">
        <f t="shared" si="4"/>
        <v>0.80964585141044576</v>
      </c>
      <c r="E103">
        <f t="shared" si="4"/>
        <v>0.80964585141044576</v>
      </c>
      <c r="G103">
        <f t="shared" ca="1" si="5"/>
        <v>101</v>
      </c>
      <c r="H103">
        <f t="shared" ca="1" si="6"/>
        <v>81.774230992455017</v>
      </c>
      <c r="I103">
        <f t="shared" ca="1" si="7"/>
        <v>205.59479867148991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143310</v>
      </c>
      <c r="B106" s="66">
        <v>143310</v>
      </c>
      <c r="D106">
        <f t="shared" si="4"/>
        <v>0.82351183464254729</v>
      </c>
      <c r="E106">
        <f t="shared" si="4"/>
        <v>0.82351183464254729</v>
      </c>
      <c r="G106">
        <f t="shared" ca="1" si="5"/>
        <v>104</v>
      </c>
      <c r="H106">
        <f t="shared" ca="1" si="6"/>
        <v>85.645230802824912</v>
      </c>
      <c r="I106">
        <f t="shared" ca="1" si="7"/>
        <v>295.26455397673686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126898</v>
      </c>
      <c r="B108" s="66">
        <v>126898</v>
      </c>
      <c r="D108">
        <f t="shared" si="4"/>
        <v>0.72920246174356262</v>
      </c>
      <c r="E108">
        <f t="shared" si="4"/>
        <v>0.72920246174356262</v>
      </c>
      <c r="G108">
        <f t="shared" ca="1" si="5"/>
        <v>106</v>
      </c>
      <c r="H108">
        <f t="shared" ca="1" si="6"/>
        <v>77.295460944817634</v>
      </c>
      <c r="I108">
        <f t="shared" ca="1" si="7"/>
        <v>319.59786549538944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116338</v>
      </c>
      <c r="B111" s="66">
        <v>116338</v>
      </c>
      <c r="D111">
        <f t="shared" si="4"/>
        <v>0.66852082770668242</v>
      </c>
      <c r="E111">
        <f t="shared" si="4"/>
        <v>0.66852082770668242</v>
      </c>
      <c r="G111">
        <f t="shared" ca="1" si="5"/>
        <v>109</v>
      </c>
      <c r="H111">
        <f t="shared" ca="1" si="6"/>
        <v>72.868770220028381</v>
      </c>
      <c r="I111">
        <f t="shared" ca="1" si="7"/>
        <v>382.99260577055202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120349</v>
      </c>
      <c r="B113" s="66">
        <v>120349</v>
      </c>
      <c r="D113">
        <f t="shared" si="4"/>
        <v>0.69156950518034976</v>
      </c>
      <c r="E113">
        <f t="shared" si="4"/>
        <v>0.69156950518034976</v>
      </c>
      <c r="G113">
        <f t="shared" ca="1" si="5"/>
        <v>111</v>
      </c>
      <c r="H113">
        <f t="shared" ca="1" si="6"/>
        <v>76.764215075018825</v>
      </c>
      <c r="I113">
        <f t="shared" ca="1" si="7"/>
        <v>465.1748872312499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115907</v>
      </c>
      <c r="B116" s="66">
        <v>115907</v>
      </c>
      <c r="D116">
        <f t="shared" si="4"/>
        <v>0.66604414359021513</v>
      </c>
      <c r="E116">
        <f t="shared" si="4"/>
        <v>0.66604414359021513</v>
      </c>
      <c r="G116">
        <f t="shared" ca="1" si="5"/>
        <v>114</v>
      </c>
      <c r="H116">
        <f t="shared" ca="1" si="6"/>
        <v>75.929032369284528</v>
      </c>
      <c r="I116">
        <f t="shared" ca="1" si="7"/>
        <v>557.64406921958823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118215</v>
      </c>
      <c r="B118" s="66">
        <v>118215</v>
      </c>
      <c r="D118">
        <f t="shared" si="4"/>
        <v>0.67930675830206355</v>
      </c>
      <c r="E118">
        <f t="shared" si="4"/>
        <v>0.67930675830206355</v>
      </c>
      <c r="G118">
        <f t="shared" ca="1" si="5"/>
        <v>116</v>
      </c>
      <c r="H118">
        <f t="shared" ca="1" si="6"/>
        <v>78.799583963039368</v>
      </c>
      <c r="I118">
        <f t="shared" ca="1" si="7"/>
        <v>650.08899965356284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116665</v>
      </c>
      <c r="B121" s="66">
        <v>116665</v>
      </c>
      <c r="D121">
        <f t="shared" si="4"/>
        <v>0.67039988966975628</v>
      </c>
      <c r="E121">
        <f t="shared" si="4"/>
        <v>0.67039988966975628</v>
      </c>
      <c r="G121">
        <f t="shared" ca="1" si="5"/>
        <v>119</v>
      </c>
      <c r="H121">
        <f t="shared" ca="1" si="6"/>
        <v>79.777586870701001</v>
      </c>
      <c r="I121">
        <f t="shared" ca="1" si="7"/>
        <v>772.03269954925986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112523</v>
      </c>
      <c r="B124" s="66">
        <v>112523</v>
      </c>
      <c r="D124">
        <f t="shared" si="4"/>
        <v>0.64659843813748752</v>
      </c>
      <c r="E124">
        <f t="shared" si="4"/>
        <v>0.64659843813748752</v>
      </c>
      <c r="G124">
        <f t="shared" ca="1" si="5"/>
        <v>122</v>
      </c>
      <c r="H124">
        <f t="shared" ca="1" si="6"/>
        <v>78.885009452773474</v>
      </c>
      <c r="I124">
        <f t="shared" ca="1" si="7"/>
        <v>882.0971529117046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104726</v>
      </c>
      <c r="B126" s="66">
        <v>104726</v>
      </c>
      <c r="D126">
        <f t="shared" si="4"/>
        <v>0.60179401573355251</v>
      </c>
      <c r="E126">
        <f t="shared" si="4"/>
        <v>0.60179401573355251</v>
      </c>
      <c r="G126">
        <f t="shared" ca="1" si="5"/>
        <v>124</v>
      </c>
      <c r="H126">
        <f t="shared" ca="1" si="6"/>
        <v>74.622457950960509</v>
      </c>
      <c r="I126">
        <f t="shared" ca="1" si="7"/>
        <v>912.29122908404247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100350</v>
      </c>
      <c r="B129" s="66">
        <v>100350</v>
      </c>
      <c r="D129">
        <f t="shared" si="4"/>
        <v>0.57664791435614837</v>
      </c>
      <c r="E129">
        <f t="shared" si="4"/>
        <v>0.57664791435614837</v>
      </c>
      <c r="G129">
        <f t="shared" ca="1" si="5"/>
        <v>127</v>
      </c>
      <c r="H129">
        <f t="shared" ca="1" si="6"/>
        <v>73.234285123230848</v>
      </c>
      <c r="I129">
        <f t="shared" ca="1" si="7"/>
        <v>1014.0722990927397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85732</v>
      </c>
      <c r="B131" s="66">
        <v>85732</v>
      </c>
      <c r="D131">
        <f t="shared" ref="D131:E194" si="8">IFERROR( A131/MAX(A$2:A$257), 0 )</f>
        <v>0.49264752360320185</v>
      </c>
      <c r="E131">
        <f t="shared" si="8"/>
        <v>0.49264752360320185</v>
      </c>
      <c r="G131">
        <f t="shared" ref="G131:G194" ca="1" si="9">CELL("row",D131)-2</f>
        <v>129</v>
      </c>
      <c r="H131">
        <f t="shared" ref="H131:H194" ca="1" si="10">D131*G131</f>
        <v>63.551530544813041</v>
      </c>
      <c r="I131">
        <f t="shared" ref="I131:I194" ca="1" si="11">D131*((G131-$L$1)^2)</f>
        <v>950.95998245827354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69384</v>
      </c>
      <c r="B134" s="66">
        <v>69384</v>
      </c>
      <c r="D134">
        <f t="shared" si="8"/>
        <v>0.39870591818322865</v>
      </c>
      <c r="E134">
        <f t="shared" si="8"/>
        <v>0.39870591818322865</v>
      </c>
      <c r="G134">
        <f t="shared" ca="1" si="9"/>
        <v>132</v>
      </c>
      <c r="H134">
        <f t="shared" ca="1" si="10"/>
        <v>52.629181200186181</v>
      </c>
      <c r="I134">
        <f t="shared" ca="1" si="11"/>
        <v>878.31581715874313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59239</v>
      </c>
      <c r="B136" s="66">
        <v>59239</v>
      </c>
      <c r="D136">
        <f t="shared" si="8"/>
        <v>0.34040902639306297</v>
      </c>
      <c r="E136">
        <f t="shared" si="8"/>
        <v>0.34040902639306297</v>
      </c>
      <c r="G136">
        <f t="shared" ca="1" si="9"/>
        <v>134</v>
      </c>
      <c r="H136">
        <f t="shared" ca="1" si="10"/>
        <v>45.614809536670435</v>
      </c>
      <c r="I136">
        <f t="shared" ca="1" si="11"/>
        <v>815.1629853136792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47488</v>
      </c>
      <c r="B139" s="66">
        <v>47488</v>
      </c>
      <c r="D139">
        <f t="shared" si="8"/>
        <v>0.27288346942645514</v>
      </c>
      <c r="E139">
        <f t="shared" si="8"/>
        <v>0.27288346942645514</v>
      </c>
      <c r="G139">
        <f t="shared" ca="1" si="9"/>
        <v>137</v>
      </c>
      <c r="H139">
        <f t="shared" ca="1" si="10"/>
        <v>37.385035311424353</v>
      </c>
      <c r="I139">
        <f t="shared" ca="1" si="11"/>
        <v>736.04006632716448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45417</v>
      </c>
      <c r="B142" s="66">
        <v>45417</v>
      </c>
      <c r="D142">
        <f t="shared" si="8"/>
        <v>0.26098274366032076</v>
      </c>
      <c r="E142">
        <f t="shared" si="8"/>
        <v>0.26098274366032076</v>
      </c>
      <c r="G142">
        <f t="shared" ca="1" si="9"/>
        <v>140</v>
      </c>
      <c r="H142">
        <f t="shared" ca="1" si="10"/>
        <v>36.537584112444904</v>
      </c>
      <c r="I142">
        <f t="shared" ca="1" si="11"/>
        <v>787.61465792547529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40703</v>
      </c>
      <c r="B144" s="66">
        <v>40703</v>
      </c>
      <c r="D144">
        <f t="shared" si="8"/>
        <v>0.2338943702843877</v>
      </c>
      <c r="E144">
        <f t="shared" si="8"/>
        <v>0.2338943702843877</v>
      </c>
      <c r="G144">
        <f t="shared" ca="1" si="9"/>
        <v>142</v>
      </c>
      <c r="H144">
        <f t="shared" ca="1" si="10"/>
        <v>33.213000580383053</v>
      </c>
      <c r="I144">
        <f t="shared" ca="1" si="11"/>
        <v>758.1969396220278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37860</v>
      </c>
      <c r="B147" s="66">
        <v>37860</v>
      </c>
      <c r="D147">
        <f t="shared" si="8"/>
        <v>0.21755744930267837</v>
      </c>
      <c r="E147">
        <f t="shared" si="8"/>
        <v>0.21755744930267837</v>
      </c>
      <c r="G147">
        <f t="shared" ca="1" si="9"/>
        <v>145</v>
      </c>
      <c r="H147">
        <f t="shared" ca="1" si="10"/>
        <v>31.545830148888363</v>
      </c>
      <c r="I147">
        <f t="shared" ca="1" si="11"/>
        <v>781.5169569524387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33708</v>
      </c>
      <c r="B149" s="66">
        <v>33708</v>
      </c>
      <c r="D149">
        <f t="shared" si="8"/>
        <v>0.19369853410181412</v>
      </c>
      <c r="E149">
        <f t="shared" si="8"/>
        <v>0.19369853410181412</v>
      </c>
      <c r="G149">
        <f t="shared" ca="1" si="9"/>
        <v>147</v>
      </c>
      <c r="H149">
        <f t="shared" ca="1" si="10"/>
        <v>28.473684512966674</v>
      </c>
      <c r="I149">
        <f t="shared" ca="1" si="11"/>
        <v>743.02244845832604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29975</v>
      </c>
      <c r="B152" s="66">
        <v>29975</v>
      </c>
      <c r="D152">
        <f t="shared" si="8"/>
        <v>0.1722473466151026</v>
      </c>
      <c r="E152">
        <f t="shared" si="8"/>
        <v>0.1722473466151026</v>
      </c>
      <c r="G152">
        <f t="shared" ca="1" si="9"/>
        <v>150</v>
      </c>
      <c r="H152">
        <f t="shared" ca="1" si="10"/>
        <v>25.837101992265392</v>
      </c>
      <c r="I152">
        <f t="shared" ca="1" si="11"/>
        <v>726.29556824546182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23559</v>
      </c>
      <c r="B154" s="66">
        <v>23559</v>
      </c>
      <c r="D154">
        <f t="shared" si="8"/>
        <v>0.13537865684421024</v>
      </c>
      <c r="E154">
        <f t="shared" si="8"/>
        <v>0.13537865684421024</v>
      </c>
      <c r="G154">
        <f t="shared" ca="1" si="9"/>
        <v>152</v>
      </c>
      <c r="H154">
        <f t="shared" ca="1" si="10"/>
        <v>20.577555840319956</v>
      </c>
      <c r="I154">
        <f t="shared" ca="1" si="11"/>
        <v>606.54050112213008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25137</v>
      </c>
      <c r="B157" s="66">
        <v>25137</v>
      </c>
      <c r="D157">
        <f t="shared" si="8"/>
        <v>0.14444642374858496</v>
      </c>
      <c r="E157">
        <f t="shared" si="8"/>
        <v>0.14444642374858496</v>
      </c>
      <c r="G157">
        <f t="shared" ca="1" si="9"/>
        <v>155</v>
      </c>
      <c r="H157">
        <f t="shared" ca="1" si="10"/>
        <v>22.389195681030671</v>
      </c>
      <c r="I157">
        <f t="shared" ca="1" si="11"/>
        <v>706.47840299314464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19675</v>
      </c>
      <c r="B160" s="66">
        <v>19675</v>
      </c>
      <c r="D160">
        <f t="shared" si="8"/>
        <v>0.11305976796170621</v>
      </c>
      <c r="E160">
        <f t="shared" si="8"/>
        <v>0.11305976796170621</v>
      </c>
      <c r="G160">
        <f t="shared" ca="1" si="9"/>
        <v>158</v>
      </c>
      <c r="H160">
        <f t="shared" ca="1" si="10"/>
        <v>17.86344333794958</v>
      </c>
      <c r="I160">
        <f t="shared" ca="1" si="11"/>
        <v>601.42694481391732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16200</v>
      </c>
      <c r="B162" s="66">
        <v>16200</v>
      </c>
      <c r="D162">
        <f t="shared" si="8"/>
        <v>9.3091143124759371E-2</v>
      </c>
      <c r="E162">
        <f t="shared" si="8"/>
        <v>9.3091143124759371E-2</v>
      </c>
      <c r="G162">
        <f t="shared" ca="1" si="9"/>
        <v>160</v>
      </c>
      <c r="H162">
        <f t="shared" ca="1" si="10"/>
        <v>14.894582899961499</v>
      </c>
      <c r="I162">
        <f t="shared" ca="1" si="11"/>
        <v>522.73373471188847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11381</v>
      </c>
      <c r="B165" s="66">
        <v>11381</v>
      </c>
      <c r="D165">
        <f t="shared" si="8"/>
        <v>6.539940122857324E-2</v>
      </c>
      <c r="E165">
        <f t="shared" si="8"/>
        <v>6.539940122857324E-2</v>
      </c>
      <c r="G165">
        <f t="shared" ca="1" si="9"/>
        <v>163</v>
      </c>
      <c r="H165">
        <f t="shared" ca="1" si="10"/>
        <v>10.660102400257438</v>
      </c>
      <c r="I165">
        <f t="shared" ca="1" si="11"/>
        <v>397.22949460331904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10947</v>
      </c>
      <c r="B167" s="66">
        <v>10947</v>
      </c>
      <c r="D167">
        <f t="shared" si="8"/>
        <v>6.2905478011527211E-2</v>
      </c>
      <c r="E167">
        <f t="shared" si="8"/>
        <v>6.2905478011527211E-2</v>
      </c>
      <c r="G167">
        <f t="shared" ca="1" si="9"/>
        <v>165</v>
      </c>
      <c r="H167">
        <f t="shared" ca="1" si="10"/>
        <v>10.379403871901991</v>
      </c>
      <c r="I167">
        <f t="shared" ca="1" si="11"/>
        <v>401.94348679296263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11130</v>
      </c>
      <c r="B170" s="66">
        <v>11130</v>
      </c>
      <c r="D170">
        <f t="shared" si="8"/>
        <v>6.3957063146825421E-2</v>
      </c>
      <c r="E170">
        <f t="shared" si="8"/>
        <v>6.3957063146825421E-2</v>
      </c>
      <c r="G170">
        <f t="shared" ca="1" si="9"/>
        <v>168</v>
      </c>
      <c r="H170">
        <f t="shared" ca="1" si="10"/>
        <v>10.74478660866667</v>
      </c>
      <c r="I170">
        <f t="shared" ca="1" si="11"/>
        <v>439.91289077194045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7802</v>
      </c>
      <c r="B173" s="66">
        <v>7802</v>
      </c>
      <c r="D173">
        <f t="shared" si="8"/>
        <v>4.4833154238232878E-2</v>
      </c>
      <c r="E173">
        <f t="shared" si="8"/>
        <v>4.4833154238232878E-2</v>
      </c>
      <c r="G173">
        <f t="shared" ca="1" si="9"/>
        <v>171</v>
      </c>
      <c r="H173">
        <f t="shared" ca="1" si="10"/>
        <v>7.6664693747378223</v>
      </c>
      <c r="I173">
        <f t="shared" ca="1" si="11"/>
        <v>331.08678608028333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5398</v>
      </c>
      <c r="B175" s="66">
        <v>5398</v>
      </c>
      <c r="D175">
        <f t="shared" si="8"/>
        <v>3.1018888307867351E-2</v>
      </c>
      <c r="E175">
        <f t="shared" si="8"/>
        <v>3.1018888307867351E-2</v>
      </c>
      <c r="G175">
        <f t="shared" ca="1" si="9"/>
        <v>173</v>
      </c>
      <c r="H175">
        <f t="shared" ca="1" si="10"/>
        <v>5.3662676772610514</v>
      </c>
      <c r="I175">
        <f t="shared" ca="1" si="11"/>
        <v>239.85683637081974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3605</v>
      </c>
      <c r="B178" s="66">
        <v>3605</v>
      </c>
      <c r="D178">
        <f t="shared" si="8"/>
        <v>2.0715652528688736E-2</v>
      </c>
      <c r="E178">
        <f t="shared" si="8"/>
        <v>2.0715652528688736E-2</v>
      </c>
      <c r="G178">
        <f t="shared" ca="1" si="9"/>
        <v>176</v>
      </c>
      <c r="H178">
        <f t="shared" ca="1" si="10"/>
        <v>3.6459548450492174</v>
      </c>
      <c r="I178">
        <f t="shared" ca="1" si="11"/>
        <v>171.30223108554767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2083</v>
      </c>
      <c r="B180" s="66">
        <v>2083</v>
      </c>
      <c r="D180">
        <f t="shared" si="8"/>
        <v>1.1969682168448998E-2</v>
      </c>
      <c r="E180">
        <f t="shared" si="8"/>
        <v>1.1969682168448998E-2</v>
      </c>
      <c r="G180">
        <f t="shared" ca="1" si="9"/>
        <v>178</v>
      </c>
      <c r="H180">
        <f t="shared" ca="1" si="10"/>
        <v>2.1306034259839217</v>
      </c>
      <c r="I180">
        <f t="shared" ca="1" si="11"/>
        <v>103.38164442324589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875</v>
      </c>
      <c r="B183" s="66">
        <v>875</v>
      </c>
      <c r="D183">
        <f t="shared" si="8"/>
        <v>5.0280710021089166E-3</v>
      </c>
      <c r="E183">
        <f t="shared" si="8"/>
        <v>5.0280710021089166E-3</v>
      </c>
      <c r="G183">
        <f t="shared" ca="1" si="9"/>
        <v>181</v>
      </c>
      <c r="H183">
        <f t="shared" ca="1" si="10"/>
        <v>0.91008085138171391</v>
      </c>
      <c r="I183">
        <f t="shared" ca="1" si="11"/>
        <v>46.276201462249716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259</v>
      </c>
      <c r="B185" s="66">
        <v>259</v>
      </c>
      <c r="D185">
        <f t="shared" si="8"/>
        <v>1.4883090166242393E-3</v>
      </c>
      <c r="E185">
        <f t="shared" si="8"/>
        <v>1.4883090166242393E-3</v>
      </c>
      <c r="G185">
        <f t="shared" ca="1" si="9"/>
        <v>183</v>
      </c>
      <c r="H185">
        <f t="shared" ca="1" si="10"/>
        <v>0.27236055004223581</v>
      </c>
      <c r="I185">
        <f t="shared" ca="1" si="11"/>
        <v>14.274833979050953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453</v>
      </c>
      <c r="B188" s="66">
        <v>453</v>
      </c>
      <c r="D188">
        <f t="shared" si="8"/>
        <v>2.6031041873775303E-3</v>
      </c>
      <c r="E188">
        <f t="shared" si="8"/>
        <v>2.6031041873775303E-3</v>
      </c>
      <c r="G188">
        <f t="shared" ca="1" si="9"/>
        <v>186</v>
      </c>
      <c r="H188">
        <f t="shared" ca="1" si="10"/>
        <v>0.48417737885222062</v>
      </c>
      <c r="I188">
        <f t="shared" ca="1" si="11"/>
        <v>26.520222349567398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123</v>
      </c>
      <c r="B191" s="66">
        <v>123</v>
      </c>
      <c r="D191">
        <f t="shared" si="8"/>
        <v>7.068031237250249E-4</v>
      </c>
      <c r="E191">
        <f t="shared" si="8"/>
        <v>7.068031237250249E-4</v>
      </c>
      <c r="G191">
        <f t="shared" ca="1" si="9"/>
        <v>189</v>
      </c>
      <c r="H191">
        <f t="shared" ca="1" si="10"/>
        <v>0.13358579038402971</v>
      </c>
      <c r="I191">
        <f t="shared" ca="1" si="11"/>
        <v>7.63526434600176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121</v>
      </c>
      <c r="B193" s="66">
        <v>121</v>
      </c>
      <c r="D193">
        <f t="shared" si="8"/>
        <v>6.9531039000591871E-4</v>
      </c>
      <c r="E193">
        <f t="shared" si="8"/>
        <v>6.9531039000591871E-4</v>
      </c>
      <c r="G193">
        <f t="shared" ca="1" si="9"/>
        <v>191</v>
      </c>
      <c r="H193">
        <f t="shared" ca="1" si="10"/>
        <v>0.13280428449113046</v>
      </c>
      <c r="I193">
        <f t="shared" ca="1" si="11"/>
        <v>7.802963947177628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83.432940776324315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1.610880686068874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0.69501093490539034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1863</v>
      </c>
      <c r="B8" s="66">
        <v>1863</v>
      </c>
      <c r="D8">
        <f t="shared" si="0"/>
        <v>2.5644555177777471</v>
      </c>
      <c r="E8">
        <f t="shared" si="1"/>
        <v>2.5644555177777471</v>
      </c>
      <c r="G8">
        <f t="shared" ca="1" si="2"/>
        <v>6</v>
      </c>
      <c r="H8">
        <f t="shared" ca="1" si="3"/>
        <v>15.386733106666483</v>
      </c>
      <c r="I8">
        <f t="shared" ca="1" si="4"/>
        <v>15376.11707444704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608</v>
      </c>
      <c r="B10" s="66">
        <v>608</v>
      </c>
      <c r="D10">
        <f t="shared" si="0"/>
        <v>0.83692375459413326</v>
      </c>
      <c r="E10">
        <f t="shared" si="1"/>
        <v>0.83692375459413326</v>
      </c>
      <c r="G10">
        <f t="shared" ca="1" si="2"/>
        <v>8</v>
      </c>
      <c r="H10">
        <f t="shared" ca="1" si="3"/>
        <v>6.6953900367530661</v>
      </c>
      <c r="I10">
        <f t="shared" ca="1" si="4"/>
        <v>4762.2037536746002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1267</v>
      </c>
      <c r="B13" s="66">
        <v>1267</v>
      </c>
      <c r="D13">
        <f t="shared" si="0"/>
        <v>1.7440499951821824</v>
      </c>
      <c r="E13">
        <f t="shared" si="1"/>
        <v>1.7440499951821824</v>
      </c>
      <c r="G13">
        <f t="shared" ca="1" si="2"/>
        <v>11</v>
      </c>
      <c r="H13">
        <f t="shared" ca="1" si="3"/>
        <v>19.184549947004008</v>
      </c>
      <c r="I13">
        <f t="shared" ca="1" si="4"/>
        <v>9150.2122074479921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3283</v>
      </c>
      <c r="B15" s="66">
        <v>3283</v>
      </c>
      <c r="D15">
        <f t="shared" si="0"/>
        <v>4.5191129709416771</v>
      </c>
      <c r="E15">
        <f t="shared" si="1"/>
        <v>4.5191129709416771</v>
      </c>
      <c r="G15">
        <f t="shared" ca="1" si="2"/>
        <v>13</v>
      </c>
      <c r="H15">
        <f t="shared" ca="1" si="3"/>
        <v>58.748468622241802</v>
      </c>
      <c r="I15">
        <f t="shared" ca="1" si="4"/>
        <v>22418.4117687381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11245</v>
      </c>
      <c r="B18" s="66">
        <v>11245</v>
      </c>
      <c r="D18">
        <f t="shared" si="0"/>
        <v>15.478959901991823</v>
      </c>
      <c r="E18">
        <f t="shared" si="1"/>
        <v>15.478959901991823</v>
      </c>
      <c r="G18">
        <f t="shared" ca="1" si="2"/>
        <v>16</v>
      </c>
      <c r="H18">
        <f t="shared" ca="1" si="3"/>
        <v>247.66335843186917</v>
      </c>
      <c r="I18">
        <f t="shared" ca="1" si="4"/>
        <v>70385.949711760957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25825</v>
      </c>
      <c r="B21" s="66">
        <v>25825</v>
      </c>
      <c r="D21">
        <f t="shared" si="0"/>
        <v>35.54861178025245</v>
      </c>
      <c r="E21">
        <f t="shared" si="1"/>
        <v>35.54861178025245</v>
      </c>
      <c r="G21">
        <f t="shared" ca="1" si="2"/>
        <v>19</v>
      </c>
      <c r="H21">
        <f t="shared" ca="1" si="3"/>
        <v>675.42362382479655</v>
      </c>
      <c r="I21">
        <f t="shared" ca="1" si="4"/>
        <v>147583.7537809246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25544</v>
      </c>
      <c r="B23" s="66">
        <v>25544</v>
      </c>
      <c r="D23">
        <f t="shared" si="0"/>
        <v>35.16180984761931</v>
      </c>
      <c r="E23">
        <f t="shared" si="1"/>
        <v>35.16180984761931</v>
      </c>
      <c r="G23">
        <f t="shared" ca="1" si="2"/>
        <v>21</v>
      </c>
      <c r="H23">
        <f t="shared" ca="1" si="3"/>
        <v>738.39800680000553</v>
      </c>
      <c r="I23">
        <f t="shared" ca="1" si="4"/>
        <v>137056.23737886714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31894</v>
      </c>
      <c r="B26" s="66">
        <v>31894</v>
      </c>
      <c r="D26">
        <f t="shared" si="0"/>
        <v>43.902707613528435</v>
      </c>
      <c r="E26">
        <f t="shared" si="1"/>
        <v>43.902707613528435</v>
      </c>
      <c r="G26">
        <f t="shared" ca="1" si="2"/>
        <v>24</v>
      </c>
      <c r="H26">
        <f t="shared" ca="1" si="3"/>
        <v>1053.6649827246824</v>
      </c>
      <c r="I26">
        <f t="shared" ca="1" si="4"/>
        <v>155076.41235932417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38654</v>
      </c>
      <c r="B28" s="66">
        <v>38654</v>
      </c>
      <c r="D28">
        <f t="shared" si="0"/>
        <v>53.20797830605531</v>
      </c>
      <c r="E28">
        <f t="shared" si="1"/>
        <v>53.20797830605531</v>
      </c>
      <c r="G28">
        <f t="shared" ca="1" si="2"/>
        <v>26</v>
      </c>
      <c r="H28">
        <f t="shared" ca="1" si="3"/>
        <v>1383.4074359574381</v>
      </c>
      <c r="I28">
        <f t="shared" ca="1" si="4"/>
        <v>175508.78768981964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42672</v>
      </c>
      <c r="B31" s="66">
        <v>42672</v>
      </c>
      <c r="D31">
        <f t="shared" si="0"/>
        <v>58.738832986909301</v>
      </c>
      <c r="E31">
        <f t="shared" si="1"/>
        <v>58.738832986909301</v>
      </c>
      <c r="G31">
        <f t="shared" ca="1" si="2"/>
        <v>29</v>
      </c>
      <c r="H31">
        <f t="shared" ca="1" si="3"/>
        <v>1703.4261566203697</v>
      </c>
      <c r="I31">
        <f t="shared" ca="1" si="4"/>
        <v>174039.93394551516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42420</v>
      </c>
      <c r="B33" s="66">
        <v>42420</v>
      </c>
      <c r="D33">
        <f t="shared" si="0"/>
        <v>58.391950114939362</v>
      </c>
      <c r="E33">
        <f t="shared" si="1"/>
        <v>58.391950114939362</v>
      </c>
      <c r="G33">
        <f t="shared" ca="1" si="2"/>
        <v>31</v>
      </c>
      <c r="H33">
        <f t="shared" ca="1" si="3"/>
        <v>1810.1504535631202</v>
      </c>
      <c r="I33">
        <f t="shared" ca="1" si="4"/>
        <v>160531.9246107876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42670</v>
      </c>
      <c r="B36" s="66">
        <v>42670</v>
      </c>
      <c r="D36">
        <f t="shared" si="0"/>
        <v>58.736079948242875</v>
      </c>
      <c r="E36">
        <f t="shared" si="1"/>
        <v>58.736079948242875</v>
      </c>
      <c r="G36">
        <f t="shared" ca="1" si="2"/>
        <v>34</v>
      </c>
      <c r="H36">
        <f t="shared" ca="1" si="3"/>
        <v>1997.0267182402577</v>
      </c>
      <c r="I36">
        <f t="shared" ca="1" si="4"/>
        <v>143528.40322939379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37970</v>
      </c>
      <c r="B39" s="66">
        <v>37970</v>
      </c>
      <c r="D39">
        <f t="shared" si="0"/>
        <v>52.266439082136905</v>
      </c>
      <c r="E39">
        <f t="shared" si="1"/>
        <v>52.266439082136905</v>
      </c>
      <c r="G39">
        <f t="shared" ca="1" si="2"/>
        <v>37</v>
      </c>
      <c r="H39">
        <f t="shared" ca="1" si="3"/>
        <v>1933.8582460390655</v>
      </c>
      <c r="I39">
        <f t="shared" ca="1" si="4"/>
        <v>112687.38288925384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43219</v>
      </c>
      <c r="B41" s="66">
        <v>43219</v>
      </c>
      <c r="D41">
        <f t="shared" si="0"/>
        <v>59.491789062177375</v>
      </c>
      <c r="E41">
        <f t="shared" si="1"/>
        <v>59.491789062177375</v>
      </c>
      <c r="G41">
        <f t="shared" ca="1" si="2"/>
        <v>39</v>
      </c>
      <c r="H41">
        <f t="shared" ca="1" si="3"/>
        <v>2320.1797734249176</v>
      </c>
      <c r="I41">
        <f t="shared" ca="1" si="4"/>
        <v>117453.81970747845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49654</v>
      </c>
      <c r="B44" s="66">
        <v>49654</v>
      </c>
      <c r="D44">
        <f t="shared" si="0"/>
        <v>68.3496909714097</v>
      </c>
      <c r="E44">
        <f t="shared" si="1"/>
        <v>68.3496909714097</v>
      </c>
      <c r="G44">
        <f t="shared" ca="1" si="2"/>
        <v>42</v>
      </c>
      <c r="H44">
        <f t="shared" ca="1" si="3"/>
        <v>2870.6870207992074</v>
      </c>
      <c r="I44">
        <f t="shared" ca="1" si="4"/>
        <v>117335.13403108783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56864</v>
      </c>
      <c r="B46" s="66">
        <v>56864</v>
      </c>
      <c r="D46">
        <f t="shared" si="0"/>
        <v>78.274395363882888</v>
      </c>
      <c r="E46">
        <f t="shared" si="1"/>
        <v>78.274395363882888</v>
      </c>
      <c r="G46">
        <f t="shared" ca="1" si="2"/>
        <v>44</v>
      </c>
      <c r="H46">
        <f t="shared" ca="1" si="3"/>
        <v>3444.0733960108473</v>
      </c>
      <c r="I46">
        <f t="shared" ca="1" si="4"/>
        <v>121713.30476696101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66484</v>
      </c>
      <c r="B49" s="66">
        <v>66484</v>
      </c>
      <c r="D49">
        <f t="shared" si="0"/>
        <v>91.516511349401895</v>
      </c>
      <c r="E49">
        <f t="shared" si="1"/>
        <v>91.516511349401895</v>
      </c>
      <c r="G49">
        <f t="shared" ca="1" si="2"/>
        <v>47</v>
      </c>
      <c r="H49">
        <f t="shared" ca="1" si="3"/>
        <v>4301.2760334218892</v>
      </c>
      <c r="I49">
        <f t="shared" ca="1" si="4"/>
        <v>121475.28087651799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64845</v>
      </c>
      <c r="B51" s="66">
        <v>64845</v>
      </c>
      <c r="D51">
        <f t="shared" si="0"/>
        <v>89.260396162264101</v>
      </c>
      <c r="E51">
        <f t="shared" si="1"/>
        <v>89.260396162264101</v>
      </c>
      <c r="G51">
        <f t="shared" ca="1" si="2"/>
        <v>49</v>
      </c>
      <c r="H51">
        <f t="shared" ca="1" si="3"/>
        <v>4373.7594119509413</v>
      </c>
      <c r="I51">
        <f t="shared" ca="1" si="4"/>
        <v>105829.5723625922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70953</v>
      </c>
      <c r="B54" s="66">
        <v>70953</v>
      </c>
      <c r="D54">
        <f t="shared" si="0"/>
        <v>97.668176249535421</v>
      </c>
      <c r="E54">
        <f t="shared" si="1"/>
        <v>97.668176249535421</v>
      </c>
      <c r="G54">
        <f t="shared" ca="1" si="2"/>
        <v>52</v>
      </c>
      <c r="H54">
        <f t="shared" ca="1" si="3"/>
        <v>5078.7451649758423</v>
      </c>
      <c r="I54">
        <f t="shared" ca="1" si="4"/>
        <v>96499.065310621067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72647</v>
      </c>
      <c r="B57" s="66">
        <v>72647</v>
      </c>
      <c r="D57">
        <f t="shared" si="0"/>
        <v>100</v>
      </c>
      <c r="E57">
        <f t="shared" si="1"/>
        <v>100</v>
      </c>
      <c r="G57">
        <f t="shared" ca="1" si="2"/>
        <v>55</v>
      </c>
      <c r="H57">
        <f t="shared" ca="1" si="3"/>
        <v>5500</v>
      </c>
      <c r="I57">
        <f t="shared" ca="1" si="4"/>
        <v>80843.212118996598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63789</v>
      </c>
      <c r="B59" s="66">
        <v>63789</v>
      </c>
      <c r="D59">
        <f t="shared" si="0"/>
        <v>87.806791746390076</v>
      </c>
      <c r="E59">
        <f t="shared" si="1"/>
        <v>87.806791746390076</v>
      </c>
      <c r="G59">
        <f t="shared" ca="1" si="2"/>
        <v>57</v>
      </c>
      <c r="H59">
        <f t="shared" ca="1" si="3"/>
        <v>5004.9871295442344</v>
      </c>
      <c r="I59">
        <f t="shared" ca="1" si="4"/>
        <v>61350.636835468678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60021</v>
      </c>
      <c r="B62" s="66">
        <v>60021</v>
      </c>
      <c r="D62">
        <f t="shared" si="0"/>
        <v>82.620066898839596</v>
      </c>
      <c r="E62">
        <f t="shared" si="1"/>
        <v>82.620066898839596</v>
      </c>
      <c r="G62">
        <f t="shared" ca="1" si="2"/>
        <v>60</v>
      </c>
      <c r="H62">
        <f t="shared" ca="1" si="3"/>
        <v>4957.2040139303754</v>
      </c>
      <c r="I62">
        <f t="shared" ca="1" si="4"/>
        <v>45366.902917650186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57086</v>
      </c>
      <c r="B64" s="66">
        <v>57086</v>
      </c>
      <c r="D64">
        <f t="shared" si="0"/>
        <v>78.579982655856398</v>
      </c>
      <c r="E64">
        <f t="shared" si="1"/>
        <v>78.579982655856398</v>
      </c>
      <c r="G64">
        <f t="shared" ca="1" si="2"/>
        <v>62</v>
      </c>
      <c r="H64">
        <f t="shared" ca="1" si="3"/>
        <v>4871.9589246630967</v>
      </c>
      <c r="I64">
        <f t="shared" ca="1" si="4"/>
        <v>36097.361308861888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58903</v>
      </c>
      <c r="B67" s="66">
        <v>58903</v>
      </c>
      <c r="D67">
        <f t="shared" ref="D67:D130" si="5">IFERROR( 100*A67/MAX(A$2:A$257), 0 )</f>
        <v>81.081118284306299</v>
      </c>
      <c r="E67">
        <f t="shared" ref="E67:E130" si="6">IFERROR( 100*B67/MAX(B$2:B$257), 0 )</f>
        <v>81.081118284306299</v>
      </c>
      <c r="G67">
        <f t="shared" ref="G67:G130" ca="1" si="7">CELL("row",D67)-2</f>
        <v>65</v>
      </c>
      <c r="H67">
        <f t="shared" ref="H67:H130" ca="1" si="8">D67*G67</f>
        <v>5270.2726884799094</v>
      </c>
      <c r="I67">
        <f t="shared" ref="I67:I130" ca="1" si="9">D67*((G67-$L$1)^2)</f>
        <v>27549.199586350354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52988</v>
      </c>
      <c r="B69" s="66">
        <v>52988</v>
      </c>
      <c r="D69">
        <f t="shared" si="5"/>
        <v>72.93900642834528</v>
      </c>
      <c r="E69">
        <f t="shared" si="6"/>
        <v>72.93900642834528</v>
      </c>
      <c r="G69">
        <f t="shared" ca="1" si="7"/>
        <v>67</v>
      </c>
      <c r="H69">
        <f t="shared" ca="1" si="8"/>
        <v>4886.9134306991336</v>
      </c>
      <c r="I69">
        <f t="shared" ca="1" si="9"/>
        <v>19696.561808571543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53982</v>
      </c>
      <c r="B72" s="66">
        <v>53982</v>
      </c>
      <c r="D72">
        <f t="shared" si="5"/>
        <v>74.307266645560034</v>
      </c>
      <c r="E72">
        <f t="shared" si="6"/>
        <v>74.307266645560034</v>
      </c>
      <c r="G72">
        <f t="shared" ca="1" si="7"/>
        <v>70</v>
      </c>
      <c r="H72">
        <f t="shared" ca="1" si="8"/>
        <v>5201.5086651892025</v>
      </c>
      <c r="I72">
        <f t="shared" ca="1" si="9"/>
        <v>13408.292835837083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52669</v>
      </c>
      <c r="B75" s="66">
        <v>52669</v>
      </c>
      <c r="D75">
        <f t="shared" si="5"/>
        <v>72.49989676105001</v>
      </c>
      <c r="E75">
        <f t="shared" si="6"/>
        <v>72.49989676105001</v>
      </c>
      <c r="G75">
        <f t="shared" ca="1" si="7"/>
        <v>73</v>
      </c>
      <c r="H75">
        <f t="shared" ca="1" si="8"/>
        <v>5292.4924635566504</v>
      </c>
      <c r="I75">
        <f t="shared" ca="1" si="9"/>
        <v>7891.3421228931747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56606</v>
      </c>
      <c r="B77" s="66">
        <v>56606</v>
      </c>
      <c r="D77">
        <f t="shared" si="5"/>
        <v>77.919253375913669</v>
      </c>
      <c r="E77">
        <f t="shared" si="6"/>
        <v>77.919253375913669</v>
      </c>
      <c r="G77">
        <f t="shared" ca="1" si="7"/>
        <v>75</v>
      </c>
      <c r="H77">
        <f t="shared" ca="1" si="8"/>
        <v>5843.9440031935255</v>
      </c>
      <c r="I77">
        <f t="shared" ca="1" si="9"/>
        <v>5541.1879756832986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52937</v>
      </c>
      <c r="B80" s="66">
        <v>52937</v>
      </c>
      <c r="D80">
        <f t="shared" si="5"/>
        <v>72.868803942351377</v>
      </c>
      <c r="E80">
        <f t="shared" si="6"/>
        <v>72.868803942351377</v>
      </c>
      <c r="G80">
        <f t="shared" ca="1" si="7"/>
        <v>78</v>
      </c>
      <c r="H80">
        <f t="shared" ca="1" si="8"/>
        <v>5683.7667075034078</v>
      </c>
      <c r="I80">
        <f t="shared" ca="1" si="9"/>
        <v>2150.8572262093894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56917</v>
      </c>
      <c r="B82" s="66">
        <v>56917</v>
      </c>
      <c r="D82">
        <f t="shared" si="5"/>
        <v>78.347350888543232</v>
      </c>
      <c r="E82">
        <f t="shared" si="6"/>
        <v>78.347350888543232</v>
      </c>
      <c r="G82">
        <f t="shared" ca="1" si="7"/>
        <v>80</v>
      </c>
      <c r="H82">
        <f t="shared" ca="1" si="8"/>
        <v>6267.7880710834588</v>
      </c>
      <c r="I82">
        <f t="shared" ca="1" si="9"/>
        <v>923.32998398659231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53442</v>
      </c>
      <c r="B85" s="66">
        <v>53442</v>
      </c>
      <c r="D85">
        <f t="shared" si="5"/>
        <v>73.563946205624461</v>
      </c>
      <c r="E85">
        <f t="shared" si="6"/>
        <v>73.563946205624461</v>
      </c>
      <c r="G85">
        <f t="shared" ca="1" si="7"/>
        <v>83</v>
      </c>
      <c r="H85">
        <f t="shared" ca="1" si="8"/>
        <v>6105.8075350668305</v>
      </c>
      <c r="I85">
        <f t="shared" ca="1" si="9"/>
        <v>13.788658042332715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52839</v>
      </c>
      <c r="B88" s="66">
        <v>52839</v>
      </c>
      <c r="D88">
        <f t="shared" si="5"/>
        <v>72.733905047696396</v>
      </c>
      <c r="E88">
        <f t="shared" si="6"/>
        <v>72.733905047696396</v>
      </c>
      <c r="G88">
        <f t="shared" ca="1" si="7"/>
        <v>86</v>
      </c>
      <c r="H88">
        <f t="shared" ca="1" si="8"/>
        <v>6255.11583410189</v>
      </c>
      <c r="I88">
        <f t="shared" ca="1" si="9"/>
        <v>479.30138255424242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50382</v>
      </c>
      <c r="B90" s="66">
        <v>50382</v>
      </c>
      <c r="D90">
        <f t="shared" si="5"/>
        <v>69.351797045989514</v>
      </c>
      <c r="E90">
        <f t="shared" si="6"/>
        <v>69.351797045989514</v>
      </c>
      <c r="G90">
        <f t="shared" ca="1" si="7"/>
        <v>88</v>
      </c>
      <c r="H90">
        <f t="shared" ca="1" si="8"/>
        <v>6102.958140047077</v>
      </c>
      <c r="I90">
        <f t="shared" ca="1" si="9"/>
        <v>1446.541860049191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51732</v>
      </c>
      <c r="B93" s="66">
        <v>51732</v>
      </c>
      <c r="D93">
        <f t="shared" si="5"/>
        <v>71.210098145828454</v>
      </c>
      <c r="E93">
        <f t="shared" si="6"/>
        <v>71.210098145828454</v>
      </c>
      <c r="G93">
        <f t="shared" ca="1" si="7"/>
        <v>91</v>
      </c>
      <c r="H93">
        <f t="shared" ca="1" si="8"/>
        <v>6480.1189312703891</v>
      </c>
      <c r="I93">
        <f t="shared" ca="1" si="9"/>
        <v>4077.5176566975047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56346</v>
      </c>
      <c r="B95" s="66">
        <v>56346</v>
      </c>
      <c r="D95">
        <f t="shared" si="5"/>
        <v>77.561358349278009</v>
      </c>
      <c r="E95">
        <f t="shared" si="6"/>
        <v>77.561358349278009</v>
      </c>
      <c r="G95">
        <f t="shared" ca="1" si="7"/>
        <v>93</v>
      </c>
      <c r="H95">
        <f t="shared" ca="1" si="8"/>
        <v>7213.2063264828548</v>
      </c>
      <c r="I95">
        <f t="shared" ca="1" si="9"/>
        <v>7099.0842648413718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51761</v>
      </c>
      <c r="B98" s="66">
        <v>51761</v>
      </c>
      <c r="D98">
        <f t="shared" si="5"/>
        <v>71.250017206491663</v>
      </c>
      <c r="E98">
        <f t="shared" si="6"/>
        <v>71.250017206491663</v>
      </c>
      <c r="G98">
        <f t="shared" ca="1" si="7"/>
        <v>96</v>
      </c>
      <c r="H98">
        <f t="shared" ca="1" si="8"/>
        <v>6840.0016518231996</v>
      </c>
      <c r="I98">
        <f t="shared" ca="1" si="9"/>
        <v>11252.58486654831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59456</v>
      </c>
      <c r="B100" s="66">
        <v>59456</v>
      </c>
      <c r="D100">
        <f t="shared" si="5"/>
        <v>81.842333475573668</v>
      </c>
      <c r="E100">
        <f t="shared" si="6"/>
        <v>81.842333475573668</v>
      </c>
      <c r="G100">
        <f t="shared" ca="1" si="7"/>
        <v>98</v>
      </c>
      <c r="H100">
        <f t="shared" ca="1" si="8"/>
        <v>8020.548680606219</v>
      </c>
      <c r="I100">
        <f t="shared" ca="1" si="9"/>
        <v>17366.87887031358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55466</v>
      </c>
      <c r="B103" s="66">
        <v>55466</v>
      </c>
      <c r="D103">
        <f t="shared" si="5"/>
        <v>76.350021336049664</v>
      </c>
      <c r="E103">
        <f t="shared" si="6"/>
        <v>76.350021336049664</v>
      </c>
      <c r="G103">
        <f t="shared" ca="1" si="7"/>
        <v>101</v>
      </c>
      <c r="H103">
        <f t="shared" ca="1" si="8"/>
        <v>7711.3521549410161</v>
      </c>
      <c r="I103">
        <f t="shared" ca="1" si="9"/>
        <v>23561.736436135066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59886</v>
      </c>
      <c r="B106" s="66">
        <v>59886</v>
      </c>
      <c r="D106">
        <f t="shared" si="5"/>
        <v>82.434236788855699</v>
      </c>
      <c r="E106">
        <f t="shared" si="6"/>
        <v>82.434236788855699</v>
      </c>
      <c r="G106">
        <f t="shared" ca="1" si="7"/>
        <v>104</v>
      </c>
      <c r="H106">
        <f t="shared" ca="1" si="8"/>
        <v>8573.1606260409935</v>
      </c>
      <c r="I106">
        <f t="shared" ca="1" si="9"/>
        <v>34870.005725148214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53022</v>
      </c>
      <c r="B108" s="66">
        <v>53022</v>
      </c>
      <c r="D108">
        <f t="shared" si="5"/>
        <v>72.985808085674563</v>
      </c>
      <c r="E108">
        <f t="shared" si="6"/>
        <v>72.985808085674563</v>
      </c>
      <c r="G108">
        <f t="shared" ca="1" si="7"/>
        <v>106</v>
      </c>
      <c r="H108">
        <f t="shared" ca="1" si="8"/>
        <v>7736.4956570815039</v>
      </c>
      <c r="I108">
        <f t="shared" ca="1" si="9"/>
        <v>37169.640279465159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48934</v>
      </c>
      <c r="B111" s="66">
        <v>48934</v>
      </c>
      <c r="D111">
        <f t="shared" si="5"/>
        <v>67.358597051495593</v>
      </c>
      <c r="E111">
        <f t="shared" si="6"/>
        <v>67.358597051495593</v>
      </c>
      <c r="G111">
        <f t="shared" ca="1" si="7"/>
        <v>109</v>
      </c>
      <c r="H111">
        <f t="shared" ca="1" si="8"/>
        <v>7342.0870786130199</v>
      </c>
      <c r="I111">
        <f t="shared" ca="1" si="9"/>
        <v>44030.59841680339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55847</v>
      </c>
      <c r="B113" s="66">
        <v>55847</v>
      </c>
      <c r="D113">
        <f t="shared" si="5"/>
        <v>76.874475202004206</v>
      </c>
      <c r="E113">
        <f t="shared" si="6"/>
        <v>76.874475202004206</v>
      </c>
      <c r="G113">
        <f t="shared" ca="1" si="7"/>
        <v>111</v>
      </c>
      <c r="H113">
        <f t="shared" ca="1" si="8"/>
        <v>8533.0667474224665</v>
      </c>
      <c r="I113">
        <f t="shared" ca="1" si="9"/>
        <v>58420.200415891937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56629</v>
      </c>
      <c r="B116" s="66">
        <v>56629</v>
      </c>
      <c r="D116">
        <f t="shared" si="5"/>
        <v>77.950913320577584</v>
      </c>
      <c r="E116">
        <f t="shared" si="6"/>
        <v>77.950913320577584</v>
      </c>
      <c r="G116">
        <f t="shared" ca="1" si="7"/>
        <v>114</v>
      </c>
      <c r="H116">
        <f t="shared" ca="1" si="8"/>
        <v>8886.4041185458445</v>
      </c>
      <c r="I116">
        <f t="shared" ca="1" si="9"/>
        <v>72833.054648664314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67409</v>
      </c>
      <c r="B118" s="66">
        <v>67409</v>
      </c>
      <c r="D118">
        <f t="shared" si="5"/>
        <v>92.789791732624892</v>
      </c>
      <c r="E118">
        <f t="shared" si="6"/>
        <v>92.789791732624892</v>
      </c>
      <c r="G118">
        <f t="shared" ca="1" si="7"/>
        <v>116</v>
      </c>
      <c r="H118">
        <f t="shared" ca="1" si="8"/>
        <v>10763.615840984487</v>
      </c>
      <c r="I118">
        <f t="shared" ca="1" si="9"/>
        <v>98414.091528573015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69478</v>
      </c>
      <c r="B121" s="66">
        <v>69478</v>
      </c>
      <c r="D121">
        <f t="shared" si="5"/>
        <v>95.637810233044718</v>
      </c>
      <c r="E121">
        <f t="shared" si="6"/>
        <v>95.637810233044718</v>
      </c>
      <c r="G121">
        <f t="shared" ca="1" si="7"/>
        <v>119</v>
      </c>
      <c r="H121">
        <f t="shared" ca="1" si="8"/>
        <v>11380.899417732322</v>
      </c>
      <c r="I121">
        <f t="shared" ca="1" si="9"/>
        <v>120983.33163252642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71406</v>
      </c>
      <c r="B124" s="66">
        <v>71406</v>
      </c>
      <c r="D124">
        <f t="shared" si="5"/>
        <v>98.291739507481381</v>
      </c>
      <c r="E124">
        <f t="shared" si="6"/>
        <v>98.291739507481381</v>
      </c>
      <c r="G124">
        <f t="shared" ca="1" si="7"/>
        <v>122</v>
      </c>
      <c r="H124">
        <f t="shared" ca="1" si="8"/>
        <v>11991.592219912729</v>
      </c>
      <c r="I124">
        <f t="shared" ca="1" si="9"/>
        <v>146200.90821334126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67235</v>
      </c>
      <c r="B126" s="66">
        <v>67235</v>
      </c>
      <c r="D126">
        <f t="shared" si="5"/>
        <v>92.550277368645638</v>
      </c>
      <c r="E126">
        <f t="shared" si="6"/>
        <v>92.550277368645638</v>
      </c>
      <c r="G126">
        <f t="shared" ca="1" si="7"/>
        <v>124</v>
      </c>
      <c r="H126">
        <f t="shared" ca="1" si="8"/>
        <v>11476.234393712059</v>
      </c>
      <c r="I126">
        <f t="shared" ca="1" si="9"/>
        <v>152308.72297677337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64610</v>
      </c>
      <c r="B129" s="66">
        <v>64610</v>
      </c>
      <c r="D129">
        <f t="shared" si="5"/>
        <v>88.936914118958796</v>
      </c>
      <c r="E129">
        <f t="shared" si="6"/>
        <v>88.936914118958796</v>
      </c>
      <c r="G129">
        <f t="shared" ca="1" si="7"/>
        <v>127</v>
      </c>
      <c r="H129">
        <f t="shared" ca="1" si="8"/>
        <v>11294.988093107768</v>
      </c>
      <c r="I129">
        <f t="shared" ca="1" si="9"/>
        <v>168810.14720179289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54908</v>
      </c>
      <c r="B131" s="66">
        <v>54908</v>
      </c>
      <c r="D131">
        <f t="shared" ref="D131:D194" si="10">IFERROR( 100*A131/MAX(A$2:A$257), 0 )</f>
        <v>75.581923548116237</v>
      </c>
      <c r="E131">
        <f t="shared" ref="E131:E194" si="11">IFERROR( 100*B131/MAX(B$2:B$257), 0 )</f>
        <v>75.581923548116237</v>
      </c>
      <c r="G131">
        <f t="shared" ref="G131:G194" ca="1" si="12">CELL("row",D131)-2</f>
        <v>129</v>
      </c>
      <c r="H131">
        <f t="shared" ref="H131:H194" ca="1" si="13">D131*G131</f>
        <v>9750.0681377069941</v>
      </c>
      <c r="I131">
        <f t="shared" ref="I131:I194" ca="1" si="14">D131*((G131-$L$1)^2)</f>
        <v>156935.04743847533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44683</v>
      </c>
      <c r="B134" s="66">
        <v>44683</v>
      </c>
      <c r="D134">
        <f t="shared" si="10"/>
        <v>61.507013366002724</v>
      </c>
      <c r="E134">
        <f t="shared" si="11"/>
        <v>61.507013366002724</v>
      </c>
      <c r="G134">
        <f t="shared" ca="1" si="12"/>
        <v>132</v>
      </c>
      <c r="H134">
        <f t="shared" ca="1" si="13"/>
        <v>8118.9257643123592</v>
      </c>
      <c r="I134">
        <f t="shared" ca="1" si="14"/>
        <v>145080.23620248921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38105</v>
      </c>
      <c r="B136" s="66">
        <v>38105</v>
      </c>
      <c r="D136">
        <f t="shared" si="10"/>
        <v>52.452269192120802</v>
      </c>
      <c r="E136">
        <f t="shared" si="11"/>
        <v>52.452269192120802</v>
      </c>
      <c r="G136">
        <f t="shared" ca="1" si="12"/>
        <v>134</v>
      </c>
      <c r="H136">
        <f t="shared" ca="1" si="13"/>
        <v>7028.6040717441874</v>
      </c>
      <c r="I136">
        <f t="shared" ca="1" si="14"/>
        <v>134121.89363554344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24834</v>
      </c>
      <c r="B139" s="66">
        <v>24834</v>
      </c>
      <c r="D139">
        <f t="shared" si="10"/>
        <v>34.184481121037344</v>
      </c>
      <c r="E139">
        <f t="shared" si="11"/>
        <v>34.184481121037344</v>
      </c>
      <c r="G139">
        <f t="shared" ca="1" si="12"/>
        <v>137</v>
      </c>
      <c r="H139">
        <f t="shared" ca="1" si="13"/>
        <v>4683.2739135821157</v>
      </c>
      <c r="I139">
        <f t="shared" ca="1" si="14"/>
        <v>98089.969984165306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21042</v>
      </c>
      <c r="B142" s="66">
        <v>21042</v>
      </c>
      <c r="D142">
        <f t="shared" si="10"/>
        <v>28.964719809489726</v>
      </c>
      <c r="E142">
        <f t="shared" si="11"/>
        <v>28.964719809489726</v>
      </c>
      <c r="G142">
        <f t="shared" ca="1" si="12"/>
        <v>140</v>
      </c>
      <c r="H142">
        <f t="shared" ca="1" si="13"/>
        <v>4055.0607733285615</v>
      </c>
      <c r="I142">
        <f t="shared" ca="1" si="14"/>
        <v>92682.242797993735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17305</v>
      </c>
      <c r="B144" s="66">
        <v>17305</v>
      </c>
      <c r="D144">
        <f t="shared" si="10"/>
        <v>23.820667061268875</v>
      </c>
      <c r="E144">
        <f t="shared" si="11"/>
        <v>23.820667061268875</v>
      </c>
      <c r="G144">
        <f t="shared" ca="1" si="12"/>
        <v>142</v>
      </c>
      <c r="H144">
        <f t="shared" ca="1" si="13"/>
        <v>3382.5347227001803</v>
      </c>
      <c r="I144">
        <f t="shared" ca="1" si="14"/>
        <v>81707.280237071725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15668</v>
      </c>
      <c r="B147" s="66">
        <v>15668</v>
      </c>
      <c r="D147">
        <f t="shared" si="10"/>
        <v>21.5673049127975</v>
      </c>
      <c r="E147">
        <f t="shared" si="11"/>
        <v>21.5673049127975</v>
      </c>
      <c r="G147">
        <f t="shared" ca="1" si="12"/>
        <v>145</v>
      </c>
      <c r="H147">
        <f t="shared" ca="1" si="13"/>
        <v>3127.2592123556374</v>
      </c>
      <c r="I147">
        <f t="shared" ca="1" si="14"/>
        <v>81750.92926037345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14025</v>
      </c>
      <c r="B149" s="66">
        <v>14025</v>
      </c>
      <c r="D149">
        <f t="shared" si="10"/>
        <v>19.305683648326841</v>
      </c>
      <c r="E149">
        <f t="shared" si="11"/>
        <v>19.305683648326841</v>
      </c>
      <c r="G149">
        <f t="shared" ca="1" si="12"/>
        <v>147</v>
      </c>
      <c r="H149">
        <f t="shared" ca="1" si="13"/>
        <v>2837.9354963040455</v>
      </c>
      <c r="I149">
        <f t="shared" ca="1" si="14"/>
        <v>78009.84697552101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10732</v>
      </c>
      <c r="B152" s="66">
        <v>10732</v>
      </c>
      <c r="D152">
        <f t="shared" si="10"/>
        <v>14.772805484053023</v>
      </c>
      <c r="E152">
        <f t="shared" si="11"/>
        <v>14.772805484053023</v>
      </c>
      <c r="G152">
        <f t="shared" ca="1" si="12"/>
        <v>150</v>
      </c>
      <c r="H152">
        <f t="shared" ca="1" si="13"/>
        <v>2215.9208226079536</v>
      </c>
      <c r="I152">
        <f t="shared" ca="1" si="14"/>
        <v>65460.86231561294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8141</v>
      </c>
      <c r="B154" s="66">
        <v>8141</v>
      </c>
      <c r="D154">
        <f t="shared" si="10"/>
        <v>11.206243891695459</v>
      </c>
      <c r="E154">
        <f t="shared" si="11"/>
        <v>11.206243891695459</v>
      </c>
      <c r="G154">
        <f t="shared" ca="1" si="12"/>
        <v>152</v>
      </c>
      <c r="H154">
        <f t="shared" ca="1" si="13"/>
        <v>1703.3490715377097</v>
      </c>
      <c r="I154">
        <f t="shared" ca="1" si="14"/>
        <v>52685.501330759151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10262</v>
      </c>
      <c r="B157" s="66">
        <v>10262</v>
      </c>
      <c r="D157">
        <f t="shared" si="10"/>
        <v>14.125841397442427</v>
      </c>
      <c r="E157">
        <f t="shared" si="11"/>
        <v>14.125841397442427</v>
      </c>
      <c r="G157">
        <f t="shared" ca="1" si="12"/>
        <v>155</v>
      </c>
      <c r="H157">
        <f t="shared" ca="1" si="13"/>
        <v>2189.5054166035761</v>
      </c>
      <c r="I157">
        <f t="shared" ca="1" si="14"/>
        <v>72350.355525105508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8588</v>
      </c>
      <c r="B160" s="66">
        <v>8588</v>
      </c>
      <c r="D160">
        <f t="shared" si="10"/>
        <v>11.821548033642133</v>
      </c>
      <c r="E160">
        <f t="shared" si="11"/>
        <v>11.821548033642133</v>
      </c>
      <c r="G160">
        <f t="shared" ca="1" si="12"/>
        <v>158</v>
      </c>
      <c r="H160">
        <f t="shared" ca="1" si="13"/>
        <v>1867.804589315457</v>
      </c>
      <c r="I160">
        <f t="shared" ca="1" si="14"/>
        <v>65730.71896574166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7280</v>
      </c>
      <c r="B162" s="66">
        <v>7280</v>
      </c>
      <c r="D162">
        <f t="shared" si="10"/>
        <v>10.021060745798176</v>
      </c>
      <c r="E162">
        <f t="shared" si="11"/>
        <v>10.021060745798176</v>
      </c>
      <c r="G162">
        <f t="shared" ca="1" si="12"/>
        <v>160</v>
      </c>
      <c r="H162">
        <f t="shared" ca="1" si="13"/>
        <v>1603.369719327708</v>
      </c>
      <c r="I162">
        <f t="shared" ca="1" si="14"/>
        <v>58748.614510466148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6111</v>
      </c>
      <c r="B165" s="66">
        <v>6111</v>
      </c>
      <c r="D165">
        <f t="shared" si="10"/>
        <v>8.411909645270967</v>
      </c>
      <c r="E165">
        <f t="shared" si="11"/>
        <v>8.411909645270967</v>
      </c>
      <c r="G165">
        <f t="shared" ca="1" si="12"/>
        <v>163</v>
      </c>
      <c r="H165">
        <f t="shared" ca="1" si="13"/>
        <v>1371.1412721791676</v>
      </c>
      <c r="I165">
        <f t="shared" ca="1" si="14"/>
        <v>53255.101048112672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5447</v>
      </c>
      <c r="B167" s="66">
        <v>5447</v>
      </c>
      <c r="D167">
        <f t="shared" si="10"/>
        <v>7.4979008080168486</v>
      </c>
      <c r="E167">
        <f t="shared" si="11"/>
        <v>7.4979008080168486</v>
      </c>
      <c r="G167">
        <f t="shared" ca="1" si="12"/>
        <v>165</v>
      </c>
      <c r="H167">
        <f t="shared" ca="1" si="13"/>
        <v>1237.15363332278</v>
      </c>
      <c r="I167">
        <f t="shared" ca="1" si="14"/>
        <v>49884.922315059484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4607</v>
      </c>
      <c r="B170" s="66">
        <v>4607</v>
      </c>
      <c r="D170">
        <f t="shared" si="10"/>
        <v>6.3416245681170595</v>
      </c>
      <c r="E170">
        <f t="shared" si="11"/>
        <v>6.3416245681170595</v>
      </c>
      <c r="G170">
        <f t="shared" ca="1" si="12"/>
        <v>168</v>
      </c>
      <c r="H170">
        <f t="shared" ca="1" si="13"/>
        <v>1065.3929274436659</v>
      </c>
      <c r="I170">
        <f t="shared" ca="1" si="14"/>
        <v>45352.683027444044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2420</v>
      </c>
      <c r="B173" s="66">
        <v>2420</v>
      </c>
      <c r="D173">
        <f t="shared" si="10"/>
        <v>3.3311767863779647</v>
      </c>
      <c r="E173">
        <f t="shared" si="11"/>
        <v>3.3311767863779647</v>
      </c>
      <c r="G173">
        <f t="shared" ca="1" si="12"/>
        <v>171</v>
      </c>
      <c r="H173">
        <f t="shared" ca="1" si="13"/>
        <v>569.63123047063198</v>
      </c>
      <c r="I173">
        <f t="shared" ca="1" si="14"/>
        <v>25543.429823420367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1501</v>
      </c>
      <c r="B175" s="66">
        <v>1501</v>
      </c>
      <c r="D175">
        <f t="shared" si="10"/>
        <v>2.0661555191542664</v>
      </c>
      <c r="E175">
        <f t="shared" si="11"/>
        <v>2.0661555191542664</v>
      </c>
      <c r="G175">
        <f t="shared" ca="1" si="12"/>
        <v>173</v>
      </c>
      <c r="H175">
        <f t="shared" ca="1" si="13"/>
        <v>357.44490481368808</v>
      </c>
      <c r="I175">
        <f t="shared" ca="1" si="14"/>
        <v>16575.232845216069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1114</v>
      </c>
      <c r="B178" s="66">
        <v>1114</v>
      </c>
      <c r="D178">
        <f t="shared" si="10"/>
        <v>1.533442537200435</v>
      </c>
      <c r="E178">
        <f t="shared" si="11"/>
        <v>1.533442537200435</v>
      </c>
      <c r="G178">
        <f t="shared" ca="1" si="12"/>
        <v>176</v>
      </c>
      <c r="H178">
        <f t="shared" ca="1" si="13"/>
        <v>269.88588654727658</v>
      </c>
      <c r="I178">
        <f t="shared" ca="1" si="14"/>
        <v>13139.548425947256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697</v>
      </c>
      <c r="B180" s="66">
        <v>697</v>
      </c>
      <c r="D180">
        <f t="shared" si="10"/>
        <v>0.95943397525018237</v>
      </c>
      <c r="E180">
        <f t="shared" si="11"/>
        <v>0.95943397525018237</v>
      </c>
      <c r="G180">
        <f t="shared" ca="1" si="12"/>
        <v>178</v>
      </c>
      <c r="H180">
        <f t="shared" ca="1" si="13"/>
        <v>170.77924759453245</v>
      </c>
      <c r="I180">
        <f t="shared" ca="1" si="14"/>
        <v>8580.1496236311013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382</v>
      </c>
      <c r="B183" s="66">
        <v>382</v>
      </c>
      <c r="D183">
        <f t="shared" si="10"/>
        <v>0.52583038528776138</v>
      </c>
      <c r="E183">
        <f t="shared" si="11"/>
        <v>0.52583038528776138</v>
      </c>
      <c r="G183">
        <f t="shared" ca="1" si="12"/>
        <v>181</v>
      </c>
      <c r="H183">
        <f t="shared" ca="1" si="13"/>
        <v>95.175299737084814</v>
      </c>
      <c r="I183">
        <f t="shared" ca="1" si="14"/>
        <v>5005.5535113665856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87.120730402383359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1.6820826481192086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0.56101156443212186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</v>
      </c>
      <c r="B8" s="66">
        <v>8</v>
      </c>
      <c r="D8">
        <f t="shared" si="0"/>
        <v>6.5009995286775344E-3</v>
      </c>
      <c r="E8">
        <f t="shared" si="1"/>
        <v>6.5009995286775344E-3</v>
      </c>
      <c r="G8">
        <f t="shared" ca="1" si="2"/>
        <v>6</v>
      </c>
      <c r="H8">
        <f t="shared" ca="1" si="3"/>
        <v>3.900599717206521E-2</v>
      </c>
      <c r="I8">
        <f t="shared" ca="1" si="4"/>
        <v>42.780301327934239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106</v>
      </c>
      <c r="B10" s="66">
        <v>106</v>
      </c>
      <c r="D10">
        <f t="shared" si="0"/>
        <v>8.6138243754977334E-2</v>
      </c>
      <c r="E10">
        <f t="shared" si="1"/>
        <v>8.6138243754977334E-2</v>
      </c>
      <c r="G10">
        <f t="shared" ca="1" si="2"/>
        <v>8</v>
      </c>
      <c r="H10">
        <f t="shared" ca="1" si="3"/>
        <v>0.68910595003981867</v>
      </c>
      <c r="I10">
        <f t="shared" ca="1" si="4"/>
        <v>539.23315657421938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382</v>
      </c>
      <c r="B13" s="66">
        <v>382</v>
      </c>
      <c r="D13">
        <f t="shared" si="0"/>
        <v>0.31042272749435224</v>
      </c>
      <c r="E13">
        <f t="shared" si="1"/>
        <v>0.31042272749435224</v>
      </c>
      <c r="G13">
        <f t="shared" ca="1" si="2"/>
        <v>11</v>
      </c>
      <c r="H13">
        <f t="shared" ca="1" si="3"/>
        <v>3.4146500024378748</v>
      </c>
      <c r="I13">
        <f t="shared" ca="1" si="4"/>
        <v>1798.7027727177997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405</v>
      </c>
      <c r="B15" s="66">
        <v>405</v>
      </c>
      <c r="D15">
        <f t="shared" si="0"/>
        <v>0.32911310113930015</v>
      </c>
      <c r="E15">
        <f t="shared" si="1"/>
        <v>0.32911310113930015</v>
      </c>
      <c r="G15">
        <f t="shared" ca="1" si="2"/>
        <v>13</v>
      </c>
      <c r="H15">
        <f t="shared" ca="1" si="3"/>
        <v>4.2784703148109022</v>
      </c>
      <c r="I15">
        <f t="shared" ca="1" si="4"/>
        <v>1808.1087645907073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157</v>
      </c>
      <c r="B18" s="66">
        <v>157</v>
      </c>
      <c r="D18">
        <f t="shared" si="0"/>
        <v>0.1275821157502966</v>
      </c>
      <c r="E18">
        <f t="shared" si="1"/>
        <v>0.1275821157502966</v>
      </c>
      <c r="G18">
        <f t="shared" ca="1" si="2"/>
        <v>16</v>
      </c>
      <c r="H18">
        <f t="shared" ca="1" si="3"/>
        <v>2.0413138520047456</v>
      </c>
      <c r="I18">
        <f t="shared" ca="1" si="4"/>
        <v>645.33053681682941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776</v>
      </c>
      <c r="B21" s="66">
        <v>776</v>
      </c>
      <c r="D21">
        <f t="shared" si="0"/>
        <v>0.6305969542817208</v>
      </c>
      <c r="E21">
        <f t="shared" si="1"/>
        <v>0.6305969542817208</v>
      </c>
      <c r="G21">
        <f t="shared" ca="1" si="2"/>
        <v>19</v>
      </c>
      <c r="H21">
        <f t="shared" ca="1" si="3"/>
        <v>11.981342131352696</v>
      </c>
      <c r="I21">
        <f t="shared" ca="1" si="4"/>
        <v>2926.2434905410914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1986</v>
      </c>
      <c r="B23" s="66">
        <v>1986</v>
      </c>
      <c r="D23">
        <f t="shared" si="0"/>
        <v>1.6138731329941978</v>
      </c>
      <c r="E23">
        <f t="shared" si="1"/>
        <v>1.6138731329941978</v>
      </c>
      <c r="G23">
        <f t="shared" ca="1" si="2"/>
        <v>21</v>
      </c>
      <c r="H23">
        <f t="shared" ca="1" si="3"/>
        <v>33.891335792878152</v>
      </c>
      <c r="I23">
        <f t="shared" ca="1" si="4"/>
        <v>7055.7742398252039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2038</v>
      </c>
      <c r="B26" s="66">
        <v>2038</v>
      </c>
      <c r="D26">
        <f t="shared" si="0"/>
        <v>1.6561296299306019</v>
      </c>
      <c r="E26">
        <f t="shared" si="1"/>
        <v>1.6561296299306019</v>
      </c>
      <c r="G26">
        <f t="shared" ca="1" si="2"/>
        <v>24</v>
      </c>
      <c r="H26">
        <f t="shared" ca="1" si="3"/>
        <v>39.747111118334445</v>
      </c>
      <c r="I26">
        <f t="shared" ca="1" si="4"/>
        <v>6598.3957354327877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2317</v>
      </c>
      <c r="B28" s="66">
        <v>2317</v>
      </c>
      <c r="D28">
        <f t="shared" si="0"/>
        <v>1.8828519884932309</v>
      </c>
      <c r="E28">
        <f t="shared" si="1"/>
        <v>1.8828519884932309</v>
      </c>
      <c r="G28">
        <f t="shared" ca="1" si="2"/>
        <v>26</v>
      </c>
      <c r="H28">
        <f t="shared" ca="1" si="3"/>
        <v>48.954151700823999</v>
      </c>
      <c r="I28">
        <f t="shared" ca="1" si="4"/>
        <v>7033.8524256542132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3538</v>
      </c>
      <c r="B31" s="66">
        <v>3538</v>
      </c>
      <c r="D31">
        <f t="shared" si="0"/>
        <v>2.8750670415576396</v>
      </c>
      <c r="E31">
        <f t="shared" si="1"/>
        <v>2.8750670415576396</v>
      </c>
      <c r="G31">
        <f t="shared" ca="1" si="2"/>
        <v>29</v>
      </c>
      <c r="H31">
        <f t="shared" ca="1" si="3"/>
        <v>83.376944205171554</v>
      </c>
      <c r="I31">
        <f t="shared" ca="1" si="4"/>
        <v>9712.0319623820487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10520</v>
      </c>
      <c r="B33" s="66">
        <v>10520</v>
      </c>
      <c r="D33">
        <f t="shared" si="0"/>
        <v>8.548814380210958</v>
      </c>
      <c r="E33">
        <f t="shared" si="1"/>
        <v>8.548814380210958</v>
      </c>
      <c r="G33">
        <f t="shared" ca="1" si="2"/>
        <v>31</v>
      </c>
      <c r="H33">
        <f t="shared" ca="1" si="3"/>
        <v>265.0132457865397</v>
      </c>
      <c r="I33">
        <f t="shared" ca="1" si="4"/>
        <v>26924.801904009815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16544</v>
      </c>
      <c r="B36" s="66">
        <v>16544</v>
      </c>
      <c r="D36">
        <f t="shared" si="0"/>
        <v>13.444067025305142</v>
      </c>
      <c r="E36">
        <f t="shared" si="1"/>
        <v>13.444067025305142</v>
      </c>
      <c r="G36">
        <f t="shared" ca="1" si="2"/>
        <v>34</v>
      </c>
      <c r="H36">
        <f t="shared" ca="1" si="3"/>
        <v>457.09827886037482</v>
      </c>
      <c r="I36">
        <f t="shared" ca="1" si="4"/>
        <v>37936.629640411615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26486</v>
      </c>
      <c r="B39" s="66">
        <v>26486</v>
      </c>
      <c r="D39">
        <f t="shared" si="0"/>
        <v>21.523184189569147</v>
      </c>
      <c r="E39">
        <f t="shared" si="1"/>
        <v>21.523184189569147</v>
      </c>
      <c r="G39">
        <f t="shared" ca="1" si="2"/>
        <v>37</v>
      </c>
      <c r="H39">
        <f t="shared" ca="1" si="3"/>
        <v>796.35781501405847</v>
      </c>
      <c r="I39">
        <f t="shared" ca="1" si="4"/>
        <v>54068.124460975741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22466</v>
      </c>
      <c r="B41" s="66">
        <v>22466</v>
      </c>
      <c r="D41">
        <f t="shared" si="0"/>
        <v>18.256431926408684</v>
      </c>
      <c r="E41">
        <f t="shared" si="1"/>
        <v>18.256431926408684</v>
      </c>
      <c r="G41">
        <f t="shared" ca="1" si="2"/>
        <v>39</v>
      </c>
      <c r="H41">
        <f t="shared" ca="1" si="3"/>
        <v>712.00084512993863</v>
      </c>
      <c r="I41">
        <f t="shared" ca="1" si="4"/>
        <v>42274.679472860596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35327</v>
      </c>
      <c r="B44" s="66">
        <v>35327</v>
      </c>
      <c r="D44">
        <f t="shared" si="0"/>
        <v>28.707601293698907</v>
      </c>
      <c r="E44">
        <f t="shared" si="1"/>
        <v>28.707601293698907</v>
      </c>
      <c r="G44">
        <f t="shared" ca="1" si="2"/>
        <v>42</v>
      </c>
      <c r="H44">
        <f t="shared" ca="1" si="3"/>
        <v>1205.7192543353542</v>
      </c>
      <c r="I44">
        <f t="shared" ca="1" si="4"/>
        <v>58445.240279866601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44255</v>
      </c>
      <c r="B46" s="66">
        <v>44255</v>
      </c>
      <c r="D46">
        <f t="shared" si="0"/>
        <v>35.962716767703036</v>
      </c>
      <c r="E46">
        <f t="shared" si="1"/>
        <v>35.962716767703036</v>
      </c>
      <c r="G46">
        <f t="shared" ca="1" si="2"/>
        <v>44</v>
      </c>
      <c r="H46">
        <f t="shared" ca="1" si="3"/>
        <v>1582.3595377789336</v>
      </c>
      <c r="I46">
        <f t="shared" ca="1" si="4"/>
        <v>66868.98171082107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51190</v>
      </c>
      <c r="B49" s="66">
        <v>51190</v>
      </c>
      <c r="D49">
        <f t="shared" si="0"/>
        <v>41.598270734125371</v>
      </c>
      <c r="E49">
        <f t="shared" si="1"/>
        <v>41.598270734125371</v>
      </c>
      <c r="G49">
        <f t="shared" ca="1" si="2"/>
        <v>47</v>
      </c>
      <c r="H49">
        <f t="shared" ca="1" si="3"/>
        <v>1955.1187245038925</v>
      </c>
      <c r="I49">
        <f t="shared" ca="1" si="4"/>
        <v>66959.613581060214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58501</v>
      </c>
      <c r="B51" s="66">
        <v>58501</v>
      </c>
      <c r="D51">
        <f t="shared" si="0"/>
        <v>47.539371678395554</v>
      </c>
      <c r="E51">
        <f t="shared" si="1"/>
        <v>47.539371678395554</v>
      </c>
      <c r="G51">
        <f t="shared" ca="1" si="2"/>
        <v>49</v>
      </c>
      <c r="H51">
        <f t="shared" ca="1" si="3"/>
        <v>2329.4292122413822</v>
      </c>
      <c r="I51">
        <f t="shared" ca="1" si="4"/>
        <v>69083.743637261548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62489</v>
      </c>
      <c r="B54" s="66">
        <v>62489</v>
      </c>
      <c r="D54">
        <f t="shared" si="0"/>
        <v>50.780119943441306</v>
      </c>
      <c r="E54">
        <f t="shared" si="1"/>
        <v>50.780119943441306</v>
      </c>
      <c r="G54">
        <f t="shared" ca="1" si="2"/>
        <v>52</v>
      </c>
      <c r="H54">
        <f t="shared" ca="1" si="3"/>
        <v>2640.566237058948</v>
      </c>
      <c r="I54">
        <f t="shared" ca="1" si="4"/>
        <v>62635.536395083582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83034</v>
      </c>
      <c r="B57" s="66">
        <v>83034</v>
      </c>
      <c r="D57">
        <f t="shared" si="0"/>
        <v>67.475499358026298</v>
      </c>
      <c r="E57">
        <f t="shared" si="1"/>
        <v>67.475499358026298</v>
      </c>
      <c r="G57">
        <f t="shared" ca="1" si="2"/>
        <v>55</v>
      </c>
      <c r="H57">
        <f t="shared" ca="1" si="3"/>
        <v>3711.1524646914463</v>
      </c>
      <c r="I57">
        <f t="shared" ca="1" si="4"/>
        <v>69617.260882095565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100888</v>
      </c>
      <c r="B59" s="66">
        <v>100888</v>
      </c>
      <c r="D59">
        <f t="shared" si="0"/>
        <v>81.984105056152387</v>
      </c>
      <c r="E59">
        <f t="shared" si="1"/>
        <v>81.984105056152387</v>
      </c>
      <c r="G59">
        <f t="shared" ca="1" si="2"/>
        <v>57</v>
      </c>
      <c r="H59">
        <f t="shared" ca="1" si="3"/>
        <v>4673.093988200686</v>
      </c>
      <c r="I59">
        <f t="shared" ca="1" si="4"/>
        <v>74380.767976468167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103876</v>
      </c>
      <c r="B62" s="66">
        <v>103876</v>
      </c>
      <c r="D62">
        <f t="shared" si="0"/>
        <v>84.412228380113447</v>
      </c>
      <c r="E62">
        <f t="shared" si="1"/>
        <v>84.412228380113447</v>
      </c>
      <c r="G62">
        <f t="shared" ca="1" si="2"/>
        <v>60</v>
      </c>
      <c r="H62">
        <f t="shared" ca="1" si="3"/>
        <v>5064.7337028068068</v>
      </c>
      <c r="I62">
        <f t="shared" ca="1" si="4"/>
        <v>62088.065471512506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112970</v>
      </c>
      <c r="B64" s="66">
        <v>112970</v>
      </c>
      <c r="D64">
        <f t="shared" si="0"/>
        <v>91.802239594337635</v>
      </c>
      <c r="E64">
        <f t="shared" si="1"/>
        <v>91.802239594337635</v>
      </c>
      <c r="G64">
        <f t="shared" ca="1" si="2"/>
        <v>62</v>
      </c>
      <c r="H64">
        <f t="shared" ca="1" si="3"/>
        <v>5691.7388548489334</v>
      </c>
      <c r="I64">
        <f t="shared" ca="1" si="4"/>
        <v>57931.903906600339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117089</v>
      </c>
      <c r="B67" s="66">
        <v>117089</v>
      </c>
      <c r="D67">
        <f t="shared" ref="D67:D130" si="5">IFERROR(100*A67/MAX(A$2:A$257), 0 )</f>
        <v>95.149441726665472</v>
      </c>
      <c r="E67">
        <f t="shared" ref="E67:E130" si="6">IFERROR(100*B67/MAX(B$2:B$257), 0 )</f>
        <v>95.149441726665472</v>
      </c>
      <c r="G67">
        <f t="shared" ref="G67:G130" ca="1" si="7">CELL("row",D67)-2</f>
        <v>65</v>
      </c>
      <c r="H67">
        <f t="shared" ref="H67:H130" ca="1" si="8">D67*G67</f>
        <v>6184.713712233256</v>
      </c>
      <c r="I67">
        <f t="shared" ref="I67:I130" ca="1" si="9">D67*((G67-$L$1)^2)</f>
        <v>46559.163614792305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115017</v>
      </c>
      <c r="B69" s="66">
        <v>115017</v>
      </c>
      <c r="D69">
        <f t="shared" si="5"/>
        <v>93.465682848737998</v>
      </c>
      <c r="E69">
        <f t="shared" si="6"/>
        <v>93.465682848737998</v>
      </c>
      <c r="G69">
        <f t="shared" ca="1" si="7"/>
        <v>67</v>
      </c>
      <c r="H69">
        <f t="shared" ca="1" si="8"/>
        <v>6262.200750865446</v>
      </c>
      <c r="I69">
        <f t="shared" ca="1" si="9"/>
        <v>37839.001459379353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107623</v>
      </c>
      <c r="B72" s="66">
        <v>107623</v>
      </c>
      <c r="D72">
        <f t="shared" si="5"/>
        <v>87.457134034357779</v>
      </c>
      <c r="E72">
        <f t="shared" si="6"/>
        <v>87.457134034357779</v>
      </c>
      <c r="G72">
        <f t="shared" ca="1" si="7"/>
        <v>70</v>
      </c>
      <c r="H72">
        <f t="shared" ca="1" si="8"/>
        <v>6121.9993824050443</v>
      </c>
      <c r="I72">
        <f t="shared" ca="1" si="9"/>
        <v>25635.383485683542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123058</v>
      </c>
      <c r="B75" s="66">
        <v>123058</v>
      </c>
      <c r="D75">
        <f t="shared" si="5"/>
        <v>100</v>
      </c>
      <c r="E75">
        <f t="shared" si="6"/>
        <v>100</v>
      </c>
      <c r="G75">
        <f t="shared" ca="1" si="7"/>
        <v>73</v>
      </c>
      <c r="H75">
        <f t="shared" ca="1" si="8"/>
        <v>7300</v>
      </c>
      <c r="I75">
        <f t="shared" ca="1" si="9"/>
        <v>19939.502709679367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115530</v>
      </c>
      <c r="B77" s="66">
        <v>115530</v>
      </c>
      <c r="D77">
        <f t="shared" si="5"/>
        <v>93.882559443514438</v>
      </c>
      <c r="E77">
        <f t="shared" si="6"/>
        <v>93.882559443514438</v>
      </c>
      <c r="G77">
        <f t="shared" ca="1" si="7"/>
        <v>75</v>
      </c>
      <c r="H77">
        <f t="shared" ca="1" si="8"/>
        <v>7041.1919582635828</v>
      </c>
      <c r="I77">
        <f t="shared" ca="1" si="9"/>
        <v>13792.484476379574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115431</v>
      </c>
      <c r="B80" s="66">
        <v>115431</v>
      </c>
      <c r="D80">
        <f t="shared" si="5"/>
        <v>93.802109574347057</v>
      </c>
      <c r="E80">
        <f t="shared" si="6"/>
        <v>93.802109574347057</v>
      </c>
      <c r="G80">
        <f t="shared" ca="1" si="7"/>
        <v>78</v>
      </c>
      <c r="H80">
        <f t="shared" ca="1" si="8"/>
        <v>7316.5645467990707</v>
      </c>
      <c r="I80">
        <f t="shared" ca="1" si="9"/>
        <v>7803.1839149302423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110140</v>
      </c>
      <c r="B82" s="66">
        <v>110140</v>
      </c>
      <c r="D82">
        <f t="shared" si="5"/>
        <v>89.502511011067952</v>
      </c>
      <c r="E82">
        <f t="shared" si="6"/>
        <v>89.502511011067952</v>
      </c>
      <c r="G82">
        <f t="shared" ca="1" si="7"/>
        <v>80</v>
      </c>
      <c r="H82">
        <f t="shared" ca="1" si="8"/>
        <v>7160.2008808854362</v>
      </c>
      <c r="I82">
        <f t="shared" ca="1" si="9"/>
        <v>4538.2070512943601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104132</v>
      </c>
      <c r="B85" s="66">
        <v>104132</v>
      </c>
      <c r="D85">
        <f t="shared" si="5"/>
        <v>84.620260365031129</v>
      </c>
      <c r="E85">
        <f t="shared" si="6"/>
        <v>84.620260365031129</v>
      </c>
      <c r="G85">
        <f t="shared" ca="1" si="7"/>
        <v>83</v>
      </c>
      <c r="H85">
        <f t="shared" ca="1" si="8"/>
        <v>7023.4816102975838</v>
      </c>
      <c r="I85">
        <f t="shared" ca="1" si="9"/>
        <v>1436.8874810444202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98924</v>
      </c>
      <c r="B88" s="66">
        <v>98924</v>
      </c>
      <c r="D88">
        <f t="shared" si="5"/>
        <v>80.388109671862054</v>
      </c>
      <c r="E88">
        <f t="shared" si="6"/>
        <v>80.388109671862054</v>
      </c>
      <c r="G88">
        <f t="shared" ca="1" si="7"/>
        <v>86</v>
      </c>
      <c r="H88">
        <f t="shared" ca="1" si="8"/>
        <v>6913.3774317801362</v>
      </c>
      <c r="I88">
        <f t="shared" ca="1" si="9"/>
        <v>100.97041075229838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97651</v>
      </c>
      <c r="B90" s="66">
        <v>97651</v>
      </c>
      <c r="D90">
        <f t="shared" si="5"/>
        <v>79.353638121861238</v>
      </c>
      <c r="E90">
        <f t="shared" si="6"/>
        <v>79.353638121861238</v>
      </c>
      <c r="G90">
        <f t="shared" ca="1" si="7"/>
        <v>88</v>
      </c>
      <c r="H90">
        <f t="shared" ca="1" si="8"/>
        <v>6983.1201547237888</v>
      </c>
      <c r="I90">
        <f t="shared" ca="1" si="9"/>
        <v>61.3494899436688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94446</v>
      </c>
      <c r="B93" s="66">
        <v>94446</v>
      </c>
      <c r="D93">
        <f t="shared" si="5"/>
        <v>76.749175185684805</v>
      </c>
      <c r="E93">
        <f t="shared" si="6"/>
        <v>76.749175185684805</v>
      </c>
      <c r="G93">
        <f t="shared" ca="1" si="7"/>
        <v>91</v>
      </c>
      <c r="H93">
        <f t="shared" ca="1" si="8"/>
        <v>6984.1749418973177</v>
      </c>
      <c r="I93">
        <f t="shared" ca="1" si="9"/>
        <v>1154.9778154836126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100151</v>
      </c>
      <c r="B95" s="66">
        <v>100151</v>
      </c>
      <c r="D95">
        <f t="shared" si="5"/>
        <v>81.385200474572969</v>
      </c>
      <c r="E95">
        <f t="shared" si="6"/>
        <v>81.385200474572969</v>
      </c>
      <c r="G95">
        <f t="shared" ca="1" si="7"/>
        <v>93</v>
      </c>
      <c r="H95">
        <f t="shared" ca="1" si="8"/>
        <v>7568.8236441352865</v>
      </c>
      <c r="I95">
        <f t="shared" ca="1" si="9"/>
        <v>2813.1454579199685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99081</v>
      </c>
      <c r="B98" s="66">
        <v>99081</v>
      </c>
      <c r="D98">
        <f t="shared" si="5"/>
        <v>80.51569178761234</v>
      </c>
      <c r="E98">
        <f t="shared" si="6"/>
        <v>80.51569178761234</v>
      </c>
      <c r="G98">
        <f t="shared" ca="1" si="7"/>
        <v>96</v>
      </c>
      <c r="H98">
        <f t="shared" ca="1" si="8"/>
        <v>7729.5064116107842</v>
      </c>
      <c r="I98">
        <f t="shared" ca="1" si="9"/>
        <v>6347.9721642187578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93875</v>
      </c>
      <c r="B100" s="66">
        <v>93875</v>
      </c>
      <c r="D100">
        <f t="shared" si="5"/>
        <v>76.285166344325447</v>
      </c>
      <c r="E100">
        <f t="shared" si="6"/>
        <v>76.285166344325447</v>
      </c>
      <c r="G100">
        <f t="shared" ca="1" si="7"/>
        <v>98</v>
      </c>
      <c r="H100">
        <f t="shared" ca="1" si="8"/>
        <v>7475.9463017438939</v>
      </c>
      <c r="I100">
        <f t="shared" ca="1" si="9"/>
        <v>9028.9983930541839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90534</v>
      </c>
      <c r="B103" s="66">
        <v>90534</v>
      </c>
      <c r="D103">
        <f t="shared" si="5"/>
        <v>73.570186416161491</v>
      </c>
      <c r="E103">
        <f t="shared" si="6"/>
        <v>73.570186416161491</v>
      </c>
      <c r="G103">
        <f t="shared" ca="1" si="7"/>
        <v>101</v>
      </c>
      <c r="H103">
        <f t="shared" ca="1" si="8"/>
        <v>7430.5888280323106</v>
      </c>
      <c r="I103">
        <f t="shared" ca="1" si="9"/>
        <v>14172.128454237938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88855</v>
      </c>
      <c r="B106" s="66">
        <v>88855</v>
      </c>
      <c r="D106">
        <f t="shared" si="5"/>
        <v>72.205789140080284</v>
      </c>
      <c r="E106">
        <f t="shared" si="6"/>
        <v>72.205789140080284</v>
      </c>
      <c r="G106">
        <f t="shared" ca="1" si="7"/>
        <v>104</v>
      </c>
      <c r="H106">
        <f t="shared" ca="1" si="8"/>
        <v>7509.4020705683497</v>
      </c>
      <c r="I106">
        <f t="shared" ca="1" si="9"/>
        <v>20572.132765567178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79423</v>
      </c>
      <c r="B108" s="66">
        <v>79423</v>
      </c>
      <c r="D108">
        <f t="shared" si="5"/>
        <v>64.541110695769476</v>
      </c>
      <c r="E108">
        <f t="shared" si="6"/>
        <v>64.541110695769476</v>
      </c>
      <c r="G108">
        <f t="shared" ca="1" si="7"/>
        <v>106</v>
      </c>
      <c r="H108">
        <f t="shared" ca="1" si="8"/>
        <v>6841.3577337515644</v>
      </c>
      <c r="I108">
        <f t="shared" ca="1" si="9"/>
        <v>23004.182879380518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73006</v>
      </c>
      <c r="B111" s="66">
        <v>73006</v>
      </c>
      <c r="D111">
        <f t="shared" si="5"/>
        <v>59.326496448829005</v>
      </c>
      <c r="E111">
        <f t="shared" si="6"/>
        <v>59.326496448829005</v>
      </c>
      <c r="G111">
        <f t="shared" ca="1" si="7"/>
        <v>109</v>
      </c>
      <c r="H111">
        <f t="shared" ca="1" si="8"/>
        <v>6466.5881129223617</v>
      </c>
      <c r="I111">
        <f t="shared" ca="1" si="9"/>
        <v>28399.738495479982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70811</v>
      </c>
      <c r="B113" s="66">
        <v>70811</v>
      </c>
      <c r="D113">
        <f t="shared" si="5"/>
        <v>57.542784703148108</v>
      </c>
      <c r="E113">
        <f t="shared" si="6"/>
        <v>57.542784703148108</v>
      </c>
      <c r="G113">
        <f t="shared" ca="1" si="7"/>
        <v>111</v>
      </c>
      <c r="H113">
        <f t="shared" ca="1" si="8"/>
        <v>6387.2491020494399</v>
      </c>
      <c r="I113">
        <f t="shared" ca="1" si="9"/>
        <v>32812.018872393746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65822</v>
      </c>
      <c r="B116" s="66">
        <v>65822</v>
      </c>
      <c r="D116">
        <f t="shared" si="5"/>
        <v>53.488598872076579</v>
      </c>
      <c r="E116">
        <f t="shared" si="6"/>
        <v>53.488598872076579</v>
      </c>
      <c r="G116">
        <f t="shared" ca="1" si="7"/>
        <v>114</v>
      </c>
      <c r="H116">
        <f t="shared" ca="1" si="8"/>
        <v>6097.7002714167302</v>
      </c>
      <c r="I116">
        <f t="shared" ca="1" si="9"/>
        <v>38645.252414974733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57361</v>
      </c>
      <c r="B118" s="66">
        <v>57361</v>
      </c>
      <c r="D118">
        <f t="shared" si="5"/>
        <v>46.612979245559004</v>
      </c>
      <c r="E118">
        <f t="shared" si="6"/>
        <v>46.612979245559004</v>
      </c>
      <c r="G118">
        <f t="shared" ca="1" si="7"/>
        <v>116</v>
      </c>
      <c r="H118">
        <f t="shared" ca="1" si="8"/>
        <v>5407.1055924848442</v>
      </c>
      <c r="I118">
        <f t="shared" ca="1" si="9"/>
        <v>38875.793951424173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53066</v>
      </c>
      <c r="B121" s="66">
        <v>53066</v>
      </c>
      <c r="D121">
        <f t="shared" si="5"/>
        <v>43.122755123600257</v>
      </c>
      <c r="E121">
        <f t="shared" si="6"/>
        <v>43.122755123600257</v>
      </c>
      <c r="G121">
        <f t="shared" ca="1" si="7"/>
        <v>119</v>
      </c>
      <c r="H121">
        <f t="shared" ca="1" si="8"/>
        <v>5131.6078597084306</v>
      </c>
      <c r="I121">
        <f t="shared" ca="1" si="9"/>
        <v>43825.131231528168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45889</v>
      </c>
      <c r="B124" s="66">
        <v>45889</v>
      </c>
      <c r="D124">
        <f t="shared" si="5"/>
        <v>37.290545921435424</v>
      </c>
      <c r="E124">
        <f t="shared" si="6"/>
        <v>37.290545921435424</v>
      </c>
      <c r="G124">
        <f t="shared" ca="1" si="7"/>
        <v>122</v>
      </c>
      <c r="H124">
        <f t="shared" ca="1" si="8"/>
        <v>4549.4466024151216</v>
      </c>
      <c r="I124">
        <f t="shared" ca="1" si="9"/>
        <v>45366.315111425269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42063</v>
      </c>
      <c r="B126" s="66">
        <v>42063</v>
      </c>
      <c r="D126">
        <f t="shared" si="5"/>
        <v>34.18144289684539</v>
      </c>
      <c r="E126">
        <f t="shared" si="6"/>
        <v>34.18144289684539</v>
      </c>
      <c r="G126">
        <f t="shared" ca="1" si="7"/>
        <v>124</v>
      </c>
      <c r="H126">
        <f t="shared" ca="1" si="8"/>
        <v>4238.4989192088287</v>
      </c>
      <c r="I126">
        <f t="shared" ca="1" si="9"/>
        <v>46489.514836415678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39669</v>
      </c>
      <c r="B129" s="66">
        <v>39669</v>
      </c>
      <c r="D129">
        <f t="shared" si="5"/>
        <v>32.236018787888639</v>
      </c>
      <c r="E129">
        <f t="shared" si="6"/>
        <v>32.236018787888639</v>
      </c>
      <c r="G129">
        <f t="shared" ca="1" si="7"/>
        <v>127</v>
      </c>
      <c r="H129">
        <f t="shared" ca="1" si="8"/>
        <v>4093.9743860618573</v>
      </c>
      <c r="I129">
        <f t="shared" ca="1" si="9"/>
        <v>51266.750525793526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33517</v>
      </c>
      <c r="B131" s="66">
        <v>33517</v>
      </c>
      <c r="D131">
        <f t="shared" ref="D131:D194" si="10">IFERROR(100*A131/MAX(A$2:A$257), 0 )</f>
        <v>27.236750150335613</v>
      </c>
      <c r="E131">
        <f t="shared" ref="E131:E194" si="11">IFERROR(100*B131/MAX(B$2:B$257), 0 )</f>
        <v>27.236750150335613</v>
      </c>
      <c r="G131">
        <f t="shared" ref="G131:G194" ca="1" si="12">CELL("row",D131)-2</f>
        <v>129</v>
      </c>
      <c r="H131">
        <f t="shared" ref="H131:H194" ca="1" si="13">D131*G131</f>
        <v>3513.5407693932939</v>
      </c>
      <c r="I131">
        <f t="shared" ref="I131:I194" ca="1" si="14">D131*((G131-$L$1)^2)</f>
        <v>47769.806743791327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26541</v>
      </c>
      <c r="B134" s="66">
        <v>26541</v>
      </c>
      <c r="D134">
        <f t="shared" si="10"/>
        <v>21.567878561328804</v>
      </c>
      <c r="E134">
        <f t="shared" si="11"/>
        <v>21.567878561328804</v>
      </c>
      <c r="G134">
        <f t="shared" ca="1" si="12"/>
        <v>132</v>
      </c>
      <c r="H134">
        <f t="shared" ca="1" si="13"/>
        <v>2846.9599700954022</v>
      </c>
      <c r="I134">
        <f t="shared" ca="1" si="14"/>
        <v>43440.917577269669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22932</v>
      </c>
      <c r="B136" s="66">
        <v>22932</v>
      </c>
      <c r="D136">
        <f t="shared" si="10"/>
        <v>18.635115148954153</v>
      </c>
      <c r="E136">
        <f t="shared" si="11"/>
        <v>18.635115148954153</v>
      </c>
      <c r="G136">
        <f t="shared" ca="1" si="12"/>
        <v>134</v>
      </c>
      <c r="H136">
        <f t="shared" ca="1" si="13"/>
        <v>2497.1054299598563</v>
      </c>
      <c r="I136">
        <f t="shared" ca="1" si="14"/>
        <v>40953.757440974288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24086</v>
      </c>
      <c r="B139" s="66">
        <v>24086</v>
      </c>
      <c r="D139">
        <f t="shared" si="10"/>
        <v>19.572884330965888</v>
      </c>
      <c r="E139">
        <f t="shared" si="11"/>
        <v>19.572884330965888</v>
      </c>
      <c r="G139">
        <f t="shared" ca="1" si="12"/>
        <v>137</v>
      </c>
      <c r="H139">
        <f t="shared" ca="1" si="13"/>
        <v>2681.4851533423266</v>
      </c>
      <c r="I139">
        <f t="shared" ca="1" si="14"/>
        <v>48696.191898342462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25398</v>
      </c>
      <c r="B142" s="66">
        <v>25398</v>
      </c>
      <c r="D142">
        <f t="shared" si="10"/>
        <v>20.639048253669003</v>
      </c>
      <c r="E142">
        <f t="shared" si="11"/>
        <v>20.639048253669003</v>
      </c>
      <c r="G142">
        <f t="shared" ca="1" si="12"/>
        <v>140</v>
      </c>
      <c r="H142">
        <f t="shared" ca="1" si="13"/>
        <v>2889.4667555136602</v>
      </c>
      <c r="I142">
        <f t="shared" ca="1" si="14"/>
        <v>57711.260752165821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24281</v>
      </c>
      <c r="B144" s="66">
        <v>24281</v>
      </c>
      <c r="D144">
        <f t="shared" si="10"/>
        <v>19.7313461944774</v>
      </c>
      <c r="E144">
        <f t="shared" si="11"/>
        <v>19.7313461944774</v>
      </c>
      <c r="G144">
        <f t="shared" ca="1" si="12"/>
        <v>142</v>
      </c>
      <c r="H144">
        <f t="shared" ca="1" si="13"/>
        <v>2801.8511596157909</v>
      </c>
      <c r="I144">
        <f t="shared" ca="1" si="14"/>
        <v>59425.570768824407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23432</v>
      </c>
      <c r="B147" s="66">
        <v>23432</v>
      </c>
      <c r="D147">
        <f t="shared" si="10"/>
        <v>19.041427619496499</v>
      </c>
      <c r="E147">
        <f t="shared" si="11"/>
        <v>19.041427619496499</v>
      </c>
      <c r="G147">
        <f t="shared" ca="1" si="12"/>
        <v>145</v>
      </c>
      <c r="H147">
        <f t="shared" ca="1" si="13"/>
        <v>2761.0070048269922</v>
      </c>
      <c r="I147">
        <f t="shared" ca="1" si="14"/>
        <v>63788.970067258473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21112</v>
      </c>
      <c r="B149" s="66">
        <v>21112</v>
      </c>
      <c r="D149">
        <f t="shared" si="10"/>
        <v>17.156137756180012</v>
      </c>
      <c r="E149">
        <f t="shared" si="11"/>
        <v>17.156137756180012</v>
      </c>
      <c r="G149">
        <f t="shared" ca="1" si="12"/>
        <v>147</v>
      </c>
      <c r="H149">
        <f t="shared" ca="1" si="13"/>
        <v>2521.952250158462</v>
      </c>
      <c r="I149">
        <f t="shared" ca="1" si="14"/>
        <v>61513.7938974387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19716</v>
      </c>
      <c r="B152" s="66">
        <v>19716</v>
      </c>
      <c r="D152">
        <f t="shared" si="10"/>
        <v>16.021713338425783</v>
      </c>
      <c r="E152">
        <f t="shared" si="11"/>
        <v>16.021713338425783</v>
      </c>
      <c r="G152">
        <f t="shared" ca="1" si="12"/>
        <v>150</v>
      </c>
      <c r="H152">
        <f t="shared" ca="1" si="13"/>
        <v>2403.2570007638674</v>
      </c>
      <c r="I152">
        <f t="shared" ca="1" si="14"/>
        <v>63346.690974807228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16319</v>
      </c>
      <c r="B154" s="66">
        <v>16319</v>
      </c>
      <c r="D154">
        <f t="shared" si="10"/>
        <v>13.261226413561085</v>
      </c>
      <c r="E154">
        <f t="shared" si="11"/>
        <v>13.261226413561085</v>
      </c>
      <c r="G154">
        <f t="shared" ca="1" si="12"/>
        <v>152</v>
      </c>
      <c r="H154">
        <f t="shared" ca="1" si="13"/>
        <v>2015.7064148612849</v>
      </c>
      <c r="I154">
        <f t="shared" ca="1" si="14"/>
        <v>55820.740574547381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15779</v>
      </c>
      <c r="B157" s="66">
        <v>15779</v>
      </c>
      <c r="D157">
        <f t="shared" si="10"/>
        <v>12.822408945375351</v>
      </c>
      <c r="E157">
        <f t="shared" si="11"/>
        <v>12.822408945375351</v>
      </c>
      <c r="G157">
        <f t="shared" ca="1" si="12"/>
        <v>155</v>
      </c>
      <c r="H157">
        <f t="shared" ca="1" si="13"/>
        <v>1987.4733865331793</v>
      </c>
      <c r="I157">
        <f t="shared" ca="1" si="14"/>
        <v>59080.470436225478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12009</v>
      </c>
      <c r="B160" s="66">
        <v>12009</v>
      </c>
      <c r="D160">
        <f t="shared" si="10"/>
        <v>9.7588129174860629</v>
      </c>
      <c r="E160">
        <f t="shared" si="11"/>
        <v>9.7588129174860629</v>
      </c>
      <c r="G160">
        <f t="shared" ca="1" si="12"/>
        <v>158</v>
      </c>
      <c r="H160">
        <f t="shared" ca="1" si="13"/>
        <v>1541.892440962798</v>
      </c>
      <c r="I160">
        <f t="shared" ca="1" si="14"/>
        <v>49027.015831581608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9549</v>
      </c>
      <c r="B162" s="66">
        <v>9549</v>
      </c>
      <c r="D162">
        <f t="shared" si="10"/>
        <v>7.7597555624177215</v>
      </c>
      <c r="E162">
        <f t="shared" si="11"/>
        <v>7.7597555624177215</v>
      </c>
      <c r="G162">
        <f t="shared" ca="1" si="12"/>
        <v>160</v>
      </c>
      <c r="H162">
        <f t="shared" ca="1" si="13"/>
        <v>1241.5608899868355</v>
      </c>
      <c r="I162">
        <f t="shared" ca="1" si="14"/>
        <v>41215.072088931134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6008</v>
      </c>
      <c r="B165" s="66">
        <v>6008</v>
      </c>
      <c r="D165">
        <f t="shared" si="10"/>
        <v>4.8822506460368285</v>
      </c>
      <c r="E165">
        <f t="shared" si="11"/>
        <v>4.8822506460368285</v>
      </c>
      <c r="G165">
        <f t="shared" ca="1" si="12"/>
        <v>163</v>
      </c>
      <c r="H165">
        <f t="shared" ca="1" si="13"/>
        <v>795.80685530400308</v>
      </c>
      <c r="I165">
        <f t="shared" ca="1" si="14"/>
        <v>28110.356609439514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5588</v>
      </c>
      <c r="B167" s="66">
        <v>5588</v>
      </c>
      <c r="D167">
        <f t="shared" si="10"/>
        <v>4.5409481707812578</v>
      </c>
      <c r="E167">
        <f t="shared" si="11"/>
        <v>4.5409481707812578</v>
      </c>
      <c r="G167">
        <f t="shared" ca="1" si="12"/>
        <v>165</v>
      </c>
      <c r="H167">
        <f t="shared" ca="1" si="13"/>
        <v>749.25644817890759</v>
      </c>
      <c r="I167">
        <f t="shared" ca="1" si="14"/>
        <v>27541.670901143796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6586</v>
      </c>
      <c r="B170" s="66">
        <v>6586</v>
      </c>
      <c r="D170">
        <f t="shared" si="10"/>
        <v>5.3519478619837804</v>
      </c>
      <c r="E170">
        <f t="shared" si="11"/>
        <v>5.3519478619837804</v>
      </c>
      <c r="G170">
        <f t="shared" ca="1" si="12"/>
        <v>168</v>
      </c>
      <c r="H170">
        <f t="shared" ca="1" si="13"/>
        <v>899.12724081327508</v>
      </c>
      <c r="I170">
        <f t="shared" ca="1" si="14"/>
        <v>35009.532794894352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5682</v>
      </c>
      <c r="B173" s="66">
        <v>5682</v>
      </c>
      <c r="D173">
        <f t="shared" si="10"/>
        <v>4.6173349152432186</v>
      </c>
      <c r="E173">
        <f t="shared" si="11"/>
        <v>4.6173349152432186</v>
      </c>
      <c r="G173">
        <f t="shared" ca="1" si="12"/>
        <v>171</v>
      </c>
      <c r="H173">
        <f t="shared" ca="1" si="13"/>
        <v>789.56427050659033</v>
      </c>
      <c r="I173">
        <f t="shared" ca="1" si="14"/>
        <v>32486.330409466187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4258</v>
      </c>
      <c r="B175" s="66">
        <v>4258</v>
      </c>
      <c r="D175">
        <f t="shared" si="10"/>
        <v>3.4601569991386176</v>
      </c>
      <c r="E175">
        <f t="shared" si="11"/>
        <v>3.4601569991386176</v>
      </c>
      <c r="G175">
        <f t="shared" ca="1" si="12"/>
        <v>173</v>
      </c>
      <c r="H175">
        <f t="shared" ca="1" si="13"/>
        <v>598.6071608509809</v>
      </c>
      <c r="I175">
        <f t="shared" ca="1" si="14"/>
        <v>25519.519263037335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2676</v>
      </c>
      <c r="B178" s="66">
        <v>2676</v>
      </c>
      <c r="D178">
        <f t="shared" si="10"/>
        <v>2.174584342342635</v>
      </c>
      <c r="E178">
        <f t="shared" si="11"/>
        <v>2.174584342342635</v>
      </c>
      <c r="G178">
        <f t="shared" ca="1" si="12"/>
        <v>176</v>
      </c>
      <c r="H178">
        <f t="shared" ca="1" si="13"/>
        <v>382.72684425230375</v>
      </c>
      <c r="I178">
        <f t="shared" ca="1" si="14"/>
        <v>17178.182429273005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1638</v>
      </c>
      <c r="B180" s="66">
        <v>1638</v>
      </c>
      <c r="D180">
        <f t="shared" si="10"/>
        <v>1.3310796534967251</v>
      </c>
      <c r="E180">
        <f t="shared" si="11"/>
        <v>1.3310796534967251</v>
      </c>
      <c r="G180">
        <f t="shared" ca="1" si="12"/>
        <v>178</v>
      </c>
      <c r="H180">
        <f t="shared" ca="1" si="13"/>
        <v>236.93217832241706</v>
      </c>
      <c r="I180">
        <f t="shared" ca="1" si="14"/>
        <v>10993.44228784209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556</v>
      </c>
      <c r="B183" s="66">
        <v>556</v>
      </c>
      <c r="D183">
        <f t="shared" si="10"/>
        <v>0.45181946724308863</v>
      </c>
      <c r="E183">
        <f t="shared" si="11"/>
        <v>0.45181946724308863</v>
      </c>
      <c r="G183">
        <f t="shared" ca="1" si="12"/>
        <v>181</v>
      </c>
      <c r="H183">
        <f t="shared" ca="1" si="13"/>
        <v>81.77932357099904</v>
      </c>
      <c r="I183">
        <f t="shared" ca="1" si="14"/>
        <v>3982.0283091397432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259</v>
      </c>
      <c r="B185" s="66">
        <v>259</v>
      </c>
      <c r="D185">
        <f t="shared" si="10"/>
        <v>0.21046985974093516</v>
      </c>
      <c r="E185">
        <f t="shared" si="11"/>
        <v>0.21046985974093516</v>
      </c>
      <c r="G185">
        <f t="shared" ca="1" si="12"/>
        <v>183</v>
      </c>
      <c r="H185">
        <f t="shared" ca="1" si="13"/>
        <v>38.515984332591131</v>
      </c>
      <c r="I185">
        <f t="shared" ca="1" si="14"/>
        <v>1934.814553860997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453</v>
      </c>
      <c r="B188" s="66">
        <v>453</v>
      </c>
      <c r="D188">
        <f t="shared" si="10"/>
        <v>0.36811909831136536</v>
      </c>
      <c r="E188">
        <f t="shared" si="11"/>
        <v>0.36811909831136536</v>
      </c>
      <c r="G188">
        <f t="shared" ca="1" si="12"/>
        <v>186</v>
      </c>
      <c r="H188">
        <f t="shared" ca="1" si="13"/>
        <v>68.470152285913954</v>
      </c>
      <c r="I188">
        <f t="shared" ca="1" si="14"/>
        <v>3599.1409011520127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123</v>
      </c>
      <c r="B191" s="66">
        <v>123</v>
      </c>
      <c r="D191">
        <f t="shared" si="10"/>
        <v>9.9952867753417093E-2</v>
      </c>
      <c r="E191">
        <f t="shared" si="11"/>
        <v>9.9952867753417093E-2</v>
      </c>
      <c r="G191">
        <f t="shared" ca="1" si="12"/>
        <v>189</v>
      </c>
      <c r="H191">
        <f t="shared" ca="1" si="13"/>
        <v>18.89109200539583</v>
      </c>
      <c r="I191">
        <f t="shared" ca="1" si="14"/>
        <v>1037.4493536141447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121</v>
      </c>
      <c r="B193" s="66">
        <v>121</v>
      </c>
      <c r="D193">
        <f t="shared" si="10"/>
        <v>9.8327617871247705E-2</v>
      </c>
      <c r="E193">
        <f t="shared" si="11"/>
        <v>9.8327617871247705E-2</v>
      </c>
      <c r="G193">
        <f t="shared" ca="1" si="12"/>
        <v>191</v>
      </c>
      <c r="H193">
        <f t="shared" ca="1" si="13"/>
        <v>18.780575013408313</v>
      </c>
      <c r="I193">
        <f t="shared" ca="1" si="14"/>
        <v>1061.0437524648969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0.168324</v>
      </c>
      <c r="B2" s="68">
        <v>0.65656700000000001</v>
      </c>
      <c r="C2" s="68">
        <v>0</v>
      </c>
      <c r="D2" s="68">
        <v>1</v>
      </c>
      <c r="E2" s="68" t="s">
        <v>410</v>
      </c>
    </row>
    <row r="3" spans="1:5">
      <c r="A3" s="68">
        <v>0.172929</v>
      </c>
      <c r="B3" s="68">
        <v>0.65136499999999997</v>
      </c>
      <c r="C3" s="68">
        <v>0.384413</v>
      </c>
      <c r="D3" s="89">
        <v>1</v>
      </c>
      <c r="E3" s="68" t="s">
        <v>411</v>
      </c>
    </row>
    <row r="4" spans="1:5">
      <c r="A4" s="68">
        <v>0.17763899999999999</v>
      </c>
      <c r="B4" s="68">
        <v>0.64509399999999995</v>
      </c>
      <c r="C4" s="68">
        <v>0.78936499999999998</v>
      </c>
      <c r="D4" s="89">
        <v>1</v>
      </c>
      <c r="E4" s="68" t="s">
        <v>412</v>
      </c>
    </row>
    <row r="5" spans="1:5">
      <c r="A5" s="89">
        <v>0.182227</v>
      </c>
      <c r="B5" s="89">
        <v>0.63719499999999996</v>
      </c>
      <c r="C5" s="89">
        <v>1.19319</v>
      </c>
      <c r="D5" s="89">
        <v>1</v>
      </c>
      <c r="E5" s="68" t="s">
        <v>413</v>
      </c>
    </row>
    <row r="6" spans="1:5">
      <c r="A6" s="68">
        <v>0.186777</v>
      </c>
      <c r="B6" s="68">
        <v>0.62925200000000003</v>
      </c>
      <c r="C6" s="68">
        <v>1.59941</v>
      </c>
      <c r="D6" s="68">
        <v>1</v>
      </c>
      <c r="E6" s="68" t="s">
        <v>414</v>
      </c>
    </row>
    <row r="7" spans="1:5">
      <c r="A7" s="68">
        <v>0.19156999999999999</v>
      </c>
      <c r="B7" s="68">
        <v>0.62048999999999999</v>
      </c>
      <c r="C7" s="68">
        <v>2.0071099999999999</v>
      </c>
      <c r="D7" s="68">
        <v>1</v>
      </c>
      <c r="E7" s="68" t="s">
        <v>415</v>
      </c>
    </row>
    <row r="8" spans="1:5">
      <c r="A8" s="68">
        <v>0.196548</v>
      </c>
      <c r="B8" s="68">
        <v>0.61007</v>
      </c>
      <c r="C8" s="68">
        <v>2.4130400000000001</v>
      </c>
      <c r="D8" s="68">
        <v>1</v>
      </c>
      <c r="E8" s="68" t="s">
        <v>416</v>
      </c>
    </row>
    <row r="9" spans="1:5">
      <c r="A9" s="68">
        <v>0.20166600000000001</v>
      </c>
      <c r="B9" s="68">
        <v>0.59840300000000002</v>
      </c>
      <c r="C9" s="68">
        <v>2.8210500000000001</v>
      </c>
      <c r="D9" s="68">
        <v>1</v>
      </c>
      <c r="E9" s="68" t="s">
        <v>417</v>
      </c>
    </row>
    <row r="10" spans="1:5">
      <c r="A10" s="68">
        <v>0.20677100000000001</v>
      </c>
      <c r="B10" s="68">
        <v>0.585005</v>
      </c>
      <c r="C10" s="68">
        <v>3.2278699999999998</v>
      </c>
      <c r="D10" s="68">
        <v>1</v>
      </c>
      <c r="E10" s="68" t="s">
        <v>418</v>
      </c>
    </row>
    <row r="11" spans="1:5">
      <c r="A11" s="68">
        <v>0.211866</v>
      </c>
      <c r="B11" s="68">
        <v>0.57204600000000005</v>
      </c>
      <c r="C11" s="68">
        <v>3.6337700000000002</v>
      </c>
      <c r="D11" s="68">
        <v>1</v>
      </c>
      <c r="E11" s="68" t="s">
        <v>419</v>
      </c>
    </row>
    <row r="12" spans="1:5">
      <c r="A12" s="68">
        <v>0.216971</v>
      </c>
      <c r="B12" s="68">
        <v>0.559253</v>
      </c>
      <c r="C12" s="68">
        <v>4.0376599999999998</v>
      </c>
      <c r="D12" s="68">
        <v>1</v>
      </c>
      <c r="E12" s="68" t="s">
        <v>420</v>
      </c>
    </row>
    <row r="13" spans="1:5">
      <c r="A13" s="68">
        <v>0.222385</v>
      </c>
      <c r="B13" s="68">
        <v>0.54525500000000005</v>
      </c>
      <c r="C13" s="68">
        <v>4.4455</v>
      </c>
      <c r="D13" s="68">
        <v>1</v>
      </c>
      <c r="E13" s="68" t="s">
        <v>421</v>
      </c>
    </row>
    <row r="14" spans="1:5">
      <c r="A14" s="68">
        <v>0.227907</v>
      </c>
      <c r="B14" s="68">
        <v>0.53079900000000002</v>
      </c>
      <c r="C14" s="68">
        <v>4.8516899999999996</v>
      </c>
      <c r="D14" s="68">
        <v>1</v>
      </c>
      <c r="E14" s="68" t="s">
        <v>422</v>
      </c>
    </row>
    <row r="15" spans="1:5">
      <c r="A15" s="68">
        <v>0.23372200000000001</v>
      </c>
      <c r="B15" s="68">
        <v>0.51449900000000004</v>
      </c>
      <c r="C15" s="68">
        <v>5.2594099999999999</v>
      </c>
      <c r="D15" s="68">
        <v>1</v>
      </c>
      <c r="E15" s="68" t="s">
        <v>423</v>
      </c>
    </row>
    <row r="16" spans="1:5">
      <c r="A16" s="68">
        <v>0.24004400000000001</v>
      </c>
      <c r="B16" s="68">
        <v>0.49701600000000001</v>
      </c>
      <c r="C16" s="68">
        <v>5.66669</v>
      </c>
      <c r="D16" s="68">
        <v>1</v>
      </c>
      <c r="E16" s="68" t="s">
        <v>424</v>
      </c>
    </row>
    <row r="17" spans="1:5">
      <c r="A17" s="68">
        <v>0.24676600000000001</v>
      </c>
      <c r="B17" s="68">
        <v>0.47958499999999998</v>
      </c>
      <c r="C17" s="68">
        <v>6.0702600000000002</v>
      </c>
      <c r="D17" s="68">
        <v>1</v>
      </c>
      <c r="E17" s="68" t="s">
        <v>425</v>
      </c>
    </row>
    <row r="18" spans="1:5">
      <c r="A18" s="68">
        <v>0.25372499999999998</v>
      </c>
      <c r="B18" s="68">
        <v>0.46237899999999998</v>
      </c>
      <c r="C18" s="68">
        <v>6.4751099999999999</v>
      </c>
      <c r="D18" s="68">
        <v>1</v>
      </c>
      <c r="E18" s="68" t="s">
        <v>426</v>
      </c>
    </row>
    <row r="19" spans="1:5">
      <c r="A19" s="68">
        <v>0.26082899999999998</v>
      </c>
      <c r="B19" s="68">
        <v>0.44554899999999997</v>
      </c>
      <c r="C19" s="68">
        <v>6.8830999999999998</v>
      </c>
      <c r="D19" s="68">
        <v>1</v>
      </c>
      <c r="E19" s="68" t="s">
        <v>427</v>
      </c>
    </row>
    <row r="20" spans="1:5">
      <c r="A20" s="68">
        <v>0.26772600000000002</v>
      </c>
      <c r="B20" s="68">
        <v>0.43261300000000003</v>
      </c>
      <c r="C20" s="68">
        <v>7.29108</v>
      </c>
      <c r="D20" s="68">
        <v>1</v>
      </c>
      <c r="E20" s="68" t="s">
        <v>428</v>
      </c>
    </row>
    <row r="21" spans="1:5">
      <c r="A21" s="68">
        <v>0.27434999999999998</v>
      </c>
      <c r="B21" s="68">
        <v>0.42292299999999999</v>
      </c>
      <c r="C21" s="68">
        <v>7.6969200000000004</v>
      </c>
      <c r="D21" s="68">
        <v>1</v>
      </c>
      <c r="E21" s="68" t="s">
        <v>429</v>
      </c>
    </row>
    <row r="22" spans="1:5">
      <c r="A22" s="68">
        <v>0.28112500000000001</v>
      </c>
      <c r="B22" s="68">
        <v>0.41386000000000001</v>
      </c>
      <c r="C22" s="68">
        <v>8.1018299999999996</v>
      </c>
      <c r="D22" s="68">
        <v>1</v>
      </c>
      <c r="E22" s="68" t="s">
        <v>430</v>
      </c>
    </row>
    <row r="23" spans="1:5">
      <c r="A23" s="68">
        <v>0.28841299999999997</v>
      </c>
      <c r="B23" s="68">
        <v>0.40462100000000001</v>
      </c>
      <c r="C23" s="68">
        <v>8.5056700000000003</v>
      </c>
      <c r="D23" s="68">
        <v>1</v>
      </c>
      <c r="E23" s="68" t="s">
        <v>431</v>
      </c>
    </row>
    <row r="24" spans="1:5">
      <c r="A24" s="68">
        <v>0.29606300000000002</v>
      </c>
      <c r="B24" s="68">
        <v>0.39636100000000002</v>
      </c>
      <c r="C24" s="68">
        <v>8.9152799999999992</v>
      </c>
      <c r="D24" s="68">
        <v>1</v>
      </c>
      <c r="E24" s="68" t="s">
        <v>432</v>
      </c>
    </row>
    <row r="25" spans="1:5">
      <c r="A25" s="68">
        <v>0.30335000000000001</v>
      </c>
      <c r="B25" s="68">
        <v>0.39091399999999998</v>
      </c>
      <c r="C25" s="68">
        <v>9.3225200000000008</v>
      </c>
      <c r="D25" s="68">
        <v>1</v>
      </c>
      <c r="E25" s="68" t="s">
        <v>433</v>
      </c>
    </row>
    <row r="26" spans="1:5">
      <c r="A26" s="68">
        <v>0.31008999999999998</v>
      </c>
      <c r="B26" s="68">
        <v>0.38778299999999999</v>
      </c>
      <c r="C26" s="68">
        <v>9.7286999999999999</v>
      </c>
      <c r="D26" s="68">
        <v>1</v>
      </c>
      <c r="E26" s="68" t="s">
        <v>434</v>
      </c>
    </row>
    <row r="27" spans="1:5">
      <c r="A27" s="68">
        <v>0.31693100000000002</v>
      </c>
      <c r="B27" s="68">
        <v>0.38508700000000001</v>
      </c>
      <c r="C27" s="68">
        <v>10.128500000000001</v>
      </c>
      <c r="D27" s="68">
        <v>1</v>
      </c>
      <c r="E27" s="68" t="s">
        <v>435</v>
      </c>
    </row>
    <row r="28" spans="1:5">
      <c r="A28" s="68">
        <v>0.32364100000000001</v>
      </c>
      <c r="B28" s="68">
        <v>0.383266</v>
      </c>
      <c r="C28" s="68">
        <v>10.5383</v>
      </c>
      <c r="D28" s="68">
        <v>1</v>
      </c>
      <c r="E28" s="68" t="s">
        <v>436</v>
      </c>
    </row>
    <row r="29" spans="1:5">
      <c r="A29" s="68">
        <v>0.329822</v>
      </c>
      <c r="B29" s="68">
        <v>0.38311200000000001</v>
      </c>
      <c r="C29" s="68">
        <v>10.946199999999999</v>
      </c>
      <c r="D29" s="68">
        <v>1</v>
      </c>
      <c r="E29" s="68" t="s">
        <v>437</v>
      </c>
    </row>
    <row r="30" spans="1:5">
      <c r="A30" s="68">
        <v>0.33601300000000001</v>
      </c>
      <c r="B30" s="68">
        <v>0.382691</v>
      </c>
      <c r="C30" s="68">
        <v>11.3521</v>
      </c>
      <c r="D30" s="68">
        <v>1</v>
      </c>
      <c r="E30" s="68" t="s">
        <v>438</v>
      </c>
    </row>
    <row r="31" spans="1:5">
      <c r="A31" s="68">
        <v>0.34199499999999999</v>
      </c>
      <c r="B31" s="68">
        <v>0.38282300000000002</v>
      </c>
      <c r="C31" s="68">
        <v>11.757999999999999</v>
      </c>
      <c r="D31" s="68">
        <v>1</v>
      </c>
      <c r="E31" s="68" t="s">
        <v>439</v>
      </c>
    </row>
    <row r="32" spans="1:5">
      <c r="A32" s="68">
        <v>0.34750700000000001</v>
      </c>
      <c r="B32" s="68">
        <v>0.38389899999999999</v>
      </c>
      <c r="C32" s="68">
        <v>12.164199999999999</v>
      </c>
      <c r="D32" s="68">
        <v>1</v>
      </c>
      <c r="E32" s="68" t="s">
        <v>440</v>
      </c>
    </row>
    <row r="33" spans="1:5">
      <c r="A33" s="68">
        <v>0.35256900000000002</v>
      </c>
      <c r="B33" s="68">
        <v>0.38531500000000002</v>
      </c>
      <c r="C33" s="68">
        <v>12.572800000000001</v>
      </c>
      <c r="D33" s="68">
        <v>1</v>
      </c>
      <c r="E33" s="68" t="s">
        <v>441</v>
      </c>
    </row>
    <row r="34" spans="1:5">
      <c r="A34" s="68">
        <v>0.35719800000000002</v>
      </c>
      <c r="B34" s="68">
        <v>0.38749</v>
      </c>
      <c r="C34" s="68">
        <v>12.9788</v>
      </c>
      <c r="D34" s="68">
        <v>1</v>
      </c>
      <c r="E34" s="68" t="s">
        <v>442</v>
      </c>
    </row>
    <row r="35" spans="1:5">
      <c r="A35" s="68">
        <v>0.36169099999999998</v>
      </c>
      <c r="B35" s="68">
        <v>0.38947399999999999</v>
      </c>
      <c r="C35" s="68">
        <v>13.3818</v>
      </c>
      <c r="D35" s="68">
        <v>1</v>
      </c>
      <c r="E35" s="68" t="s">
        <v>443</v>
      </c>
    </row>
    <row r="36" spans="1:5">
      <c r="A36" s="68">
        <v>0.366618</v>
      </c>
      <c r="B36" s="68">
        <v>0.39059500000000003</v>
      </c>
      <c r="C36" s="68">
        <v>13.7866</v>
      </c>
      <c r="D36" s="68">
        <v>1</v>
      </c>
      <c r="E36" s="68" t="s">
        <v>444</v>
      </c>
    </row>
    <row r="37" spans="1:5">
      <c r="A37" s="68">
        <v>0.371589</v>
      </c>
      <c r="B37" s="68">
        <v>0.39224399999999998</v>
      </c>
      <c r="C37" s="68">
        <v>14.194599999999999</v>
      </c>
      <c r="D37" s="68">
        <v>1</v>
      </c>
      <c r="E37" s="68" t="s">
        <v>445</v>
      </c>
    </row>
    <row r="38" spans="1:5">
      <c r="A38" s="68">
        <v>0.37609799999999999</v>
      </c>
      <c r="B38" s="68">
        <v>0.39469199999999999</v>
      </c>
      <c r="C38" s="68">
        <v>14.603400000000001</v>
      </c>
      <c r="D38" s="68">
        <v>1</v>
      </c>
      <c r="E38" s="68" t="s">
        <v>446</v>
      </c>
    </row>
    <row r="39" spans="1:5">
      <c r="A39" s="68">
        <v>0.38024999999999998</v>
      </c>
      <c r="B39" s="68">
        <v>0.39763599999999999</v>
      </c>
      <c r="C39" s="68">
        <v>15.0084</v>
      </c>
      <c r="D39" s="68">
        <v>1</v>
      </c>
      <c r="E39" s="68" t="s">
        <v>447</v>
      </c>
    </row>
    <row r="40" spans="1:5">
      <c r="A40" s="68">
        <v>0.38372299999999998</v>
      </c>
      <c r="B40" s="68">
        <v>0.40100999999999998</v>
      </c>
      <c r="C40" s="68">
        <v>15.4152</v>
      </c>
      <c r="D40" s="68">
        <v>1</v>
      </c>
      <c r="E40" s="68" t="s">
        <v>448</v>
      </c>
    </row>
    <row r="41" spans="1:5">
      <c r="A41" s="68">
        <v>0.38683899999999999</v>
      </c>
      <c r="B41" s="68">
        <v>0.40400799999999998</v>
      </c>
      <c r="C41" s="68">
        <v>15.819100000000001</v>
      </c>
      <c r="D41" s="68">
        <v>1</v>
      </c>
      <c r="E41" s="68" t="s">
        <v>449</v>
      </c>
    </row>
    <row r="42" spans="1:5">
      <c r="A42" s="68">
        <v>0.38943899999999998</v>
      </c>
      <c r="B42" s="68">
        <v>0.40754000000000001</v>
      </c>
      <c r="C42" s="68">
        <v>16.226299999999998</v>
      </c>
      <c r="D42" s="68">
        <v>1</v>
      </c>
      <c r="E42" s="68" t="s">
        <v>450</v>
      </c>
    </row>
    <row r="43" spans="1:5">
      <c r="A43" s="68">
        <v>0.39193600000000001</v>
      </c>
      <c r="B43" s="68">
        <v>0.41108099999999997</v>
      </c>
      <c r="C43" s="68">
        <v>16.635999999999999</v>
      </c>
      <c r="D43" s="68">
        <v>1</v>
      </c>
      <c r="E43" s="68" t="s">
        <v>451</v>
      </c>
    </row>
    <row r="44" spans="1:5">
      <c r="A44" s="68">
        <v>0.39438400000000001</v>
      </c>
      <c r="B44" s="68">
        <v>0.41456799999999999</v>
      </c>
      <c r="C44" s="68">
        <v>17.040900000000001</v>
      </c>
      <c r="D44" s="68">
        <v>1</v>
      </c>
      <c r="E44" s="68" t="s">
        <v>452</v>
      </c>
    </row>
    <row r="45" spans="1:5">
      <c r="A45" s="68">
        <v>0.39692100000000002</v>
      </c>
      <c r="B45" s="68">
        <v>0.41758800000000001</v>
      </c>
      <c r="C45" s="68">
        <v>17.448</v>
      </c>
      <c r="D45" s="68">
        <v>1</v>
      </c>
      <c r="E45" s="68" t="s">
        <v>453</v>
      </c>
    </row>
    <row r="46" spans="1:5">
      <c r="A46" s="68">
        <v>0.399204</v>
      </c>
      <c r="B46" s="68">
        <v>0.42072300000000001</v>
      </c>
      <c r="C46" s="68">
        <v>17.855699999999999</v>
      </c>
      <c r="D46" s="68">
        <v>1</v>
      </c>
      <c r="E46" s="68" t="s">
        <v>454</v>
      </c>
    </row>
    <row r="47" spans="1:5">
      <c r="A47" s="68">
        <v>0.40095700000000001</v>
      </c>
      <c r="B47" s="68">
        <v>0.42414099999999999</v>
      </c>
      <c r="C47" s="68">
        <v>18.259699999999999</v>
      </c>
      <c r="D47" s="68">
        <v>1</v>
      </c>
      <c r="E47" s="68" t="s">
        <v>455</v>
      </c>
    </row>
    <row r="48" spans="1:5">
      <c r="A48" s="68">
        <v>0.40206199999999997</v>
      </c>
      <c r="B48" s="68">
        <v>0.42740499999999998</v>
      </c>
      <c r="C48" s="68">
        <v>18.666599999999999</v>
      </c>
      <c r="D48" s="68">
        <v>1</v>
      </c>
      <c r="E48" s="68" t="s">
        <v>456</v>
      </c>
    </row>
    <row r="49" spans="1:5">
      <c r="A49" s="68">
        <v>0.40299299999999999</v>
      </c>
      <c r="B49" s="68">
        <v>0.43024200000000001</v>
      </c>
      <c r="C49" s="68">
        <v>19.0685</v>
      </c>
      <c r="D49" s="68">
        <v>1</v>
      </c>
      <c r="E49" s="68" t="s">
        <v>457</v>
      </c>
    </row>
    <row r="50" spans="1:5">
      <c r="A50" s="68">
        <v>0.40384999999999999</v>
      </c>
      <c r="B50" s="68">
        <v>0.43316900000000003</v>
      </c>
      <c r="C50" s="68">
        <v>19.4755</v>
      </c>
      <c r="D50" s="68">
        <v>1</v>
      </c>
      <c r="E50" s="68" t="s">
        <v>458</v>
      </c>
    </row>
    <row r="51" spans="1:5">
      <c r="A51" s="68">
        <v>0.40483999999999998</v>
      </c>
      <c r="B51" s="68">
        <v>0.43588700000000002</v>
      </c>
      <c r="C51" s="68">
        <v>19.882300000000001</v>
      </c>
      <c r="D51" s="68">
        <v>1</v>
      </c>
      <c r="E51" s="68" t="s">
        <v>459</v>
      </c>
    </row>
    <row r="52" spans="1:5">
      <c r="A52" s="68">
        <v>0.40574700000000002</v>
      </c>
      <c r="B52" s="68">
        <v>0.43729800000000002</v>
      </c>
      <c r="C52" s="68">
        <v>20.290199999999999</v>
      </c>
      <c r="D52" s="68">
        <v>1</v>
      </c>
      <c r="E52" s="68" t="s">
        <v>460</v>
      </c>
    </row>
    <row r="53" spans="1:5">
      <c r="A53" s="68">
        <v>0.40671099999999999</v>
      </c>
      <c r="B53" s="68">
        <v>0.43900800000000001</v>
      </c>
      <c r="C53" s="68">
        <v>20.6951</v>
      </c>
      <c r="D53" s="68">
        <v>1</v>
      </c>
      <c r="E53" s="68" t="s">
        <v>461</v>
      </c>
    </row>
    <row r="54" spans="1:5">
      <c r="A54" s="68">
        <v>0.40748800000000002</v>
      </c>
      <c r="B54" s="68">
        <v>0.44100600000000001</v>
      </c>
      <c r="C54" s="68">
        <v>21.100100000000001</v>
      </c>
      <c r="D54" s="68">
        <v>1</v>
      </c>
      <c r="E54" s="68" t="s">
        <v>462</v>
      </c>
    </row>
    <row r="55" spans="1:5">
      <c r="A55" s="68">
        <v>0.40794200000000003</v>
      </c>
      <c r="B55" s="68">
        <v>0.44372400000000001</v>
      </c>
      <c r="C55" s="68">
        <v>21.509</v>
      </c>
      <c r="D55" s="68">
        <v>1</v>
      </c>
      <c r="E55" s="68" t="s">
        <v>463</v>
      </c>
    </row>
    <row r="56" spans="1:5">
      <c r="A56" s="68">
        <v>0.40802100000000002</v>
      </c>
      <c r="B56" s="68">
        <v>0.44759300000000002</v>
      </c>
      <c r="C56" s="68">
        <v>21.915900000000001</v>
      </c>
      <c r="D56" s="68">
        <v>1</v>
      </c>
      <c r="E56" s="68" t="s">
        <v>464</v>
      </c>
    </row>
    <row r="57" spans="1:5">
      <c r="A57" s="68">
        <v>0.40784100000000001</v>
      </c>
      <c r="B57" s="68">
        <v>0.450687</v>
      </c>
      <c r="C57" s="68">
        <v>22.321899999999999</v>
      </c>
      <c r="D57" s="68">
        <v>1</v>
      </c>
      <c r="E57" s="68" t="s">
        <v>465</v>
      </c>
    </row>
    <row r="58" spans="1:5">
      <c r="A58" s="68">
        <v>0.40783999999999998</v>
      </c>
      <c r="B58" s="68">
        <v>0.452741</v>
      </c>
      <c r="C58" s="68">
        <v>22.727699999999999</v>
      </c>
      <c r="D58" s="68">
        <v>1</v>
      </c>
      <c r="E58" s="68" t="s">
        <v>466</v>
      </c>
    </row>
    <row r="59" spans="1:5">
      <c r="A59" s="68">
        <v>0.40721400000000002</v>
      </c>
      <c r="B59" s="68">
        <v>0.45529799999999998</v>
      </c>
      <c r="C59" s="68">
        <v>23.131</v>
      </c>
      <c r="D59" s="68">
        <v>1</v>
      </c>
      <c r="E59" s="68" t="s">
        <v>467</v>
      </c>
    </row>
    <row r="60" spans="1:5">
      <c r="A60" s="68">
        <v>0.405636</v>
      </c>
      <c r="B60" s="68">
        <v>0.458181</v>
      </c>
      <c r="C60" s="68">
        <v>23.5396</v>
      </c>
      <c r="D60" s="68">
        <v>1</v>
      </c>
      <c r="E60" s="68" t="s">
        <v>468</v>
      </c>
    </row>
    <row r="61" spans="1:5">
      <c r="A61" s="68">
        <v>0.40407300000000002</v>
      </c>
      <c r="B61" s="68">
        <v>0.461007</v>
      </c>
      <c r="C61" s="68">
        <v>23.9496</v>
      </c>
      <c r="D61" s="68">
        <v>1</v>
      </c>
      <c r="E61" s="68" t="s">
        <v>469</v>
      </c>
    </row>
    <row r="62" spans="1:5">
      <c r="A62" s="68">
        <v>0.40210800000000002</v>
      </c>
      <c r="B62" s="68">
        <v>0.46369899999999997</v>
      </c>
      <c r="C62" s="68">
        <v>24.354399999999998</v>
      </c>
      <c r="D62" s="68">
        <v>1</v>
      </c>
      <c r="E62" s="68" t="s">
        <v>470</v>
      </c>
    </row>
    <row r="63" spans="1:5">
      <c r="A63" s="68">
        <v>0.39978000000000002</v>
      </c>
      <c r="B63" s="68">
        <v>0.46518700000000002</v>
      </c>
      <c r="C63" s="68">
        <v>24.758500000000002</v>
      </c>
      <c r="D63" s="68">
        <v>1</v>
      </c>
      <c r="E63" s="68" t="s">
        <v>471</v>
      </c>
    </row>
    <row r="64" spans="1:5">
      <c r="A64" s="68">
        <v>0.39729399999999998</v>
      </c>
      <c r="B64" s="68">
        <v>0.46612799999999999</v>
      </c>
      <c r="C64" s="68">
        <v>25.165299999999998</v>
      </c>
      <c r="D64" s="68">
        <v>1</v>
      </c>
      <c r="E64" s="68" t="s">
        <v>472</v>
      </c>
    </row>
    <row r="65" spans="1:5">
      <c r="A65" s="68">
        <v>0.39476899999999998</v>
      </c>
      <c r="B65" s="68">
        <v>0.46629199999999998</v>
      </c>
      <c r="C65" s="68">
        <v>25.572099999999999</v>
      </c>
      <c r="D65" s="68">
        <v>1</v>
      </c>
      <c r="E65" s="68" t="s">
        <v>473</v>
      </c>
    </row>
    <row r="66" spans="1:5">
      <c r="A66" s="68">
        <v>0.39295400000000003</v>
      </c>
      <c r="B66" s="68">
        <v>0.46689900000000001</v>
      </c>
      <c r="C66" s="68">
        <v>25.977</v>
      </c>
      <c r="D66" s="68">
        <v>1</v>
      </c>
      <c r="E66" s="68" t="s">
        <v>474</v>
      </c>
    </row>
    <row r="67" spans="1:5">
      <c r="A67" s="68">
        <v>0.39005499999999999</v>
      </c>
      <c r="B67" s="68">
        <v>0.46509299999999998</v>
      </c>
      <c r="C67" s="68">
        <v>26.383299999999998</v>
      </c>
      <c r="D67" s="68">
        <v>1</v>
      </c>
      <c r="E67" s="68" t="s">
        <v>475</v>
      </c>
    </row>
    <row r="68" spans="1:5">
      <c r="A68" s="68">
        <v>0.38672499999999999</v>
      </c>
      <c r="B68" s="68">
        <v>0.462808</v>
      </c>
      <c r="C68" s="68">
        <v>26.7879</v>
      </c>
      <c r="D68" s="68">
        <v>1</v>
      </c>
      <c r="E68" s="68" t="s">
        <v>476</v>
      </c>
    </row>
    <row r="69" spans="1:5">
      <c r="A69" s="68">
        <v>0.383164</v>
      </c>
      <c r="B69" s="68">
        <v>0.46130300000000002</v>
      </c>
      <c r="C69" s="68">
        <v>27.195799999999998</v>
      </c>
      <c r="D69" s="68">
        <v>1</v>
      </c>
      <c r="E69" s="68" t="s">
        <v>477</v>
      </c>
    </row>
    <row r="70" spans="1:5">
      <c r="A70" s="68">
        <v>0.37855800000000001</v>
      </c>
      <c r="B70" s="68">
        <v>0.45950600000000003</v>
      </c>
      <c r="C70" s="68">
        <v>27.602699999999999</v>
      </c>
      <c r="D70" s="68">
        <v>1</v>
      </c>
      <c r="E70" s="68" t="s">
        <v>478</v>
      </c>
    </row>
    <row r="71" spans="1:5">
      <c r="A71" s="68">
        <v>0.37483699999999998</v>
      </c>
      <c r="B71" s="68">
        <v>0.45870499999999997</v>
      </c>
      <c r="C71" s="68">
        <v>28.008600000000001</v>
      </c>
      <c r="D71" s="68">
        <v>1</v>
      </c>
      <c r="E71" s="68" t="s">
        <v>479</v>
      </c>
    </row>
    <row r="72" spans="1:5">
      <c r="A72" s="68">
        <v>0.37222100000000002</v>
      </c>
      <c r="B72" s="68">
        <v>0.45837699999999998</v>
      </c>
      <c r="C72" s="68">
        <v>28.413399999999999</v>
      </c>
      <c r="D72" s="68">
        <v>1</v>
      </c>
      <c r="E72" s="68" t="s">
        <v>480</v>
      </c>
    </row>
    <row r="73" spans="1:5">
      <c r="A73" s="68">
        <v>0.368533</v>
      </c>
      <c r="B73" s="68">
        <v>0.45607500000000001</v>
      </c>
      <c r="C73" s="68">
        <v>28.819500000000001</v>
      </c>
      <c r="D73" s="68">
        <v>1</v>
      </c>
      <c r="E73" s="68" t="s">
        <v>481</v>
      </c>
    </row>
    <row r="74" spans="1:5">
      <c r="A74" s="68">
        <v>0.36341400000000001</v>
      </c>
      <c r="B74" s="68">
        <v>0.45285199999999998</v>
      </c>
      <c r="C74" s="68">
        <v>29.229299999999999</v>
      </c>
      <c r="D74" s="68">
        <v>1</v>
      </c>
      <c r="E74" s="68" t="s">
        <v>482</v>
      </c>
    </row>
    <row r="75" spans="1:5">
      <c r="A75" s="68">
        <v>0.35946</v>
      </c>
      <c r="B75" s="68">
        <v>0.45146900000000001</v>
      </c>
      <c r="C75" s="68">
        <v>29.6372</v>
      </c>
      <c r="D75" s="68">
        <v>1</v>
      </c>
      <c r="E75" s="68" t="s">
        <v>483</v>
      </c>
    </row>
    <row r="76" spans="1:5">
      <c r="A76" s="68">
        <v>0.35529699999999997</v>
      </c>
      <c r="B76" s="68">
        <v>0.45107199999999997</v>
      </c>
      <c r="C76" s="68">
        <v>30.0413</v>
      </c>
      <c r="D76" s="68">
        <v>2</v>
      </c>
      <c r="E76" s="68" t="s">
        <v>484</v>
      </c>
    </row>
    <row r="77" spans="1:5">
      <c r="A77" s="68">
        <v>0.35063800000000001</v>
      </c>
      <c r="B77" s="68">
        <v>0.453127</v>
      </c>
      <c r="C77" s="68">
        <v>30.524899999999999</v>
      </c>
      <c r="D77" s="68">
        <v>2</v>
      </c>
      <c r="E77" s="68" t="s">
        <v>485</v>
      </c>
    </row>
    <row r="78" spans="1:5">
      <c r="A78" s="68">
        <v>0.34620899999999999</v>
      </c>
      <c r="B78" s="68">
        <v>0.45534000000000002</v>
      </c>
      <c r="C78" s="68">
        <v>30.914000000000001</v>
      </c>
      <c r="D78" s="68">
        <v>2</v>
      </c>
      <c r="E78" s="68" t="s">
        <v>486</v>
      </c>
    </row>
    <row r="79" spans="1:5">
      <c r="A79" s="68">
        <v>0.34166400000000002</v>
      </c>
      <c r="B79" s="68">
        <v>0.45787899999999998</v>
      </c>
      <c r="C79" s="68">
        <v>31.303100000000001</v>
      </c>
      <c r="D79" s="68">
        <v>2</v>
      </c>
      <c r="E79" s="68" t="s">
        <v>487</v>
      </c>
    </row>
    <row r="80" spans="1:5">
      <c r="A80" s="68">
        <v>0.33699400000000002</v>
      </c>
      <c r="B80" s="68">
        <v>0.46007799999999999</v>
      </c>
      <c r="C80" s="68">
        <v>31.7117</v>
      </c>
      <c r="D80" s="68">
        <v>2</v>
      </c>
      <c r="E80" s="68" t="s">
        <v>488</v>
      </c>
    </row>
    <row r="81" spans="1:5">
      <c r="A81" s="68">
        <v>0.33241900000000002</v>
      </c>
      <c r="B81" s="68">
        <v>0.46238499999999999</v>
      </c>
      <c r="C81" s="68">
        <v>32.114699999999999</v>
      </c>
      <c r="D81" s="68">
        <v>2</v>
      </c>
      <c r="E81" s="68" t="s">
        <v>489</v>
      </c>
    </row>
    <row r="82" spans="1:5">
      <c r="A82" s="68">
        <v>0.328237</v>
      </c>
      <c r="B82" s="68">
        <v>0.46371600000000002</v>
      </c>
      <c r="C82" s="68">
        <v>32.521599999999999</v>
      </c>
      <c r="D82" s="68">
        <v>2</v>
      </c>
      <c r="E82" s="68" t="s">
        <v>490</v>
      </c>
    </row>
    <row r="83" spans="1:5">
      <c r="A83" s="68">
        <v>0.32454</v>
      </c>
      <c r="B83" s="68">
        <v>0.464314</v>
      </c>
      <c r="C83" s="68">
        <v>32.930100000000003</v>
      </c>
      <c r="D83" s="68">
        <v>2</v>
      </c>
      <c r="E83" s="68" t="s">
        <v>491</v>
      </c>
    </row>
    <row r="84" spans="1:5">
      <c r="A84" s="68">
        <v>0.32103700000000002</v>
      </c>
      <c r="B84" s="68">
        <v>0.46440100000000001</v>
      </c>
      <c r="C84" s="68">
        <v>33.336399999999998</v>
      </c>
      <c r="D84" s="68">
        <v>2</v>
      </c>
      <c r="E84" s="68" t="s">
        <v>492</v>
      </c>
    </row>
    <row r="85" spans="1:5">
      <c r="A85" s="68">
        <v>0.31773600000000002</v>
      </c>
      <c r="B85" s="68">
        <v>0.46462100000000001</v>
      </c>
      <c r="C85" s="68">
        <v>33.743299999999998</v>
      </c>
      <c r="D85" s="68">
        <v>2</v>
      </c>
      <c r="E85" s="68" t="s">
        <v>493</v>
      </c>
    </row>
    <row r="86" spans="1:5">
      <c r="A86" s="68">
        <v>0.31466699999999997</v>
      </c>
      <c r="B86" s="68">
        <v>0.46507999999999999</v>
      </c>
      <c r="C86" s="68">
        <v>34.145200000000003</v>
      </c>
      <c r="D86" s="68">
        <v>2</v>
      </c>
      <c r="E86" s="68" t="s">
        <v>494</v>
      </c>
    </row>
    <row r="87" spans="1:5">
      <c r="A87" s="68">
        <v>0.31198500000000001</v>
      </c>
      <c r="B87" s="68">
        <v>0.46599699999999999</v>
      </c>
      <c r="C87" s="68">
        <v>34.554099999999998</v>
      </c>
      <c r="D87" s="68">
        <v>2</v>
      </c>
      <c r="E87" s="68" t="s">
        <v>495</v>
      </c>
    </row>
    <row r="88" spans="1:5">
      <c r="A88" s="68">
        <v>0.30982999999999999</v>
      </c>
      <c r="B88" s="68">
        <v>0.466221</v>
      </c>
      <c r="C88" s="68">
        <v>34.961300000000001</v>
      </c>
      <c r="D88" s="68">
        <v>2</v>
      </c>
      <c r="E88" s="68" t="s">
        <v>496</v>
      </c>
    </row>
    <row r="89" spans="1:5">
      <c r="A89" s="68">
        <v>0.30775400000000003</v>
      </c>
      <c r="B89" s="68">
        <v>0.46671400000000002</v>
      </c>
      <c r="C89" s="68">
        <v>35.366999999999997</v>
      </c>
      <c r="D89" s="68">
        <v>2</v>
      </c>
      <c r="E89" s="68" t="s">
        <v>497</v>
      </c>
    </row>
    <row r="90" spans="1:5">
      <c r="A90" s="68">
        <v>0.30581399999999997</v>
      </c>
      <c r="B90" s="68">
        <v>0.46715899999999999</v>
      </c>
      <c r="C90" s="68">
        <v>35.774999999999999</v>
      </c>
      <c r="D90" s="68">
        <v>2</v>
      </c>
      <c r="E90" s="68" t="s">
        <v>498</v>
      </c>
    </row>
    <row r="91" spans="1:5">
      <c r="A91" s="68">
        <v>0.30426500000000001</v>
      </c>
      <c r="B91" s="68">
        <v>0.46725899999999998</v>
      </c>
      <c r="C91" s="68">
        <v>36.181100000000001</v>
      </c>
      <c r="D91" s="68">
        <v>2</v>
      </c>
      <c r="E91" s="68" t="s">
        <v>499</v>
      </c>
    </row>
    <row r="92" spans="1:5">
      <c r="A92" s="68">
        <v>0.30288700000000002</v>
      </c>
      <c r="B92" s="68">
        <v>0.46777299999999999</v>
      </c>
      <c r="C92" s="68">
        <v>36.585599999999999</v>
      </c>
      <c r="D92" s="68">
        <v>2</v>
      </c>
      <c r="E92" s="68" t="s">
        <v>500</v>
      </c>
    </row>
    <row r="93" spans="1:5">
      <c r="A93" s="68">
        <v>0.30139300000000002</v>
      </c>
      <c r="B93" s="68">
        <v>0.46849800000000003</v>
      </c>
      <c r="C93" s="68">
        <v>36.994700000000002</v>
      </c>
      <c r="D93" s="68">
        <v>2</v>
      </c>
      <c r="E93" s="68" t="s">
        <v>501</v>
      </c>
    </row>
    <row r="94" spans="1:5">
      <c r="A94" s="68">
        <v>0.29973899999999998</v>
      </c>
      <c r="B94" s="68">
        <v>0.469725</v>
      </c>
      <c r="C94" s="68">
        <v>37.401499999999999</v>
      </c>
      <c r="D94" s="68">
        <v>2</v>
      </c>
      <c r="E94" s="68" t="s">
        <v>502</v>
      </c>
    </row>
    <row r="95" spans="1:5">
      <c r="A95" s="68">
        <v>0.29813400000000001</v>
      </c>
      <c r="B95" s="68">
        <v>0.47090199999999999</v>
      </c>
      <c r="C95" s="68">
        <v>37.806399999999996</v>
      </c>
      <c r="D95" s="68">
        <v>2</v>
      </c>
      <c r="E95" s="68" t="s">
        <v>503</v>
      </c>
    </row>
    <row r="96" spans="1:5">
      <c r="A96" s="68">
        <v>0.29692600000000002</v>
      </c>
      <c r="B96" s="68">
        <v>0.47130300000000003</v>
      </c>
      <c r="C96" s="68">
        <v>38.212200000000003</v>
      </c>
      <c r="D96" s="68">
        <v>2</v>
      </c>
      <c r="E96" s="68" t="s">
        <v>504</v>
      </c>
    </row>
    <row r="97" spans="1:5">
      <c r="A97" s="68">
        <v>0.29614299999999999</v>
      </c>
      <c r="B97" s="68">
        <v>0.47099400000000002</v>
      </c>
      <c r="C97" s="68">
        <v>38.616199999999999</v>
      </c>
      <c r="D97" s="68">
        <v>2</v>
      </c>
      <c r="E97" s="68" t="s">
        <v>505</v>
      </c>
    </row>
    <row r="98" spans="1:5">
      <c r="A98" s="68">
        <v>0.295983</v>
      </c>
      <c r="B98" s="68">
        <v>0.46970299999999998</v>
      </c>
      <c r="C98" s="68">
        <v>39.022100000000002</v>
      </c>
      <c r="D98" s="68">
        <v>2</v>
      </c>
      <c r="E98" s="68" t="s">
        <v>506</v>
      </c>
    </row>
    <row r="99" spans="1:5">
      <c r="A99" s="68">
        <v>0.29632900000000001</v>
      </c>
      <c r="B99" s="68">
        <v>0.46773300000000001</v>
      </c>
      <c r="C99" s="68">
        <v>39.426499999999997</v>
      </c>
      <c r="D99" s="68">
        <v>2</v>
      </c>
      <c r="E99" s="68" t="s">
        <v>507</v>
      </c>
    </row>
    <row r="100" spans="1:5">
      <c r="A100" s="68">
        <v>0.29700300000000002</v>
      </c>
      <c r="B100" s="68">
        <v>0.46521800000000002</v>
      </c>
      <c r="C100" s="68">
        <v>39.839500000000001</v>
      </c>
      <c r="D100" s="68">
        <v>2</v>
      </c>
      <c r="E100" s="68" t="s">
        <v>508</v>
      </c>
    </row>
    <row r="101" spans="1:5">
      <c r="A101" s="68">
        <v>0.297925</v>
      </c>
      <c r="B101" s="68">
        <v>0.462391</v>
      </c>
      <c r="C101" s="68">
        <v>40.241199999999999</v>
      </c>
      <c r="D101" s="68">
        <v>2</v>
      </c>
      <c r="E101" s="68" t="s">
        <v>509</v>
      </c>
    </row>
    <row r="102" spans="1:5">
      <c r="A102" s="68">
        <v>0.29919299999999999</v>
      </c>
      <c r="B102" s="68">
        <v>0.45907900000000001</v>
      </c>
      <c r="C102" s="68">
        <v>40.648899999999998</v>
      </c>
      <c r="D102" s="68">
        <v>2</v>
      </c>
      <c r="E102" s="68" t="s">
        <v>510</v>
      </c>
    </row>
    <row r="103" spans="1:5">
      <c r="A103" s="68">
        <v>0.30060900000000002</v>
      </c>
      <c r="B103" s="68">
        <v>0.45575500000000002</v>
      </c>
      <c r="C103" s="68">
        <v>41.056699999999999</v>
      </c>
      <c r="D103" s="68">
        <v>2</v>
      </c>
      <c r="E103" s="68" t="s">
        <v>511</v>
      </c>
    </row>
    <row r="104" spans="1:5">
      <c r="A104" s="68">
        <v>0.30249199999999998</v>
      </c>
      <c r="B104" s="68">
        <v>0.45201400000000003</v>
      </c>
      <c r="C104" s="68">
        <v>41.459600000000002</v>
      </c>
      <c r="D104" s="68">
        <v>2</v>
      </c>
      <c r="E104" s="68" t="s">
        <v>512</v>
      </c>
    </row>
    <row r="105" spans="1:5">
      <c r="A105" s="68">
        <v>0.30504399999999998</v>
      </c>
      <c r="B105" s="68">
        <v>0.44778200000000001</v>
      </c>
      <c r="C105" s="68">
        <v>41.866500000000002</v>
      </c>
      <c r="D105" s="68">
        <v>2</v>
      </c>
      <c r="E105" s="68" t="s">
        <v>513</v>
      </c>
    </row>
    <row r="106" spans="1:5">
      <c r="A106" s="68">
        <v>0.307865</v>
      </c>
      <c r="B106" s="68">
        <v>0.44373400000000002</v>
      </c>
      <c r="C106" s="68">
        <v>42.271599999999999</v>
      </c>
      <c r="D106" s="68">
        <v>2</v>
      </c>
      <c r="E106" s="68" t="s">
        <v>514</v>
      </c>
    </row>
    <row r="107" spans="1:5">
      <c r="A107" s="68">
        <v>0.310915</v>
      </c>
      <c r="B107" s="68">
        <v>0.43960300000000002</v>
      </c>
      <c r="C107" s="68">
        <v>42.684399999999997</v>
      </c>
      <c r="D107" s="68">
        <v>2</v>
      </c>
      <c r="E107" s="68" t="s">
        <v>515</v>
      </c>
    </row>
    <row r="108" spans="1:5">
      <c r="A108" s="68">
        <v>0.31417099999999998</v>
      </c>
      <c r="B108" s="68">
        <v>0.435303</v>
      </c>
      <c r="C108" s="68">
        <v>43.088299999999997</v>
      </c>
      <c r="D108" s="68">
        <v>2</v>
      </c>
      <c r="E108" s="68" t="s">
        <v>516</v>
      </c>
    </row>
    <row r="109" spans="1:5">
      <c r="A109" s="68">
        <v>0.31717099999999998</v>
      </c>
      <c r="B109" s="68">
        <v>0.43226999999999999</v>
      </c>
      <c r="C109" s="68">
        <v>43.492199999999997</v>
      </c>
      <c r="D109" s="68">
        <v>2</v>
      </c>
      <c r="E109" s="68" t="s">
        <v>517</v>
      </c>
    </row>
    <row r="110" spans="1:5">
      <c r="A110" s="68">
        <v>0.31969700000000001</v>
      </c>
      <c r="B110" s="68">
        <v>0.43101299999999998</v>
      </c>
      <c r="C110" s="68">
        <v>43.897199999999998</v>
      </c>
      <c r="D110" s="68">
        <v>2</v>
      </c>
      <c r="E110" s="68" t="s">
        <v>518</v>
      </c>
    </row>
    <row r="111" spans="1:5">
      <c r="A111" s="68">
        <v>0.32183600000000001</v>
      </c>
      <c r="B111" s="68">
        <v>0.43052499999999999</v>
      </c>
      <c r="C111" s="68">
        <v>44.303400000000003</v>
      </c>
      <c r="D111" s="68">
        <v>2</v>
      </c>
      <c r="E111" s="68" t="s">
        <v>519</v>
      </c>
    </row>
    <row r="112" spans="1:5">
      <c r="A112" s="68">
        <v>0.32384299999999999</v>
      </c>
      <c r="B112" s="68">
        <v>0.42949599999999999</v>
      </c>
      <c r="C112" s="68">
        <v>44.712000000000003</v>
      </c>
      <c r="D112" s="68">
        <v>2</v>
      </c>
      <c r="E112" s="68" t="s">
        <v>520</v>
      </c>
    </row>
    <row r="113" spans="1:5">
      <c r="A113" s="68">
        <v>0.32550699999999999</v>
      </c>
      <c r="B113" s="68">
        <v>0.42921300000000001</v>
      </c>
      <c r="C113" s="68">
        <v>45.117899999999999</v>
      </c>
      <c r="D113" s="68">
        <v>2</v>
      </c>
      <c r="E113" s="68" t="s">
        <v>521</v>
      </c>
    </row>
    <row r="114" spans="1:5">
      <c r="A114" s="68">
        <v>0.32720300000000002</v>
      </c>
      <c r="B114" s="68">
        <v>0.42907899999999999</v>
      </c>
      <c r="C114" s="68">
        <v>45.522799999999997</v>
      </c>
      <c r="D114" s="68">
        <v>2</v>
      </c>
      <c r="E114" s="68" t="s">
        <v>522</v>
      </c>
    </row>
    <row r="115" spans="1:5">
      <c r="A115" s="68">
        <v>0.32927600000000001</v>
      </c>
      <c r="B115" s="68">
        <v>0.42899199999999998</v>
      </c>
      <c r="C115" s="68">
        <v>45.929699999999997</v>
      </c>
      <c r="D115" s="68">
        <v>2</v>
      </c>
      <c r="E115" s="68" t="s">
        <v>523</v>
      </c>
    </row>
    <row r="116" spans="1:5">
      <c r="A116" s="68">
        <v>0.331675</v>
      </c>
      <c r="B116" s="68">
        <v>0.42883199999999999</v>
      </c>
      <c r="C116" s="68">
        <v>46.334699999999998</v>
      </c>
      <c r="D116" s="68">
        <v>2</v>
      </c>
      <c r="E116" s="68" t="s">
        <v>524</v>
      </c>
    </row>
    <row r="117" spans="1:5">
      <c r="A117" s="68">
        <v>0.334596</v>
      </c>
      <c r="B117" s="68">
        <v>0.428483</v>
      </c>
      <c r="C117" s="68">
        <v>46.740499999999997</v>
      </c>
      <c r="D117" s="68">
        <v>2</v>
      </c>
      <c r="E117" s="68" t="s">
        <v>525</v>
      </c>
    </row>
    <row r="118" spans="1:5">
      <c r="A118" s="68">
        <v>0.33797899999999997</v>
      </c>
      <c r="B118" s="68">
        <v>0.42824400000000001</v>
      </c>
      <c r="C118" s="68">
        <v>47.1477</v>
      </c>
      <c r="D118" s="68">
        <v>2</v>
      </c>
      <c r="E118" s="68" t="s">
        <v>526</v>
      </c>
    </row>
    <row r="119" spans="1:5">
      <c r="A119" s="68">
        <v>0.34165200000000001</v>
      </c>
      <c r="B119" s="68">
        <v>0.42770000000000002</v>
      </c>
      <c r="C119" s="68">
        <v>47.5535</v>
      </c>
      <c r="D119" s="68">
        <v>2</v>
      </c>
      <c r="E119" s="68" t="s">
        <v>527</v>
      </c>
    </row>
    <row r="120" spans="1:5">
      <c r="A120" s="68">
        <v>0.34547</v>
      </c>
      <c r="B120" s="68">
        <v>0.427676</v>
      </c>
      <c r="C120" s="68">
        <v>47.964500000000001</v>
      </c>
      <c r="D120" s="68">
        <v>2</v>
      </c>
      <c r="E120" s="68" t="s">
        <v>528</v>
      </c>
    </row>
    <row r="121" spans="1:5">
      <c r="A121" s="68">
        <v>0.34943099999999999</v>
      </c>
      <c r="B121" s="68">
        <v>0.42800500000000002</v>
      </c>
      <c r="C121" s="68">
        <v>48.368099999999998</v>
      </c>
      <c r="D121" s="68">
        <v>2</v>
      </c>
      <c r="E121" s="68" t="s">
        <v>529</v>
      </c>
    </row>
    <row r="122" spans="1:5">
      <c r="A122" s="68">
        <v>0.35331499999999999</v>
      </c>
      <c r="B122" s="68">
        <v>0.428757</v>
      </c>
      <c r="C122" s="68">
        <v>48.772100000000002</v>
      </c>
      <c r="D122" s="68">
        <v>2</v>
      </c>
      <c r="E122" s="68" t="s">
        <v>530</v>
      </c>
    </row>
    <row r="123" spans="1:5">
      <c r="A123" s="68">
        <v>0.35692800000000002</v>
      </c>
      <c r="B123" s="68">
        <v>0.43063299999999999</v>
      </c>
      <c r="C123" s="68">
        <v>49.179900000000004</v>
      </c>
      <c r="D123" s="68">
        <v>2</v>
      </c>
      <c r="E123" s="68" t="s">
        <v>531</v>
      </c>
    </row>
    <row r="124" spans="1:5">
      <c r="A124" s="68">
        <v>0.36026900000000001</v>
      </c>
      <c r="B124" s="68">
        <v>0.43291800000000003</v>
      </c>
      <c r="C124" s="68">
        <v>49.585099999999997</v>
      </c>
      <c r="D124" s="68">
        <v>2</v>
      </c>
      <c r="E124" s="68" t="s">
        <v>532</v>
      </c>
    </row>
    <row r="125" spans="1:5">
      <c r="A125" s="68">
        <v>0.36337900000000001</v>
      </c>
      <c r="B125" s="68">
        <v>0.434919</v>
      </c>
      <c r="C125" s="68">
        <v>49.993899999999996</v>
      </c>
      <c r="D125" s="68">
        <v>2</v>
      </c>
      <c r="E125" s="68" t="s">
        <v>533</v>
      </c>
    </row>
    <row r="126" spans="1:5">
      <c r="A126" s="68">
        <v>0.36510799999999999</v>
      </c>
      <c r="B126" s="68">
        <v>0.43676999999999999</v>
      </c>
      <c r="C126" s="68">
        <v>50.400199999999998</v>
      </c>
      <c r="D126" s="68">
        <v>2</v>
      </c>
      <c r="E126" s="68" t="s">
        <v>534</v>
      </c>
    </row>
    <row r="127" spans="1:5">
      <c r="A127" s="68">
        <v>0.36677700000000002</v>
      </c>
      <c r="B127" s="68">
        <v>0.43851899999999999</v>
      </c>
      <c r="C127" s="68">
        <v>50.806600000000003</v>
      </c>
      <c r="D127" s="68">
        <v>2</v>
      </c>
      <c r="E127" s="68" t="s">
        <v>535</v>
      </c>
    </row>
    <row r="128" spans="1:5">
      <c r="A128" s="68">
        <v>0.368421</v>
      </c>
      <c r="B128" s="68">
        <v>0.44026100000000001</v>
      </c>
      <c r="C128" s="68">
        <v>51.211500000000001</v>
      </c>
      <c r="D128" s="68">
        <v>2</v>
      </c>
      <c r="E128" s="68" t="s">
        <v>536</v>
      </c>
    </row>
    <row r="129" spans="1:5">
      <c r="A129" s="68">
        <v>0.36975999999999998</v>
      </c>
      <c r="B129" s="68">
        <v>0.44135799999999997</v>
      </c>
      <c r="C129" s="68">
        <v>51.616599999999998</v>
      </c>
      <c r="D129" s="68">
        <v>2</v>
      </c>
      <c r="E129" s="68" t="s">
        <v>537</v>
      </c>
    </row>
    <row r="130" spans="1:5">
      <c r="A130" s="68">
        <v>0.37076199999999998</v>
      </c>
      <c r="B130" s="68">
        <v>0.44201600000000002</v>
      </c>
      <c r="C130" s="68">
        <v>52.023299999999999</v>
      </c>
      <c r="D130" s="68">
        <v>2</v>
      </c>
      <c r="E130" s="68" t="s">
        <v>538</v>
      </c>
    </row>
    <row r="131" spans="1:5">
      <c r="A131" s="68">
        <v>0.37146600000000002</v>
      </c>
      <c r="B131" s="68">
        <v>0.44236199999999998</v>
      </c>
      <c r="C131" s="68">
        <v>52.429299999999998</v>
      </c>
      <c r="D131" s="68">
        <v>2</v>
      </c>
      <c r="E131" s="68" t="s">
        <v>539</v>
      </c>
    </row>
    <row r="132" spans="1:5">
      <c r="A132" s="68">
        <v>0.37187700000000001</v>
      </c>
      <c r="B132" s="68">
        <v>0.44267600000000001</v>
      </c>
      <c r="C132" s="68">
        <v>52.8337</v>
      </c>
      <c r="D132" s="68">
        <v>2</v>
      </c>
      <c r="E132" s="68" t="s">
        <v>540</v>
      </c>
    </row>
    <row r="133" spans="1:5">
      <c r="A133" s="68">
        <v>0.37199700000000002</v>
      </c>
      <c r="B133" s="68">
        <v>0.44322899999999998</v>
      </c>
      <c r="C133" s="68">
        <v>53.241199999999999</v>
      </c>
      <c r="D133" s="68">
        <v>2</v>
      </c>
      <c r="E133" s="68" t="s">
        <v>541</v>
      </c>
    </row>
    <row r="134" spans="1:5">
      <c r="A134" s="68">
        <v>0.37243599999999999</v>
      </c>
      <c r="B134" s="68">
        <v>0.44374400000000003</v>
      </c>
      <c r="C134" s="68">
        <v>53.646099999999997</v>
      </c>
      <c r="D134" s="68">
        <v>2</v>
      </c>
      <c r="E134" s="68" t="s">
        <v>542</v>
      </c>
    </row>
    <row r="135" spans="1:5">
      <c r="A135" s="68">
        <v>0.37373200000000001</v>
      </c>
      <c r="B135" s="68">
        <v>0.44439600000000001</v>
      </c>
      <c r="C135" s="68">
        <v>54.053899999999999</v>
      </c>
      <c r="D135" s="68">
        <v>2</v>
      </c>
      <c r="E135" s="68" t="s">
        <v>543</v>
      </c>
    </row>
    <row r="136" spans="1:5">
      <c r="A136" s="68">
        <v>0.37569599999999997</v>
      </c>
      <c r="B136" s="68">
        <v>0.44506099999999998</v>
      </c>
      <c r="C136" s="68">
        <v>54.459899999999998</v>
      </c>
      <c r="D136" s="68">
        <v>2</v>
      </c>
      <c r="E136" s="68" t="s">
        <v>544</v>
      </c>
    </row>
    <row r="137" spans="1:5">
      <c r="A137" s="68">
        <v>0.37765799999999999</v>
      </c>
      <c r="B137" s="68">
        <v>0.44576300000000002</v>
      </c>
      <c r="C137" s="68">
        <v>54.868899999999996</v>
      </c>
      <c r="D137" s="68">
        <v>2</v>
      </c>
      <c r="E137" s="68" t="s">
        <v>545</v>
      </c>
    </row>
    <row r="138" spans="1:5">
      <c r="A138" s="68">
        <v>0.38047900000000001</v>
      </c>
      <c r="B138" s="68">
        <v>0.44703799999999999</v>
      </c>
      <c r="C138" s="68">
        <v>55.275700000000001</v>
      </c>
      <c r="D138" s="68">
        <v>2</v>
      </c>
      <c r="E138" s="68" t="s">
        <v>546</v>
      </c>
    </row>
    <row r="139" spans="1:5">
      <c r="A139" s="68">
        <v>0.38385200000000003</v>
      </c>
      <c r="B139" s="68">
        <v>0.44924500000000001</v>
      </c>
      <c r="C139" s="68">
        <v>55.683</v>
      </c>
      <c r="D139" s="68">
        <v>2</v>
      </c>
      <c r="E139" s="68" t="s">
        <v>547</v>
      </c>
    </row>
    <row r="140" spans="1:5">
      <c r="A140" s="68">
        <v>0.38721899999999998</v>
      </c>
      <c r="B140" s="68">
        <v>0.45118999999999998</v>
      </c>
      <c r="C140" s="68">
        <v>56.087499999999999</v>
      </c>
      <c r="D140" s="68">
        <v>2</v>
      </c>
      <c r="E140" s="68" t="s">
        <v>548</v>
      </c>
    </row>
    <row r="141" spans="1:5">
      <c r="A141" s="68">
        <v>0.39028400000000002</v>
      </c>
      <c r="B141" s="68">
        <v>0.45316400000000001</v>
      </c>
      <c r="C141" s="68">
        <v>56.4925</v>
      </c>
      <c r="D141" s="68">
        <v>2</v>
      </c>
      <c r="E141" s="68" t="s">
        <v>549</v>
      </c>
    </row>
    <row r="142" spans="1:5">
      <c r="A142" s="68">
        <v>0.39271699999999998</v>
      </c>
      <c r="B142" s="68">
        <v>0.45401999999999998</v>
      </c>
      <c r="C142" s="68">
        <v>56.900300000000001</v>
      </c>
      <c r="D142" s="68">
        <v>2</v>
      </c>
      <c r="E142" s="68" t="s">
        <v>550</v>
      </c>
    </row>
    <row r="143" spans="1:5">
      <c r="A143" s="68">
        <v>0.39480199999999999</v>
      </c>
      <c r="B143" s="68">
        <v>0.45541999999999999</v>
      </c>
      <c r="C143" s="68">
        <v>57.305300000000003</v>
      </c>
      <c r="D143" s="68">
        <v>2</v>
      </c>
      <c r="E143" s="68" t="s">
        <v>551</v>
      </c>
    </row>
    <row r="144" spans="1:5">
      <c r="A144" s="68">
        <v>0.39591300000000001</v>
      </c>
      <c r="B144" s="68">
        <v>0.45777099999999998</v>
      </c>
      <c r="C144" s="68">
        <v>57.7121</v>
      </c>
      <c r="D144" s="68">
        <v>2</v>
      </c>
      <c r="E144" s="68" t="s">
        <v>552</v>
      </c>
    </row>
    <row r="145" spans="1:5">
      <c r="A145" s="68">
        <v>0.396619</v>
      </c>
      <c r="B145" s="68">
        <v>0.45958500000000002</v>
      </c>
      <c r="C145" s="68">
        <v>58.117100000000001</v>
      </c>
      <c r="D145" s="68">
        <v>2</v>
      </c>
      <c r="E145" s="68" t="s">
        <v>553</v>
      </c>
    </row>
    <row r="146" spans="1:5">
      <c r="A146" s="68">
        <v>0.39646599999999999</v>
      </c>
      <c r="B146" s="68">
        <v>0.46171499999999999</v>
      </c>
      <c r="C146" s="68">
        <v>58.521000000000001</v>
      </c>
      <c r="D146" s="68">
        <v>2</v>
      </c>
      <c r="E146" s="68" t="s">
        <v>554</v>
      </c>
    </row>
    <row r="147" spans="1:5">
      <c r="A147" s="68">
        <v>0.39563700000000002</v>
      </c>
      <c r="B147" s="68">
        <v>0.46520600000000001</v>
      </c>
      <c r="C147" s="68">
        <v>58.932000000000002</v>
      </c>
      <c r="D147" s="68">
        <v>2</v>
      </c>
      <c r="E147" s="68" t="s">
        <v>555</v>
      </c>
    </row>
    <row r="148" spans="1:5">
      <c r="A148" s="68">
        <v>0.39575399999999999</v>
      </c>
      <c r="B148" s="68">
        <v>0.46640799999999999</v>
      </c>
      <c r="C148" s="68">
        <v>59.337899999999998</v>
      </c>
      <c r="D148" s="68">
        <v>2</v>
      </c>
      <c r="E148" s="68" t="s">
        <v>556</v>
      </c>
    </row>
    <row r="149" spans="1:5">
      <c r="A149" s="68">
        <v>0.396422</v>
      </c>
      <c r="B149" s="68">
        <v>0.464588</v>
      </c>
      <c r="C149" s="68">
        <v>59.742800000000003</v>
      </c>
      <c r="D149" s="68">
        <v>2</v>
      </c>
      <c r="E149" s="68" t="s">
        <v>557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563</v>
      </c>
      <c r="G1" s="66" t="s">
        <v>564</v>
      </c>
      <c r="H1" s="66" t="s">
        <v>565</v>
      </c>
      <c r="I1" s="66" t="s">
        <v>566</v>
      </c>
      <c r="J1" s="66" t="s">
        <v>567</v>
      </c>
      <c r="K1" s="66" t="s">
        <v>568</v>
      </c>
      <c r="L1" s="66" t="s">
        <v>569</v>
      </c>
      <c r="M1" s="66" t="s">
        <v>570</v>
      </c>
      <c r="N1" s="66"/>
    </row>
    <row r="2" spans="1:14">
      <c r="A2" s="75">
        <v>43607.364988425928</v>
      </c>
      <c r="B2" s="66" t="s">
        <v>559</v>
      </c>
      <c r="C2" s="66"/>
      <c r="D2" s="66"/>
      <c r="E2" s="66">
        <v>4.9234099999999996</v>
      </c>
      <c r="F2" s="66">
        <v>1.6816899999999999</v>
      </c>
      <c r="G2" s="66">
        <v>0.56152000000000002</v>
      </c>
      <c r="H2" s="66">
        <v>0</v>
      </c>
      <c r="I2" s="66">
        <v>123058</v>
      </c>
      <c r="J2" s="66">
        <v>73</v>
      </c>
      <c r="K2" s="66">
        <v>73</v>
      </c>
      <c r="L2" s="66">
        <v>0</v>
      </c>
      <c r="M2" s="66" t="s">
        <v>571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2019-05-22T00:46:27Z</cp:lastPrinted>
  <dcterms:created xsi:type="dcterms:W3CDTF">2010-10-29T12:53:05Z</dcterms:created>
  <dcterms:modified xsi:type="dcterms:W3CDTF">2019-05-22T00:47:13Z</dcterms:modified>
</cp:coreProperties>
</file>