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Z17" i="23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<sst xmlns="http://schemas.openxmlformats.org/spreadsheetml/2006/main" count="701" uniqueCount="522">
  <si>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</si>
  <si>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</si>
  <si>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</si>
  <si>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</si>
  <si>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</si>
  <si>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</si>
  <si>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</si>
  <si>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</si>
  <si>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</si>
  <si>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</si>
  <si>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</si>
  <si>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</si>
  <si>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</si>
  <si>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</si>
  <si>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</si>
  <si>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</si>
  <si>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</si>
  <si>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</si>
  <si>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</si>
  <si>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</si>
  <si>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</si>
  <si>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</si>
  <si>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</si>
  <si>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</si>
  <si>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</si>
  <si>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</si>
  <si>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</si>
  <si>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</si>
  <si>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</si>
  <si>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</si>
  <si>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</si>
  <si>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</si>
  <si>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</si>
  <si>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</si>
  <si>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</si>
  <si>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</si>
  <si>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</si>
  <si>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</si>
  <si>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</si>
  <si>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</si>
  <si>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</si>
  <si>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</si>
  <si>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</si>
  <si>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</si>
  <si>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</si>
  <si>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</si>
  <si>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</si>
  <si>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</si>
  <si>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</si>
  <si>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</si>
  <si>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</si>
  <si>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</si>
  <si>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</si>
  <si>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</si>
  <si>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</si>
  <si>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</si>
  <si>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</si>
  <si>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</si>
  <si>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</si>
  <si>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</si>
  <si>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</si>
  <si>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</si>
  <si>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</si>
  <si>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</si>
  <si>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</si>
  <si>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</si>
  <si>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</si>
  <si>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</si>
  <si>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</si>
  <si>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</si>
  <si>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</si>
  <si>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</si>
  <si>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</si>
  <si>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</si>
  <si>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</si>
  <si>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</si>
  <si>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</si>
  <si>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</si>
  <si>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</si>
  <si>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</si>
  <si>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</si>
  <si>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</si>
  <si>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</si>
  <si>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</si>
  <si>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</si>
  <si>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</si>
  <si>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</si>
  <si>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</si>
  <si>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</si>
  <si>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</si>
  <si>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</si>
  <si>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</si>
  <si>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</si>
  <si>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</si>
  <si>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</si>
  <si>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</si>
  <si>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</si>
  <si>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</si>
  <si>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</si>
  <si>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</si>
  <si>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</si>
  <si>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</si>
  <si>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</si>
  <si>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</si>
  <si>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</si>
  <si>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</si>
  <si>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</si>
  <si>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</si>
  <si>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</si>
  <si>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</si>
  <si>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</si>
  <si>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</si>
  <si>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</si>
  <si>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</si>
  <si>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</si>
  <si>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</si>
  <si>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</si>
  <si>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</si>
  <si>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</si>
  <si>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</si>
  <si>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</si>
  <si>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</si>
  <si>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</si>
  <si>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</si>
  <si>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</si>
  <si>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</si>
  <si>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</si>
  <si>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</si>
  <si>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</si>
  <si>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</si>
  <si>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</si>
  <si>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</si>
  <si>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</si>
  <si>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</si>
  <si>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</si>
  <si>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</si>
  <si>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</si>
  <si>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</si>
  <si>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</si>
  <si>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</si>
  <si>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</si>
  <si>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</si>
  <si>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</si>
  <si>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</si>
  <si>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</si>
  <si>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</si>
  <si>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</si>
  <si>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</si>
  <si>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</si>
  <si>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</si>
  <si>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</si>
  <si>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</si>
  <si>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</si>
  <si>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</si>
  <si>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</si>
  <si>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</si>
  <si>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</si>
  <si>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</si>
  <si>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</si>
  <si>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</si>
  <si>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</si>
  <si>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</si>
  <si>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</si>
  <si>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</si>
  <si>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</si>
  <si>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</si>
  <si>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</si>
  <si>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</si>
  <si>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</si>
  <si>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</si>
  <si>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</si>
  <si>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</si>
  <si>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</si>
  <si>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</si>
  <si>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</si>
  <si>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</si>
  <si>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</si>
  <si>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</si>
  <si>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</si>
  <si>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</si>
  <si>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</si>
  <si>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</si>
  <si>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</si>
  <si>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</si>
  <si>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</si>
  <si>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</si>
  <si>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</si>
  <si>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</si>
  <si>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</si>
  <si>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</si>
  <si>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</si>
  <si>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</si>
  <si>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</si>
  <si>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</si>
  <si>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</si>
  <si>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</si>
  <si>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</si>
  <si>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</si>
  <si>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</si>
  <si>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</si>
  <si>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</si>
  <si>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</si>
  <si>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</si>
  <si>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</si>
  <si>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</si>
  <si>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</si>
  <si>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</si>
  <si>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</si>
  <si>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</si>
  <si>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</si>
  <si>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</si>
  <si>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</si>
  <si>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</si>
  <si>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</si>
  <si>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</si>
  <si>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</si>
  <si>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</si>
  <si>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</si>
  <si>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</si>
  <si>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</si>
  <si>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</si>
  <si>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</si>
  <si>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</si>
  <si>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</si>
  <si>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</si>
  <si>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</si>
  <si>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</si>
  <si>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</si>
  <si>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</si>
  <si>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</si>
  <si>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</si>
  <si>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</si>
  <si>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</si>
  <si>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</si>
  <si>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</si>
  <si>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</si>
  <si>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</si>
  <si>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</si>
  <si>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</si>
  <si>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</si>
  <si>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</si>
  <si>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</si>
  <si>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</si>
  <si>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</si>
  <si>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</si>
  <si>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</si>
  <si>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</si>
  <si>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</si>
  <si>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</si>
  <si>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</si>
  <si>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</si>
  <si>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</si>
  <si>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</si>
  <si>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</si>
  <si>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</si>
  <si>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</si>
  <si>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</si>
  <si>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</si>
  <si>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</si>
  <si>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</si>
  <si>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</si>
  <si>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</si>
  <si>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</si>
  <si>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</si>
  <si>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</si>
  <si>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</si>
  <si>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</si>
  <si>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</si>
  <si>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</si>
  <si>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</si>
  <si>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</si>
  <si>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</si>
  <si>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</si>
  <si>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</si>
  <si>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</si>
  <si>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</si>
  <si>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</si>
  <si>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</si>
  <si>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</si>
  <si>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</si>
  <si>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</si>
  <si>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</si>
  <si>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</si>
  <si>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</si>
  <si>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</si>
  <si>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</si>
  <si>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</si>
  <si>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</si>
  <si>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</si>
  <si>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</si>
  <si>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</si>
  <si>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</si>
  <si>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</si>
  <si>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</si>
  <si>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</si>
  <si>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</si>
  <si>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</si>
  <si>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</si>
  <si>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</si>
  <si>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</si>
  <si>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</si>
  <si>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</si>
  <si>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</si>
  <si>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</si>
  <si>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</si>
  <si>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</si>
  <si>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</si>
  <si>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</si>
  <si>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</si>
  <si>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</si>
  <si>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</si>
  <si>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</si>
  <si>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</si>
  <si>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</si>
  <si>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</si>
  <si>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</si>
  <si>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</si>
  <si>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</si>
  <si>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</si>
  <si>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</si>
  <si>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</si>
  <si>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</si>
  <si>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</si>
  <si>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</si>
  <si>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</si>
  <si>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</si>
  <si>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</si>
  <si>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</si>
  <si>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</si>
  <si>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</si>
  <si>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</si>
  <si>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</si>
  <si>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</si>
  <si>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</si>
  <si>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</si>
  <si>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</si>
  <si>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</si>
  <si>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</si>
  <si>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</si>
  <si>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</si>
  <si>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</si>
  <si>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</si>
  <si>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</si>
  <si>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</si>
  <si>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</si>
  <si>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</si>
  <si>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</si>
  <si>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</si>
  <si>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</si>
  <si>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</si>
  <si>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</si>
  <si>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</si>
  <si>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</si>
  <si>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</si>
  <si>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</si>
  <si>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</si>
  <si>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</si>
  <si>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</si>
  <si>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[0.408650]</t>
  </si>
  <si>
    <t>1 [0.813418]</t>
  </si>
  <si>
    <t>1 [1.219468]</t>
  </si>
  <si>
    <t>1 [1.628998]</t>
  </si>
  <si>
    <t>1 [2.033199]</t>
  </si>
  <si>
    <t>1 [2.437874]</t>
  </si>
  <si>
    <t>1 [2.843228]</t>
  </si>
  <si>
    <t>1 [3.248999]</t>
  </si>
  <si>
    <t>1 [3.657751]</t>
  </si>
  <si>
    <t>1 [4.068413]</t>
  </si>
  <si>
    <t>1 [4.471425]</t>
  </si>
  <si>
    <t>1 [4.875452]</t>
  </si>
  <si>
    <t>1 [5.281307]</t>
  </si>
  <si>
    <t>1 [5.688804]</t>
  </si>
  <si>
    <t>1 [6.097383]</t>
  </si>
  <si>
    <t>1 [6.503351]</t>
  </si>
  <si>
    <t>1 [6.907189]</t>
  </si>
  <si>
    <t>1 [7.312341]</t>
  </si>
  <si>
    <t>1 [7.721529]</t>
  </si>
  <si>
    <t>1 [8.125358]</t>
  </si>
  <si>
    <t>1 [8.532286]</t>
  </si>
  <si>
    <t>1 [8.940743]</t>
  </si>
  <si>
    <t>1 [9.346169]</t>
  </si>
  <si>
    <t>1 [9.752312]</t>
  </si>
  <si>
    <t>1 [10.157977]</t>
  </si>
  <si>
    <t>1 [10.563922]</t>
  </si>
  <si>
    <t>1 [10.971783]</t>
  </si>
  <si>
    <t>1 [11.378358]</t>
  </si>
  <si>
    <t>1 [11.782884]</t>
  </si>
  <si>
    <t>1 [12.188322]</t>
  </si>
  <si>
    <t>1 [12.595678]</t>
  </si>
  <si>
    <t>1 [13.002593]</t>
  </si>
  <si>
    <t>1 [13.408998]</t>
  </si>
  <si>
    <t>1 [13.814442]</t>
  </si>
  <si>
    <t>1 [14.220778]</t>
  </si>
  <si>
    <t>1 [14.623375]</t>
  </si>
  <si>
    <t>1 [15.031710]</t>
  </si>
  <si>
    <t>1 [15.437810]</t>
  </si>
  <si>
    <t>1 [15.845205]</t>
  </si>
  <si>
    <t>1 [16.250862]</t>
  </si>
  <si>
    <t>1 [16.655675]</t>
  </si>
  <si>
    <t>1 [17.064901]</t>
  </si>
  <si>
    <t>1 [17.471539]</t>
  </si>
  <si>
    <t>1 [17.875889]</t>
  </si>
  <si>
    <t>1 [18.281686]</t>
  </si>
  <si>
    <t>1 [18.688887]</t>
  </si>
  <si>
    <t>1 [19.093297]</t>
  </si>
  <si>
    <t>1 [19.502512]</t>
  </si>
  <si>
    <t>1 [19.908820]</t>
  </si>
  <si>
    <t>1 [20.315013]</t>
  </si>
  <si>
    <t>1 [20.721908]</t>
  </si>
  <si>
    <t>1 [21.125875]</t>
  </si>
  <si>
    <t>1 [21.534349]</t>
  </si>
  <si>
    <t>1 [21.939921]</t>
  </si>
  <si>
    <t>1 [22.344635]</t>
  </si>
  <si>
    <t>1 [22.748756]</t>
  </si>
  <si>
    <t>1 [23.158050]</t>
  </si>
  <si>
    <t>1 [23.562794]</t>
  </si>
  <si>
    <t>1 [23.973665]</t>
  </si>
  <si>
    <t>1 [24.376284]</t>
  </si>
  <si>
    <t>1 [24.782999]</t>
  </si>
  <si>
    <t>1 [25.188437]</t>
  </si>
  <si>
    <t>1 [25.596760]</t>
  </si>
  <si>
    <t>1 [26.004582]</t>
  </si>
  <si>
    <t>1 [26.408205]</t>
  </si>
  <si>
    <t>1 [26.812443]</t>
  </si>
  <si>
    <t>1 [27.219887]</t>
  </si>
  <si>
    <t>1 [27.627452]</t>
  </si>
  <si>
    <t>1 [28.033265]</t>
  </si>
  <si>
    <t>1 [28.437807]</t>
  </si>
  <si>
    <t>1 [28.844709]</t>
  </si>
  <si>
    <t>1 [29.252095]</t>
  </si>
  <si>
    <t>1 [29.658306]</t>
  </si>
  <si>
    <t>2 [30.065199]</t>
  </si>
  <si>
    <t>2 [30.503072]</t>
  </si>
  <si>
    <t>2 [30.908107]</t>
  </si>
  <si>
    <t>2 [31.314194]</t>
  </si>
  <si>
    <t>2 [31.718291]</t>
  </si>
  <si>
    <t>2 [32.125492]</t>
  </si>
  <si>
    <t>2 [32.531497]</t>
  </si>
  <si>
    <t>2 [32.939629]</t>
  </si>
  <si>
    <t>2 [33.345131]</t>
  </si>
  <si>
    <t>2 [33.750798]</t>
  </si>
  <si>
    <t>2 [34.156168]</t>
  </si>
  <si>
    <t>2 [34.562067]</t>
  </si>
  <si>
    <t>2 [34.968630]</t>
  </si>
  <si>
    <t>2 [35.376297]</t>
  </si>
  <si>
    <t>2 [35.784704]</t>
  </si>
  <si>
    <t>2 [36.188080]</t>
  </si>
  <si>
    <t>2 [36.596108]</t>
  </si>
  <si>
    <t>2 [37.000768]</t>
  </si>
  <si>
    <t>2 [37.410491]</t>
  </si>
  <si>
    <t>2 [37.815822]</t>
  </si>
  <si>
    <t>2 [38.224112]</t>
  </si>
  <si>
    <t>2 [38.626354]</t>
  </si>
  <si>
    <t>2 [39.032903]</t>
  </si>
  <si>
    <t>2 [39.442162]</t>
  </si>
  <si>
    <t>2 [39.844808]</t>
  </si>
  <si>
    <t>2 [40.251760]</t>
  </si>
  <si>
    <t>2 [40.657551]</t>
  </si>
  <si>
    <t>2 [41.066175]</t>
  </si>
  <si>
    <t>2 [41.472088]</t>
  </si>
  <si>
    <t>2 [41.878702]</t>
  </si>
  <si>
    <t>2 [42.283102]</t>
  </si>
  <si>
    <t>2 [42.688781]</t>
  </si>
  <si>
    <t>2 [43.094713]</t>
  </si>
  <si>
    <t>2 [43.503629]</t>
  </si>
  <si>
    <t>2 [43.909177]</t>
  </si>
  <si>
    <t>2 [44.314528]</t>
  </si>
  <si>
    <t>2 [44.717780]</t>
  </si>
  <si>
    <t>2 [45.124735]</t>
  </si>
  <si>
    <t>2 [45.533257]</t>
  </si>
  <si>
    <t>2 [45.939152]</t>
  </si>
  <si>
    <t>2 [46.343159]</t>
  </si>
  <si>
    <t>2 [46.749458]</t>
  </si>
  <si>
    <t>2 [47.158613]</t>
  </si>
  <si>
    <t>2 [47.563782]</t>
  </si>
  <si>
    <t>2 [47.972063]</t>
  </si>
  <si>
    <t>2 [48.375786]</t>
  </si>
  <si>
    <t>2 [48.784341]</t>
  </si>
  <si>
    <t>2 [49.187605]</t>
  </si>
  <si>
    <t>2 [49.594361]</t>
  </si>
  <si>
    <t>2 [50.005201]</t>
  </si>
  <si>
    <t>2 [50.409299]</t>
  </si>
  <si>
    <t>2 [50.811546]</t>
  </si>
  <si>
    <t>2 [51.222034]</t>
  </si>
  <si>
    <t>2 [51.628154]</t>
  </si>
  <si>
    <t>2 [52.036370]</t>
  </si>
  <si>
    <t>2 [52.443784]</t>
  </si>
  <si>
    <t>2 [52.844449]</t>
  </si>
  <si>
    <t>2 [53.253745]</t>
  </si>
  <si>
    <t>2 [53.656591]</t>
  </si>
  <si>
    <t>2 [54.066486]</t>
  </si>
  <si>
    <t>2 [54.470199]</t>
  </si>
  <si>
    <t>2 [54.875770]</t>
  </si>
  <si>
    <t>2 [55.284960]</t>
  </si>
  <si>
    <t>2 [55.689186]</t>
  </si>
  <si>
    <t>2 [56.097994]</t>
  </si>
  <si>
    <t>2 [56.502581]</t>
  </si>
  <si>
    <t>2 [56.907263]</t>
  </si>
  <si>
    <t>2 [57.310539]</t>
  </si>
  <si>
    <t>2 [57.720819]</t>
  </si>
  <si>
    <t>2 [58.123707]</t>
  </si>
  <si>
    <t>2 [58.535503]</t>
  </si>
  <si>
    <t>2 [58.941143]</t>
  </si>
  <si>
    <t>2 [59.350559]</t>
  </si>
  <si>
    <t>2 [59.755943]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</si>
  <si>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</si>
  <si>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</si>
  <si>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</si>
  <si>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</si>
  <si>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</si>
  <si>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</si>
  <si>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</si>
  <si>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S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</si>
  <si>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</si>
  <si>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</si>
  <si>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</si>
  <si>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</si>
  <si>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</si>
  <si>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</si>
  <si>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</si>
  <si>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</si>
  <si>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薛伟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</si>
</sst>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42.629600000000003</c:v>
                </c:pt>
                <c:pt idx="1">
                  <c:v>35.634999999999998</c:v>
                </c:pt>
                <c:pt idx="2">
                  <c:v>26.087299999999999</c:v>
                </c:pt>
                <c:pt idx="3">
                  <c:v>35.2774</c:v>
                </c:pt>
                <c:pt idx="4">
                  <c:v>68.788300000000007</c:v>
                </c:pt>
                <c:pt idx="5">
                  <c:v>60.965699999999998</c:v>
                </c:pt>
                <c:pt idx="6">
                  <c:v>28.421399999999998</c:v>
                </c:pt>
                <c:pt idx="7">
                  <c:v>65.248000000000005</c:v>
                </c:pt>
                <c:pt idx="8">
                  <c:v>21.162099999999999</c:v>
                </c:pt>
                <c:pt idx="9">
                  <c:v>34.1815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0.47161617588047788</c:v>
                </c:pt>
                <c:pt idx="1">
                  <c:v>0.29473831526540195</c:v>
                </c:pt>
                <c:pt idx="2">
                  <c:v>0.23364550885412014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8116</c:v>
                </c:pt>
                <c:pt idx="7">
                  <c:v>0</c:v>
                </c:pt>
                <c:pt idx="8">
                  <c:v>7233</c:v>
                </c:pt>
                <c:pt idx="9">
                  <c:v>0</c:v>
                </c:pt>
                <c:pt idx="10">
                  <c:v>0</c:v>
                </c:pt>
                <c:pt idx="11">
                  <c:v>13024</c:v>
                </c:pt>
                <c:pt idx="12">
                  <c:v>0</c:v>
                </c:pt>
                <c:pt idx="13">
                  <c:v>14838</c:v>
                </c:pt>
                <c:pt idx="14">
                  <c:v>0</c:v>
                </c:pt>
                <c:pt idx="15">
                  <c:v>0</c:v>
                </c:pt>
                <c:pt idx="16">
                  <c:v>14570</c:v>
                </c:pt>
                <c:pt idx="17">
                  <c:v>0</c:v>
                </c:pt>
                <c:pt idx="18">
                  <c:v>0</c:v>
                </c:pt>
                <c:pt idx="19">
                  <c:v>19479</c:v>
                </c:pt>
                <c:pt idx="20">
                  <c:v>0</c:v>
                </c:pt>
                <c:pt idx="21">
                  <c:v>18609</c:v>
                </c:pt>
                <c:pt idx="22">
                  <c:v>0</c:v>
                </c:pt>
                <c:pt idx="23">
                  <c:v>0</c:v>
                </c:pt>
                <c:pt idx="24">
                  <c:v>19228</c:v>
                </c:pt>
                <c:pt idx="25">
                  <c:v>0</c:v>
                </c:pt>
                <c:pt idx="26">
                  <c:v>21276</c:v>
                </c:pt>
                <c:pt idx="27">
                  <c:v>0</c:v>
                </c:pt>
                <c:pt idx="28">
                  <c:v>0</c:v>
                </c:pt>
                <c:pt idx="29">
                  <c:v>25683</c:v>
                </c:pt>
                <c:pt idx="30">
                  <c:v>0</c:v>
                </c:pt>
                <c:pt idx="31">
                  <c:v>27811</c:v>
                </c:pt>
                <c:pt idx="32">
                  <c:v>0</c:v>
                </c:pt>
                <c:pt idx="33">
                  <c:v>0</c:v>
                </c:pt>
                <c:pt idx="34">
                  <c:v>38110</c:v>
                </c:pt>
                <c:pt idx="35">
                  <c:v>0</c:v>
                </c:pt>
                <c:pt idx="36">
                  <c:v>0</c:v>
                </c:pt>
                <c:pt idx="37">
                  <c:v>45441</c:v>
                </c:pt>
                <c:pt idx="38">
                  <c:v>0</c:v>
                </c:pt>
                <c:pt idx="39">
                  <c:v>48750</c:v>
                </c:pt>
                <c:pt idx="40">
                  <c:v>0</c:v>
                </c:pt>
                <c:pt idx="41">
                  <c:v>0</c:v>
                </c:pt>
                <c:pt idx="42">
                  <c:v>52727</c:v>
                </c:pt>
                <c:pt idx="43">
                  <c:v>0</c:v>
                </c:pt>
                <c:pt idx="44">
                  <c:v>55827</c:v>
                </c:pt>
                <c:pt idx="45">
                  <c:v>0</c:v>
                </c:pt>
                <c:pt idx="46">
                  <c:v>0</c:v>
                </c:pt>
                <c:pt idx="47">
                  <c:v>70012</c:v>
                </c:pt>
                <c:pt idx="48">
                  <c:v>0</c:v>
                </c:pt>
                <c:pt idx="49">
                  <c:v>73020</c:v>
                </c:pt>
                <c:pt idx="50">
                  <c:v>0</c:v>
                </c:pt>
                <c:pt idx="51">
                  <c:v>0</c:v>
                </c:pt>
                <c:pt idx="52">
                  <c:v>71008</c:v>
                </c:pt>
                <c:pt idx="53">
                  <c:v>0</c:v>
                </c:pt>
                <c:pt idx="54">
                  <c:v>0</c:v>
                </c:pt>
                <c:pt idx="55">
                  <c:v>70489</c:v>
                </c:pt>
                <c:pt idx="56">
                  <c:v>0</c:v>
                </c:pt>
                <c:pt idx="57">
                  <c:v>71276</c:v>
                </c:pt>
                <c:pt idx="58">
                  <c:v>0</c:v>
                </c:pt>
                <c:pt idx="59">
                  <c:v>0</c:v>
                </c:pt>
                <c:pt idx="60">
                  <c:v>79239</c:v>
                </c:pt>
                <c:pt idx="61">
                  <c:v>0</c:v>
                </c:pt>
                <c:pt idx="62">
                  <c:v>78568</c:v>
                </c:pt>
                <c:pt idx="63">
                  <c:v>0</c:v>
                </c:pt>
                <c:pt idx="64">
                  <c:v>0</c:v>
                </c:pt>
                <c:pt idx="65">
                  <c:v>89566</c:v>
                </c:pt>
                <c:pt idx="66">
                  <c:v>0</c:v>
                </c:pt>
                <c:pt idx="67">
                  <c:v>93220</c:v>
                </c:pt>
                <c:pt idx="68">
                  <c:v>0</c:v>
                </c:pt>
                <c:pt idx="69">
                  <c:v>0</c:v>
                </c:pt>
                <c:pt idx="70">
                  <c:v>102985</c:v>
                </c:pt>
                <c:pt idx="71">
                  <c:v>0</c:v>
                </c:pt>
                <c:pt idx="72">
                  <c:v>0</c:v>
                </c:pt>
                <c:pt idx="73">
                  <c:v>112569</c:v>
                </c:pt>
                <c:pt idx="74">
                  <c:v>0</c:v>
                </c:pt>
                <c:pt idx="75">
                  <c:v>117750</c:v>
                </c:pt>
                <c:pt idx="76">
                  <c:v>0</c:v>
                </c:pt>
                <c:pt idx="77">
                  <c:v>0</c:v>
                </c:pt>
                <c:pt idx="78">
                  <c:v>129268</c:v>
                </c:pt>
                <c:pt idx="79">
                  <c:v>0</c:v>
                </c:pt>
                <c:pt idx="80">
                  <c:v>132497</c:v>
                </c:pt>
                <c:pt idx="81">
                  <c:v>0</c:v>
                </c:pt>
                <c:pt idx="82">
                  <c:v>0</c:v>
                </c:pt>
                <c:pt idx="83">
                  <c:v>140712</c:v>
                </c:pt>
                <c:pt idx="84">
                  <c:v>0</c:v>
                </c:pt>
                <c:pt idx="85">
                  <c:v>0</c:v>
                </c:pt>
                <c:pt idx="86">
                  <c:v>156713</c:v>
                </c:pt>
                <c:pt idx="87">
                  <c:v>0</c:v>
                </c:pt>
                <c:pt idx="88">
                  <c:v>166566</c:v>
                </c:pt>
                <c:pt idx="89">
                  <c:v>0</c:v>
                </c:pt>
                <c:pt idx="90">
                  <c:v>0</c:v>
                </c:pt>
                <c:pt idx="91">
                  <c:v>170369</c:v>
                </c:pt>
                <c:pt idx="92">
                  <c:v>0</c:v>
                </c:pt>
                <c:pt idx="93">
                  <c:v>176026</c:v>
                </c:pt>
                <c:pt idx="94">
                  <c:v>0</c:v>
                </c:pt>
                <c:pt idx="95">
                  <c:v>0</c:v>
                </c:pt>
                <c:pt idx="96">
                  <c:v>186298</c:v>
                </c:pt>
                <c:pt idx="97">
                  <c:v>0</c:v>
                </c:pt>
                <c:pt idx="98">
                  <c:v>186902</c:v>
                </c:pt>
                <c:pt idx="99">
                  <c:v>0</c:v>
                </c:pt>
                <c:pt idx="100">
                  <c:v>0</c:v>
                </c:pt>
                <c:pt idx="101">
                  <c:v>187052</c:v>
                </c:pt>
                <c:pt idx="102">
                  <c:v>0</c:v>
                </c:pt>
                <c:pt idx="103">
                  <c:v>0</c:v>
                </c:pt>
                <c:pt idx="104">
                  <c:v>194031</c:v>
                </c:pt>
                <c:pt idx="105">
                  <c:v>0</c:v>
                </c:pt>
                <c:pt idx="106">
                  <c:v>197069</c:v>
                </c:pt>
                <c:pt idx="107">
                  <c:v>0</c:v>
                </c:pt>
                <c:pt idx="108">
                  <c:v>0</c:v>
                </c:pt>
                <c:pt idx="109">
                  <c:v>198285</c:v>
                </c:pt>
                <c:pt idx="110">
                  <c:v>0</c:v>
                </c:pt>
                <c:pt idx="111">
                  <c:v>200955</c:v>
                </c:pt>
                <c:pt idx="112">
                  <c:v>0</c:v>
                </c:pt>
                <c:pt idx="113">
                  <c:v>0</c:v>
                </c:pt>
                <c:pt idx="114">
                  <c:v>190138</c:v>
                </c:pt>
                <c:pt idx="115">
                  <c:v>0</c:v>
                </c:pt>
                <c:pt idx="116">
                  <c:v>192021</c:v>
                </c:pt>
                <c:pt idx="117">
                  <c:v>0</c:v>
                </c:pt>
                <c:pt idx="118">
                  <c:v>0</c:v>
                </c:pt>
                <c:pt idx="119">
                  <c:v>180849</c:v>
                </c:pt>
                <c:pt idx="120">
                  <c:v>0</c:v>
                </c:pt>
                <c:pt idx="121">
                  <c:v>0</c:v>
                </c:pt>
                <c:pt idx="122">
                  <c:v>182881</c:v>
                </c:pt>
                <c:pt idx="123">
                  <c:v>0</c:v>
                </c:pt>
                <c:pt idx="124">
                  <c:v>171306</c:v>
                </c:pt>
                <c:pt idx="125">
                  <c:v>0</c:v>
                </c:pt>
                <c:pt idx="126">
                  <c:v>0</c:v>
                </c:pt>
                <c:pt idx="127">
                  <c:v>162156</c:v>
                </c:pt>
                <c:pt idx="128">
                  <c:v>0</c:v>
                </c:pt>
                <c:pt idx="129">
                  <c:v>146680</c:v>
                </c:pt>
                <c:pt idx="130">
                  <c:v>0</c:v>
                </c:pt>
                <c:pt idx="131">
                  <c:v>0</c:v>
                </c:pt>
                <c:pt idx="132">
                  <c:v>135374</c:v>
                </c:pt>
                <c:pt idx="133">
                  <c:v>0</c:v>
                </c:pt>
                <c:pt idx="134">
                  <c:v>127162</c:v>
                </c:pt>
                <c:pt idx="135">
                  <c:v>0</c:v>
                </c:pt>
                <c:pt idx="136">
                  <c:v>0</c:v>
                </c:pt>
                <c:pt idx="137">
                  <c:v>117233</c:v>
                </c:pt>
                <c:pt idx="138">
                  <c:v>0</c:v>
                </c:pt>
                <c:pt idx="139">
                  <c:v>0</c:v>
                </c:pt>
                <c:pt idx="140">
                  <c:v>104070</c:v>
                </c:pt>
                <c:pt idx="141">
                  <c:v>0</c:v>
                </c:pt>
                <c:pt idx="142">
                  <c:v>99156</c:v>
                </c:pt>
                <c:pt idx="143">
                  <c:v>0</c:v>
                </c:pt>
                <c:pt idx="144">
                  <c:v>0</c:v>
                </c:pt>
                <c:pt idx="145">
                  <c:v>90593</c:v>
                </c:pt>
                <c:pt idx="146">
                  <c:v>0</c:v>
                </c:pt>
                <c:pt idx="147">
                  <c:v>83660</c:v>
                </c:pt>
                <c:pt idx="148">
                  <c:v>0</c:v>
                </c:pt>
                <c:pt idx="149">
                  <c:v>0</c:v>
                </c:pt>
                <c:pt idx="150">
                  <c:v>76366</c:v>
                </c:pt>
                <c:pt idx="151">
                  <c:v>0</c:v>
                </c:pt>
                <c:pt idx="152">
                  <c:v>65783</c:v>
                </c:pt>
                <c:pt idx="153">
                  <c:v>0</c:v>
                </c:pt>
                <c:pt idx="154">
                  <c:v>0</c:v>
                </c:pt>
                <c:pt idx="155">
                  <c:v>60234</c:v>
                </c:pt>
                <c:pt idx="156">
                  <c:v>0</c:v>
                </c:pt>
                <c:pt idx="157">
                  <c:v>0</c:v>
                </c:pt>
                <c:pt idx="158">
                  <c:v>55394</c:v>
                </c:pt>
                <c:pt idx="159">
                  <c:v>0</c:v>
                </c:pt>
                <c:pt idx="160">
                  <c:v>52438</c:v>
                </c:pt>
                <c:pt idx="161">
                  <c:v>0</c:v>
                </c:pt>
                <c:pt idx="162">
                  <c:v>0</c:v>
                </c:pt>
                <c:pt idx="163">
                  <c:v>45007</c:v>
                </c:pt>
                <c:pt idx="164">
                  <c:v>0</c:v>
                </c:pt>
                <c:pt idx="165">
                  <c:v>33832</c:v>
                </c:pt>
                <c:pt idx="166">
                  <c:v>0</c:v>
                </c:pt>
                <c:pt idx="167">
                  <c:v>0</c:v>
                </c:pt>
                <c:pt idx="168">
                  <c:v>31141</c:v>
                </c:pt>
                <c:pt idx="169">
                  <c:v>0</c:v>
                </c:pt>
                <c:pt idx="170">
                  <c:v>0</c:v>
                </c:pt>
                <c:pt idx="171">
                  <c:v>26207</c:v>
                </c:pt>
                <c:pt idx="172">
                  <c:v>0</c:v>
                </c:pt>
                <c:pt idx="173">
                  <c:v>24608</c:v>
                </c:pt>
                <c:pt idx="174">
                  <c:v>0</c:v>
                </c:pt>
                <c:pt idx="175">
                  <c:v>0</c:v>
                </c:pt>
                <c:pt idx="176">
                  <c:v>21550</c:v>
                </c:pt>
                <c:pt idx="177">
                  <c:v>0</c:v>
                </c:pt>
                <c:pt idx="178">
                  <c:v>19740</c:v>
                </c:pt>
                <c:pt idx="179">
                  <c:v>0</c:v>
                </c:pt>
                <c:pt idx="180">
                  <c:v>0</c:v>
                </c:pt>
                <c:pt idx="181">
                  <c:v>11971</c:v>
                </c:pt>
                <c:pt idx="182">
                  <c:v>0</c:v>
                </c:pt>
                <c:pt idx="183">
                  <c:v>8911</c:v>
                </c:pt>
                <c:pt idx="184">
                  <c:v>0</c:v>
                </c:pt>
                <c:pt idx="185">
                  <c:v>0</c:v>
                </c:pt>
                <c:pt idx="186">
                  <c:v>4626</c:v>
                </c:pt>
                <c:pt idx="187">
                  <c:v>0</c:v>
                </c:pt>
                <c:pt idx="188">
                  <c:v>0</c:v>
                </c:pt>
                <c:pt idx="189">
                  <c:v>3495</c:v>
                </c:pt>
                <c:pt idx="190">
                  <c:v>0</c:v>
                </c:pt>
                <c:pt idx="191">
                  <c:v>3719</c:v>
                </c:pt>
                <c:pt idx="192">
                  <c:v>0</c:v>
                </c:pt>
                <c:pt idx="193">
                  <c:v>0</c:v>
                </c:pt>
                <c:pt idx="194">
                  <c:v>2071</c:v>
                </c:pt>
                <c:pt idx="195">
                  <c:v>0</c:v>
                </c:pt>
                <c:pt idx="196">
                  <c:v>1829</c:v>
                </c:pt>
                <c:pt idx="197">
                  <c:v>0</c:v>
                </c:pt>
                <c:pt idx="198">
                  <c:v>0</c:v>
                </c:pt>
                <c:pt idx="199">
                  <c:v>671</c:v>
                </c:pt>
                <c:pt idx="200">
                  <c:v>0</c:v>
                </c:pt>
                <c:pt idx="201">
                  <c:v>357</c:v>
                </c:pt>
                <c:pt idx="202">
                  <c:v>0</c:v>
                </c:pt>
                <c:pt idx="203">
                  <c:v>0</c:v>
                </c:pt>
                <c:pt idx="204">
                  <c:v>90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2.4964400000000002</c:v>
                </c:pt>
                <c:pt idx="1">
                  <c:v>2.5545</c:v>
                </c:pt>
                <c:pt idx="2">
                  <c:v>2.6159300000000001</c:v>
                </c:pt>
                <c:pt idx="3">
                  <c:v>2.6804000000000001</c:v>
                </c:pt>
                <c:pt idx="4">
                  <c:v>2.7461200000000003</c:v>
                </c:pt>
                <c:pt idx="5">
                  <c:v>2.81047</c:v>
                </c:pt>
                <c:pt idx="6">
                  <c:v>2.8785799999999999</c:v>
                </c:pt>
                <c:pt idx="7">
                  <c:v>2.9477700000000002</c:v>
                </c:pt>
                <c:pt idx="8">
                  <c:v>3.01661</c:v>
                </c:pt>
                <c:pt idx="9">
                  <c:v>3.0870199999999999</c:v>
                </c:pt>
                <c:pt idx="10">
                  <c:v>3.1540600000000003</c:v>
                </c:pt>
                <c:pt idx="11">
                  <c:v>3.2182399999999998</c:v>
                </c:pt>
                <c:pt idx="12">
                  <c:v>3.2812400000000004</c:v>
                </c:pt>
                <c:pt idx="13">
                  <c:v>3.3438400000000001</c:v>
                </c:pt>
                <c:pt idx="14">
                  <c:v>3.4059499999999998</c:v>
                </c:pt>
                <c:pt idx="15">
                  <c:v>3.4694700000000003</c:v>
                </c:pt>
                <c:pt idx="16">
                  <c:v>3.5329100000000002</c:v>
                </c:pt>
                <c:pt idx="17">
                  <c:v>3.5946400000000001</c:v>
                </c:pt>
                <c:pt idx="18">
                  <c:v>3.6551299999999998</c:v>
                </c:pt>
                <c:pt idx="19">
                  <c:v>3.7130000000000001</c:v>
                </c:pt>
                <c:pt idx="20">
                  <c:v>3.7673399999999999</c:v>
                </c:pt>
                <c:pt idx="21">
                  <c:v>3.8199100000000001</c:v>
                </c:pt>
                <c:pt idx="22">
                  <c:v>3.8719799999999998</c:v>
                </c:pt>
                <c:pt idx="23">
                  <c:v>3.9210699999999998</c:v>
                </c:pt>
                <c:pt idx="24">
                  <c:v>3.96915</c:v>
                </c:pt>
                <c:pt idx="25">
                  <c:v>4.0186899999999994</c:v>
                </c:pt>
                <c:pt idx="26">
                  <c:v>4.0652300000000006</c:v>
                </c:pt>
                <c:pt idx="27">
                  <c:v>4.1055999999999999</c:v>
                </c:pt>
                <c:pt idx="28">
                  <c:v>4.1471099999999996</c:v>
                </c:pt>
                <c:pt idx="29">
                  <c:v>4.1897500000000001</c:v>
                </c:pt>
                <c:pt idx="30">
                  <c:v>4.23576</c:v>
                </c:pt>
                <c:pt idx="31">
                  <c:v>4.2828600000000003</c:v>
                </c:pt>
                <c:pt idx="32">
                  <c:v>4.3310900000000006</c:v>
                </c:pt>
                <c:pt idx="33">
                  <c:v>4.3761799999999997</c:v>
                </c:pt>
                <c:pt idx="34">
                  <c:v>4.4198599999999999</c:v>
                </c:pt>
                <c:pt idx="35">
                  <c:v>4.4611200000000002</c:v>
                </c:pt>
                <c:pt idx="36">
                  <c:v>4.4997300000000005</c:v>
                </c:pt>
                <c:pt idx="37">
                  <c:v>4.53559</c:v>
                </c:pt>
                <c:pt idx="38">
                  <c:v>4.5702999999999996</c:v>
                </c:pt>
                <c:pt idx="39">
                  <c:v>4.60527</c:v>
                </c:pt>
                <c:pt idx="40">
                  <c:v>4.6384799999999995</c:v>
                </c:pt>
                <c:pt idx="41">
                  <c:v>4.6668399999999997</c:v>
                </c:pt>
                <c:pt idx="42">
                  <c:v>4.6901799999999998</c:v>
                </c:pt>
                <c:pt idx="43">
                  <c:v>4.7134999999999998</c:v>
                </c:pt>
                <c:pt idx="44">
                  <c:v>4.7344999999999997</c:v>
                </c:pt>
                <c:pt idx="45">
                  <c:v>4.7559300000000002</c:v>
                </c:pt>
                <c:pt idx="46">
                  <c:v>4.77935</c:v>
                </c:pt>
                <c:pt idx="47">
                  <c:v>4.7985600000000002</c:v>
                </c:pt>
                <c:pt idx="48">
                  <c:v>4.8142800000000001</c:v>
                </c:pt>
                <c:pt idx="49">
                  <c:v>4.8270900000000001</c:v>
                </c:pt>
                <c:pt idx="50">
                  <c:v>4.8391900000000003</c:v>
                </c:pt>
                <c:pt idx="51">
                  <c:v>4.85067</c:v>
                </c:pt>
                <c:pt idx="52">
                  <c:v>4.8591600000000001</c:v>
                </c:pt>
                <c:pt idx="53">
                  <c:v>4.8610300000000004</c:v>
                </c:pt>
                <c:pt idx="54">
                  <c:v>4.8574900000000003</c:v>
                </c:pt>
                <c:pt idx="55">
                  <c:v>4.8464900000000002</c:v>
                </c:pt>
                <c:pt idx="56">
                  <c:v>4.8302499999999995</c:v>
                </c:pt>
                <c:pt idx="57">
                  <c:v>4.8100100000000001</c:v>
                </c:pt>
                <c:pt idx="58">
                  <c:v>4.7889900000000001</c:v>
                </c:pt>
                <c:pt idx="59">
                  <c:v>4.7658899999999997</c:v>
                </c:pt>
                <c:pt idx="60">
                  <c:v>4.7425899999999999</c:v>
                </c:pt>
                <c:pt idx="61">
                  <c:v>4.72112</c:v>
                </c:pt>
                <c:pt idx="62">
                  <c:v>4.6987199999999998</c:v>
                </c:pt>
                <c:pt idx="63">
                  <c:v>4.6767700000000003</c:v>
                </c:pt>
                <c:pt idx="64">
                  <c:v>4.6544699999999999</c:v>
                </c:pt>
                <c:pt idx="65">
                  <c:v>4.6323299999999996</c:v>
                </c:pt>
                <c:pt idx="66">
                  <c:v>4.6132499999999999</c:v>
                </c:pt>
                <c:pt idx="67">
                  <c:v>4.5984499999999997</c:v>
                </c:pt>
                <c:pt idx="68">
                  <c:v>4.5823599999999995</c:v>
                </c:pt>
                <c:pt idx="69">
                  <c:v>4.5692300000000001</c:v>
                </c:pt>
                <c:pt idx="70">
                  <c:v>4.5552200000000003</c:v>
                </c:pt>
                <c:pt idx="71">
                  <c:v>4.5348600000000001</c:v>
                </c:pt>
                <c:pt idx="72">
                  <c:v>4.5139699999999996</c:v>
                </c:pt>
                <c:pt idx="73">
                  <c:v>4.4982299999999995</c:v>
                </c:pt>
                <c:pt idx="74">
                  <c:v>4.4805099999999998</c:v>
                </c:pt>
                <c:pt idx="75">
                  <c:v>4.4594699999999996</c:v>
                </c:pt>
                <c:pt idx="76">
                  <c:v>4.4363200000000003</c:v>
                </c:pt>
                <c:pt idx="77">
                  <c:v>4.4153599999999997</c:v>
                </c:pt>
                <c:pt idx="78">
                  <c:v>4.3966899999999995</c:v>
                </c:pt>
                <c:pt idx="79">
                  <c:v>4.3782300000000003</c:v>
                </c:pt>
                <c:pt idx="80">
                  <c:v>4.3628099999999996</c:v>
                </c:pt>
                <c:pt idx="81">
                  <c:v>4.34999</c:v>
                </c:pt>
                <c:pt idx="82">
                  <c:v>4.3387900000000004</c:v>
                </c:pt>
                <c:pt idx="83">
                  <c:v>4.3274400000000002</c:v>
                </c:pt>
                <c:pt idx="84">
                  <c:v>4.3140999999999998</c:v>
                </c:pt>
                <c:pt idx="85">
                  <c:v>4.3015799999999995</c:v>
                </c:pt>
                <c:pt idx="86">
                  <c:v>4.2881099999999996</c:v>
                </c:pt>
                <c:pt idx="87">
                  <c:v>4.2734800000000002</c:v>
                </c:pt>
                <c:pt idx="88">
                  <c:v>4.2551499999999995</c:v>
                </c:pt>
                <c:pt idx="89">
                  <c:v>4.2328799999999998</c:v>
                </c:pt>
                <c:pt idx="90">
                  <c:v>4.20899</c:v>
                </c:pt>
                <c:pt idx="91">
                  <c:v>4.1837200000000001</c:v>
                </c:pt>
                <c:pt idx="92">
                  <c:v>4.1547000000000001</c:v>
                </c:pt>
                <c:pt idx="93">
                  <c:v>4.1238900000000003</c:v>
                </c:pt>
                <c:pt idx="94">
                  <c:v>4.0893800000000002</c:v>
                </c:pt>
                <c:pt idx="95">
                  <c:v>4.0546699999999998</c:v>
                </c:pt>
                <c:pt idx="96">
                  <c:v>4.0226800000000003</c:v>
                </c:pt>
                <c:pt idx="97">
                  <c:v>3.9930700000000003</c:v>
                </c:pt>
                <c:pt idx="98">
                  <c:v>3.9591500000000002</c:v>
                </c:pt>
                <c:pt idx="99">
                  <c:v>3.9247700000000001</c:v>
                </c:pt>
                <c:pt idx="100">
                  <c:v>3.8881800000000002</c:v>
                </c:pt>
                <c:pt idx="101">
                  <c:v>3.8532499999999996</c:v>
                </c:pt>
                <c:pt idx="102">
                  <c:v>3.8202399999999996</c:v>
                </c:pt>
                <c:pt idx="103">
                  <c:v>3.7899100000000003</c:v>
                </c:pt>
                <c:pt idx="104">
                  <c:v>3.7635800000000001</c:v>
                </c:pt>
                <c:pt idx="105">
                  <c:v>3.7373000000000003</c:v>
                </c:pt>
                <c:pt idx="106">
                  <c:v>3.7084999999999999</c:v>
                </c:pt>
                <c:pt idx="107">
                  <c:v>3.6780499999999998</c:v>
                </c:pt>
                <c:pt idx="108">
                  <c:v>3.6493599999999997</c:v>
                </c:pt>
                <c:pt idx="109">
                  <c:v>3.6258400000000002</c:v>
                </c:pt>
                <c:pt idx="110">
                  <c:v>3.6048100000000001</c:v>
                </c:pt>
                <c:pt idx="111">
                  <c:v>3.5856900000000005</c:v>
                </c:pt>
                <c:pt idx="112">
                  <c:v>3.56813</c:v>
                </c:pt>
                <c:pt idx="113">
                  <c:v>3.5504099999999998</c:v>
                </c:pt>
                <c:pt idx="114">
                  <c:v>3.53207</c:v>
                </c:pt>
                <c:pt idx="115">
                  <c:v>3.5137800000000001</c:v>
                </c:pt>
                <c:pt idx="116">
                  <c:v>3.4954099999999997</c:v>
                </c:pt>
                <c:pt idx="117">
                  <c:v>3.4804499999999998</c:v>
                </c:pt>
                <c:pt idx="118">
                  <c:v>3.4662600000000001</c:v>
                </c:pt>
                <c:pt idx="119">
                  <c:v>3.4526600000000003</c:v>
                </c:pt>
                <c:pt idx="120">
                  <c:v>3.4401799999999998</c:v>
                </c:pt>
                <c:pt idx="121">
                  <c:v>3.4296700000000002</c:v>
                </c:pt>
                <c:pt idx="122">
                  <c:v>3.4194499999999999</c:v>
                </c:pt>
                <c:pt idx="123">
                  <c:v>3.41181</c:v>
                </c:pt>
                <c:pt idx="124">
                  <c:v>3.40815</c:v>
                </c:pt>
                <c:pt idx="125">
                  <c:v>3.4084199999999996</c:v>
                </c:pt>
                <c:pt idx="126">
                  <c:v>3.4072300000000002</c:v>
                </c:pt>
                <c:pt idx="127">
                  <c:v>3.40578</c:v>
                </c:pt>
                <c:pt idx="128">
                  <c:v>3.4047200000000002</c:v>
                </c:pt>
                <c:pt idx="129">
                  <c:v>3.4038499999999998</c:v>
                </c:pt>
                <c:pt idx="130">
                  <c:v>3.4049800000000001</c:v>
                </c:pt>
                <c:pt idx="131">
                  <c:v>3.4088400000000001</c:v>
                </c:pt>
                <c:pt idx="132">
                  <c:v>3.4141300000000001</c:v>
                </c:pt>
                <c:pt idx="133">
                  <c:v>3.4192299999999998</c:v>
                </c:pt>
                <c:pt idx="134">
                  <c:v>3.4210800000000003</c:v>
                </c:pt>
                <c:pt idx="135">
                  <c:v>3.4169200000000002</c:v>
                </c:pt>
                <c:pt idx="136">
                  <c:v>3.4083999999999999</c:v>
                </c:pt>
                <c:pt idx="137">
                  <c:v>3.4006500000000002</c:v>
                </c:pt>
                <c:pt idx="138">
                  <c:v>3.4001700000000001</c:v>
                </c:pt>
                <c:pt idx="139">
                  <c:v>3.4077200000000003</c:v>
                </c:pt>
                <c:pt idx="140">
                  <c:v>3.4117999999999999</c:v>
                </c:pt>
                <c:pt idx="141">
                  <c:v>3.4151799999999999</c:v>
                </c:pt>
                <c:pt idx="142">
                  <c:v>3.4156199999999997</c:v>
                </c:pt>
                <c:pt idx="143">
                  <c:v>3.4148299999999998</c:v>
                </c:pt>
                <c:pt idx="144">
                  <c:v>3.4213300000000002</c:v>
                </c:pt>
                <c:pt idx="145">
                  <c:v>3.4246300000000001</c:v>
                </c:pt>
                <c:pt idx="146">
                  <c:v>3.4208300000000005</c:v>
                </c:pt>
                <c:pt idx="147">
                  <c:v>3.4258800000000003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50.843400000000003</c:v>
                </c:pt>
                <c:pt idx="1">
                  <c:v>49.811100000000003</c:v>
                </c:pt>
                <c:pt idx="2">
                  <c:v>48.622799999999998</c:v>
                </c:pt>
                <c:pt idx="3">
                  <c:v>47.459299999999999</c:v>
                </c:pt>
                <c:pt idx="4">
                  <c:v>46.316299999999998</c:v>
                </c:pt>
                <c:pt idx="5">
                  <c:v>45.257599999999996</c:v>
                </c:pt>
                <c:pt idx="6">
                  <c:v>44.078899999999997</c:v>
                </c:pt>
                <c:pt idx="7">
                  <c:v>42.860599999999998</c:v>
                </c:pt>
                <c:pt idx="8">
                  <c:v>41.646699999999996</c:v>
                </c:pt>
                <c:pt idx="9">
                  <c:v>40.357999999999997</c:v>
                </c:pt>
                <c:pt idx="10">
                  <c:v>39.108499999999999</c:v>
                </c:pt>
                <c:pt idx="11">
                  <c:v>38.091299999999997</c:v>
                </c:pt>
                <c:pt idx="12">
                  <c:v>37.2273</c:v>
                </c:pt>
                <c:pt idx="13">
                  <c:v>36.4724</c:v>
                </c:pt>
                <c:pt idx="14">
                  <c:v>35.789900000000003</c:v>
                </c:pt>
                <c:pt idx="15">
                  <c:v>35.174299999999995</c:v>
                </c:pt>
                <c:pt idx="16">
                  <c:v>34.629599999999996</c:v>
                </c:pt>
                <c:pt idx="17">
                  <c:v>34.177800000000005</c:v>
                </c:pt>
                <c:pt idx="18">
                  <c:v>33.815400000000004</c:v>
                </c:pt>
                <c:pt idx="19">
                  <c:v>33.600499999999997</c:v>
                </c:pt>
                <c:pt idx="20">
                  <c:v>33.532699999999998</c:v>
                </c:pt>
                <c:pt idx="21">
                  <c:v>33.551400000000001</c:v>
                </c:pt>
                <c:pt idx="22">
                  <c:v>33.61</c:v>
                </c:pt>
                <c:pt idx="23">
                  <c:v>33.734900000000003</c:v>
                </c:pt>
                <c:pt idx="24">
                  <c:v>33.808100000000003</c:v>
                </c:pt>
                <c:pt idx="25">
                  <c:v>33.852600000000002</c:v>
                </c:pt>
                <c:pt idx="26">
                  <c:v>33.870600000000003</c:v>
                </c:pt>
                <c:pt idx="27">
                  <c:v>33.9343</c:v>
                </c:pt>
                <c:pt idx="28">
                  <c:v>33.940799999999996</c:v>
                </c:pt>
                <c:pt idx="29">
                  <c:v>33.978999999999999</c:v>
                </c:pt>
                <c:pt idx="30">
                  <c:v>33.944400000000002</c:v>
                </c:pt>
                <c:pt idx="31">
                  <c:v>33.728299999999997</c:v>
                </c:pt>
                <c:pt idx="32">
                  <c:v>33.503399999999999</c:v>
                </c:pt>
                <c:pt idx="33">
                  <c:v>33.236499999999999</c:v>
                </c:pt>
                <c:pt idx="34">
                  <c:v>32.992800000000003</c:v>
                </c:pt>
                <c:pt idx="35">
                  <c:v>32.9268</c:v>
                </c:pt>
                <c:pt idx="36">
                  <c:v>32.916899999999998</c:v>
                </c:pt>
                <c:pt idx="37">
                  <c:v>32.881599999999999</c:v>
                </c:pt>
                <c:pt idx="38">
                  <c:v>32.879000000000005</c:v>
                </c:pt>
                <c:pt idx="39">
                  <c:v>32.8842</c:v>
                </c:pt>
                <c:pt idx="40">
                  <c:v>32.8598</c:v>
                </c:pt>
                <c:pt idx="41">
                  <c:v>32.850299999999997</c:v>
                </c:pt>
                <c:pt idx="42">
                  <c:v>32.898600000000002</c:v>
                </c:pt>
                <c:pt idx="43">
                  <c:v>32.915199999999999</c:v>
                </c:pt>
                <c:pt idx="44">
                  <c:v>32.9527</c:v>
                </c:pt>
                <c:pt idx="45">
                  <c:v>33.0227</c:v>
                </c:pt>
                <c:pt idx="46">
                  <c:v>33.084799999999994</c:v>
                </c:pt>
                <c:pt idx="47">
                  <c:v>33.166499999999999</c:v>
                </c:pt>
                <c:pt idx="48">
                  <c:v>33.2303</c:v>
                </c:pt>
                <c:pt idx="49">
                  <c:v>33.313900000000004</c:v>
                </c:pt>
                <c:pt idx="50">
                  <c:v>33.347700000000003</c:v>
                </c:pt>
                <c:pt idx="51">
                  <c:v>33.449200000000005</c:v>
                </c:pt>
                <c:pt idx="52">
                  <c:v>33.625699999999995</c:v>
                </c:pt>
                <c:pt idx="53">
                  <c:v>33.806000000000004</c:v>
                </c:pt>
                <c:pt idx="54">
                  <c:v>33.910000000000004</c:v>
                </c:pt>
                <c:pt idx="55">
                  <c:v>33.914299999999997</c:v>
                </c:pt>
                <c:pt idx="56">
                  <c:v>33.904899999999998</c:v>
                </c:pt>
                <c:pt idx="57">
                  <c:v>33.8767</c:v>
                </c:pt>
                <c:pt idx="58">
                  <c:v>33.924300000000002</c:v>
                </c:pt>
                <c:pt idx="59">
                  <c:v>33.994300000000003</c:v>
                </c:pt>
                <c:pt idx="60">
                  <c:v>34.020699999999998</c:v>
                </c:pt>
                <c:pt idx="61">
                  <c:v>34.098399999999998</c:v>
                </c:pt>
                <c:pt idx="62">
                  <c:v>34.202100000000002</c:v>
                </c:pt>
                <c:pt idx="63">
                  <c:v>34.337200000000003</c:v>
                </c:pt>
                <c:pt idx="64">
                  <c:v>34.550599999999996</c:v>
                </c:pt>
                <c:pt idx="65">
                  <c:v>34.8262</c:v>
                </c:pt>
                <c:pt idx="66">
                  <c:v>35.163899999999998</c:v>
                </c:pt>
                <c:pt idx="67">
                  <c:v>35.465600000000002</c:v>
                </c:pt>
                <c:pt idx="68">
                  <c:v>35.820500000000003</c:v>
                </c:pt>
                <c:pt idx="69">
                  <c:v>36.1629</c:v>
                </c:pt>
                <c:pt idx="70">
                  <c:v>36.516500000000001</c:v>
                </c:pt>
                <c:pt idx="71">
                  <c:v>36.999099999999999</c:v>
                </c:pt>
                <c:pt idx="72">
                  <c:v>37.491600000000005</c:v>
                </c:pt>
                <c:pt idx="73">
                  <c:v>37.992699999999999</c:v>
                </c:pt>
                <c:pt idx="74">
                  <c:v>38.453199999999995</c:v>
                </c:pt>
                <c:pt idx="75">
                  <c:v>38.990600000000001</c:v>
                </c:pt>
                <c:pt idx="76">
                  <c:v>39.557900000000004</c:v>
                </c:pt>
                <c:pt idx="77">
                  <c:v>40.0182</c:v>
                </c:pt>
                <c:pt idx="78">
                  <c:v>40.414200000000001</c:v>
                </c:pt>
                <c:pt idx="79">
                  <c:v>40.713799999999999</c:v>
                </c:pt>
                <c:pt idx="80">
                  <c:v>40.982100000000003</c:v>
                </c:pt>
                <c:pt idx="81">
                  <c:v>41.288000000000004</c:v>
                </c:pt>
                <c:pt idx="82">
                  <c:v>41.573300000000003</c:v>
                </c:pt>
                <c:pt idx="83">
                  <c:v>41.864200000000004</c:v>
                </c:pt>
                <c:pt idx="84">
                  <c:v>42.103699999999996</c:v>
                </c:pt>
                <c:pt idx="85">
                  <c:v>42.3001</c:v>
                </c:pt>
                <c:pt idx="86">
                  <c:v>42.468899999999998</c:v>
                </c:pt>
                <c:pt idx="87">
                  <c:v>42.661100000000005</c:v>
                </c:pt>
                <c:pt idx="88">
                  <c:v>42.8735</c:v>
                </c:pt>
                <c:pt idx="89">
                  <c:v>43.116399999999999</c:v>
                </c:pt>
                <c:pt idx="90">
                  <c:v>43.431199999999997</c:v>
                </c:pt>
                <c:pt idx="91">
                  <c:v>43.756499999999996</c:v>
                </c:pt>
                <c:pt idx="92">
                  <c:v>44.150399999999998</c:v>
                </c:pt>
                <c:pt idx="93">
                  <c:v>44.5991</c:v>
                </c:pt>
                <c:pt idx="94">
                  <c:v>45.129300000000001</c:v>
                </c:pt>
                <c:pt idx="95">
                  <c:v>45.680999999999997</c:v>
                </c:pt>
                <c:pt idx="96">
                  <c:v>46.118099999999998</c:v>
                </c:pt>
                <c:pt idx="97">
                  <c:v>46.506799999999998</c:v>
                </c:pt>
                <c:pt idx="98">
                  <c:v>47.009599999999999</c:v>
                </c:pt>
                <c:pt idx="99">
                  <c:v>47.439300000000003</c:v>
                </c:pt>
                <c:pt idx="100">
                  <c:v>47.834400000000002</c:v>
                </c:pt>
                <c:pt idx="101">
                  <c:v>48.244500000000002</c:v>
                </c:pt>
                <c:pt idx="102">
                  <c:v>48.640499999999996</c:v>
                </c:pt>
                <c:pt idx="103">
                  <c:v>48.956300000000006</c:v>
                </c:pt>
                <c:pt idx="104">
                  <c:v>49.204000000000001</c:v>
                </c:pt>
                <c:pt idx="105">
                  <c:v>49.433300000000003</c:v>
                </c:pt>
                <c:pt idx="106">
                  <c:v>49.677199999999999</c:v>
                </c:pt>
                <c:pt idx="107">
                  <c:v>49.942399999999999</c:v>
                </c:pt>
                <c:pt idx="108">
                  <c:v>50.165300000000002</c:v>
                </c:pt>
                <c:pt idx="109">
                  <c:v>50.337699999999998</c:v>
                </c:pt>
                <c:pt idx="110">
                  <c:v>50.582999999999998</c:v>
                </c:pt>
                <c:pt idx="111">
                  <c:v>50.852600000000002</c:v>
                </c:pt>
                <c:pt idx="112">
                  <c:v>51.032699999999998</c:v>
                </c:pt>
                <c:pt idx="113">
                  <c:v>51.173400000000001</c:v>
                </c:pt>
                <c:pt idx="114">
                  <c:v>51.285899999999998</c:v>
                </c:pt>
                <c:pt idx="115">
                  <c:v>51.4741</c:v>
                </c:pt>
                <c:pt idx="116">
                  <c:v>51.724599999999995</c:v>
                </c:pt>
                <c:pt idx="117">
                  <c:v>51.9041</c:v>
                </c:pt>
                <c:pt idx="118">
                  <c:v>52.094200000000001</c:v>
                </c:pt>
                <c:pt idx="119">
                  <c:v>52.2575</c:v>
                </c:pt>
                <c:pt idx="120">
                  <c:v>52.4313</c:v>
                </c:pt>
                <c:pt idx="121">
                  <c:v>52.607599999999998</c:v>
                </c:pt>
                <c:pt idx="122">
                  <c:v>52.754100000000001</c:v>
                </c:pt>
                <c:pt idx="123">
                  <c:v>52.828099999999999</c:v>
                </c:pt>
                <c:pt idx="124">
                  <c:v>52.779800000000002</c:v>
                </c:pt>
                <c:pt idx="125">
                  <c:v>52.727800000000002</c:v>
                </c:pt>
                <c:pt idx="126">
                  <c:v>52.714799999999997</c:v>
                </c:pt>
                <c:pt idx="127">
                  <c:v>52.707300000000004</c:v>
                </c:pt>
                <c:pt idx="128">
                  <c:v>52.675600000000003</c:v>
                </c:pt>
                <c:pt idx="129">
                  <c:v>52.646000000000001</c:v>
                </c:pt>
                <c:pt idx="130">
                  <c:v>52.618699999999997</c:v>
                </c:pt>
                <c:pt idx="131">
                  <c:v>52.608699999999999</c:v>
                </c:pt>
                <c:pt idx="132">
                  <c:v>52.644199999999998</c:v>
                </c:pt>
                <c:pt idx="133">
                  <c:v>52.7288</c:v>
                </c:pt>
                <c:pt idx="134">
                  <c:v>52.891399999999997</c:v>
                </c:pt>
                <c:pt idx="135">
                  <c:v>53.099600000000002</c:v>
                </c:pt>
                <c:pt idx="136">
                  <c:v>53.400400000000005</c:v>
                </c:pt>
                <c:pt idx="137">
                  <c:v>53.757600000000004</c:v>
                </c:pt>
                <c:pt idx="138">
                  <c:v>54.035200000000003</c:v>
                </c:pt>
                <c:pt idx="139">
                  <c:v>54.204099999999997</c:v>
                </c:pt>
                <c:pt idx="140">
                  <c:v>54.347900000000003</c:v>
                </c:pt>
                <c:pt idx="141">
                  <c:v>54.460099999999997</c:v>
                </c:pt>
                <c:pt idx="142">
                  <c:v>54.642800000000001</c:v>
                </c:pt>
                <c:pt idx="143">
                  <c:v>54.809300000000007</c:v>
                </c:pt>
                <c:pt idx="144">
                  <c:v>54.939700000000002</c:v>
                </c:pt>
                <c:pt idx="145">
                  <c:v>55.116600000000005</c:v>
                </c:pt>
                <c:pt idx="146">
                  <c:v>55.1554</c:v>
                </c:pt>
                <c:pt idx="147">
                  <c:v>55.059800000000003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2.4964400000000002</c:v>
                </c:pt>
                <c:pt idx="1">
                  <c:v>2.5545</c:v>
                </c:pt>
                <c:pt idx="2">
                  <c:v>2.6159300000000001</c:v>
                </c:pt>
                <c:pt idx="3">
                  <c:v>2.6804000000000001</c:v>
                </c:pt>
                <c:pt idx="4">
                  <c:v>2.7461200000000003</c:v>
                </c:pt>
                <c:pt idx="5">
                  <c:v>2.81047</c:v>
                </c:pt>
                <c:pt idx="6">
                  <c:v>2.8785799999999999</c:v>
                </c:pt>
                <c:pt idx="7">
                  <c:v>2.9477700000000002</c:v>
                </c:pt>
                <c:pt idx="8">
                  <c:v>3.01661</c:v>
                </c:pt>
                <c:pt idx="9">
                  <c:v>3.0870199999999999</c:v>
                </c:pt>
                <c:pt idx="10">
                  <c:v>3.1540600000000003</c:v>
                </c:pt>
                <c:pt idx="11">
                  <c:v>3.2182399999999998</c:v>
                </c:pt>
                <c:pt idx="12">
                  <c:v>3.2812400000000004</c:v>
                </c:pt>
                <c:pt idx="13">
                  <c:v>3.3438400000000001</c:v>
                </c:pt>
                <c:pt idx="14">
                  <c:v>3.4059499999999998</c:v>
                </c:pt>
                <c:pt idx="15">
                  <c:v>3.4694700000000003</c:v>
                </c:pt>
                <c:pt idx="16">
                  <c:v>3.5329100000000002</c:v>
                </c:pt>
                <c:pt idx="17">
                  <c:v>3.5946400000000001</c:v>
                </c:pt>
                <c:pt idx="18">
                  <c:v>3.6551299999999998</c:v>
                </c:pt>
                <c:pt idx="19">
                  <c:v>3.7130000000000001</c:v>
                </c:pt>
                <c:pt idx="20">
                  <c:v>3.7673399999999999</c:v>
                </c:pt>
                <c:pt idx="21">
                  <c:v>3.8199100000000001</c:v>
                </c:pt>
                <c:pt idx="22">
                  <c:v>3.8719799999999998</c:v>
                </c:pt>
                <c:pt idx="23">
                  <c:v>3.9210699999999998</c:v>
                </c:pt>
                <c:pt idx="24">
                  <c:v>3.96915</c:v>
                </c:pt>
                <c:pt idx="25">
                  <c:v>4.0186899999999994</c:v>
                </c:pt>
                <c:pt idx="26">
                  <c:v>4.0652300000000006</c:v>
                </c:pt>
                <c:pt idx="27">
                  <c:v>4.1055999999999999</c:v>
                </c:pt>
                <c:pt idx="28">
                  <c:v>4.1471099999999996</c:v>
                </c:pt>
                <c:pt idx="29">
                  <c:v>4.1897500000000001</c:v>
                </c:pt>
                <c:pt idx="30">
                  <c:v>4.23576</c:v>
                </c:pt>
                <c:pt idx="31">
                  <c:v>4.2828600000000003</c:v>
                </c:pt>
                <c:pt idx="32">
                  <c:v>4.3310900000000006</c:v>
                </c:pt>
                <c:pt idx="33">
                  <c:v>4.3761799999999997</c:v>
                </c:pt>
                <c:pt idx="34">
                  <c:v>4.4198599999999999</c:v>
                </c:pt>
                <c:pt idx="35">
                  <c:v>4.4611200000000002</c:v>
                </c:pt>
                <c:pt idx="36">
                  <c:v>4.4997300000000005</c:v>
                </c:pt>
                <c:pt idx="37">
                  <c:v>4.53559</c:v>
                </c:pt>
                <c:pt idx="38">
                  <c:v>4.5702999999999996</c:v>
                </c:pt>
                <c:pt idx="39">
                  <c:v>4.60527</c:v>
                </c:pt>
                <c:pt idx="40">
                  <c:v>4.6384799999999995</c:v>
                </c:pt>
                <c:pt idx="41">
                  <c:v>4.6668399999999997</c:v>
                </c:pt>
                <c:pt idx="42">
                  <c:v>4.6901799999999998</c:v>
                </c:pt>
                <c:pt idx="43">
                  <c:v>4.7134999999999998</c:v>
                </c:pt>
                <c:pt idx="44">
                  <c:v>4.7344999999999997</c:v>
                </c:pt>
                <c:pt idx="45">
                  <c:v>4.7559300000000002</c:v>
                </c:pt>
                <c:pt idx="46">
                  <c:v>4.77935</c:v>
                </c:pt>
                <c:pt idx="47">
                  <c:v>4.7985600000000002</c:v>
                </c:pt>
                <c:pt idx="48">
                  <c:v>4.8142800000000001</c:v>
                </c:pt>
                <c:pt idx="49">
                  <c:v>4.8270900000000001</c:v>
                </c:pt>
                <c:pt idx="50">
                  <c:v>4.8391900000000003</c:v>
                </c:pt>
                <c:pt idx="51">
                  <c:v>4.85067</c:v>
                </c:pt>
                <c:pt idx="52">
                  <c:v>4.8591600000000001</c:v>
                </c:pt>
                <c:pt idx="53">
                  <c:v>4.8610300000000004</c:v>
                </c:pt>
                <c:pt idx="54">
                  <c:v>4.8574900000000003</c:v>
                </c:pt>
                <c:pt idx="55">
                  <c:v>4.8464900000000002</c:v>
                </c:pt>
                <c:pt idx="56">
                  <c:v>4.8302499999999995</c:v>
                </c:pt>
                <c:pt idx="57">
                  <c:v>4.8100100000000001</c:v>
                </c:pt>
                <c:pt idx="58">
                  <c:v>4.7889900000000001</c:v>
                </c:pt>
                <c:pt idx="59">
                  <c:v>4.7658899999999997</c:v>
                </c:pt>
                <c:pt idx="60">
                  <c:v>4.7425899999999999</c:v>
                </c:pt>
                <c:pt idx="61">
                  <c:v>4.72112</c:v>
                </c:pt>
                <c:pt idx="62">
                  <c:v>4.6987199999999998</c:v>
                </c:pt>
                <c:pt idx="63">
                  <c:v>4.6767700000000003</c:v>
                </c:pt>
                <c:pt idx="64">
                  <c:v>4.6544699999999999</c:v>
                </c:pt>
                <c:pt idx="65">
                  <c:v>4.6323299999999996</c:v>
                </c:pt>
                <c:pt idx="66">
                  <c:v>4.6132499999999999</c:v>
                </c:pt>
                <c:pt idx="67">
                  <c:v>4.5984499999999997</c:v>
                </c:pt>
                <c:pt idx="68">
                  <c:v>4.5823599999999995</c:v>
                </c:pt>
                <c:pt idx="69">
                  <c:v>4.5692300000000001</c:v>
                </c:pt>
                <c:pt idx="70">
                  <c:v>4.5552200000000003</c:v>
                </c:pt>
                <c:pt idx="71">
                  <c:v>4.5348600000000001</c:v>
                </c:pt>
                <c:pt idx="72">
                  <c:v>4.5139699999999996</c:v>
                </c:pt>
                <c:pt idx="73">
                  <c:v>4.4982299999999995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50.843400000000003</c:v>
                </c:pt>
                <c:pt idx="1">
                  <c:v>49.811100000000003</c:v>
                </c:pt>
                <c:pt idx="2">
                  <c:v>48.622799999999998</c:v>
                </c:pt>
                <c:pt idx="3">
                  <c:v>47.459299999999999</c:v>
                </c:pt>
                <c:pt idx="4">
                  <c:v>46.316299999999998</c:v>
                </c:pt>
                <c:pt idx="5">
                  <c:v>45.257599999999996</c:v>
                </c:pt>
                <c:pt idx="6">
                  <c:v>44.078899999999997</c:v>
                </c:pt>
                <c:pt idx="7">
                  <c:v>42.860599999999998</c:v>
                </c:pt>
                <c:pt idx="8">
                  <c:v>41.646699999999996</c:v>
                </c:pt>
                <c:pt idx="9">
                  <c:v>40.357999999999997</c:v>
                </c:pt>
                <c:pt idx="10">
                  <c:v>39.108499999999999</c:v>
                </c:pt>
                <c:pt idx="11">
                  <c:v>38.091299999999997</c:v>
                </c:pt>
                <c:pt idx="12">
                  <c:v>37.2273</c:v>
                </c:pt>
                <c:pt idx="13">
                  <c:v>36.4724</c:v>
                </c:pt>
                <c:pt idx="14">
                  <c:v>35.789900000000003</c:v>
                </c:pt>
                <c:pt idx="15">
                  <c:v>35.174299999999995</c:v>
                </c:pt>
                <c:pt idx="16">
                  <c:v>34.629599999999996</c:v>
                </c:pt>
                <c:pt idx="17">
                  <c:v>34.177800000000005</c:v>
                </c:pt>
                <c:pt idx="18">
                  <c:v>33.815400000000004</c:v>
                </c:pt>
                <c:pt idx="19">
                  <c:v>33.600499999999997</c:v>
                </c:pt>
                <c:pt idx="20">
                  <c:v>33.532699999999998</c:v>
                </c:pt>
                <c:pt idx="21">
                  <c:v>33.551400000000001</c:v>
                </c:pt>
                <c:pt idx="22">
                  <c:v>33.61</c:v>
                </c:pt>
                <c:pt idx="23">
                  <c:v>33.734900000000003</c:v>
                </c:pt>
                <c:pt idx="24">
                  <c:v>33.808100000000003</c:v>
                </c:pt>
                <c:pt idx="25">
                  <c:v>33.852600000000002</c:v>
                </c:pt>
                <c:pt idx="26">
                  <c:v>33.870600000000003</c:v>
                </c:pt>
                <c:pt idx="27">
                  <c:v>33.9343</c:v>
                </c:pt>
                <c:pt idx="28">
                  <c:v>33.940799999999996</c:v>
                </c:pt>
                <c:pt idx="29">
                  <c:v>33.978999999999999</c:v>
                </c:pt>
                <c:pt idx="30">
                  <c:v>33.944400000000002</c:v>
                </c:pt>
                <c:pt idx="31">
                  <c:v>33.728299999999997</c:v>
                </c:pt>
                <c:pt idx="32">
                  <c:v>33.503399999999999</c:v>
                </c:pt>
                <c:pt idx="33">
                  <c:v>33.236499999999999</c:v>
                </c:pt>
                <c:pt idx="34">
                  <c:v>32.992800000000003</c:v>
                </c:pt>
                <c:pt idx="35">
                  <c:v>32.9268</c:v>
                </c:pt>
                <c:pt idx="36">
                  <c:v>32.916899999999998</c:v>
                </c:pt>
                <c:pt idx="37">
                  <c:v>32.881599999999999</c:v>
                </c:pt>
                <c:pt idx="38">
                  <c:v>32.879000000000005</c:v>
                </c:pt>
                <c:pt idx="39">
                  <c:v>32.8842</c:v>
                </c:pt>
                <c:pt idx="40">
                  <c:v>32.8598</c:v>
                </c:pt>
                <c:pt idx="41">
                  <c:v>32.850299999999997</c:v>
                </c:pt>
                <c:pt idx="42">
                  <c:v>32.898600000000002</c:v>
                </c:pt>
                <c:pt idx="43">
                  <c:v>32.915199999999999</c:v>
                </c:pt>
                <c:pt idx="44">
                  <c:v>32.9527</c:v>
                </c:pt>
                <c:pt idx="45">
                  <c:v>33.0227</c:v>
                </c:pt>
                <c:pt idx="46">
                  <c:v>33.084799999999994</c:v>
                </c:pt>
                <c:pt idx="47">
                  <c:v>33.166499999999999</c:v>
                </c:pt>
                <c:pt idx="48">
                  <c:v>33.2303</c:v>
                </c:pt>
                <c:pt idx="49">
                  <c:v>33.313900000000004</c:v>
                </c:pt>
                <c:pt idx="50">
                  <c:v>33.347700000000003</c:v>
                </c:pt>
                <c:pt idx="51">
                  <c:v>33.449200000000005</c:v>
                </c:pt>
                <c:pt idx="52">
                  <c:v>33.625699999999995</c:v>
                </c:pt>
                <c:pt idx="53">
                  <c:v>33.806000000000004</c:v>
                </c:pt>
                <c:pt idx="54">
                  <c:v>33.910000000000004</c:v>
                </c:pt>
                <c:pt idx="55">
                  <c:v>33.914299999999997</c:v>
                </c:pt>
                <c:pt idx="56">
                  <c:v>33.904899999999998</c:v>
                </c:pt>
                <c:pt idx="57">
                  <c:v>33.8767</c:v>
                </c:pt>
                <c:pt idx="58">
                  <c:v>33.924300000000002</c:v>
                </c:pt>
                <c:pt idx="59">
                  <c:v>33.994300000000003</c:v>
                </c:pt>
                <c:pt idx="60">
                  <c:v>34.020699999999998</c:v>
                </c:pt>
                <c:pt idx="61">
                  <c:v>34.098399999999998</c:v>
                </c:pt>
                <c:pt idx="62">
                  <c:v>34.202100000000002</c:v>
                </c:pt>
                <c:pt idx="63">
                  <c:v>34.337200000000003</c:v>
                </c:pt>
                <c:pt idx="64">
                  <c:v>34.550599999999996</c:v>
                </c:pt>
                <c:pt idx="65">
                  <c:v>34.8262</c:v>
                </c:pt>
                <c:pt idx="66">
                  <c:v>35.163899999999998</c:v>
                </c:pt>
                <c:pt idx="67">
                  <c:v>35.465600000000002</c:v>
                </c:pt>
                <c:pt idx="68">
                  <c:v>35.820500000000003</c:v>
                </c:pt>
                <c:pt idx="69">
                  <c:v>36.1629</c:v>
                </c:pt>
                <c:pt idx="70">
                  <c:v>36.516500000000001</c:v>
                </c:pt>
                <c:pt idx="71">
                  <c:v>36.999099999999999</c:v>
                </c:pt>
                <c:pt idx="72">
                  <c:v>37.491600000000005</c:v>
                </c:pt>
                <c:pt idx="73">
                  <c:v>37.992699999999999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4.4982299999999995</c:v>
                </c:pt>
                <c:pt idx="1">
                  <c:v>4.4805099999999998</c:v>
                </c:pt>
                <c:pt idx="2">
                  <c:v>4.4594699999999996</c:v>
                </c:pt>
                <c:pt idx="3">
                  <c:v>4.4363200000000003</c:v>
                </c:pt>
                <c:pt idx="4">
                  <c:v>4.4153599999999997</c:v>
                </c:pt>
                <c:pt idx="5">
                  <c:v>4.3966899999999995</c:v>
                </c:pt>
                <c:pt idx="6">
                  <c:v>4.3782300000000003</c:v>
                </c:pt>
                <c:pt idx="7">
                  <c:v>4.3628099999999996</c:v>
                </c:pt>
                <c:pt idx="8">
                  <c:v>4.34999</c:v>
                </c:pt>
                <c:pt idx="9">
                  <c:v>4.3387900000000004</c:v>
                </c:pt>
                <c:pt idx="10">
                  <c:v>4.3274400000000002</c:v>
                </c:pt>
                <c:pt idx="11">
                  <c:v>4.3140999999999998</c:v>
                </c:pt>
                <c:pt idx="12">
                  <c:v>4.3015799999999995</c:v>
                </c:pt>
                <c:pt idx="13">
                  <c:v>4.2881099999999996</c:v>
                </c:pt>
                <c:pt idx="14">
                  <c:v>4.2734800000000002</c:v>
                </c:pt>
                <c:pt idx="15">
                  <c:v>4.2551499999999995</c:v>
                </c:pt>
                <c:pt idx="16">
                  <c:v>4.2328799999999998</c:v>
                </c:pt>
                <c:pt idx="17">
                  <c:v>4.20899</c:v>
                </c:pt>
                <c:pt idx="18">
                  <c:v>4.1837200000000001</c:v>
                </c:pt>
                <c:pt idx="19">
                  <c:v>4.1547000000000001</c:v>
                </c:pt>
                <c:pt idx="20">
                  <c:v>4.1238900000000003</c:v>
                </c:pt>
                <c:pt idx="21">
                  <c:v>4.0893800000000002</c:v>
                </c:pt>
                <c:pt idx="22">
                  <c:v>4.0546699999999998</c:v>
                </c:pt>
                <c:pt idx="23">
                  <c:v>4.0226800000000003</c:v>
                </c:pt>
                <c:pt idx="24">
                  <c:v>3.9930700000000003</c:v>
                </c:pt>
                <c:pt idx="25">
                  <c:v>3.9591500000000002</c:v>
                </c:pt>
                <c:pt idx="26">
                  <c:v>3.9247700000000001</c:v>
                </c:pt>
                <c:pt idx="27">
                  <c:v>3.8881800000000002</c:v>
                </c:pt>
                <c:pt idx="28">
                  <c:v>3.8532499999999996</c:v>
                </c:pt>
                <c:pt idx="29">
                  <c:v>3.8202399999999996</c:v>
                </c:pt>
                <c:pt idx="30">
                  <c:v>3.7899100000000003</c:v>
                </c:pt>
                <c:pt idx="31">
                  <c:v>3.7635800000000001</c:v>
                </c:pt>
                <c:pt idx="32">
                  <c:v>3.7373000000000003</c:v>
                </c:pt>
                <c:pt idx="33">
                  <c:v>3.7084999999999999</c:v>
                </c:pt>
                <c:pt idx="34">
                  <c:v>3.6780499999999998</c:v>
                </c:pt>
                <c:pt idx="35">
                  <c:v>3.6493599999999997</c:v>
                </c:pt>
                <c:pt idx="36">
                  <c:v>3.6258400000000002</c:v>
                </c:pt>
                <c:pt idx="37">
                  <c:v>3.6048100000000001</c:v>
                </c:pt>
                <c:pt idx="38">
                  <c:v>3.5856900000000005</c:v>
                </c:pt>
                <c:pt idx="39">
                  <c:v>3.56813</c:v>
                </c:pt>
                <c:pt idx="40">
                  <c:v>3.5504099999999998</c:v>
                </c:pt>
                <c:pt idx="41">
                  <c:v>3.53207</c:v>
                </c:pt>
                <c:pt idx="42">
                  <c:v>3.5137800000000001</c:v>
                </c:pt>
                <c:pt idx="43">
                  <c:v>3.4954099999999997</c:v>
                </c:pt>
                <c:pt idx="44">
                  <c:v>3.4804499999999998</c:v>
                </c:pt>
                <c:pt idx="45">
                  <c:v>3.4662600000000001</c:v>
                </c:pt>
                <c:pt idx="46">
                  <c:v>3.4526600000000003</c:v>
                </c:pt>
                <c:pt idx="47">
                  <c:v>3.4401799999999998</c:v>
                </c:pt>
                <c:pt idx="48">
                  <c:v>3.4296700000000002</c:v>
                </c:pt>
                <c:pt idx="49">
                  <c:v>3.4194499999999999</c:v>
                </c:pt>
                <c:pt idx="50">
                  <c:v>3.41181</c:v>
                </c:pt>
                <c:pt idx="51">
                  <c:v>3.40815</c:v>
                </c:pt>
                <c:pt idx="52">
                  <c:v>3.4084199999999996</c:v>
                </c:pt>
                <c:pt idx="53">
                  <c:v>3.4072300000000002</c:v>
                </c:pt>
                <c:pt idx="54">
                  <c:v>3.40578</c:v>
                </c:pt>
                <c:pt idx="55">
                  <c:v>3.4047200000000002</c:v>
                </c:pt>
                <c:pt idx="56">
                  <c:v>3.4038499999999998</c:v>
                </c:pt>
                <c:pt idx="57">
                  <c:v>3.4049800000000001</c:v>
                </c:pt>
                <c:pt idx="58">
                  <c:v>3.4088400000000001</c:v>
                </c:pt>
                <c:pt idx="59">
                  <c:v>3.4141300000000001</c:v>
                </c:pt>
                <c:pt idx="60">
                  <c:v>3.4192299999999998</c:v>
                </c:pt>
                <c:pt idx="61">
                  <c:v>3.4210800000000003</c:v>
                </c:pt>
                <c:pt idx="62">
                  <c:v>3.4169200000000002</c:v>
                </c:pt>
                <c:pt idx="63">
                  <c:v>3.4083999999999999</c:v>
                </c:pt>
                <c:pt idx="64">
                  <c:v>3.4006500000000002</c:v>
                </c:pt>
                <c:pt idx="65">
                  <c:v>3.4001700000000001</c:v>
                </c:pt>
                <c:pt idx="66">
                  <c:v>3.4077200000000003</c:v>
                </c:pt>
                <c:pt idx="67">
                  <c:v>3.4117999999999999</c:v>
                </c:pt>
                <c:pt idx="68">
                  <c:v>3.4151799999999999</c:v>
                </c:pt>
                <c:pt idx="69">
                  <c:v>3.4156199999999997</c:v>
                </c:pt>
                <c:pt idx="70">
                  <c:v>3.4148299999999998</c:v>
                </c:pt>
                <c:pt idx="71">
                  <c:v>3.4213300000000002</c:v>
                </c:pt>
                <c:pt idx="72">
                  <c:v>3.4246300000000001</c:v>
                </c:pt>
                <c:pt idx="73">
                  <c:v>3.4208300000000005</c:v>
                </c:pt>
                <c:pt idx="74">
                  <c:v>3.4258800000000003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37.992699999999999</c:v>
                </c:pt>
                <c:pt idx="1">
                  <c:v>38.453199999999995</c:v>
                </c:pt>
                <c:pt idx="2">
                  <c:v>38.990600000000001</c:v>
                </c:pt>
                <c:pt idx="3">
                  <c:v>39.557900000000004</c:v>
                </c:pt>
                <c:pt idx="4">
                  <c:v>40.0182</c:v>
                </c:pt>
                <c:pt idx="5">
                  <c:v>40.414200000000001</c:v>
                </c:pt>
                <c:pt idx="6">
                  <c:v>40.713799999999999</c:v>
                </c:pt>
                <c:pt idx="7">
                  <c:v>40.982100000000003</c:v>
                </c:pt>
                <c:pt idx="8">
                  <c:v>41.288000000000004</c:v>
                </c:pt>
                <c:pt idx="9">
                  <c:v>41.573300000000003</c:v>
                </c:pt>
                <c:pt idx="10">
                  <c:v>41.864200000000004</c:v>
                </c:pt>
                <c:pt idx="11">
                  <c:v>42.103699999999996</c:v>
                </c:pt>
                <c:pt idx="12">
                  <c:v>42.3001</c:v>
                </c:pt>
                <c:pt idx="13">
                  <c:v>42.468899999999998</c:v>
                </c:pt>
                <c:pt idx="14">
                  <c:v>42.661100000000005</c:v>
                </c:pt>
                <c:pt idx="15">
                  <c:v>42.8735</c:v>
                </c:pt>
                <c:pt idx="16">
                  <c:v>43.116399999999999</c:v>
                </c:pt>
                <c:pt idx="17">
                  <c:v>43.431199999999997</c:v>
                </c:pt>
                <c:pt idx="18">
                  <c:v>43.756499999999996</c:v>
                </c:pt>
                <c:pt idx="19">
                  <c:v>44.150399999999998</c:v>
                </c:pt>
                <c:pt idx="20">
                  <c:v>44.5991</c:v>
                </c:pt>
                <c:pt idx="21">
                  <c:v>45.129300000000001</c:v>
                </c:pt>
                <c:pt idx="22">
                  <c:v>45.680999999999997</c:v>
                </c:pt>
                <c:pt idx="23">
                  <c:v>46.118099999999998</c:v>
                </c:pt>
                <c:pt idx="24">
                  <c:v>46.506799999999998</c:v>
                </c:pt>
                <c:pt idx="25">
                  <c:v>47.009599999999999</c:v>
                </c:pt>
                <c:pt idx="26">
                  <c:v>47.439300000000003</c:v>
                </c:pt>
                <c:pt idx="27">
                  <c:v>47.834400000000002</c:v>
                </c:pt>
                <c:pt idx="28">
                  <c:v>48.244500000000002</c:v>
                </c:pt>
                <c:pt idx="29">
                  <c:v>48.640499999999996</c:v>
                </c:pt>
                <c:pt idx="30">
                  <c:v>48.956300000000006</c:v>
                </c:pt>
                <c:pt idx="31">
                  <c:v>49.204000000000001</c:v>
                </c:pt>
                <c:pt idx="32">
                  <c:v>49.433300000000003</c:v>
                </c:pt>
                <c:pt idx="33">
                  <c:v>49.677199999999999</c:v>
                </c:pt>
                <c:pt idx="34">
                  <c:v>49.942399999999999</c:v>
                </c:pt>
                <c:pt idx="35">
                  <c:v>50.165300000000002</c:v>
                </c:pt>
                <c:pt idx="36">
                  <c:v>50.337699999999998</c:v>
                </c:pt>
                <c:pt idx="37">
                  <c:v>50.582999999999998</c:v>
                </c:pt>
                <c:pt idx="38">
                  <c:v>50.852600000000002</c:v>
                </c:pt>
                <c:pt idx="39">
                  <c:v>51.032699999999998</c:v>
                </c:pt>
                <c:pt idx="40">
                  <c:v>51.173400000000001</c:v>
                </c:pt>
                <c:pt idx="41">
                  <c:v>51.285899999999998</c:v>
                </c:pt>
                <c:pt idx="42">
                  <c:v>51.4741</c:v>
                </c:pt>
                <c:pt idx="43">
                  <c:v>51.724599999999995</c:v>
                </c:pt>
                <c:pt idx="44">
                  <c:v>51.9041</c:v>
                </c:pt>
                <c:pt idx="45">
                  <c:v>52.094200000000001</c:v>
                </c:pt>
                <c:pt idx="46">
                  <c:v>52.2575</c:v>
                </c:pt>
                <c:pt idx="47">
                  <c:v>52.4313</c:v>
                </c:pt>
                <c:pt idx="48">
                  <c:v>52.607599999999998</c:v>
                </c:pt>
                <c:pt idx="49">
                  <c:v>52.754100000000001</c:v>
                </c:pt>
                <c:pt idx="50">
                  <c:v>52.828099999999999</c:v>
                </c:pt>
                <c:pt idx="51">
                  <c:v>52.779800000000002</c:v>
                </c:pt>
                <c:pt idx="52">
                  <c:v>52.727800000000002</c:v>
                </c:pt>
                <c:pt idx="53">
                  <c:v>52.714799999999997</c:v>
                </c:pt>
                <c:pt idx="54">
                  <c:v>52.707300000000004</c:v>
                </c:pt>
                <c:pt idx="55">
                  <c:v>52.675600000000003</c:v>
                </c:pt>
                <c:pt idx="56">
                  <c:v>52.646000000000001</c:v>
                </c:pt>
                <c:pt idx="57">
                  <c:v>52.618699999999997</c:v>
                </c:pt>
                <c:pt idx="58">
                  <c:v>52.608699999999999</c:v>
                </c:pt>
                <c:pt idx="59">
                  <c:v>52.644199999999998</c:v>
                </c:pt>
                <c:pt idx="60">
                  <c:v>52.7288</c:v>
                </c:pt>
                <c:pt idx="61">
                  <c:v>52.891399999999997</c:v>
                </c:pt>
                <c:pt idx="62">
                  <c:v>53.099600000000002</c:v>
                </c:pt>
                <c:pt idx="63">
                  <c:v>53.400400000000005</c:v>
                </c:pt>
                <c:pt idx="64">
                  <c:v>53.757600000000004</c:v>
                </c:pt>
                <c:pt idx="65">
                  <c:v>54.035200000000003</c:v>
                </c:pt>
                <c:pt idx="66">
                  <c:v>54.204099999999997</c:v>
                </c:pt>
                <c:pt idx="67">
                  <c:v>54.347900000000003</c:v>
                </c:pt>
                <c:pt idx="68">
                  <c:v>54.460099999999997</c:v>
                </c:pt>
                <c:pt idx="69">
                  <c:v>54.642800000000001</c:v>
                </c:pt>
                <c:pt idx="70">
                  <c:v>54.809300000000007</c:v>
                </c:pt>
                <c:pt idx="71">
                  <c:v>54.939700000000002</c:v>
                </c:pt>
                <c:pt idx="72">
                  <c:v>55.116600000000005</c:v>
                </c:pt>
                <c:pt idx="73">
                  <c:v>55.1554</c:v>
                </c:pt>
                <c:pt idx="74">
                  <c:v>55.059800000000003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4.1448021621621614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35.820890540540525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3.7659633783783777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48.88393108108108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3.7659633783783777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48.88393108108108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0.219746615016502</c:v>
                </c:pt>
                <c:pt idx="1">
                  <c:v>0.2749674822773347</c:v>
                </c:pt>
                <c:pt idx="2">
                  <c:v>0.50528590270616347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0.40865000000000001</c:v>
                </c:pt>
                <c:pt idx="2">
                  <c:v>0.81341799999999997</c:v>
                </c:pt>
                <c:pt idx="3">
                  <c:v>1.2194700000000001</c:v>
                </c:pt>
                <c:pt idx="4">
                  <c:v>1.629</c:v>
                </c:pt>
                <c:pt idx="5">
                  <c:v>2.0331999999999999</c:v>
                </c:pt>
                <c:pt idx="6">
                  <c:v>2.4378700000000002</c:v>
                </c:pt>
                <c:pt idx="7">
                  <c:v>2.8432300000000001</c:v>
                </c:pt>
                <c:pt idx="8">
                  <c:v>3.2490000000000001</c:v>
                </c:pt>
                <c:pt idx="9">
                  <c:v>3.6577500000000001</c:v>
                </c:pt>
                <c:pt idx="10">
                  <c:v>4.0684100000000001</c:v>
                </c:pt>
                <c:pt idx="11">
                  <c:v>4.4714299999999998</c:v>
                </c:pt>
                <c:pt idx="12">
                  <c:v>4.8754499999999998</c:v>
                </c:pt>
                <c:pt idx="13">
                  <c:v>5.2813100000000004</c:v>
                </c:pt>
                <c:pt idx="14">
                  <c:v>5.6887999999999996</c:v>
                </c:pt>
                <c:pt idx="15">
                  <c:v>6.0973800000000002</c:v>
                </c:pt>
                <c:pt idx="16">
                  <c:v>6.5033500000000002</c:v>
                </c:pt>
                <c:pt idx="17">
                  <c:v>6.9071899999999999</c:v>
                </c:pt>
                <c:pt idx="18">
                  <c:v>7.3123399999999998</c:v>
                </c:pt>
                <c:pt idx="19">
                  <c:v>7.7215299999999996</c:v>
                </c:pt>
                <c:pt idx="20">
                  <c:v>8.1253600000000006</c:v>
                </c:pt>
                <c:pt idx="21">
                  <c:v>8.5322899999999997</c:v>
                </c:pt>
                <c:pt idx="22">
                  <c:v>8.9407399999999999</c:v>
                </c:pt>
                <c:pt idx="23">
                  <c:v>9.3461700000000008</c:v>
                </c:pt>
                <c:pt idx="24">
                  <c:v>9.7523099999999996</c:v>
                </c:pt>
                <c:pt idx="25">
                  <c:v>10.157999999999999</c:v>
                </c:pt>
                <c:pt idx="26">
                  <c:v>10.5639</c:v>
                </c:pt>
                <c:pt idx="27">
                  <c:v>10.9718</c:v>
                </c:pt>
                <c:pt idx="28">
                  <c:v>11.378399999999999</c:v>
                </c:pt>
                <c:pt idx="29">
                  <c:v>11.7829</c:v>
                </c:pt>
                <c:pt idx="30">
                  <c:v>12.1883</c:v>
                </c:pt>
                <c:pt idx="31">
                  <c:v>12.595700000000001</c:v>
                </c:pt>
                <c:pt idx="32">
                  <c:v>13.002599999999999</c:v>
                </c:pt>
                <c:pt idx="33">
                  <c:v>13.409000000000001</c:v>
                </c:pt>
                <c:pt idx="34">
                  <c:v>13.814399999999999</c:v>
                </c:pt>
                <c:pt idx="35">
                  <c:v>14.220800000000001</c:v>
                </c:pt>
                <c:pt idx="36">
                  <c:v>14.6234</c:v>
                </c:pt>
                <c:pt idx="37">
                  <c:v>15.031700000000001</c:v>
                </c:pt>
                <c:pt idx="38">
                  <c:v>15.437799999999999</c:v>
                </c:pt>
                <c:pt idx="39">
                  <c:v>15.8452</c:v>
                </c:pt>
                <c:pt idx="40">
                  <c:v>16.250900000000001</c:v>
                </c:pt>
                <c:pt idx="41">
                  <c:v>16.6557</c:v>
                </c:pt>
                <c:pt idx="42">
                  <c:v>17.064900000000002</c:v>
                </c:pt>
                <c:pt idx="43">
                  <c:v>17.471499999999999</c:v>
                </c:pt>
                <c:pt idx="44">
                  <c:v>17.875900000000001</c:v>
                </c:pt>
                <c:pt idx="45">
                  <c:v>18.281700000000001</c:v>
                </c:pt>
                <c:pt idx="46">
                  <c:v>18.6889</c:v>
                </c:pt>
                <c:pt idx="47">
                  <c:v>19.093299999999999</c:v>
                </c:pt>
                <c:pt idx="48">
                  <c:v>19.502500000000001</c:v>
                </c:pt>
                <c:pt idx="49">
                  <c:v>19.908799999999999</c:v>
                </c:pt>
                <c:pt idx="50">
                  <c:v>20.315000000000001</c:v>
                </c:pt>
                <c:pt idx="51">
                  <c:v>20.721900000000002</c:v>
                </c:pt>
                <c:pt idx="52">
                  <c:v>21.125900000000001</c:v>
                </c:pt>
                <c:pt idx="53">
                  <c:v>21.534300000000002</c:v>
                </c:pt>
                <c:pt idx="54">
                  <c:v>21.939900000000002</c:v>
                </c:pt>
                <c:pt idx="55">
                  <c:v>22.3446</c:v>
                </c:pt>
                <c:pt idx="56">
                  <c:v>22.748799999999999</c:v>
                </c:pt>
                <c:pt idx="57">
                  <c:v>23.158000000000001</c:v>
                </c:pt>
                <c:pt idx="58">
                  <c:v>23.562799999999999</c:v>
                </c:pt>
                <c:pt idx="59">
                  <c:v>23.973700000000001</c:v>
                </c:pt>
                <c:pt idx="60">
                  <c:v>24.376300000000001</c:v>
                </c:pt>
                <c:pt idx="61">
                  <c:v>24.783000000000001</c:v>
                </c:pt>
                <c:pt idx="62">
                  <c:v>25.188400000000001</c:v>
                </c:pt>
                <c:pt idx="63">
                  <c:v>25.596800000000002</c:v>
                </c:pt>
                <c:pt idx="64">
                  <c:v>26.0046</c:v>
                </c:pt>
                <c:pt idx="65">
                  <c:v>26.408200000000001</c:v>
                </c:pt>
                <c:pt idx="66">
                  <c:v>26.8124</c:v>
                </c:pt>
                <c:pt idx="67">
                  <c:v>27.219899999999999</c:v>
                </c:pt>
                <c:pt idx="68">
                  <c:v>27.627500000000001</c:v>
                </c:pt>
                <c:pt idx="69">
                  <c:v>28.033300000000001</c:v>
                </c:pt>
                <c:pt idx="70">
                  <c:v>28.437799999999999</c:v>
                </c:pt>
                <c:pt idx="71">
                  <c:v>28.8447</c:v>
                </c:pt>
                <c:pt idx="72">
                  <c:v>29.252099999999999</c:v>
                </c:pt>
                <c:pt idx="73">
                  <c:v>29.658300000000001</c:v>
                </c:pt>
                <c:pt idx="74">
                  <c:v>30.065200000000001</c:v>
                </c:pt>
                <c:pt idx="75">
                  <c:v>30.5031</c:v>
                </c:pt>
                <c:pt idx="76">
                  <c:v>30.908100000000001</c:v>
                </c:pt>
                <c:pt idx="77">
                  <c:v>31.3142</c:v>
                </c:pt>
                <c:pt idx="78">
                  <c:v>31.718299999999999</c:v>
                </c:pt>
                <c:pt idx="79">
                  <c:v>32.125500000000002</c:v>
                </c:pt>
                <c:pt idx="80">
                  <c:v>32.531500000000001</c:v>
                </c:pt>
                <c:pt idx="81">
                  <c:v>32.939599999999999</c:v>
                </c:pt>
                <c:pt idx="82">
                  <c:v>33.345100000000002</c:v>
                </c:pt>
                <c:pt idx="83">
                  <c:v>33.750799999999998</c:v>
                </c:pt>
                <c:pt idx="84">
                  <c:v>34.156199999999998</c:v>
                </c:pt>
                <c:pt idx="85">
                  <c:v>34.562100000000001</c:v>
                </c:pt>
                <c:pt idx="86">
                  <c:v>34.968600000000002</c:v>
                </c:pt>
                <c:pt idx="87">
                  <c:v>35.376300000000001</c:v>
                </c:pt>
                <c:pt idx="88">
                  <c:v>35.784700000000001</c:v>
                </c:pt>
                <c:pt idx="89">
                  <c:v>36.188099999999999</c:v>
                </c:pt>
                <c:pt idx="90">
                  <c:v>36.5961</c:v>
                </c:pt>
                <c:pt idx="91">
                  <c:v>37.000799999999998</c:v>
                </c:pt>
                <c:pt idx="92">
                  <c:v>37.410499999999999</c:v>
                </c:pt>
                <c:pt idx="93">
                  <c:v>37.815800000000003</c:v>
                </c:pt>
                <c:pt idx="94">
                  <c:v>38.2241</c:v>
                </c:pt>
                <c:pt idx="95">
                  <c:v>38.626399999999997</c:v>
                </c:pt>
                <c:pt idx="96">
                  <c:v>39.032899999999998</c:v>
                </c:pt>
                <c:pt idx="97">
                  <c:v>39.4422</c:v>
                </c:pt>
                <c:pt idx="98">
                  <c:v>39.844799999999999</c:v>
                </c:pt>
                <c:pt idx="99">
                  <c:v>40.251800000000003</c:v>
                </c:pt>
                <c:pt idx="100">
                  <c:v>40.657600000000002</c:v>
                </c:pt>
                <c:pt idx="101">
                  <c:v>41.066200000000002</c:v>
                </c:pt>
                <c:pt idx="102">
                  <c:v>41.472099999999998</c:v>
                </c:pt>
                <c:pt idx="103">
                  <c:v>41.878700000000002</c:v>
                </c:pt>
                <c:pt idx="104">
                  <c:v>42.283099999999997</c:v>
                </c:pt>
                <c:pt idx="105">
                  <c:v>42.688800000000001</c:v>
                </c:pt>
                <c:pt idx="106">
                  <c:v>43.094700000000003</c:v>
                </c:pt>
                <c:pt idx="107">
                  <c:v>43.503599999999999</c:v>
                </c:pt>
                <c:pt idx="108">
                  <c:v>43.909199999999998</c:v>
                </c:pt>
                <c:pt idx="109">
                  <c:v>44.314500000000002</c:v>
                </c:pt>
                <c:pt idx="110">
                  <c:v>44.717799999999997</c:v>
                </c:pt>
                <c:pt idx="111">
                  <c:v>45.124699999999997</c:v>
                </c:pt>
                <c:pt idx="112">
                  <c:v>45.533299999999997</c:v>
                </c:pt>
                <c:pt idx="113">
                  <c:v>45.9392</c:v>
                </c:pt>
                <c:pt idx="114">
                  <c:v>46.343200000000003</c:v>
                </c:pt>
                <c:pt idx="115">
                  <c:v>46.749499999999998</c:v>
                </c:pt>
                <c:pt idx="116">
                  <c:v>47.1586</c:v>
                </c:pt>
                <c:pt idx="117">
                  <c:v>47.563800000000001</c:v>
                </c:pt>
                <c:pt idx="118">
                  <c:v>47.972099999999998</c:v>
                </c:pt>
                <c:pt idx="119">
                  <c:v>48.375799999999998</c:v>
                </c:pt>
                <c:pt idx="120">
                  <c:v>48.784300000000002</c:v>
                </c:pt>
                <c:pt idx="121">
                  <c:v>49.187600000000003</c:v>
                </c:pt>
                <c:pt idx="122">
                  <c:v>49.5944</c:v>
                </c:pt>
                <c:pt idx="123">
                  <c:v>50.005200000000002</c:v>
                </c:pt>
                <c:pt idx="124">
                  <c:v>50.409300000000002</c:v>
                </c:pt>
                <c:pt idx="125">
                  <c:v>50.811500000000002</c:v>
                </c:pt>
                <c:pt idx="126">
                  <c:v>51.222000000000001</c:v>
                </c:pt>
                <c:pt idx="127">
                  <c:v>51.6282</c:v>
                </c:pt>
                <c:pt idx="128">
                  <c:v>52.0364</c:v>
                </c:pt>
                <c:pt idx="129">
                  <c:v>52.443800000000003</c:v>
                </c:pt>
                <c:pt idx="130">
                  <c:v>52.8444</c:v>
                </c:pt>
                <c:pt idx="131">
                  <c:v>53.253700000000002</c:v>
                </c:pt>
                <c:pt idx="132">
                  <c:v>53.656599999999997</c:v>
                </c:pt>
                <c:pt idx="133">
                  <c:v>54.066499999999998</c:v>
                </c:pt>
                <c:pt idx="134">
                  <c:v>54.470199999999998</c:v>
                </c:pt>
                <c:pt idx="135">
                  <c:v>54.875799999999998</c:v>
                </c:pt>
                <c:pt idx="136">
                  <c:v>55.284999999999997</c:v>
                </c:pt>
                <c:pt idx="137">
                  <c:v>55.6892</c:v>
                </c:pt>
                <c:pt idx="138">
                  <c:v>56.097999999999999</c:v>
                </c:pt>
                <c:pt idx="139">
                  <c:v>56.502600000000001</c:v>
                </c:pt>
                <c:pt idx="140">
                  <c:v>56.907299999999999</c:v>
                </c:pt>
                <c:pt idx="141">
                  <c:v>57.310499999999998</c:v>
                </c:pt>
                <c:pt idx="142">
                  <c:v>57.720799999999997</c:v>
                </c:pt>
                <c:pt idx="143">
                  <c:v>58.123699999999999</c:v>
                </c:pt>
                <c:pt idx="144">
                  <c:v>58.535499999999999</c:v>
                </c:pt>
                <c:pt idx="145">
                  <c:v>58.941099999999999</c:v>
                </c:pt>
                <c:pt idx="146">
                  <c:v>59.3506</c:v>
                </c:pt>
                <c:pt idx="147">
                  <c:v>59.755899999999997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2.4964400000000002</c:v>
                </c:pt>
                <c:pt idx="1">
                  <c:v>2.5545</c:v>
                </c:pt>
                <c:pt idx="2">
                  <c:v>2.6159300000000001</c:v>
                </c:pt>
                <c:pt idx="3">
                  <c:v>2.6804000000000001</c:v>
                </c:pt>
                <c:pt idx="4">
                  <c:v>2.7461200000000003</c:v>
                </c:pt>
                <c:pt idx="5">
                  <c:v>2.81047</c:v>
                </c:pt>
                <c:pt idx="6">
                  <c:v>2.8785799999999999</c:v>
                </c:pt>
                <c:pt idx="7">
                  <c:v>2.9477700000000002</c:v>
                </c:pt>
                <c:pt idx="8">
                  <c:v>3.01661</c:v>
                </c:pt>
                <c:pt idx="9">
                  <c:v>3.0870199999999999</c:v>
                </c:pt>
                <c:pt idx="10">
                  <c:v>3.1540600000000003</c:v>
                </c:pt>
                <c:pt idx="11">
                  <c:v>3.2182399999999998</c:v>
                </c:pt>
                <c:pt idx="12">
                  <c:v>3.2812400000000004</c:v>
                </c:pt>
                <c:pt idx="13">
                  <c:v>3.3438400000000001</c:v>
                </c:pt>
                <c:pt idx="14">
                  <c:v>3.4059499999999998</c:v>
                </c:pt>
                <c:pt idx="15">
                  <c:v>3.4694700000000003</c:v>
                </c:pt>
                <c:pt idx="16">
                  <c:v>3.5329100000000002</c:v>
                </c:pt>
                <c:pt idx="17">
                  <c:v>3.5946400000000001</c:v>
                </c:pt>
                <c:pt idx="18">
                  <c:v>3.6551299999999998</c:v>
                </c:pt>
                <c:pt idx="19">
                  <c:v>3.7130000000000001</c:v>
                </c:pt>
                <c:pt idx="20">
                  <c:v>3.7673399999999999</c:v>
                </c:pt>
                <c:pt idx="21">
                  <c:v>3.8199100000000001</c:v>
                </c:pt>
                <c:pt idx="22">
                  <c:v>3.8719799999999998</c:v>
                </c:pt>
                <c:pt idx="23">
                  <c:v>3.9210699999999998</c:v>
                </c:pt>
                <c:pt idx="24">
                  <c:v>3.96915</c:v>
                </c:pt>
                <c:pt idx="25">
                  <c:v>4.0186899999999994</c:v>
                </c:pt>
                <c:pt idx="26">
                  <c:v>4.0652300000000006</c:v>
                </c:pt>
                <c:pt idx="27">
                  <c:v>4.1055999999999999</c:v>
                </c:pt>
                <c:pt idx="28">
                  <c:v>4.1471099999999996</c:v>
                </c:pt>
                <c:pt idx="29">
                  <c:v>4.1897500000000001</c:v>
                </c:pt>
                <c:pt idx="30">
                  <c:v>4.23576</c:v>
                </c:pt>
                <c:pt idx="31">
                  <c:v>4.2828600000000003</c:v>
                </c:pt>
                <c:pt idx="32">
                  <c:v>4.3310900000000006</c:v>
                </c:pt>
                <c:pt idx="33">
                  <c:v>4.3761799999999997</c:v>
                </c:pt>
                <c:pt idx="34">
                  <c:v>4.4198599999999999</c:v>
                </c:pt>
                <c:pt idx="35">
                  <c:v>4.4611200000000002</c:v>
                </c:pt>
                <c:pt idx="36">
                  <c:v>4.4997300000000005</c:v>
                </c:pt>
                <c:pt idx="37">
                  <c:v>4.53559</c:v>
                </c:pt>
                <c:pt idx="38">
                  <c:v>4.5702999999999996</c:v>
                </c:pt>
                <c:pt idx="39">
                  <c:v>4.60527</c:v>
                </c:pt>
                <c:pt idx="40">
                  <c:v>4.6384799999999995</c:v>
                </c:pt>
                <c:pt idx="41">
                  <c:v>4.6668399999999997</c:v>
                </c:pt>
                <c:pt idx="42">
                  <c:v>4.6901799999999998</c:v>
                </c:pt>
                <c:pt idx="43">
                  <c:v>4.7134999999999998</c:v>
                </c:pt>
                <c:pt idx="44">
                  <c:v>4.7344999999999997</c:v>
                </c:pt>
                <c:pt idx="45">
                  <c:v>4.7559300000000002</c:v>
                </c:pt>
                <c:pt idx="46">
                  <c:v>4.77935</c:v>
                </c:pt>
                <c:pt idx="47">
                  <c:v>4.7985600000000002</c:v>
                </c:pt>
                <c:pt idx="48">
                  <c:v>4.8142800000000001</c:v>
                </c:pt>
                <c:pt idx="49">
                  <c:v>4.8270900000000001</c:v>
                </c:pt>
                <c:pt idx="50">
                  <c:v>4.8391900000000003</c:v>
                </c:pt>
                <c:pt idx="51">
                  <c:v>4.85067</c:v>
                </c:pt>
                <c:pt idx="52">
                  <c:v>4.8591600000000001</c:v>
                </c:pt>
                <c:pt idx="53">
                  <c:v>4.8610300000000004</c:v>
                </c:pt>
                <c:pt idx="54">
                  <c:v>4.8574900000000003</c:v>
                </c:pt>
                <c:pt idx="55">
                  <c:v>4.8464900000000002</c:v>
                </c:pt>
                <c:pt idx="56">
                  <c:v>4.8302499999999995</c:v>
                </c:pt>
                <c:pt idx="57">
                  <c:v>4.8100100000000001</c:v>
                </c:pt>
                <c:pt idx="58">
                  <c:v>4.7889900000000001</c:v>
                </c:pt>
                <c:pt idx="59">
                  <c:v>4.7658899999999997</c:v>
                </c:pt>
                <c:pt idx="60">
                  <c:v>4.7425899999999999</c:v>
                </c:pt>
                <c:pt idx="61">
                  <c:v>4.72112</c:v>
                </c:pt>
                <c:pt idx="62">
                  <c:v>4.6987199999999998</c:v>
                </c:pt>
                <c:pt idx="63">
                  <c:v>4.6767700000000003</c:v>
                </c:pt>
                <c:pt idx="64">
                  <c:v>4.6544699999999999</c:v>
                </c:pt>
                <c:pt idx="65">
                  <c:v>4.6323299999999996</c:v>
                </c:pt>
                <c:pt idx="66">
                  <c:v>4.6132499999999999</c:v>
                </c:pt>
                <c:pt idx="67">
                  <c:v>4.5984499999999997</c:v>
                </c:pt>
                <c:pt idx="68">
                  <c:v>4.5823599999999995</c:v>
                </c:pt>
                <c:pt idx="69">
                  <c:v>4.5692300000000001</c:v>
                </c:pt>
                <c:pt idx="70">
                  <c:v>4.5552200000000003</c:v>
                </c:pt>
                <c:pt idx="71">
                  <c:v>4.5348600000000001</c:v>
                </c:pt>
                <c:pt idx="72">
                  <c:v>4.5139699999999996</c:v>
                </c:pt>
                <c:pt idx="73">
                  <c:v>4.4982299999999995</c:v>
                </c:pt>
                <c:pt idx="74">
                  <c:v>4.4805099999999998</c:v>
                </c:pt>
                <c:pt idx="75">
                  <c:v>4.4594699999999996</c:v>
                </c:pt>
                <c:pt idx="76">
                  <c:v>4.4363200000000003</c:v>
                </c:pt>
                <c:pt idx="77">
                  <c:v>4.4153599999999997</c:v>
                </c:pt>
                <c:pt idx="78">
                  <c:v>4.3966899999999995</c:v>
                </c:pt>
                <c:pt idx="79">
                  <c:v>4.3782300000000003</c:v>
                </c:pt>
                <c:pt idx="80">
                  <c:v>4.3628099999999996</c:v>
                </c:pt>
                <c:pt idx="81">
                  <c:v>4.34999</c:v>
                </c:pt>
                <c:pt idx="82">
                  <c:v>4.3387900000000004</c:v>
                </c:pt>
                <c:pt idx="83">
                  <c:v>4.3274400000000002</c:v>
                </c:pt>
                <c:pt idx="84">
                  <c:v>4.3140999999999998</c:v>
                </c:pt>
                <c:pt idx="85">
                  <c:v>4.3015799999999995</c:v>
                </c:pt>
                <c:pt idx="86">
                  <c:v>4.2881099999999996</c:v>
                </c:pt>
                <c:pt idx="87">
                  <c:v>4.2734800000000002</c:v>
                </c:pt>
                <c:pt idx="88">
                  <c:v>4.2551499999999995</c:v>
                </c:pt>
                <c:pt idx="89">
                  <c:v>4.2328799999999998</c:v>
                </c:pt>
                <c:pt idx="90">
                  <c:v>4.20899</c:v>
                </c:pt>
                <c:pt idx="91">
                  <c:v>4.1837200000000001</c:v>
                </c:pt>
                <c:pt idx="92">
                  <c:v>4.1547000000000001</c:v>
                </c:pt>
                <c:pt idx="93">
                  <c:v>4.1238900000000003</c:v>
                </c:pt>
                <c:pt idx="94">
                  <c:v>4.0893800000000002</c:v>
                </c:pt>
                <c:pt idx="95">
                  <c:v>4.0546699999999998</c:v>
                </c:pt>
                <c:pt idx="96">
                  <c:v>4.0226800000000003</c:v>
                </c:pt>
                <c:pt idx="97">
                  <c:v>3.9930700000000003</c:v>
                </c:pt>
                <c:pt idx="98">
                  <c:v>3.9591500000000002</c:v>
                </c:pt>
                <c:pt idx="99">
                  <c:v>3.9247700000000001</c:v>
                </c:pt>
                <c:pt idx="100">
                  <c:v>3.8881800000000002</c:v>
                </c:pt>
                <c:pt idx="101">
                  <c:v>3.8532499999999996</c:v>
                </c:pt>
                <c:pt idx="102">
                  <c:v>3.8202399999999996</c:v>
                </c:pt>
                <c:pt idx="103">
                  <c:v>3.7899100000000003</c:v>
                </c:pt>
                <c:pt idx="104">
                  <c:v>3.7635800000000001</c:v>
                </c:pt>
                <c:pt idx="105">
                  <c:v>3.7373000000000003</c:v>
                </c:pt>
                <c:pt idx="106">
                  <c:v>3.7084999999999999</c:v>
                </c:pt>
                <c:pt idx="107">
                  <c:v>3.6780499999999998</c:v>
                </c:pt>
                <c:pt idx="108">
                  <c:v>3.6493599999999997</c:v>
                </c:pt>
                <c:pt idx="109">
                  <c:v>3.6258400000000002</c:v>
                </c:pt>
                <c:pt idx="110">
                  <c:v>3.6048100000000001</c:v>
                </c:pt>
                <c:pt idx="111">
                  <c:v>3.5856900000000005</c:v>
                </c:pt>
                <c:pt idx="112">
                  <c:v>3.56813</c:v>
                </c:pt>
                <c:pt idx="113">
                  <c:v>3.5504099999999998</c:v>
                </c:pt>
                <c:pt idx="114">
                  <c:v>3.53207</c:v>
                </c:pt>
                <c:pt idx="115">
                  <c:v>3.5137800000000001</c:v>
                </c:pt>
                <c:pt idx="116">
                  <c:v>3.4954099999999997</c:v>
                </c:pt>
                <c:pt idx="117">
                  <c:v>3.4804499999999998</c:v>
                </c:pt>
                <c:pt idx="118">
                  <c:v>3.4662600000000001</c:v>
                </c:pt>
                <c:pt idx="119">
                  <c:v>3.4526600000000003</c:v>
                </c:pt>
                <c:pt idx="120">
                  <c:v>3.4401799999999998</c:v>
                </c:pt>
                <c:pt idx="121">
                  <c:v>3.4296700000000002</c:v>
                </c:pt>
                <c:pt idx="122">
                  <c:v>3.4194499999999999</c:v>
                </c:pt>
                <c:pt idx="123">
                  <c:v>3.41181</c:v>
                </c:pt>
                <c:pt idx="124">
                  <c:v>3.40815</c:v>
                </c:pt>
                <c:pt idx="125">
                  <c:v>3.4084199999999996</c:v>
                </c:pt>
                <c:pt idx="126">
                  <c:v>3.4072300000000002</c:v>
                </c:pt>
                <c:pt idx="127">
                  <c:v>3.40578</c:v>
                </c:pt>
                <c:pt idx="128">
                  <c:v>3.4047200000000002</c:v>
                </c:pt>
                <c:pt idx="129">
                  <c:v>3.4038499999999998</c:v>
                </c:pt>
                <c:pt idx="130">
                  <c:v>3.4049800000000001</c:v>
                </c:pt>
                <c:pt idx="131">
                  <c:v>3.4088400000000001</c:v>
                </c:pt>
                <c:pt idx="132">
                  <c:v>3.4141300000000001</c:v>
                </c:pt>
                <c:pt idx="133">
                  <c:v>3.4192299999999998</c:v>
                </c:pt>
                <c:pt idx="134">
                  <c:v>3.4210800000000003</c:v>
                </c:pt>
                <c:pt idx="135">
                  <c:v>3.4169200000000002</c:v>
                </c:pt>
                <c:pt idx="136">
                  <c:v>3.4083999999999999</c:v>
                </c:pt>
                <c:pt idx="137">
                  <c:v>3.4006500000000002</c:v>
                </c:pt>
                <c:pt idx="138">
                  <c:v>3.4001700000000001</c:v>
                </c:pt>
                <c:pt idx="139">
                  <c:v>3.4077200000000003</c:v>
                </c:pt>
                <c:pt idx="140">
                  <c:v>3.4117999999999999</c:v>
                </c:pt>
                <c:pt idx="141">
                  <c:v>3.4151799999999999</c:v>
                </c:pt>
                <c:pt idx="142">
                  <c:v>3.4156199999999997</c:v>
                </c:pt>
                <c:pt idx="143">
                  <c:v>3.4148299999999998</c:v>
                </c:pt>
                <c:pt idx="144">
                  <c:v>3.4213300000000002</c:v>
                </c:pt>
                <c:pt idx="145">
                  <c:v>3.4246300000000001</c:v>
                </c:pt>
                <c:pt idx="146">
                  <c:v>3.4208300000000005</c:v>
                </c:pt>
                <c:pt idx="147">
                  <c:v>3.4258800000000003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0.40865000000000001</c:v>
                </c:pt>
                <c:pt idx="2">
                  <c:v>0.81341799999999997</c:v>
                </c:pt>
                <c:pt idx="3">
                  <c:v>1.2194700000000001</c:v>
                </c:pt>
                <c:pt idx="4">
                  <c:v>1.629</c:v>
                </c:pt>
                <c:pt idx="5">
                  <c:v>2.0331999999999999</c:v>
                </c:pt>
                <c:pt idx="6">
                  <c:v>2.4378700000000002</c:v>
                </c:pt>
                <c:pt idx="7">
                  <c:v>2.8432300000000001</c:v>
                </c:pt>
                <c:pt idx="8">
                  <c:v>3.2490000000000001</c:v>
                </c:pt>
                <c:pt idx="9">
                  <c:v>3.6577500000000001</c:v>
                </c:pt>
                <c:pt idx="10">
                  <c:v>4.0684100000000001</c:v>
                </c:pt>
                <c:pt idx="11">
                  <c:v>4.4714299999999998</c:v>
                </c:pt>
                <c:pt idx="12">
                  <c:v>4.8754499999999998</c:v>
                </c:pt>
                <c:pt idx="13">
                  <c:v>5.2813100000000004</c:v>
                </c:pt>
                <c:pt idx="14">
                  <c:v>5.6887999999999996</c:v>
                </c:pt>
                <c:pt idx="15">
                  <c:v>6.0973800000000002</c:v>
                </c:pt>
                <c:pt idx="16">
                  <c:v>6.5033500000000002</c:v>
                </c:pt>
                <c:pt idx="17">
                  <c:v>6.9071899999999999</c:v>
                </c:pt>
                <c:pt idx="18">
                  <c:v>7.3123399999999998</c:v>
                </c:pt>
                <c:pt idx="19">
                  <c:v>7.7215299999999996</c:v>
                </c:pt>
                <c:pt idx="20">
                  <c:v>8.1253600000000006</c:v>
                </c:pt>
                <c:pt idx="21">
                  <c:v>8.5322899999999997</c:v>
                </c:pt>
                <c:pt idx="22">
                  <c:v>8.9407399999999999</c:v>
                </c:pt>
                <c:pt idx="23">
                  <c:v>9.3461700000000008</c:v>
                </c:pt>
                <c:pt idx="24">
                  <c:v>9.7523099999999996</c:v>
                </c:pt>
                <c:pt idx="25">
                  <c:v>10.157999999999999</c:v>
                </c:pt>
                <c:pt idx="26">
                  <c:v>10.5639</c:v>
                </c:pt>
                <c:pt idx="27">
                  <c:v>10.9718</c:v>
                </c:pt>
                <c:pt idx="28">
                  <c:v>11.378399999999999</c:v>
                </c:pt>
                <c:pt idx="29">
                  <c:v>11.7829</c:v>
                </c:pt>
                <c:pt idx="30">
                  <c:v>12.1883</c:v>
                </c:pt>
                <c:pt idx="31">
                  <c:v>12.595700000000001</c:v>
                </c:pt>
                <c:pt idx="32">
                  <c:v>13.002599999999999</c:v>
                </c:pt>
                <c:pt idx="33">
                  <c:v>13.409000000000001</c:v>
                </c:pt>
                <c:pt idx="34">
                  <c:v>13.814399999999999</c:v>
                </c:pt>
                <c:pt idx="35">
                  <c:v>14.220800000000001</c:v>
                </c:pt>
                <c:pt idx="36">
                  <c:v>14.6234</c:v>
                </c:pt>
                <c:pt idx="37">
                  <c:v>15.031700000000001</c:v>
                </c:pt>
                <c:pt idx="38">
                  <c:v>15.437799999999999</c:v>
                </c:pt>
                <c:pt idx="39">
                  <c:v>15.8452</c:v>
                </c:pt>
                <c:pt idx="40">
                  <c:v>16.250900000000001</c:v>
                </c:pt>
                <c:pt idx="41">
                  <c:v>16.6557</c:v>
                </c:pt>
                <c:pt idx="42">
                  <c:v>17.064900000000002</c:v>
                </c:pt>
                <c:pt idx="43">
                  <c:v>17.471499999999999</c:v>
                </c:pt>
                <c:pt idx="44">
                  <c:v>17.875900000000001</c:v>
                </c:pt>
                <c:pt idx="45">
                  <c:v>18.281700000000001</c:v>
                </c:pt>
                <c:pt idx="46">
                  <c:v>18.6889</c:v>
                </c:pt>
                <c:pt idx="47">
                  <c:v>19.093299999999999</c:v>
                </c:pt>
                <c:pt idx="48">
                  <c:v>19.502500000000001</c:v>
                </c:pt>
                <c:pt idx="49">
                  <c:v>19.908799999999999</c:v>
                </c:pt>
                <c:pt idx="50">
                  <c:v>20.315000000000001</c:v>
                </c:pt>
                <c:pt idx="51">
                  <c:v>20.721900000000002</c:v>
                </c:pt>
                <c:pt idx="52">
                  <c:v>21.125900000000001</c:v>
                </c:pt>
                <c:pt idx="53">
                  <c:v>21.534300000000002</c:v>
                </c:pt>
                <c:pt idx="54">
                  <c:v>21.939900000000002</c:v>
                </c:pt>
                <c:pt idx="55">
                  <c:v>22.3446</c:v>
                </c:pt>
                <c:pt idx="56">
                  <c:v>22.748799999999999</c:v>
                </c:pt>
                <c:pt idx="57">
                  <c:v>23.158000000000001</c:v>
                </c:pt>
                <c:pt idx="58">
                  <c:v>23.562799999999999</c:v>
                </c:pt>
                <c:pt idx="59">
                  <c:v>23.973700000000001</c:v>
                </c:pt>
                <c:pt idx="60">
                  <c:v>24.376300000000001</c:v>
                </c:pt>
                <c:pt idx="61">
                  <c:v>24.783000000000001</c:v>
                </c:pt>
                <c:pt idx="62">
                  <c:v>25.188400000000001</c:v>
                </c:pt>
                <c:pt idx="63">
                  <c:v>25.596800000000002</c:v>
                </c:pt>
                <c:pt idx="64">
                  <c:v>26.0046</c:v>
                </c:pt>
                <c:pt idx="65">
                  <c:v>26.408200000000001</c:v>
                </c:pt>
                <c:pt idx="66">
                  <c:v>26.8124</c:v>
                </c:pt>
                <c:pt idx="67">
                  <c:v>27.219899999999999</c:v>
                </c:pt>
                <c:pt idx="68">
                  <c:v>27.627500000000001</c:v>
                </c:pt>
                <c:pt idx="69">
                  <c:v>28.033300000000001</c:v>
                </c:pt>
                <c:pt idx="70">
                  <c:v>28.437799999999999</c:v>
                </c:pt>
                <c:pt idx="71">
                  <c:v>28.8447</c:v>
                </c:pt>
                <c:pt idx="72">
                  <c:v>29.252099999999999</c:v>
                </c:pt>
                <c:pt idx="73">
                  <c:v>29.658300000000001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2.4964400000000002</c:v>
                </c:pt>
                <c:pt idx="1">
                  <c:v>2.5545</c:v>
                </c:pt>
                <c:pt idx="2">
                  <c:v>2.6159300000000001</c:v>
                </c:pt>
                <c:pt idx="3">
                  <c:v>2.6804000000000001</c:v>
                </c:pt>
                <c:pt idx="4">
                  <c:v>2.7461200000000003</c:v>
                </c:pt>
                <c:pt idx="5">
                  <c:v>2.81047</c:v>
                </c:pt>
                <c:pt idx="6">
                  <c:v>2.8785799999999999</c:v>
                </c:pt>
                <c:pt idx="7">
                  <c:v>2.9477700000000002</c:v>
                </c:pt>
                <c:pt idx="8">
                  <c:v>3.01661</c:v>
                </c:pt>
                <c:pt idx="9">
                  <c:v>3.0870199999999999</c:v>
                </c:pt>
                <c:pt idx="10">
                  <c:v>3.1540600000000003</c:v>
                </c:pt>
                <c:pt idx="11">
                  <c:v>3.2182399999999998</c:v>
                </c:pt>
                <c:pt idx="12">
                  <c:v>3.2812400000000004</c:v>
                </c:pt>
                <c:pt idx="13">
                  <c:v>3.3438400000000001</c:v>
                </c:pt>
                <c:pt idx="14">
                  <c:v>3.4059499999999998</c:v>
                </c:pt>
                <c:pt idx="15">
                  <c:v>3.4694700000000003</c:v>
                </c:pt>
                <c:pt idx="16">
                  <c:v>3.5329100000000002</c:v>
                </c:pt>
                <c:pt idx="17">
                  <c:v>3.5946400000000001</c:v>
                </c:pt>
                <c:pt idx="18">
                  <c:v>3.6551299999999998</c:v>
                </c:pt>
                <c:pt idx="19">
                  <c:v>3.7130000000000001</c:v>
                </c:pt>
                <c:pt idx="20">
                  <c:v>3.7673399999999999</c:v>
                </c:pt>
                <c:pt idx="21">
                  <c:v>3.8199100000000001</c:v>
                </c:pt>
                <c:pt idx="22">
                  <c:v>3.8719799999999998</c:v>
                </c:pt>
                <c:pt idx="23">
                  <c:v>3.9210699999999998</c:v>
                </c:pt>
                <c:pt idx="24">
                  <c:v>3.96915</c:v>
                </c:pt>
                <c:pt idx="25">
                  <c:v>4.0186899999999994</c:v>
                </c:pt>
                <c:pt idx="26">
                  <c:v>4.0652300000000006</c:v>
                </c:pt>
                <c:pt idx="27">
                  <c:v>4.1055999999999999</c:v>
                </c:pt>
                <c:pt idx="28">
                  <c:v>4.1471099999999996</c:v>
                </c:pt>
                <c:pt idx="29">
                  <c:v>4.1897500000000001</c:v>
                </c:pt>
                <c:pt idx="30">
                  <c:v>4.23576</c:v>
                </c:pt>
                <c:pt idx="31">
                  <c:v>4.2828600000000003</c:v>
                </c:pt>
                <c:pt idx="32">
                  <c:v>4.3310900000000006</c:v>
                </c:pt>
                <c:pt idx="33">
                  <c:v>4.3761799999999997</c:v>
                </c:pt>
                <c:pt idx="34">
                  <c:v>4.4198599999999999</c:v>
                </c:pt>
                <c:pt idx="35">
                  <c:v>4.4611200000000002</c:v>
                </c:pt>
                <c:pt idx="36">
                  <c:v>4.4997300000000005</c:v>
                </c:pt>
                <c:pt idx="37">
                  <c:v>4.53559</c:v>
                </c:pt>
                <c:pt idx="38">
                  <c:v>4.5702999999999996</c:v>
                </c:pt>
                <c:pt idx="39">
                  <c:v>4.60527</c:v>
                </c:pt>
                <c:pt idx="40">
                  <c:v>4.6384799999999995</c:v>
                </c:pt>
                <c:pt idx="41">
                  <c:v>4.6668399999999997</c:v>
                </c:pt>
                <c:pt idx="42">
                  <c:v>4.6901799999999998</c:v>
                </c:pt>
                <c:pt idx="43">
                  <c:v>4.7134999999999998</c:v>
                </c:pt>
                <c:pt idx="44">
                  <c:v>4.7344999999999997</c:v>
                </c:pt>
                <c:pt idx="45">
                  <c:v>4.7559300000000002</c:v>
                </c:pt>
                <c:pt idx="46">
                  <c:v>4.77935</c:v>
                </c:pt>
                <c:pt idx="47">
                  <c:v>4.7985600000000002</c:v>
                </c:pt>
                <c:pt idx="48">
                  <c:v>4.8142800000000001</c:v>
                </c:pt>
                <c:pt idx="49">
                  <c:v>4.8270900000000001</c:v>
                </c:pt>
                <c:pt idx="50">
                  <c:v>4.8391900000000003</c:v>
                </c:pt>
                <c:pt idx="51">
                  <c:v>4.85067</c:v>
                </c:pt>
                <c:pt idx="52">
                  <c:v>4.8591600000000001</c:v>
                </c:pt>
                <c:pt idx="53">
                  <c:v>4.8610300000000004</c:v>
                </c:pt>
                <c:pt idx="54">
                  <c:v>4.8574900000000003</c:v>
                </c:pt>
                <c:pt idx="55">
                  <c:v>4.8464900000000002</c:v>
                </c:pt>
                <c:pt idx="56">
                  <c:v>4.8302499999999995</c:v>
                </c:pt>
                <c:pt idx="57">
                  <c:v>4.8100100000000001</c:v>
                </c:pt>
                <c:pt idx="58">
                  <c:v>4.7889900000000001</c:v>
                </c:pt>
                <c:pt idx="59">
                  <c:v>4.7658899999999997</c:v>
                </c:pt>
                <c:pt idx="60">
                  <c:v>4.7425899999999999</c:v>
                </c:pt>
                <c:pt idx="61">
                  <c:v>4.72112</c:v>
                </c:pt>
                <c:pt idx="62">
                  <c:v>4.6987199999999998</c:v>
                </c:pt>
                <c:pt idx="63">
                  <c:v>4.6767700000000003</c:v>
                </c:pt>
                <c:pt idx="64">
                  <c:v>4.6544699999999999</c:v>
                </c:pt>
                <c:pt idx="65">
                  <c:v>4.6323299999999996</c:v>
                </c:pt>
                <c:pt idx="66">
                  <c:v>4.6132499999999999</c:v>
                </c:pt>
                <c:pt idx="67">
                  <c:v>4.5984499999999997</c:v>
                </c:pt>
                <c:pt idx="68">
                  <c:v>4.5823599999999995</c:v>
                </c:pt>
                <c:pt idx="69">
                  <c:v>4.5692300000000001</c:v>
                </c:pt>
                <c:pt idx="70">
                  <c:v>4.5552200000000003</c:v>
                </c:pt>
                <c:pt idx="71">
                  <c:v>4.5348600000000001</c:v>
                </c:pt>
                <c:pt idx="72">
                  <c:v>4.5139699999999996</c:v>
                </c:pt>
                <c:pt idx="73">
                  <c:v>4.4982299999999995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29.658300000000001</c:v>
                </c:pt>
                <c:pt idx="1">
                  <c:v>30.065200000000001</c:v>
                </c:pt>
                <c:pt idx="2">
                  <c:v>30.5031</c:v>
                </c:pt>
                <c:pt idx="3">
                  <c:v>30.908100000000001</c:v>
                </c:pt>
                <c:pt idx="4">
                  <c:v>31.3142</c:v>
                </c:pt>
                <c:pt idx="5">
                  <c:v>31.718299999999999</c:v>
                </c:pt>
                <c:pt idx="6">
                  <c:v>32.125500000000002</c:v>
                </c:pt>
                <c:pt idx="7">
                  <c:v>32.531500000000001</c:v>
                </c:pt>
                <c:pt idx="8">
                  <c:v>32.939599999999999</c:v>
                </c:pt>
                <c:pt idx="9">
                  <c:v>33.345100000000002</c:v>
                </c:pt>
                <c:pt idx="10">
                  <c:v>33.750799999999998</c:v>
                </c:pt>
                <c:pt idx="11">
                  <c:v>34.156199999999998</c:v>
                </c:pt>
                <c:pt idx="12">
                  <c:v>34.562100000000001</c:v>
                </c:pt>
                <c:pt idx="13">
                  <c:v>34.968600000000002</c:v>
                </c:pt>
                <c:pt idx="14">
                  <c:v>35.376300000000001</c:v>
                </c:pt>
                <c:pt idx="15">
                  <c:v>35.784700000000001</c:v>
                </c:pt>
                <c:pt idx="16">
                  <c:v>36.188099999999999</c:v>
                </c:pt>
                <c:pt idx="17">
                  <c:v>36.5961</c:v>
                </c:pt>
                <c:pt idx="18">
                  <c:v>37.000799999999998</c:v>
                </c:pt>
                <c:pt idx="19">
                  <c:v>37.410499999999999</c:v>
                </c:pt>
                <c:pt idx="20">
                  <c:v>37.815800000000003</c:v>
                </c:pt>
                <c:pt idx="21">
                  <c:v>38.2241</c:v>
                </c:pt>
                <c:pt idx="22">
                  <c:v>38.626399999999997</c:v>
                </c:pt>
                <c:pt idx="23">
                  <c:v>39.032899999999998</c:v>
                </c:pt>
                <c:pt idx="24">
                  <c:v>39.4422</c:v>
                </c:pt>
                <c:pt idx="25">
                  <c:v>39.844799999999999</c:v>
                </c:pt>
                <c:pt idx="26">
                  <c:v>40.251800000000003</c:v>
                </c:pt>
                <c:pt idx="27">
                  <c:v>40.657600000000002</c:v>
                </c:pt>
                <c:pt idx="28">
                  <c:v>41.066200000000002</c:v>
                </c:pt>
                <c:pt idx="29">
                  <c:v>41.472099999999998</c:v>
                </c:pt>
                <c:pt idx="30">
                  <c:v>41.878700000000002</c:v>
                </c:pt>
                <c:pt idx="31">
                  <c:v>42.283099999999997</c:v>
                </c:pt>
                <c:pt idx="32">
                  <c:v>42.688800000000001</c:v>
                </c:pt>
                <c:pt idx="33">
                  <c:v>43.094700000000003</c:v>
                </c:pt>
                <c:pt idx="34">
                  <c:v>43.503599999999999</c:v>
                </c:pt>
                <c:pt idx="35">
                  <c:v>43.909199999999998</c:v>
                </c:pt>
                <c:pt idx="36">
                  <c:v>44.314500000000002</c:v>
                </c:pt>
                <c:pt idx="37">
                  <c:v>44.717799999999997</c:v>
                </c:pt>
                <c:pt idx="38">
                  <c:v>45.124699999999997</c:v>
                </c:pt>
                <c:pt idx="39">
                  <c:v>45.533299999999997</c:v>
                </c:pt>
                <c:pt idx="40">
                  <c:v>45.9392</c:v>
                </c:pt>
                <c:pt idx="41">
                  <c:v>46.343200000000003</c:v>
                </c:pt>
                <c:pt idx="42">
                  <c:v>46.749499999999998</c:v>
                </c:pt>
                <c:pt idx="43">
                  <c:v>47.1586</c:v>
                </c:pt>
                <c:pt idx="44">
                  <c:v>47.563800000000001</c:v>
                </c:pt>
                <c:pt idx="45">
                  <c:v>47.972099999999998</c:v>
                </c:pt>
                <c:pt idx="46">
                  <c:v>48.375799999999998</c:v>
                </c:pt>
                <c:pt idx="47">
                  <c:v>48.784300000000002</c:v>
                </c:pt>
                <c:pt idx="48">
                  <c:v>49.187600000000003</c:v>
                </c:pt>
                <c:pt idx="49">
                  <c:v>49.5944</c:v>
                </c:pt>
                <c:pt idx="50">
                  <c:v>50.005200000000002</c:v>
                </c:pt>
                <c:pt idx="51">
                  <c:v>50.409300000000002</c:v>
                </c:pt>
                <c:pt idx="52">
                  <c:v>50.811500000000002</c:v>
                </c:pt>
                <c:pt idx="53">
                  <c:v>51.222000000000001</c:v>
                </c:pt>
                <c:pt idx="54">
                  <c:v>51.6282</c:v>
                </c:pt>
                <c:pt idx="55">
                  <c:v>52.0364</c:v>
                </c:pt>
                <c:pt idx="56">
                  <c:v>52.443800000000003</c:v>
                </c:pt>
                <c:pt idx="57">
                  <c:v>52.8444</c:v>
                </c:pt>
                <c:pt idx="58">
                  <c:v>53.253700000000002</c:v>
                </c:pt>
                <c:pt idx="59">
                  <c:v>53.656599999999997</c:v>
                </c:pt>
                <c:pt idx="60">
                  <c:v>54.066499999999998</c:v>
                </c:pt>
                <c:pt idx="61">
                  <c:v>54.470199999999998</c:v>
                </c:pt>
                <c:pt idx="62">
                  <c:v>54.875799999999998</c:v>
                </c:pt>
                <c:pt idx="63">
                  <c:v>55.284999999999997</c:v>
                </c:pt>
                <c:pt idx="64">
                  <c:v>55.6892</c:v>
                </c:pt>
                <c:pt idx="65">
                  <c:v>56.097999999999999</c:v>
                </c:pt>
                <c:pt idx="66">
                  <c:v>56.502600000000001</c:v>
                </c:pt>
                <c:pt idx="67">
                  <c:v>56.907299999999999</c:v>
                </c:pt>
                <c:pt idx="68">
                  <c:v>57.310499999999998</c:v>
                </c:pt>
                <c:pt idx="69">
                  <c:v>57.720799999999997</c:v>
                </c:pt>
                <c:pt idx="70">
                  <c:v>58.123699999999999</c:v>
                </c:pt>
                <c:pt idx="71">
                  <c:v>58.535499999999999</c:v>
                </c:pt>
                <c:pt idx="72">
                  <c:v>58.941099999999999</c:v>
                </c:pt>
                <c:pt idx="73">
                  <c:v>59.3506</c:v>
                </c:pt>
                <c:pt idx="74">
                  <c:v>59.755899999999997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4.4982299999999995</c:v>
                </c:pt>
                <c:pt idx="1">
                  <c:v>4.4805099999999998</c:v>
                </c:pt>
                <c:pt idx="2">
                  <c:v>4.4594699999999996</c:v>
                </c:pt>
                <c:pt idx="3">
                  <c:v>4.4363200000000003</c:v>
                </c:pt>
                <c:pt idx="4">
                  <c:v>4.4153599999999997</c:v>
                </c:pt>
                <c:pt idx="5">
                  <c:v>4.3966899999999995</c:v>
                </c:pt>
                <c:pt idx="6">
                  <c:v>4.3782300000000003</c:v>
                </c:pt>
                <c:pt idx="7">
                  <c:v>4.3628099999999996</c:v>
                </c:pt>
                <c:pt idx="8">
                  <c:v>4.34999</c:v>
                </c:pt>
                <c:pt idx="9">
                  <c:v>4.3387900000000004</c:v>
                </c:pt>
                <c:pt idx="10">
                  <c:v>4.3274400000000002</c:v>
                </c:pt>
                <c:pt idx="11">
                  <c:v>4.3140999999999998</c:v>
                </c:pt>
                <c:pt idx="12">
                  <c:v>4.3015799999999995</c:v>
                </c:pt>
                <c:pt idx="13">
                  <c:v>4.2881099999999996</c:v>
                </c:pt>
                <c:pt idx="14">
                  <c:v>4.2734800000000002</c:v>
                </c:pt>
                <c:pt idx="15">
                  <c:v>4.2551499999999995</c:v>
                </c:pt>
                <c:pt idx="16">
                  <c:v>4.2328799999999998</c:v>
                </c:pt>
                <c:pt idx="17">
                  <c:v>4.20899</c:v>
                </c:pt>
                <c:pt idx="18">
                  <c:v>4.1837200000000001</c:v>
                </c:pt>
                <c:pt idx="19">
                  <c:v>4.1547000000000001</c:v>
                </c:pt>
                <c:pt idx="20">
                  <c:v>4.1238900000000003</c:v>
                </c:pt>
                <c:pt idx="21">
                  <c:v>4.0893800000000002</c:v>
                </c:pt>
                <c:pt idx="22">
                  <c:v>4.0546699999999998</c:v>
                </c:pt>
                <c:pt idx="23">
                  <c:v>4.0226800000000003</c:v>
                </c:pt>
                <c:pt idx="24">
                  <c:v>3.9930700000000003</c:v>
                </c:pt>
                <c:pt idx="25">
                  <c:v>3.9591500000000002</c:v>
                </c:pt>
                <c:pt idx="26">
                  <c:v>3.9247700000000001</c:v>
                </c:pt>
                <c:pt idx="27">
                  <c:v>3.8881800000000002</c:v>
                </c:pt>
                <c:pt idx="28">
                  <c:v>3.8532499999999996</c:v>
                </c:pt>
                <c:pt idx="29">
                  <c:v>3.8202399999999996</c:v>
                </c:pt>
                <c:pt idx="30">
                  <c:v>3.7899100000000003</c:v>
                </c:pt>
                <c:pt idx="31">
                  <c:v>3.7635800000000001</c:v>
                </c:pt>
                <c:pt idx="32">
                  <c:v>3.7373000000000003</c:v>
                </c:pt>
                <c:pt idx="33">
                  <c:v>3.7084999999999999</c:v>
                </c:pt>
                <c:pt idx="34">
                  <c:v>3.6780499999999998</c:v>
                </c:pt>
                <c:pt idx="35">
                  <c:v>3.6493599999999997</c:v>
                </c:pt>
                <c:pt idx="36">
                  <c:v>3.6258400000000002</c:v>
                </c:pt>
                <c:pt idx="37">
                  <c:v>3.6048100000000001</c:v>
                </c:pt>
                <c:pt idx="38">
                  <c:v>3.5856900000000005</c:v>
                </c:pt>
                <c:pt idx="39">
                  <c:v>3.56813</c:v>
                </c:pt>
                <c:pt idx="40">
                  <c:v>3.5504099999999998</c:v>
                </c:pt>
                <c:pt idx="41">
                  <c:v>3.53207</c:v>
                </c:pt>
                <c:pt idx="42">
                  <c:v>3.5137800000000001</c:v>
                </c:pt>
                <c:pt idx="43">
                  <c:v>3.4954099999999997</c:v>
                </c:pt>
                <c:pt idx="44">
                  <c:v>3.4804499999999998</c:v>
                </c:pt>
                <c:pt idx="45">
                  <c:v>3.4662600000000001</c:v>
                </c:pt>
                <c:pt idx="46">
                  <c:v>3.4526600000000003</c:v>
                </c:pt>
                <c:pt idx="47">
                  <c:v>3.4401799999999998</c:v>
                </c:pt>
                <c:pt idx="48">
                  <c:v>3.4296700000000002</c:v>
                </c:pt>
                <c:pt idx="49">
                  <c:v>3.4194499999999999</c:v>
                </c:pt>
                <c:pt idx="50">
                  <c:v>3.41181</c:v>
                </c:pt>
                <c:pt idx="51">
                  <c:v>3.40815</c:v>
                </c:pt>
                <c:pt idx="52">
                  <c:v>3.4084199999999996</c:v>
                </c:pt>
                <c:pt idx="53">
                  <c:v>3.4072300000000002</c:v>
                </c:pt>
                <c:pt idx="54">
                  <c:v>3.40578</c:v>
                </c:pt>
                <c:pt idx="55">
                  <c:v>3.4047200000000002</c:v>
                </c:pt>
                <c:pt idx="56">
                  <c:v>3.4038499999999998</c:v>
                </c:pt>
                <c:pt idx="57">
                  <c:v>3.4049800000000001</c:v>
                </c:pt>
                <c:pt idx="58">
                  <c:v>3.4088400000000001</c:v>
                </c:pt>
                <c:pt idx="59">
                  <c:v>3.4141300000000001</c:v>
                </c:pt>
                <c:pt idx="60">
                  <c:v>3.4192299999999998</c:v>
                </c:pt>
                <c:pt idx="61">
                  <c:v>3.4210800000000003</c:v>
                </c:pt>
                <c:pt idx="62">
                  <c:v>3.4169200000000002</c:v>
                </c:pt>
                <c:pt idx="63">
                  <c:v>3.4083999999999999</c:v>
                </c:pt>
                <c:pt idx="64">
                  <c:v>3.4006500000000002</c:v>
                </c:pt>
                <c:pt idx="65">
                  <c:v>3.4001700000000001</c:v>
                </c:pt>
                <c:pt idx="66">
                  <c:v>3.4077200000000003</c:v>
                </c:pt>
                <c:pt idx="67">
                  <c:v>3.4117999999999999</c:v>
                </c:pt>
                <c:pt idx="68">
                  <c:v>3.4151799999999999</c:v>
                </c:pt>
                <c:pt idx="69">
                  <c:v>3.4156199999999997</c:v>
                </c:pt>
                <c:pt idx="70">
                  <c:v>3.4148299999999998</c:v>
                </c:pt>
                <c:pt idx="71">
                  <c:v>3.4213300000000002</c:v>
                </c:pt>
                <c:pt idx="72">
                  <c:v>3.4246300000000001</c:v>
                </c:pt>
                <c:pt idx="73">
                  <c:v>3.4208300000000005</c:v>
                </c:pt>
                <c:pt idx="74">
                  <c:v>3.4258800000000003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14.938974999999999</c:v>
                </c:pt>
                <c:pt idx="1">
                  <c:v>44.816924999999998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4.1448021621621614</c:v>
                </c:pt>
                <c:pt idx="1">
                  <c:v>3.7659633783783777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0.40865000000000001</c:v>
                </c:pt>
                <c:pt idx="2">
                  <c:v>0.81341799999999997</c:v>
                </c:pt>
                <c:pt idx="3">
                  <c:v>1.2194700000000001</c:v>
                </c:pt>
                <c:pt idx="4">
                  <c:v>1.629</c:v>
                </c:pt>
                <c:pt idx="5">
                  <c:v>2.0331999999999999</c:v>
                </c:pt>
                <c:pt idx="6">
                  <c:v>2.4378700000000002</c:v>
                </c:pt>
                <c:pt idx="7">
                  <c:v>2.8432300000000001</c:v>
                </c:pt>
                <c:pt idx="8">
                  <c:v>3.2490000000000001</c:v>
                </c:pt>
                <c:pt idx="9">
                  <c:v>3.6577500000000001</c:v>
                </c:pt>
                <c:pt idx="10">
                  <c:v>4.0684100000000001</c:v>
                </c:pt>
                <c:pt idx="11">
                  <c:v>4.4714299999999998</c:v>
                </c:pt>
                <c:pt idx="12">
                  <c:v>4.8754499999999998</c:v>
                </c:pt>
                <c:pt idx="13">
                  <c:v>5.2813100000000004</c:v>
                </c:pt>
                <c:pt idx="14">
                  <c:v>5.6887999999999996</c:v>
                </c:pt>
                <c:pt idx="15">
                  <c:v>6.0973800000000002</c:v>
                </c:pt>
                <c:pt idx="16">
                  <c:v>6.5033500000000002</c:v>
                </c:pt>
                <c:pt idx="17">
                  <c:v>6.9071899999999999</c:v>
                </c:pt>
                <c:pt idx="18">
                  <c:v>7.3123399999999998</c:v>
                </c:pt>
                <c:pt idx="19">
                  <c:v>7.7215299999999996</c:v>
                </c:pt>
                <c:pt idx="20">
                  <c:v>8.1253600000000006</c:v>
                </c:pt>
                <c:pt idx="21">
                  <c:v>8.5322899999999997</c:v>
                </c:pt>
                <c:pt idx="22">
                  <c:v>8.9407399999999999</c:v>
                </c:pt>
                <c:pt idx="23">
                  <c:v>9.3461700000000008</c:v>
                </c:pt>
                <c:pt idx="24">
                  <c:v>9.7523099999999996</c:v>
                </c:pt>
                <c:pt idx="25">
                  <c:v>10.157999999999999</c:v>
                </c:pt>
                <c:pt idx="26">
                  <c:v>10.5639</c:v>
                </c:pt>
                <c:pt idx="27">
                  <c:v>10.9718</c:v>
                </c:pt>
                <c:pt idx="28">
                  <c:v>11.378399999999999</c:v>
                </c:pt>
                <c:pt idx="29">
                  <c:v>11.7829</c:v>
                </c:pt>
                <c:pt idx="30">
                  <c:v>12.1883</c:v>
                </c:pt>
                <c:pt idx="31">
                  <c:v>12.595700000000001</c:v>
                </c:pt>
                <c:pt idx="32">
                  <c:v>13.002599999999999</c:v>
                </c:pt>
                <c:pt idx="33">
                  <c:v>13.409000000000001</c:v>
                </c:pt>
                <c:pt idx="34">
                  <c:v>13.814399999999999</c:v>
                </c:pt>
                <c:pt idx="35">
                  <c:v>14.220800000000001</c:v>
                </c:pt>
                <c:pt idx="36">
                  <c:v>14.6234</c:v>
                </c:pt>
                <c:pt idx="37">
                  <c:v>15.031700000000001</c:v>
                </c:pt>
                <c:pt idx="38">
                  <c:v>15.437799999999999</c:v>
                </c:pt>
                <c:pt idx="39">
                  <c:v>15.8452</c:v>
                </c:pt>
                <c:pt idx="40">
                  <c:v>16.250900000000001</c:v>
                </c:pt>
                <c:pt idx="41">
                  <c:v>16.6557</c:v>
                </c:pt>
                <c:pt idx="42">
                  <c:v>17.064900000000002</c:v>
                </c:pt>
                <c:pt idx="43">
                  <c:v>17.471499999999999</c:v>
                </c:pt>
                <c:pt idx="44">
                  <c:v>17.875900000000001</c:v>
                </c:pt>
                <c:pt idx="45">
                  <c:v>18.281700000000001</c:v>
                </c:pt>
                <c:pt idx="46">
                  <c:v>18.6889</c:v>
                </c:pt>
                <c:pt idx="47">
                  <c:v>19.093299999999999</c:v>
                </c:pt>
                <c:pt idx="48">
                  <c:v>19.502500000000001</c:v>
                </c:pt>
                <c:pt idx="49">
                  <c:v>19.908799999999999</c:v>
                </c:pt>
                <c:pt idx="50">
                  <c:v>20.315000000000001</c:v>
                </c:pt>
                <c:pt idx="51">
                  <c:v>20.721900000000002</c:v>
                </c:pt>
                <c:pt idx="52">
                  <c:v>21.125900000000001</c:v>
                </c:pt>
                <c:pt idx="53">
                  <c:v>21.534300000000002</c:v>
                </c:pt>
                <c:pt idx="54">
                  <c:v>21.939900000000002</c:v>
                </c:pt>
                <c:pt idx="55">
                  <c:v>22.3446</c:v>
                </c:pt>
                <c:pt idx="56">
                  <c:v>22.748799999999999</c:v>
                </c:pt>
                <c:pt idx="57">
                  <c:v>23.158000000000001</c:v>
                </c:pt>
                <c:pt idx="58">
                  <c:v>23.562799999999999</c:v>
                </c:pt>
                <c:pt idx="59">
                  <c:v>23.973700000000001</c:v>
                </c:pt>
                <c:pt idx="60">
                  <c:v>24.376300000000001</c:v>
                </c:pt>
                <c:pt idx="61">
                  <c:v>24.783000000000001</c:v>
                </c:pt>
                <c:pt idx="62">
                  <c:v>25.188400000000001</c:v>
                </c:pt>
                <c:pt idx="63">
                  <c:v>25.596800000000002</c:v>
                </c:pt>
                <c:pt idx="64">
                  <c:v>26.0046</c:v>
                </c:pt>
                <c:pt idx="65">
                  <c:v>26.408200000000001</c:v>
                </c:pt>
                <c:pt idx="66">
                  <c:v>26.8124</c:v>
                </c:pt>
                <c:pt idx="67">
                  <c:v>27.219899999999999</c:v>
                </c:pt>
                <c:pt idx="68">
                  <c:v>27.627500000000001</c:v>
                </c:pt>
                <c:pt idx="69">
                  <c:v>28.033300000000001</c:v>
                </c:pt>
                <c:pt idx="70">
                  <c:v>28.437799999999999</c:v>
                </c:pt>
                <c:pt idx="71">
                  <c:v>28.8447</c:v>
                </c:pt>
                <c:pt idx="72">
                  <c:v>29.252099999999999</c:v>
                </c:pt>
                <c:pt idx="73">
                  <c:v>29.658300000000001</c:v>
                </c:pt>
                <c:pt idx="74">
                  <c:v>30.065200000000001</c:v>
                </c:pt>
                <c:pt idx="75">
                  <c:v>30.5031</c:v>
                </c:pt>
                <c:pt idx="76">
                  <c:v>30.908100000000001</c:v>
                </c:pt>
                <c:pt idx="77">
                  <c:v>31.3142</c:v>
                </c:pt>
                <c:pt idx="78">
                  <c:v>31.718299999999999</c:v>
                </c:pt>
                <c:pt idx="79">
                  <c:v>32.125500000000002</c:v>
                </c:pt>
                <c:pt idx="80">
                  <c:v>32.531500000000001</c:v>
                </c:pt>
                <c:pt idx="81">
                  <c:v>32.939599999999999</c:v>
                </c:pt>
                <c:pt idx="82">
                  <c:v>33.345100000000002</c:v>
                </c:pt>
                <c:pt idx="83">
                  <c:v>33.750799999999998</c:v>
                </c:pt>
                <c:pt idx="84">
                  <c:v>34.156199999999998</c:v>
                </c:pt>
                <c:pt idx="85">
                  <c:v>34.562100000000001</c:v>
                </c:pt>
                <c:pt idx="86">
                  <c:v>34.968600000000002</c:v>
                </c:pt>
                <c:pt idx="87">
                  <c:v>35.376300000000001</c:v>
                </c:pt>
                <c:pt idx="88">
                  <c:v>35.784700000000001</c:v>
                </c:pt>
                <c:pt idx="89">
                  <c:v>36.188099999999999</c:v>
                </c:pt>
                <c:pt idx="90">
                  <c:v>36.5961</c:v>
                </c:pt>
                <c:pt idx="91">
                  <c:v>37.000799999999998</c:v>
                </c:pt>
                <c:pt idx="92">
                  <c:v>37.410499999999999</c:v>
                </c:pt>
                <c:pt idx="93">
                  <c:v>37.815800000000003</c:v>
                </c:pt>
                <c:pt idx="94">
                  <c:v>38.2241</c:v>
                </c:pt>
                <c:pt idx="95">
                  <c:v>38.626399999999997</c:v>
                </c:pt>
                <c:pt idx="96">
                  <c:v>39.032899999999998</c:v>
                </c:pt>
                <c:pt idx="97">
                  <c:v>39.4422</c:v>
                </c:pt>
                <c:pt idx="98">
                  <c:v>39.844799999999999</c:v>
                </c:pt>
                <c:pt idx="99">
                  <c:v>40.251800000000003</c:v>
                </c:pt>
                <c:pt idx="100">
                  <c:v>40.657600000000002</c:v>
                </c:pt>
                <c:pt idx="101">
                  <c:v>41.066200000000002</c:v>
                </c:pt>
                <c:pt idx="102">
                  <c:v>41.472099999999998</c:v>
                </c:pt>
                <c:pt idx="103">
                  <c:v>41.878700000000002</c:v>
                </c:pt>
                <c:pt idx="104">
                  <c:v>42.283099999999997</c:v>
                </c:pt>
                <c:pt idx="105">
                  <c:v>42.688800000000001</c:v>
                </c:pt>
                <c:pt idx="106">
                  <c:v>43.094700000000003</c:v>
                </c:pt>
                <c:pt idx="107">
                  <c:v>43.503599999999999</c:v>
                </c:pt>
                <c:pt idx="108">
                  <c:v>43.909199999999998</c:v>
                </c:pt>
                <c:pt idx="109">
                  <c:v>44.314500000000002</c:v>
                </c:pt>
                <c:pt idx="110">
                  <c:v>44.717799999999997</c:v>
                </c:pt>
                <c:pt idx="111">
                  <c:v>45.124699999999997</c:v>
                </c:pt>
                <c:pt idx="112">
                  <c:v>45.533299999999997</c:v>
                </c:pt>
                <c:pt idx="113">
                  <c:v>45.9392</c:v>
                </c:pt>
                <c:pt idx="114">
                  <c:v>46.343200000000003</c:v>
                </c:pt>
                <c:pt idx="115">
                  <c:v>46.749499999999998</c:v>
                </c:pt>
                <c:pt idx="116">
                  <c:v>47.1586</c:v>
                </c:pt>
                <c:pt idx="117">
                  <c:v>47.563800000000001</c:v>
                </c:pt>
                <c:pt idx="118">
                  <c:v>47.972099999999998</c:v>
                </c:pt>
                <c:pt idx="119">
                  <c:v>48.375799999999998</c:v>
                </c:pt>
                <c:pt idx="120">
                  <c:v>48.784300000000002</c:v>
                </c:pt>
                <c:pt idx="121">
                  <c:v>49.187600000000003</c:v>
                </c:pt>
                <c:pt idx="122">
                  <c:v>49.5944</c:v>
                </c:pt>
                <c:pt idx="123">
                  <c:v>50.005200000000002</c:v>
                </c:pt>
                <c:pt idx="124">
                  <c:v>50.409300000000002</c:v>
                </c:pt>
                <c:pt idx="125">
                  <c:v>50.811500000000002</c:v>
                </c:pt>
                <c:pt idx="126">
                  <c:v>51.222000000000001</c:v>
                </c:pt>
                <c:pt idx="127">
                  <c:v>51.6282</c:v>
                </c:pt>
                <c:pt idx="128">
                  <c:v>52.0364</c:v>
                </c:pt>
                <c:pt idx="129">
                  <c:v>52.443800000000003</c:v>
                </c:pt>
                <c:pt idx="130">
                  <c:v>52.8444</c:v>
                </c:pt>
                <c:pt idx="131">
                  <c:v>53.253700000000002</c:v>
                </c:pt>
                <c:pt idx="132">
                  <c:v>53.656599999999997</c:v>
                </c:pt>
                <c:pt idx="133">
                  <c:v>54.066499999999998</c:v>
                </c:pt>
                <c:pt idx="134">
                  <c:v>54.470199999999998</c:v>
                </c:pt>
                <c:pt idx="135">
                  <c:v>54.875799999999998</c:v>
                </c:pt>
                <c:pt idx="136">
                  <c:v>55.284999999999997</c:v>
                </c:pt>
                <c:pt idx="137">
                  <c:v>55.6892</c:v>
                </c:pt>
                <c:pt idx="138">
                  <c:v>56.097999999999999</c:v>
                </c:pt>
                <c:pt idx="139">
                  <c:v>56.502600000000001</c:v>
                </c:pt>
                <c:pt idx="140">
                  <c:v>56.907299999999999</c:v>
                </c:pt>
                <c:pt idx="141">
                  <c:v>57.310499999999998</c:v>
                </c:pt>
                <c:pt idx="142">
                  <c:v>57.720799999999997</c:v>
                </c:pt>
                <c:pt idx="143">
                  <c:v>58.123699999999999</c:v>
                </c:pt>
                <c:pt idx="144">
                  <c:v>58.535499999999999</c:v>
                </c:pt>
                <c:pt idx="145">
                  <c:v>58.941099999999999</c:v>
                </c:pt>
                <c:pt idx="146">
                  <c:v>59.3506</c:v>
                </c:pt>
                <c:pt idx="147">
                  <c:v>59.755899999999997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50.843400000000003</c:v>
                </c:pt>
                <c:pt idx="1">
                  <c:v>49.811100000000003</c:v>
                </c:pt>
                <c:pt idx="2">
                  <c:v>48.622799999999998</c:v>
                </c:pt>
                <c:pt idx="3">
                  <c:v>47.459299999999999</c:v>
                </c:pt>
                <c:pt idx="4">
                  <c:v>46.316299999999998</c:v>
                </c:pt>
                <c:pt idx="5">
                  <c:v>45.257599999999996</c:v>
                </c:pt>
                <c:pt idx="6">
                  <c:v>44.078899999999997</c:v>
                </c:pt>
                <c:pt idx="7">
                  <c:v>42.860599999999998</c:v>
                </c:pt>
                <c:pt idx="8">
                  <c:v>41.646699999999996</c:v>
                </c:pt>
                <c:pt idx="9">
                  <c:v>40.357999999999997</c:v>
                </c:pt>
                <c:pt idx="10">
                  <c:v>39.108499999999999</c:v>
                </c:pt>
                <c:pt idx="11">
                  <c:v>38.091299999999997</c:v>
                </c:pt>
                <c:pt idx="12">
                  <c:v>37.2273</c:v>
                </c:pt>
                <c:pt idx="13">
                  <c:v>36.4724</c:v>
                </c:pt>
                <c:pt idx="14">
                  <c:v>35.789900000000003</c:v>
                </c:pt>
                <c:pt idx="15">
                  <c:v>35.174299999999995</c:v>
                </c:pt>
                <c:pt idx="16">
                  <c:v>34.629599999999996</c:v>
                </c:pt>
                <c:pt idx="17">
                  <c:v>34.177800000000005</c:v>
                </c:pt>
                <c:pt idx="18">
                  <c:v>33.815400000000004</c:v>
                </c:pt>
                <c:pt idx="19">
                  <c:v>33.600499999999997</c:v>
                </c:pt>
                <c:pt idx="20">
                  <c:v>33.532699999999998</c:v>
                </c:pt>
                <c:pt idx="21">
                  <c:v>33.551400000000001</c:v>
                </c:pt>
                <c:pt idx="22">
                  <c:v>33.61</c:v>
                </c:pt>
                <c:pt idx="23">
                  <c:v>33.734900000000003</c:v>
                </c:pt>
                <c:pt idx="24">
                  <c:v>33.808100000000003</c:v>
                </c:pt>
                <c:pt idx="25">
                  <c:v>33.852600000000002</c:v>
                </c:pt>
                <c:pt idx="26">
                  <c:v>33.870600000000003</c:v>
                </c:pt>
                <c:pt idx="27">
                  <c:v>33.9343</c:v>
                </c:pt>
                <c:pt idx="28">
                  <c:v>33.940799999999996</c:v>
                </c:pt>
                <c:pt idx="29">
                  <c:v>33.978999999999999</c:v>
                </c:pt>
                <c:pt idx="30">
                  <c:v>33.944400000000002</c:v>
                </c:pt>
                <c:pt idx="31">
                  <c:v>33.728299999999997</c:v>
                </c:pt>
                <c:pt idx="32">
                  <c:v>33.503399999999999</c:v>
                </c:pt>
                <c:pt idx="33">
                  <c:v>33.236499999999999</c:v>
                </c:pt>
                <c:pt idx="34">
                  <c:v>32.992800000000003</c:v>
                </c:pt>
                <c:pt idx="35">
                  <c:v>32.9268</c:v>
                </c:pt>
                <c:pt idx="36">
                  <c:v>32.916899999999998</c:v>
                </c:pt>
                <c:pt idx="37">
                  <c:v>32.881599999999999</c:v>
                </c:pt>
                <c:pt idx="38">
                  <c:v>32.879000000000005</c:v>
                </c:pt>
                <c:pt idx="39">
                  <c:v>32.8842</c:v>
                </c:pt>
                <c:pt idx="40">
                  <c:v>32.8598</c:v>
                </c:pt>
                <c:pt idx="41">
                  <c:v>32.850299999999997</c:v>
                </c:pt>
                <c:pt idx="42">
                  <c:v>32.898600000000002</c:v>
                </c:pt>
                <c:pt idx="43">
                  <c:v>32.915199999999999</c:v>
                </c:pt>
                <c:pt idx="44">
                  <c:v>32.9527</c:v>
                </c:pt>
                <c:pt idx="45">
                  <c:v>33.0227</c:v>
                </c:pt>
                <c:pt idx="46">
                  <c:v>33.084799999999994</c:v>
                </c:pt>
                <c:pt idx="47">
                  <c:v>33.166499999999999</c:v>
                </c:pt>
                <c:pt idx="48">
                  <c:v>33.2303</c:v>
                </c:pt>
                <c:pt idx="49">
                  <c:v>33.313900000000004</c:v>
                </c:pt>
                <c:pt idx="50">
                  <c:v>33.347700000000003</c:v>
                </c:pt>
                <c:pt idx="51">
                  <c:v>33.449200000000005</c:v>
                </c:pt>
                <c:pt idx="52">
                  <c:v>33.625699999999995</c:v>
                </c:pt>
                <c:pt idx="53">
                  <c:v>33.806000000000004</c:v>
                </c:pt>
                <c:pt idx="54">
                  <c:v>33.910000000000004</c:v>
                </c:pt>
                <c:pt idx="55">
                  <c:v>33.914299999999997</c:v>
                </c:pt>
                <c:pt idx="56">
                  <c:v>33.904899999999998</c:v>
                </c:pt>
                <c:pt idx="57">
                  <c:v>33.8767</c:v>
                </c:pt>
                <c:pt idx="58">
                  <c:v>33.924300000000002</c:v>
                </c:pt>
                <c:pt idx="59">
                  <c:v>33.994300000000003</c:v>
                </c:pt>
                <c:pt idx="60">
                  <c:v>34.020699999999998</c:v>
                </c:pt>
                <c:pt idx="61">
                  <c:v>34.098399999999998</c:v>
                </c:pt>
                <c:pt idx="62">
                  <c:v>34.202100000000002</c:v>
                </c:pt>
                <c:pt idx="63">
                  <c:v>34.337200000000003</c:v>
                </c:pt>
                <c:pt idx="64">
                  <c:v>34.550599999999996</c:v>
                </c:pt>
                <c:pt idx="65">
                  <c:v>34.8262</c:v>
                </c:pt>
                <c:pt idx="66">
                  <c:v>35.163899999999998</c:v>
                </c:pt>
                <c:pt idx="67">
                  <c:v>35.465600000000002</c:v>
                </c:pt>
                <c:pt idx="68">
                  <c:v>35.820500000000003</c:v>
                </c:pt>
                <c:pt idx="69">
                  <c:v>36.1629</c:v>
                </c:pt>
                <c:pt idx="70">
                  <c:v>36.516500000000001</c:v>
                </c:pt>
                <c:pt idx="71">
                  <c:v>36.999099999999999</c:v>
                </c:pt>
                <c:pt idx="72">
                  <c:v>37.491600000000005</c:v>
                </c:pt>
                <c:pt idx="73">
                  <c:v>37.992699999999999</c:v>
                </c:pt>
                <c:pt idx="74">
                  <c:v>38.453199999999995</c:v>
                </c:pt>
                <c:pt idx="75">
                  <c:v>38.990600000000001</c:v>
                </c:pt>
                <c:pt idx="76">
                  <c:v>39.557900000000004</c:v>
                </c:pt>
                <c:pt idx="77">
                  <c:v>40.0182</c:v>
                </c:pt>
                <c:pt idx="78">
                  <c:v>40.414200000000001</c:v>
                </c:pt>
                <c:pt idx="79">
                  <c:v>40.713799999999999</c:v>
                </c:pt>
                <c:pt idx="80">
                  <c:v>40.982100000000003</c:v>
                </c:pt>
                <c:pt idx="81">
                  <c:v>41.288000000000004</c:v>
                </c:pt>
                <c:pt idx="82">
                  <c:v>41.573300000000003</c:v>
                </c:pt>
                <c:pt idx="83">
                  <c:v>41.864200000000004</c:v>
                </c:pt>
                <c:pt idx="84">
                  <c:v>42.103699999999996</c:v>
                </c:pt>
                <c:pt idx="85">
                  <c:v>42.3001</c:v>
                </c:pt>
                <c:pt idx="86">
                  <c:v>42.468899999999998</c:v>
                </c:pt>
                <c:pt idx="87">
                  <c:v>42.661100000000005</c:v>
                </c:pt>
                <c:pt idx="88">
                  <c:v>42.8735</c:v>
                </c:pt>
                <c:pt idx="89">
                  <c:v>43.116399999999999</c:v>
                </c:pt>
                <c:pt idx="90">
                  <c:v>43.431199999999997</c:v>
                </c:pt>
                <c:pt idx="91">
                  <c:v>43.756499999999996</c:v>
                </c:pt>
                <c:pt idx="92">
                  <c:v>44.150399999999998</c:v>
                </c:pt>
                <c:pt idx="93">
                  <c:v>44.5991</c:v>
                </c:pt>
                <c:pt idx="94">
                  <c:v>45.129300000000001</c:v>
                </c:pt>
                <c:pt idx="95">
                  <c:v>45.680999999999997</c:v>
                </c:pt>
                <c:pt idx="96">
                  <c:v>46.118099999999998</c:v>
                </c:pt>
                <c:pt idx="97">
                  <c:v>46.506799999999998</c:v>
                </c:pt>
                <c:pt idx="98">
                  <c:v>47.009599999999999</c:v>
                </c:pt>
                <c:pt idx="99">
                  <c:v>47.439300000000003</c:v>
                </c:pt>
                <c:pt idx="100">
                  <c:v>47.834400000000002</c:v>
                </c:pt>
                <c:pt idx="101">
                  <c:v>48.244500000000002</c:v>
                </c:pt>
                <c:pt idx="102">
                  <c:v>48.640499999999996</c:v>
                </c:pt>
                <c:pt idx="103">
                  <c:v>48.956300000000006</c:v>
                </c:pt>
                <c:pt idx="104">
                  <c:v>49.204000000000001</c:v>
                </c:pt>
                <c:pt idx="105">
                  <c:v>49.433300000000003</c:v>
                </c:pt>
                <c:pt idx="106">
                  <c:v>49.677199999999999</c:v>
                </c:pt>
                <c:pt idx="107">
                  <c:v>49.942399999999999</c:v>
                </c:pt>
                <c:pt idx="108">
                  <c:v>50.165300000000002</c:v>
                </c:pt>
                <c:pt idx="109">
                  <c:v>50.337699999999998</c:v>
                </c:pt>
                <c:pt idx="110">
                  <c:v>50.582999999999998</c:v>
                </c:pt>
                <c:pt idx="111">
                  <c:v>50.852600000000002</c:v>
                </c:pt>
                <c:pt idx="112">
                  <c:v>51.032699999999998</c:v>
                </c:pt>
                <c:pt idx="113">
                  <c:v>51.173400000000001</c:v>
                </c:pt>
                <c:pt idx="114">
                  <c:v>51.285899999999998</c:v>
                </c:pt>
                <c:pt idx="115">
                  <c:v>51.4741</c:v>
                </c:pt>
                <c:pt idx="116">
                  <c:v>51.724599999999995</c:v>
                </c:pt>
                <c:pt idx="117">
                  <c:v>51.9041</c:v>
                </c:pt>
                <c:pt idx="118">
                  <c:v>52.094200000000001</c:v>
                </c:pt>
                <c:pt idx="119">
                  <c:v>52.2575</c:v>
                </c:pt>
                <c:pt idx="120">
                  <c:v>52.4313</c:v>
                </c:pt>
                <c:pt idx="121">
                  <c:v>52.607599999999998</c:v>
                </c:pt>
                <c:pt idx="122">
                  <c:v>52.754100000000001</c:v>
                </c:pt>
                <c:pt idx="123">
                  <c:v>52.828099999999999</c:v>
                </c:pt>
                <c:pt idx="124">
                  <c:v>52.779800000000002</c:v>
                </c:pt>
                <c:pt idx="125">
                  <c:v>52.727800000000002</c:v>
                </c:pt>
                <c:pt idx="126">
                  <c:v>52.714799999999997</c:v>
                </c:pt>
                <c:pt idx="127">
                  <c:v>52.707300000000004</c:v>
                </c:pt>
                <c:pt idx="128">
                  <c:v>52.675600000000003</c:v>
                </c:pt>
                <c:pt idx="129">
                  <c:v>52.646000000000001</c:v>
                </c:pt>
                <c:pt idx="130">
                  <c:v>52.618699999999997</c:v>
                </c:pt>
                <c:pt idx="131">
                  <c:v>52.608699999999999</c:v>
                </c:pt>
                <c:pt idx="132">
                  <c:v>52.644199999999998</c:v>
                </c:pt>
                <c:pt idx="133">
                  <c:v>52.7288</c:v>
                </c:pt>
                <c:pt idx="134">
                  <c:v>52.891399999999997</c:v>
                </c:pt>
                <c:pt idx="135">
                  <c:v>53.099600000000002</c:v>
                </c:pt>
                <c:pt idx="136">
                  <c:v>53.400400000000005</c:v>
                </c:pt>
                <c:pt idx="137">
                  <c:v>53.757600000000004</c:v>
                </c:pt>
                <c:pt idx="138">
                  <c:v>54.035200000000003</c:v>
                </c:pt>
                <c:pt idx="139">
                  <c:v>54.204099999999997</c:v>
                </c:pt>
                <c:pt idx="140">
                  <c:v>54.347900000000003</c:v>
                </c:pt>
                <c:pt idx="141">
                  <c:v>54.460099999999997</c:v>
                </c:pt>
                <c:pt idx="142">
                  <c:v>54.642800000000001</c:v>
                </c:pt>
                <c:pt idx="143">
                  <c:v>54.809300000000007</c:v>
                </c:pt>
                <c:pt idx="144">
                  <c:v>54.939700000000002</c:v>
                </c:pt>
                <c:pt idx="145">
                  <c:v>55.116600000000005</c:v>
                </c:pt>
                <c:pt idx="146">
                  <c:v>55.1554</c:v>
                </c:pt>
                <c:pt idx="147">
                  <c:v>55.059800000000003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0.40865000000000001</c:v>
                </c:pt>
                <c:pt idx="2">
                  <c:v>0.81341799999999997</c:v>
                </c:pt>
                <c:pt idx="3">
                  <c:v>1.2194700000000001</c:v>
                </c:pt>
                <c:pt idx="4">
                  <c:v>1.629</c:v>
                </c:pt>
                <c:pt idx="5">
                  <c:v>2.0331999999999999</c:v>
                </c:pt>
                <c:pt idx="6">
                  <c:v>2.4378700000000002</c:v>
                </c:pt>
                <c:pt idx="7">
                  <c:v>2.8432300000000001</c:v>
                </c:pt>
                <c:pt idx="8">
                  <c:v>3.2490000000000001</c:v>
                </c:pt>
                <c:pt idx="9">
                  <c:v>3.6577500000000001</c:v>
                </c:pt>
                <c:pt idx="10">
                  <c:v>4.0684100000000001</c:v>
                </c:pt>
                <c:pt idx="11">
                  <c:v>4.4714299999999998</c:v>
                </c:pt>
                <c:pt idx="12">
                  <c:v>4.8754499999999998</c:v>
                </c:pt>
                <c:pt idx="13">
                  <c:v>5.2813100000000004</c:v>
                </c:pt>
                <c:pt idx="14">
                  <c:v>5.6887999999999996</c:v>
                </c:pt>
                <c:pt idx="15">
                  <c:v>6.0973800000000002</c:v>
                </c:pt>
                <c:pt idx="16">
                  <c:v>6.5033500000000002</c:v>
                </c:pt>
                <c:pt idx="17">
                  <c:v>6.9071899999999999</c:v>
                </c:pt>
                <c:pt idx="18">
                  <c:v>7.3123399999999998</c:v>
                </c:pt>
                <c:pt idx="19">
                  <c:v>7.7215299999999996</c:v>
                </c:pt>
                <c:pt idx="20">
                  <c:v>8.1253600000000006</c:v>
                </c:pt>
                <c:pt idx="21">
                  <c:v>8.5322899999999997</c:v>
                </c:pt>
                <c:pt idx="22">
                  <c:v>8.9407399999999999</c:v>
                </c:pt>
                <c:pt idx="23">
                  <c:v>9.3461700000000008</c:v>
                </c:pt>
                <c:pt idx="24">
                  <c:v>9.7523099999999996</c:v>
                </c:pt>
                <c:pt idx="25">
                  <c:v>10.157999999999999</c:v>
                </c:pt>
                <c:pt idx="26">
                  <c:v>10.5639</c:v>
                </c:pt>
                <c:pt idx="27">
                  <c:v>10.9718</c:v>
                </c:pt>
                <c:pt idx="28">
                  <c:v>11.378399999999999</c:v>
                </c:pt>
                <c:pt idx="29">
                  <c:v>11.7829</c:v>
                </c:pt>
                <c:pt idx="30">
                  <c:v>12.1883</c:v>
                </c:pt>
                <c:pt idx="31">
                  <c:v>12.595700000000001</c:v>
                </c:pt>
                <c:pt idx="32">
                  <c:v>13.002599999999999</c:v>
                </c:pt>
                <c:pt idx="33">
                  <c:v>13.409000000000001</c:v>
                </c:pt>
                <c:pt idx="34">
                  <c:v>13.814399999999999</c:v>
                </c:pt>
                <c:pt idx="35">
                  <c:v>14.220800000000001</c:v>
                </c:pt>
                <c:pt idx="36">
                  <c:v>14.6234</c:v>
                </c:pt>
                <c:pt idx="37">
                  <c:v>15.031700000000001</c:v>
                </c:pt>
                <c:pt idx="38">
                  <c:v>15.437799999999999</c:v>
                </c:pt>
                <c:pt idx="39">
                  <c:v>15.8452</c:v>
                </c:pt>
                <c:pt idx="40">
                  <c:v>16.250900000000001</c:v>
                </c:pt>
                <c:pt idx="41">
                  <c:v>16.6557</c:v>
                </c:pt>
                <c:pt idx="42">
                  <c:v>17.064900000000002</c:v>
                </c:pt>
                <c:pt idx="43">
                  <c:v>17.471499999999999</c:v>
                </c:pt>
                <c:pt idx="44">
                  <c:v>17.875900000000001</c:v>
                </c:pt>
                <c:pt idx="45">
                  <c:v>18.281700000000001</c:v>
                </c:pt>
                <c:pt idx="46">
                  <c:v>18.6889</c:v>
                </c:pt>
                <c:pt idx="47">
                  <c:v>19.093299999999999</c:v>
                </c:pt>
                <c:pt idx="48">
                  <c:v>19.502500000000001</c:v>
                </c:pt>
                <c:pt idx="49">
                  <c:v>19.908799999999999</c:v>
                </c:pt>
                <c:pt idx="50">
                  <c:v>20.315000000000001</c:v>
                </c:pt>
                <c:pt idx="51">
                  <c:v>20.721900000000002</c:v>
                </c:pt>
                <c:pt idx="52">
                  <c:v>21.125900000000001</c:v>
                </c:pt>
                <c:pt idx="53">
                  <c:v>21.534300000000002</c:v>
                </c:pt>
                <c:pt idx="54">
                  <c:v>21.939900000000002</c:v>
                </c:pt>
                <c:pt idx="55">
                  <c:v>22.3446</c:v>
                </c:pt>
                <c:pt idx="56">
                  <c:v>22.748799999999999</c:v>
                </c:pt>
                <c:pt idx="57">
                  <c:v>23.158000000000001</c:v>
                </c:pt>
                <c:pt idx="58">
                  <c:v>23.562799999999999</c:v>
                </c:pt>
                <c:pt idx="59">
                  <c:v>23.973700000000001</c:v>
                </c:pt>
                <c:pt idx="60">
                  <c:v>24.376300000000001</c:v>
                </c:pt>
                <c:pt idx="61">
                  <c:v>24.783000000000001</c:v>
                </c:pt>
                <c:pt idx="62">
                  <c:v>25.188400000000001</c:v>
                </c:pt>
                <c:pt idx="63">
                  <c:v>25.596800000000002</c:v>
                </c:pt>
                <c:pt idx="64">
                  <c:v>26.0046</c:v>
                </c:pt>
                <c:pt idx="65">
                  <c:v>26.408200000000001</c:v>
                </c:pt>
                <c:pt idx="66">
                  <c:v>26.8124</c:v>
                </c:pt>
                <c:pt idx="67">
                  <c:v>27.219899999999999</c:v>
                </c:pt>
                <c:pt idx="68">
                  <c:v>27.627500000000001</c:v>
                </c:pt>
                <c:pt idx="69">
                  <c:v>28.033300000000001</c:v>
                </c:pt>
                <c:pt idx="70">
                  <c:v>28.437799999999999</c:v>
                </c:pt>
                <c:pt idx="71">
                  <c:v>28.8447</c:v>
                </c:pt>
                <c:pt idx="72">
                  <c:v>29.252099999999999</c:v>
                </c:pt>
                <c:pt idx="73">
                  <c:v>29.658300000000001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50.843400000000003</c:v>
                </c:pt>
                <c:pt idx="1">
                  <c:v>49.811100000000003</c:v>
                </c:pt>
                <c:pt idx="2">
                  <c:v>48.622799999999998</c:v>
                </c:pt>
                <c:pt idx="3">
                  <c:v>47.459299999999999</c:v>
                </c:pt>
                <c:pt idx="4">
                  <c:v>46.316299999999998</c:v>
                </c:pt>
                <c:pt idx="5">
                  <c:v>45.257599999999996</c:v>
                </c:pt>
                <c:pt idx="6">
                  <c:v>44.078899999999997</c:v>
                </c:pt>
                <c:pt idx="7">
                  <c:v>42.860599999999998</c:v>
                </c:pt>
                <c:pt idx="8">
                  <c:v>41.646699999999996</c:v>
                </c:pt>
                <c:pt idx="9">
                  <c:v>40.357999999999997</c:v>
                </c:pt>
                <c:pt idx="10">
                  <c:v>39.108499999999999</c:v>
                </c:pt>
                <c:pt idx="11">
                  <c:v>38.091299999999997</c:v>
                </c:pt>
                <c:pt idx="12">
                  <c:v>37.2273</c:v>
                </c:pt>
                <c:pt idx="13">
                  <c:v>36.4724</c:v>
                </c:pt>
                <c:pt idx="14">
                  <c:v>35.789900000000003</c:v>
                </c:pt>
                <c:pt idx="15">
                  <c:v>35.174299999999995</c:v>
                </c:pt>
                <c:pt idx="16">
                  <c:v>34.629599999999996</c:v>
                </c:pt>
                <c:pt idx="17">
                  <c:v>34.177800000000005</c:v>
                </c:pt>
                <c:pt idx="18">
                  <c:v>33.815400000000004</c:v>
                </c:pt>
                <c:pt idx="19">
                  <c:v>33.600499999999997</c:v>
                </c:pt>
                <c:pt idx="20">
                  <c:v>33.532699999999998</c:v>
                </c:pt>
                <c:pt idx="21">
                  <c:v>33.551400000000001</c:v>
                </c:pt>
                <c:pt idx="22">
                  <c:v>33.61</c:v>
                </c:pt>
                <c:pt idx="23">
                  <c:v>33.734900000000003</c:v>
                </c:pt>
                <c:pt idx="24">
                  <c:v>33.808100000000003</c:v>
                </c:pt>
                <c:pt idx="25">
                  <c:v>33.852600000000002</c:v>
                </c:pt>
                <c:pt idx="26">
                  <c:v>33.870600000000003</c:v>
                </c:pt>
                <c:pt idx="27">
                  <c:v>33.9343</c:v>
                </c:pt>
                <c:pt idx="28">
                  <c:v>33.940799999999996</c:v>
                </c:pt>
                <c:pt idx="29">
                  <c:v>33.978999999999999</c:v>
                </c:pt>
                <c:pt idx="30">
                  <c:v>33.944400000000002</c:v>
                </c:pt>
                <c:pt idx="31">
                  <c:v>33.728299999999997</c:v>
                </c:pt>
                <c:pt idx="32">
                  <c:v>33.503399999999999</c:v>
                </c:pt>
                <c:pt idx="33">
                  <c:v>33.236499999999999</c:v>
                </c:pt>
                <c:pt idx="34">
                  <c:v>32.992800000000003</c:v>
                </c:pt>
                <c:pt idx="35">
                  <c:v>32.9268</c:v>
                </c:pt>
                <c:pt idx="36">
                  <c:v>32.916899999999998</c:v>
                </c:pt>
                <c:pt idx="37">
                  <c:v>32.881599999999999</c:v>
                </c:pt>
                <c:pt idx="38">
                  <c:v>32.879000000000005</c:v>
                </c:pt>
                <c:pt idx="39">
                  <c:v>32.8842</c:v>
                </c:pt>
                <c:pt idx="40">
                  <c:v>32.8598</c:v>
                </c:pt>
                <c:pt idx="41">
                  <c:v>32.850299999999997</c:v>
                </c:pt>
                <c:pt idx="42">
                  <c:v>32.898600000000002</c:v>
                </c:pt>
                <c:pt idx="43">
                  <c:v>32.915199999999999</c:v>
                </c:pt>
                <c:pt idx="44">
                  <c:v>32.9527</c:v>
                </c:pt>
                <c:pt idx="45">
                  <c:v>33.0227</c:v>
                </c:pt>
                <c:pt idx="46">
                  <c:v>33.084799999999994</c:v>
                </c:pt>
                <c:pt idx="47">
                  <c:v>33.166499999999999</c:v>
                </c:pt>
                <c:pt idx="48">
                  <c:v>33.2303</c:v>
                </c:pt>
                <c:pt idx="49">
                  <c:v>33.313900000000004</c:v>
                </c:pt>
                <c:pt idx="50">
                  <c:v>33.347700000000003</c:v>
                </c:pt>
                <c:pt idx="51">
                  <c:v>33.449200000000005</c:v>
                </c:pt>
                <c:pt idx="52">
                  <c:v>33.625699999999995</c:v>
                </c:pt>
                <c:pt idx="53">
                  <c:v>33.806000000000004</c:v>
                </c:pt>
                <c:pt idx="54">
                  <c:v>33.910000000000004</c:v>
                </c:pt>
                <c:pt idx="55">
                  <c:v>33.914299999999997</c:v>
                </c:pt>
                <c:pt idx="56">
                  <c:v>33.904899999999998</c:v>
                </c:pt>
                <c:pt idx="57">
                  <c:v>33.8767</c:v>
                </c:pt>
                <c:pt idx="58">
                  <c:v>33.924300000000002</c:v>
                </c:pt>
                <c:pt idx="59">
                  <c:v>33.994300000000003</c:v>
                </c:pt>
                <c:pt idx="60">
                  <c:v>34.020699999999998</c:v>
                </c:pt>
                <c:pt idx="61">
                  <c:v>34.098399999999998</c:v>
                </c:pt>
                <c:pt idx="62">
                  <c:v>34.202100000000002</c:v>
                </c:pt>
                <c:pt idx="63">
                  <c:v>34.337200000000003</c:v>
                </c:pt>
                <c:pt idx="64">
                  <c:v>34.550599999999996</c:v>
                </c:pt>
                <c:pt idx="65">
                  <c:v>34.8262</c:v>
                </c:pt>
                <c:pt idx="66">
                  <c:v>35.163899999999998</c:v>
                </c:pt>
                <c:pt idx="67">
                  <c:v>35.465600000000002</c:v>
                </c:pt>
                <c:pt idx="68">
                  <c:v>35.820500000000003</c:v>
                </c:pt>
                <c:pt idx="69">
                  <c:v>36.1629</c:v>
                </c:pt>
                <c:pt idx="70">
                  <c:v>36.516500000000001</c:v>
                </c:pt>
                <c:pt idx="71">
                  <c:v>36.999099999999999</c:v>
                </c:pt>
                <c:pt idx="72">
                  <c:v>37.491600000000005</c:v>
                </c:pt>
                <c:pt idx="73">
                  <c:v>37.992699999999999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29.658300000000001</c:v>
                </c:pt>
                <c:pt idx="1">
                  <c:v>30.065200000000001</c:v>
                </c:pt>
                <c:pt idx="2">
                  <c:v>30.5031</c:v>
                </c:pt>
                <c:pt idx="3">
                  <c:v>30.908100000000001</c:v>
                </c:pt>
                <c:pt idx="4">
                  <c:v>31.3142</c:v>
                </c:pt>
                <c:pt idx="5">
                  <c:v>31.718299999999999</c:v>
                </c:pt>
                <c:pt idx="6">
                  <c:v>32.125500000000002</c:v>
                </c:pt>
                <c:pt idx="7">
                  <c:v>32.531500000000001</c:v>
                </c:pt>
                <c:pt idx="8">
                  <c:v>32.939599999999999</c:v>
                </c:pt>
                <c:pt idx="9">
                  <c:v>33.345100000000002</c:v>
                </c:pt>
                <c:pt idx="10">
                  <c:v>33.750799999999998</c:v>
                </c:pt>
                <c:pt idx="11">
                  <c:v>34.156199999999998</c:v>
                </c:pt>
                <c:pt idx="12">
                  <c:v>34.562100000000001</c:v>
                </c:pt>
                <c:pt idx="13">
                  <c:v>34.968600000000002</c:v>
                </c:pt>
                <c:pt idx="14">
                  <c:v>35.376300000000001</c:v>
                </c:pt>
                <c:pt idx="15">
                  <c:v>35.784700000000001</c:v>
                </c:pt>
                <c:pt idx="16">
                  <c:v>36.188099999999999</c:v>
                </c:pt>
                <c:pt idx="17">
                  <c:v>36.5961</c:v>
                </c:pt>
                <c:pt idx="18">
                  <c:v>37.000799999999998</c:v>
                </c:pt>
                <c:pt idx="19">
                  <c:v>37.410499999999999</c:v>
                </c:pt>
                <c:pt idx="20">
                  <c:v>37.815800000000003</c:v>
                </c:pt>
                <c:pt idx="21">
                  <c:v>38.2241</c:v>
                </c:pt>
                <c:pt idx="22">
                  <c:v>38.626399999999997</c:v>
                </c:pt>
                <c:pt idx="23">
                  <c:v>39.032899999999998</c:v>
                </c:pt>
                <c:pt idx="24">
                  <c:v>39.4422</c:v>
                </c:pt>
                <c:pt idx="25">
                  <c:v>39.844799999999999</c:v>
                </c:pt>
                <c:pt idx="26">
                  <c:v>40.251800000000003</c:v>
                </c:pt>
                <c:pt idx="27">
                  <c:v>40.657600000000002</c:v>
                </c:pt>
                <c:pt idx="28">
                  <c:v>41.066200000000002</c:v>
                </c:pt>
                <c:pt idx="29">
                  <c:v>41.472099999999998</c:v>
                </c:pt>
                <c:pt idx="30">
                  <c:v>41.878700000000002</c:v>
                </c:pt>
                <c:pt idx="31">
                  <c:v>42.283099999999997</c:v>
                </c:pt>
                <c:pt idx="32">
                  <c:v>42.688800000000001</c:v>
                </c:pt>
                <c:pt idx="33">
                  <c:v>43.094700000000003</c:v>
                </c:pt>
                <c:pt idx="34">
                  <c:v>43.503599999999999</c:v>
                </c:pt>
                <c:pt idx="35">
                  <c:v>43.909199999999998</c:v>
                </c:pt>
                <c:pt idx="36">
                  <c:v>44.314500000000002</c:v>
                </c:pt>
                <c:pt idx="37">
                  <c:v>44.717799999999997</c:v>
                </c:pt>
                <c:pt idx="38">
                  <c:v>45.124699999999997</c:v>
                </c:pt>
                <c:pt idx="39">
                  <c:v>45.533299999999997</c:v>
                </c:pt>
                <c:pt idx="40">
                  <c:v>45.9392</c:v>
                </c:pt>
                <c:pt idx="41">
                  <c:v>46.343200000000003</c:v>
                </c:pt>
                <c:pt idx="42">
                  <c:v>46.749499999999998</c:v>
                </c:pt>
                <c:pt idx="43">
                  <c:v>47.1586</c:v>
                </c:pt>
                <c:pt idx="44">
                  <c:v>47.563800000000001</c:v>
                </c:pt>
                <c:pt idx="45">
                  <c:v>47.972099999999998</c:v>
                </c:pt>
                <c:pt idx="46">
                  <c:v>48.375799999999998</c:v>
                </c:pt>
                <c:pt idx="47">
                  <c:v>48.784300000000002</c:v>
                </c:pt>
                <c:pt idx="48">
                  <c:v>49.187600000000003</c:v>
                </c:pt>
                <c:pt idx="49">
                  <c:v>49.5944</c:v>
                </c:pt>
                <c:pt idx="50">
                  <c:v>50.005200000000002</c:v>
                </c:pt>
                <c:pt idx="51">
                  <c:v>50.409300000000002</c:v>
                </c:pt>
                <c:pt idx="52">
                  <c:v>50.811500000000002</c:v>
                </c:pt>
                <c:pt idx="53">
                  <c:v>51.222000000000001</c:v>
                </c:pt>
                <c:pt idx="54">
                  <c:v>51.6282</c:v>
                </c:pt>
                <c:pt idx="55">
                  <c:v>52.0364</c:v>
                </c:pt>
                <c:pt idx="56">
                  <c:v>52.443800000000003</c:v>
                </c:pt>
                <c:pt idx="57">
                  <c:v>52.8444</c:v>
                </c:pt>
                <c:pt idx="58">
                  <c:v>53.253700000000002</c:v>
                </c:pt>
                <c:pt idx="59">
                  <c:v>53.656599999999997</c:v>
                </c:pt>
                <c:pt idx="60">
                  <c:v>54.066499999999998</c:v>
                </c:pt>
                <c:pt idx="61">
                  <c:v>54.470199999999998</c:v>
                </c:pt>
                <c:pt idx="62">
                  <c:v>54.875799999999998</c:v>
                </c:pt>
                <c:pt idx="63">
                  <c:v>55.284999999999997</c:v>
                </c:pt>
                <c:pt idx="64">
                  <c:v>55.6892</c:v>
                </c:pt>
                <c:pt idx="65">
                  <c:v>56.097999999999999</c:v>
                </c:pt>
                <c:pt idx="66">
                  <c:v>56.502600000000001</c:v>
                </c:pt>
                <c:pt idx="67">
                  <c:v>56.907299999999999</c:v>
                </c:pt>
                <c:pt idx="68">
                  <c:v>57.310499999999998</c:v>
                </c:pt>
                <c:pt idx="69">
                  <c:v>57.720799999999997</c:v>
                </c:pt>
                <c:pt idx="70">
                  <c:v>58.123699999999999</c:v>
                </c:pt>
                <c:pt idx="71">
                  <c:v>58.535499999999999</c:v>
                </c:pt>
                <c:pt idx="72">
                  <c:v>58.941099999999999</c:v>
                </c:pt>
                <c:pt idx="73">
                  <c:v>59.3506</c:v>
                </c:pt>
                <c:pt idx="74">
                  <c:v>59.755899999999997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37.992699999999999</c:v>
                </c:pt>
                <c:pt idx="1">
                  <c:v>38.453199999999995</c:v>
                </c:pt>
                <c:pt idx="2">
                  <c:v>38.990600000000001</c:v>
                </c:pt>
                <c:pt idx="3">
                  <c:v>39.557900000000004</c:v>
                </c:pt>
                <c:pt idx="4">
                  <c:v>40.0182</c:v>
                </c:pt>
                <c:pt idx="5">
                  <c:v>40.414200000000001</c:v>
                </c:pt>
                <c:pt idx="6">
                  <c:v>40.713799999999999</c:v>
                </c:pt>
                <c:pt idx="7">
                  <c:v>40.982100000000003</c:v>
                </c:pt>
                <c:pt idx="8">
                  <c:v>41.288000000000004</c:v>
                </c:pt>
                <c:pt idx="9">
                  <c:v>41.573300000000003</c:v>
                </c:pt>
                <c:pt idx="10">
                  <c:v>41.864200000000004</c:v>
                </c:pt>
                <c:pt idx="11">
                  <c:v>42.103699999999996</c:v>
                </c:pt>
                <c:pt idx="12">
                  <c:v>42.3001</c:v>
                </c:pt>
                <c:pt idx="13">
                  <c:v>42.468899999999998</c:v>
                </c:pt>
                <c:pt idx="14">
                  <c:v>42.661100000000005</c:v>
                </c:pt>
                <c:pt idx="15">
                  <c:v>42.8735</c:v>
                </c:pt>
                <c:pt idx="16">
                  <c:v>43.116399999999999</c:v>
                </c:pt>
                <c:pt idx="17">
                  <c:v>43.431199999999997</c:v>
                </c:pt>
                <c:pt idx="18">
                  <c:v>43.756499999999996</c:v>
                </c:pt>
                <c:pt idx="19">
                  <c:v>44.150399999999998</c:v>
                </c:pt>
                <c:pt idx="20">
                  <c:v>44.5991</c:v>
                </c:pt>
                <c:pt idx="21">
                  <c:v>45.129300000000001</c:v>
                </c:pt>
                <c:pt idx="22">
                  <c:v>45.680999999999997</c:v>
                </c:pt>
                <c:pt idx="23">
                  <c:v>46.118099999999998</c:v>
                </c:pt>
                <c:pt idx="24">
                  <c:v>46.506799999999998</c:v>
                </c:pt>
                <c:pt idx="25">
                  <c:v>47.009599999999999</c:v>
                </c:pt>
                <c:pt idx="26">
                  <c:v>47.439300000000003</c:v>
                </c:pt>
                <c:pt idx="27">
                  <c:v>47.834400000000002</c:v>
                </c:pt>
                <c:pt idx="28">
                  <c:v>48.244500000000002</c:v>
                </c:pt>
                <c:pt idx="29">
                  <c:v>48.640499999999996</c:v>
                </c:pt>
                <c:pt idx="30">
                  <c:v>48.956300000000006</c:v>
                </c:pt>
                <c:pt idx="31">
                  <c:v>49.204000000000001</c:v>
                </c:pt>
                <c:pt idx="32">
                  <c:v>49.433300000000003</c:v>
                </c:pt>
                <c:pt idx="33">
                  <c:v>49.677199999999999</c:v>
                </c:pt>
                <c:pt idx="34">
                  <c:v>49.942399999999999</c:v>
                </c:pt>
                <c:pt idx="35">
                  <c:v>50.165300000000002</c:v>
                </c:pt>
                <c:pt idx="36">
                  <c:v>50.337699999999998</c:v>
                </c:pt>
                <c:pt idx="37">
                  <c:v>50.582999999999998</c:v>
                </c:pt>
                <c:pt idx="38">
                  <c:v>50.852600000000002</c:v>
                </c:pt>
                <c:pt idx="39">
                  <c:v>51.032699999999998</c:v>
                </c:pt>
                <c:pt idx="40">
                  <c:v>51.173400000000001</c:v>
                </c:pt>
                <c:pt idx="41">
                  <c:v>51.285899999999998</c:v>
                </c:pt>
                <c:pt idx="42">
                  <c:v>51.4741</c:v>
                </c:pt>
                <c:pt idx="43">
                  <c:v>51.724599999999995</c:v>
                </c:pt>
                <c:pt idx="44">
                  <c:v>51.9041</c:v>
                </c:pt>
                <c:pt idx="45">
                  <c:v>52.094200000000001</c:v>
                </c:pt>
                <c:pt idx="46">
                  <c:v>52.2575</c:v>
                </c:pt>
                <c:pt idx="47">
                  <c:v>52.4313</c:v>
                </c:pt>
                <c:pt idx="48">
                  <c:v>52.607599999999998</c:v>
                </c:pt>
                <c:pt idx="49">
                  <c:v>52.754100000000001</c:v>
                </c:pt>
                <c:pt idx="50">
                  <c:v>52.828099999999999</c:v>
                </c:pt>
                <c:pt idx="51">
                  <c:v>52.779800000000002</c:v>
                </c:pt>
                <c:pt idx="52">
                  <c:v>52.727800000000002</c:v>
                </c:pt>
                <c:pt idx="53">
                  <c:v>52.714799999999997</c:v>
                </c:pt>
                <c:pt idx="54">
                  <c:v>52.707300000000004</c:v>
                </c:pt>
                <c:pt idx="55">
                  <c:v>52.675600000000003</c:v>
                </c:pt>
                <c:pt idx="56">
                  <c:v>52.646000000000001</c:v>
                </c:pt>
                <c:pt idx="57">
                  <c:v>52.618699999999997</c:v>
                </c:pt>
                <c:pt idx="58">
                  <c:v>52.608699999999999</c:v>
                </c:pt>
                <c:pt idx="59">
                  <c:v>52.644199999999998</c:v>
                </c:pt>
                <c:pt idx="60">
                  <c:v>52.7288</c:v>
                </c:pt>
                <c:pt idx="61">
                  <c:v>52.891399999999997</c:v>
                </c:pt>
                <c:pt idx="62">
                  <c:v>53.099600000000002</c:v>
                </c:pt>
                <c:pt idx="63">
                  <c:v>53.400400000000005</c:v>
                </c:pt>
                <c:pt idx="64">
                  <c:v>53.757600000000004</c:v>
                </c:pt>
                <c:pt idx="65">
                  <c:v>54.035200000000003</c:v>
                </c:pt>
                <c:pt idx="66">
                  <c:v>54.204099999999997</c:v>
                </c:pt>
                <c:pt idx="67">
                  <c:v>54.347900000000003</c:v>
                </c:pt>
                <c:pt idx="68">
                  <c:v>54.460099999999997</c:v>
                </c:pt>
                <c:pt idx="69">
                  <c:v>54.642800000000001</c:v>
                </c:pt>
                <c:pt idx="70">
                  <c:v>54.809300000000007</c:v>
                </c:pt>
                <c:pt idx="71">
                  <c:v>54.939700000000002</c:v>
                </c:pt>
                <c:pt idx="72">
                  <c:v>55.116600000000005</c:v>
                </c:pt>
                <c:pt idx="73">
                  <c:v>55.1554</c:v>
                </c:pt>
                <c:pt idx="74">
                  <c:v>55.059800000000003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14.938974999999999</c:v>
                </c:pt>
                <c:pt idx="1">
                  <c:v>44.816924999999998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35.820890540540525</c:v>
                </c:pt>
                <c:pt idx="1">
                  <c:v>48.88393108108108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45.704300000000003</c:v>
                </c:pt>
                <c:pt idx="1">
                  <c:v>36.734699999999997</c:v>
                </c:pt>
                <c:pt idx="2">
                  <c:v>23.995000000000001</c:v>
                </c:pt>
                <c:pt idx="3">
                  <c:v>35.1708</c:v>
                </c:pt>
                <c:pt idx="4">
                  <c:v>70.472899999999996</c:v>
                </c:pt>
                <c:pt idx="5">
                  <c:v>66.129000000000005</c:v>
                </c:pt>
                <c:pt idx="6">
                  <c:v>28.107099999999999</c:v>
                </c:pt>
                <c:pt idx="7">
                  <c:v>67.556399999999996</c:v>
                </c:pt>
                <c:pt idx="8">
                  <c:v>23.5258</c:v>
                </c:pt>
                <c:pt idx="9">
                  <c:v>29.385200000000001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40.896099999999997</c:v>
                </c:pt>
                <c:pt idx="1">
                  <c:v>35.273299999999999</c:v>
                </c:pt>
                <c:pt idx="2">
                  <c:v>28.0365</c:v>
                </c:pt>
                <c:pt idx="3">
                  <c:v>35.454500000000003</c:v>
                </c:pt>
                <c:pt idx="4">
                  <c:v>67.821399999999997</c:v>
                </c:pt>
                <c:pt idx="5">
                  <c:v>59.907899999999998</c:v>
                </c:pt>
                <c:pt idx="6">
                  <c:v>28.958100000000002</c:v>
                </c:pt>
                <c:pt idx="7">
                  <c:v>63.5047</c:v>
                </c:pt>
                <c:pt idx="8">
                  <c:v>19.571300000000001</c:v>
                </c:pt>
                <c:pt idx="9">
                  <c:v>27.079000000000001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0.48419674116026901</c:v>
                </c:pt>
                <c:pt idx="1">
                  <c:v>0.29519929654891203</c:v>
                </c:pt>
                <c:pt idx="2">
                  <c:v>0.22060396229081899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4107</c:v>
                </c:pt>
                <c:pt idx="7">
                  <c:v>0</c:v>
                </c:pt>
                <c:pt idx="8">
                  <c:v>4082</c:v>
                </c:pt>
                <c:pt idx="9">
                  <c:v>0</c:v>
                </c:pt>
                <c:pt idx="10">
                  <c:v>0</c:v>
                </c:pt>
                <c:pt idx="11">
                  <c:v>9169</c:v>
                </c:pt>
                <c:pt idx="12">
                  <c:v>0</c:v>
                </c:pt>
                <c:pt idx="13">
                  <c:v>12086</c:v>
                </c:pt>
                <c:pt idx="14">
                  <c:v>0</c:v>
                </c:pt>
                <c:pt idx="15">
                  <c:v>0</c:v>
                </c:pt>
                <c:pt idx="16">
                  <c:v>10984</c:v>
                </c:pt>
                <c:pt idx="17">
                  <c:v>0</c:v>
                </c:pt>
                <c:pt idx="18">
                  <c:v>0</c:v>
                </c:pt>
                <c:pt idx="19">
                  <c:v>16433</c:v>
                </c:pt>
                <c:pt idx="20">
                  <c:v>0</c:v>
                </c:pt>
                <c:pt idx="21">
                  <c:v>14107</c:v>
                </c:pt>
                <c:pt idx="22">
                  <c:v>0</c:v>
                </c:pt>
                <c:pt idx="23">
                  <c:v>0</c:v>
                </c:pt>
                <c:pt idx="24">
                  <c:v>13704</c:v>
                </c:pt>
                <c:pt idx="25">
                  <c:v>0</c:v>
                </c:pt>
                <c:pt idx="26">
                  <c:v>13067</c:v>
                </c:pt>
                <c:pt idx="27">
                  <c:v>0</c:v>
                </c:pt>
                <c:pt idx="28">
                  <c:v>0</c:v>
                </c:pt>
                <c:pt idx="29">
                  <c:v>15203</c:v>
                </c:pt>
                <c:pt idx="30">
                  <c:v>0</c:v>
                </c:pt>
                <c:pt idx="31">
                  <c:v>16633</c:v>
                </c:pt>
                <c:pt idx="32">
                  <c:v>0</c:v>
                </c:pt>
                <c:pt idx="33">
                  <c:v>0</c:v>
                </c:pt>
                <c:pt idx="34">
                  <c:v>21623</c:v>
                </c:pt>
                <c:pt idx="35">
                  <c:v>0</c:v>
                </c:pt>
                <c:pt idx="36">
                  <c:v>0</c:v>
                </c:pt>
                <c:pt idx="37">
                  <c:v>28091</c:v>
                </c:pt>
                <c:pt idx="38">
                  <c:v>0</c:v>
                </c:pt>
                <c:pt idx="39">
                  <c:v>30249</c:v>
                </c:pt>
                <c:pt idx="40">
                  <c:v>0</c:v>
                </c:pt>
                <c:pt idx="41">
                  <c:v>0</c:v>
                </c:pt>
                <c:pt idx="42">
                  <c:v>30963</c:v>
                </c:pt>
                <c:pt idx="43">
                  <c:v>0</c:v>
                </c:pt>
                <c:pt idx="44">
                  <c:v>33374</c:v>
                </c:pt>
                <c:pt idx="45">
                  <c:v>0</c:v>
                </c:pt>
                <c:pt idx="46">
                  <c:v>0</c:v>
                </c:pt>
                <c:pt idx="47">
                  <c:v>44269</c:v>
                </c:pt>
                <c:pt idx="48">
                  <c:v>0</c:v>
                </c:pt>
                <c:pt idx="49">
                  <c:v>44659</c:v>
                </c:pt>
                <c:pt idx="50">
                  <c:v>0</c:v>
                </c:pt>
                <c:pt idx="51">
                  <c:v>0</c:v>
                </c:pt>
                <c:pt idx="52">
                  <c:v>45800</c:v>
                </c:pt>
                <c:pt idx="53">
                  <c:v>0</c:v>
                </c:pt>
                <c:pt idx="54">
                  <c:v>0</c:v>
                </c:pt>
                <c:pt idx="55">
                  <c:v>42671</c:v>
                </c:pt>
                <c:pt idx="56">
                  <c:v>0</c:v>
                </c:pt>
                <c:pt idx="57">
                  <c:v>42742</c:v>
                </c:pt>
                <c:pt idx="58">
                  <c:v>0</c:v>
                </c:pt>
                <c:pt idx="59">
                  <c:v>0</c:v>
                </c:pt>
                <c:pt idx="60">
                  <c:v>50215</c:v>
                </c:pt>
                <c:pt idx="61">
                  <c:v>0</c:v>
                </c:pt>
                <c:pt idx="62">
                  <c:v>49762</c:v>
                </c:pt>
                <c:pt idx="63">
                  <c:v>0</c:v>
                </c:pt>
                <c:pt idx="64">
                  <c:v>0</c:v>
                </c:pt>
                <c:pt idx="65">
                  <c:v>57443</c:v>
                </c:pt>
                <c:pt idx="66">
                  <c:v>0</c:v>
                </c:pt>
                <c:pt idx="67">
                  <c:v>57364</c:v>
                </c:pt>
                <c:pt idx="68">
                  <c:v>0</c:v>
                </c:pt>
                <c:pt idx="69">
                  <c:v>0</c:v>
                </c:pt>
                <c:pt idx="70">
                  <c:v>56044</c:v>
                </c:pt>
                <c:pt idx="71">
                  <c:v>0</c:v>
                </c:pt>
                <c:pt idx="72">
                  <c:v>0</c:v>
                </c:pt>
                <c:pt idx="73">
                  <c:v>57393</c:v>
                </c:pt>
                <c:pt idx="74">
                  <c:v>0</c:v>
                </c:pt>
                <c:pt idx="75">
                  <c:v>47508</c:v>
                </c:pt>
                <c:pt idx="76">
                  <c:v>0</c:v>
                </c:pt>
                <c:pt idx="77">
                  <c:v>0</c:v>
                </c:pt>
                <c:pt idx="78">
                  <c:v>52925</c:v>
                </c:pt>
                <c:pt idx="79">
                  <c:v>0</c:v>
                </c:pt>
                <c:pt idx="80">
                  <c:v>47185</c:v>
                </c:pt>
                <c:pt idx="81">
                  <c:v>0</c:v>
                </c:pt>
                <c:pt idx="82">
                  <c:v>0</c:v>
                </c:pt>
                <c:pt idx="83">
                  <c:v>49041</c:v>
                </c:pt>
                <c:pt idx="84">
                  <c:v>0</c:v>
                </c:pt>
                <c:pt idx="85">
                  <c:v>0</c:v>
                </c:pt>
                <c:pt idx="86">
                  <c:v>53836</c:v>
                </c:pt>
                <c:pt idx="87">
                  <c:v>0</c:v>
                </c:pt>
                <c:pt idx="88">
                  <c:v>59976</c:v>
                </c:pt>
                <c:pt idx="89">
                  <c:v>0</c:v>
                </c:pt>
                <c:pt idx="90">
                  <c:v>0</c:v>
                </c:pt>
                <c:pt idx="91">
                  <c:v>60067</c:v>
                </c:pt>
                <c:pt idx="92">
                  <c:v>0</c:v>
                </c:pt>
                <c:pt idx="93">
                  <c:v>60405</c:v>
                </c:pt>
                <c:pt idx="94">
                  <c:v>0</c:v>
                </c:pt>
                <c:pt idx="95">
                  <c:v>0</c:v>
                </c:pt>
                <c:pt idx="96">
                  <c:v>63263</c:v>
                </c:pt>
                <c:pt idx="97">
                  <c:v>0</c:v>
                </c:pt>
                <c:pt idx="98">
                  <c:v>66363</c:v>
                </c:pt>
                <c:pt idx="99">
                  <c:v>0</c:v>
                </c:pt>
                <c:pt idx="100">
                  <c:v>0</c:v>
                </c:pt>
                <c:pt idx="101">
                  <c:v>65912</c:v>
                </c:pt>
                <c:pt idx="102">
                  <c:v>0</c:v>
                </c:pt>
                <c:pt idx="103">
                  <c:v>0</c:v>
                </c:pt>
                <c:pt idx="104">
                  <c:v>71061</c:v>
                </c:pt>
                <c:pt idx="105">
                  <c:v>0</c:v>
                </c:pt>
                <c:pt idx="106">
                  <c:v>71513</c:v>
                </c:pt>
                <c:pt idx="107">
                  <c:v>0</c:v>
                </c:pt>
                <c:pt idx="108">
                  <c:v>0</c:v>
                </c:pt>
                <c:pt idx="109">
                  <c:v>69474</c:v>
                </c:pt>
                <c:pt idx="110">
                  <c:v>0</c:v>
                </c:pt>
                <c:pt idx="111">
                  <c:v>70940</c:v>
                </c:pt>
                <c:pt idx="112">
                  <c:v>0</c:v>
                </c:pt>
                <c:pt idx="113">
                  <c:v>0</c:v>
                </c:pt>
                <c:pt idx="114">
                  <c:v>70677</c:v>
                </c:pt>
                <c:pt idx="115">
                  <c:v>0</c:v>
                </c:pt>
                <c:pt idx="116">
                  <c:v>74607</c:v>
                </c:pt>
                <c:pt idx="117">
                  <c:v>0</c:v>
                </c:pt>
                <c:pt idx="118">
                  <c:v>0</c:v>
                </c:pt>
                <c:pt idx="119">
                  <c:v>74062</c:v>
                </c:pt>
                <c:pt idx="120">
                  <c:v>0</c:v>
                </c:pt>
                <c:pt idx="121">
                  <c:v>0</c:v>
                </c:pt>
                <c:pt idx="122">
                  <c:v>76982</c:v>
                </c:pt>
                <c:pt idx="123">
                  <c:v>0</c:v>
                </c:pt>
                <c:pt idx="124">
                  <c:v>75184</c:v>
                </c:pt>
                <c:pt idx="125">
                  <c:v>0</c:v>
                </c:pt>
                <c:pt idx="126">
                  <c:v>0</c:v>
                </c:pt>
                <c:pt idx="127">
                  <c:v>78333</c:v>
                </c:pt>
                <c:pt idx="128">
                  <c:v>0</c:v>
                </c:pt>
                <c:pt idx="129">
                  <c:v>76111</c:v>
                </c:pt>
                <c:pt idx="130">
                  <c:v>0</c:v>
                </c:pt>
                <c:pt idx="131">
                  <c:v>0</c:v>
                </c:pt>
                <c:pt idx="132">
                  <c:v>71569</c:v>
                </c:pt>
                <c:pt idx="133">
                  <c:v>0</c:v>
                </c:pt>
                <c:pt idx="134">
                  <c:v>69898</c:v>
                </c:pt>
                <c:pt idx="135">
                  <c:v>0</c:v>
                </c:pt>
                <c:pt idx="136">
                  <c:v>0</c:v>
                </c:pt>
                <c:pt idx="137">
                  <c:v>65561</c:v>
                </c:pt>
                <c:pt idx="138">
                  <c:v>0</c:v>
                </c:pt>
                <c:pt idx="139">
                  <c:v>0</c:v>
                </c:pt>
                <c:pt idx="140">
                  <c:v>58991</c:v>
                </c:pt>
                <c:pt idx="141">
                  <c:v>0</c:v>
                </c:pt>
                <c:pt idx="142">
                  <c:v>57426</c:v>
                </c:pt>
                <c:pt idx="143">
                  <c:v>0</c:v>
                </c:pt>
                <c:pt idx="144">
                  <c:v>0</c:v>
                </c:pt>
                <c:pt idx="145">
                  <c:v>51686</c:v>
                </c:pt>
                <c:pt idx="146">
                  <c:v>0</c:v>
                </c:pt>
                <c:pt idx="147">
                  <c:v>47660</c:v>
                </c:pt>
                <c:pt idx="148">
                  <c:v>0</c:v>
                </c:pt>
                <c:pt idx="149">
                  <c:v>0</c:v>
                </c:pt>
                <c:pt idx="150">
                  <c:v>42321</c:v>
                </c:pt>
                <c:pt idx="151">
                  <c:v>0</c:v>
                </c:pt>
                <c:pt idx="152">
                  <c:v>39996</c:v>
                </c:pt>
                <c:pt idx="153">
                  <c:v>0</c:v>
                </c:pt>
                <c:pt idx="154">
                  <c:v>0</c:v>
                </c:pt>
                <c:pt idx="155">
                  <c:v>40052</c:v>
                </c:pt>
                <c:pt idx="156">
                  <c:v>0</c:v>
                </c:pt>
                <c:pt idx="157">
                  <c:v>0</c:v>
                </c:pt>
                <c:pt idx="158">
                  <c:v>37695</c:v>
                </c:pt>
                <c:pt idx="159">
                  <c:v>0</c:v>
                </c:pt>
                <c:pt idx="160">
                  <c:v>37139</c:v>
                </c:pt>
                <c:pt idx="161">
                  <c:v>0</c:v>
                </c:pt>
                <c:pt idx="162">
                  <c:v>0</c:v>
                </c:pt>
                <c:pt idx="163">
                  <c:v>31623</c:v>
                </c:pt>
                <c:pt idx="164">
                  <c:v>0</c:v>
                </c:pt>
                <c:pt idx="165">
                  <c:v>23469</c:v>
                </c:pt>
                <c:pt idx="166">
                  <c:v>0</c:v>
                </c:pt>
                <c:pt idx="167">
                  <c:v>0</c:v>
                </c:pt>
                <c:pt idx="168">
                  <c:v>22515</c:v>
                </c:pt>
                <c:pt idx="169">
                  <c:v>0</c:v>
                </c:pt>
                <c:pt idx="170">
                  <c:v>0</c:v>
                </c:pt>
                <c:pt idx="171">
                  <c:v>18865</c:v>
                </c:pt>
                <c:pt idx="172">
                  <c:v>0</c:v>
                </c:pt>
                <c:pt idx="173">
                  <c:v>17765</c:v>
                </c:pt>
                <c:pt idx="174">
                  <c:v>0</c:v>
                </c:pt>
                <c:pt idx="175">
                  <c:v>0</c:v>
                </c:pt>
                <c:pt idx="176">
                  <c:v>16447</c:v>
                </c:pt>
                <c:pt idx="177">
                  <c:v>0</c:v>
                </c:pt>
                <c:pt idx="178">
                  <c:v>14375</c:v>
                </c:pt>
                <c:pt idx="179">
                  <c:v>0</c:v>
                </c:pt>
                <c:pt idx="180">
                  <c:v>0</c:v>
                </c:pt>
                <c:pt idx="181">
                  <c:v>7224</c:v>
                </c:pt>
                <c:pt idx="182">
                  <c:v>0</c:v>
                </c:pt>
                <c:pt idx="183">
                  <c:v>6006</c:v>
                </c:pt>
                <c:pt idx="184">
                  <c:v>0</c:v>
                </c:pt>
                <c:pt idx="185">
                  <c:v>0</c:v>
                </c:pt>
                <c:pt idx="186">
                  <c:v>3244</c:v>
                </c:pt>
                <c:pt idx="187">
                  <c:v>0</c:v>
                </c:pt>
                <c:pt idx="188">
                  <c:v>0</c:v>
                </c:pt>
                <c:pt idx="189">
                  <c:v>2593</c:v>
                </c:pt>
                <c:pt idx="190">
                  <c:v>0</c:v>
                </c:pt>
                <c:pt idx="191">
                  <c:v>2997</c:v>
                </c:pt>
                <c:pt idx="192">
                  <c:v>0</c:v>
                </c:pt>
                <c:pt idx="193">
                  <c:v>0</c:v>
                </c:pt>
                <c:pt idx="194">
                  <c:v>1901</c:v>
                </c:pt>
                <c:pt idx="195">
                  <c:v>0</c:v>
                </c:pt>
                <c:pt idx="196">
                  <c:v>1571</c:v>
                </c:pt>
                <c:pt idx="197">
                  <c:v>0</c:v>
                </c:pt>
                <c:pt idx="198">
                  <c:v>0</c:v>
                </c:pt>
                <c:pt idx="199">
                  <c:v>627</c:v>
                </c:pt>
                <c:pt idx="200">
                  <c:v>0</c:v>
                </c:pt>
                <c:pt idx="201">
                  <c:v>357</c:v>
                </c:pt>
                <c:pt idx="202">
                  <c:v>0</c:v>
                </c:pt>
                <c:pt idx="203">
                  <c:v>0</c:v>
                </c:pt>
                <c:pt idx="204">
                  <c:v>90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4065</c:v>
                </c:pt>
                <c:pt idx="7">
                  <c:v>0</c:v>
                </c:pt>
                <c:pt idx="8">
                  <c:v>3151</c:v>
                </c:pt>
                <c:pt idx="9">
                  <c:v>0</c:v>
                </c:pt>
                <c:pt idx="10">
                  <c:v>0</c:v>
                </c:pt>
                <c:pt idx="11">
                  <c:v>3924</c:v>
                </c:pt>
                <c:pt idx="12">
                  <c:v>0</c:v>
                </c:pt>
                <c:pt idx="13">
                  <c:v>2791</c:v>
                </c:pt>
                <c:pt idx="14">
                  <c:v>0</c:v>
                </c:pt>
                <c:pt idx="15">
                  <c:v>0</c:v>
                </c:pt>
                <c:pt idx="16">
                  <c:v>3670</c:v>
                </c:pt>
                <c:pt idx="17">
                  <c:v>0</c:v>
                </c:pt>
                <c:pt idx="18">
                  <c:v>0</c:v>
                </c:pt>
                <c:pt idx="19">
                  <c:v>3283</c:v>
                </c:pt>
                <c:pt idx="20">
                  <c:v>0</c:v>
                </c:pt>
                <c:pt idx="21">
                  <c:v>4557</c:v>
                </c:pt>
                <c:pt idx="22">
                  <c:v>0</c:v>
                </c:pt>
                <c:pt idx="23">
                  <c:v>0</c:v>
                </c:pt>
                <c:pt idx="24">
                  <c:v>5596</c:v>
                </c:pt>
                <c:pt idx="25">
                  <c:v>0</c:v>
                </c:pt>
                <c:pt idx="26">
                  <c:v>8224</c:v>
                </c:pt>
                <c:pt idx="27">
                  <c:v>0</c:v>
                </c:pt>
                <c:pt idx="28">
                  <c:v>0</c:v>
                </c:pt>
                <c:pt idx="29">
                  <c:v>10566</c:v>
                </c:pt>
                <c:pt idx="30">
                  <c:v>0</c:v>
                </c:pt>
                <c:pt idx="31">
                  <c:v>11221</c:v>
                </c:pt>
                <c:pt idx="32">
                  <c:v>0</c:v>
                </c:pt>
                <c:pt idx="33">
                  <c:v>0</c:v>
                </c:pt>
                <c:pt idx="34">
                  <c:v>16556</c:v>
                </c:pt>
                <c:pt idx="35">
                  <c:v>0</c:v>
                </c:pt>
                <c:pt idx="36">
                  <c:v>0</c:v>
                </c:pt>
                <c:pt idx="37">
                  <c:v>17581</c:v>
                </c:pt>
                <c:pt idx="38">
                  <c:v>0</c:v>
                </c:pt>
                <c:pt idx="39">
                  <c:v>18775</c:v>
                </c:pt>
                <c:pt idx="40">
                  <c:v>0</c:v>
                </c:pt>
                <c:pt idx="41">
                  <c:v>0</c:v>
                </c:pt>
                <c:pt idx="42">
                  <c:v>22074</c:v>
                </c:pt>
                <c:pt idx="43">
                  <c:v>0</c:v>
                </c:pt>
                <c:pt idx="44">
                  <c:v>22715</c:v>
                </c:pt>
                <c:pt idx="45">
                  <c:v>0</c:v>
                </c:pt>
                <c:pt idx="46">
                  <c:v>0</c:v>
                </c:pt>
                <c:pt idx="47">
                  <c:v>26285</c:v>
                </c:pt>
                <c:pt idx="48">
                  <c:v>0</c:v>
                </c:pt>
                <c:pt idx="49">
                  <c:v>28732</c:v>
                </c:pt>
                <c:pt idx="50">
                  <c:v>0</c:v>
                </c:pt>
                <c:pt idx="51">
                  <c:v>0</c:v>
                </c:pt>
                <c:pt idx="52">
                  <c:v>25495</c:v>
                </c:pt>
                <c:pt idx="53">
                  <c:v>0</c:v>
                </c:pt>
                <c:pt idx="54">
                  <c:v>0</c:v>
                </c:pt>
                <c:pt idx="55">
                  <c:v>28211</c:v>
                </c:pt>
                <c:pt idx="56">
                  <c:v>0</c:v>
                </c:pt>
                <c:pt idx="57">
                  <c:v>29236</c:v>
                </c:pt>
                <c:pt idx="58">
                  <c:v>0</c:v>
                </c:pt>
                <c:pt idx="59">
                  <c:v>0</c:v>
                </c:pt>
                <c:pt idx="60">
                  <c:v>29688</c:v>
                </c:pt>
                <c:pt idx="61">
                  <c:v>0</c:v>
                </c:pt>
                <c:pt idx="62">
                  <c:v>29467</c:v>
                </c:pt>
                <c:pt idx="63">
                  <c:v>0</c:v>
                </c:pt>
                <c:pt idx="64">
                  <c:v>0</c:v>
                </c:pt>
                <c:pt idx="65">
                  <c:v>32548</c:v>
                </c:pt>
                <c:pt idx="66">
                  <c:v>0</c:v>
                </c:pt>
                <c:pt idx="67">
                  <c:v>36325</c:v>
                </c:pt>
                <c:pt idx="68">
                  <c:v>0</c:v>
                </c:pt>
                <c:pt idx="69">
                  <c:v>0</c:v>
                </c:pt>
                <c:pt idx="70">
                  <c:v>47485</c:v>
                </c:pt>
                <c:pt idx="71">
                  <c:v>0</c:v>
                </c:pt>
                <c:pt idx="72">
                  <c:v>0</c:v>
                </c:pt>
                <c:pt idx="73">
                  <c:v>55406</c:v>
                </c:pt>
                <c:pt idx="74">
                  <c:v>0</c:v>
                </c:pt>
                <c:pt idx="75">
                  <c:v>70503</c:v>
                </c:pt>
                <c:pt idx="76">
                  <c:v>0</c:v>
                </c:pt>
                <c:pt idx="77">
                  <c:v>0</c:v>
                </c:pt>
                <c:pt idx="78">
                  <c:v>76927</c:v>
                </c:pt>
                <c:pt idx="79">
                  <c:v>0</c:v>
                </c:pt>
                <c:pt idx="80">
                  <c:v>86238</c:v>
                </c:pt>
                <c:pt idx="81">
                  <c:v>0</c:v>
                </c:pt>
                <c:pt idx="82">
                  <c:v>0</c:v>
                </c:pt>
                <c:pt idx="83">
                  <c:v>92606</c:v>
                </c:pt>
                <c:pt idx="84">
                  <c:v>0</c:v>
                </c:pt>
                <c:pt idx="85">
                  <c:v>0</c:v>
                </c:pt>
                <c:pt idx="86">
                  <c:v>103956</c:v>
                </c:pt>
                <c:pt idx="87">
                  <c:v>0</c:v>
                </c:pt>
                <c:pt idx="88">
                  <c:v>108055</c:v>
                </c:pt>
                <c:pt idx="89">
                  <c:v>0</c:v>
                </c:pt>
                <c:pt idx="90">
                  <c:v>0</c:v>
                </c:pt>
                <c:pt idx="91">
                  <c:v>111393</c:v>
                </c:pt>
                <c:pt idx="92">
                  <c:v>0</c:v>
                </c:pt>
                <c:pt idx="93">
                  <c:v>116740</c:v>
                </c:pt>
                <c:pt idx="94">
                  <c:v>0</c:v>
                </c:pt>
                <c:pt idx="95">
                  <c:v>0</c:v>
                </c:pt>
                <c:pt idx="96">
                  <c:v>124220</c:v>
                </c:pt>
                <c:pt idx="97">
                  <c:v>0</c:v>
                </c:pt>
                <c:pt idx="98">
                  <c:v>122079</c:v>
                </c:pt>
                <c:pt idx="99">
                  <c:v>0</c:v>
                </c:pt>
                <c:pt idx="100">
                  <c:v>0</c:v>
                </c:pt>
                <c:pt idx="101">
                  <c:v>122732</c:v>
                </c:pt>
                <c:pt idx="102">
                  <c:v>0</c:v>
                </c:pt>
                <c:pt idx="103">
                  <c:v>0</c:v>
                </c:pt>
                <c:pt idx="104">
                  <c:v>125042</c:v>
                </c:pt>
                <c:pt idx="105">
                  <c:v>0</c:v>
                </c:pt>
                <c:pt idx="106">
                  <c:v>128205</c:v>
                </c:pt>
                <c:pt idx="107">
                  <c:v>0</c:v>
                </c:pt>
                <c:pt idx="108">
                  <c:v>0</c:v>
                </c:pt>
                <c:pt idx="109">
                  <c:v>131282</c:v>
                </c:pt>
                <c:pt idx="110">
                  <c:v>0</c:v>
                </c:pt>
                <c:pt idx="111">
                  <c:v>132636</c:v>
                </c:pt>
                <c:pt idx="112">
                  <c:v>0</c:v>
                </c:pt>
                <c:pt idx="113">
                  <c:v>0</c:v>
                </c:pt>
                <c:pt idx="114">
                  <c:v>122051</c:v>
                </c:pt>
                <c:pt idx="115">
                  <c:v>0</c:v>
                </c:pt>
                <c:pt idx="116">
                  <c:v>119669</c:v>
                </c:pt>
                <c:pt idx="117">
                  <c:v>0</c:v>
                </c:pt>
                <c:pt idx="118">
                  <c:v>0</c:v>
                </c:pt>
                <c:pt idx="119">
                  <c:v>109009</c:v>
                </c:pt>
                <c:pt idx="120">
                  <c:v>0</c:v>
                </c:pt>
                <c:pt idx="121">
                  <c:v>0</c:v>
                </c:pt>
                <c:pt idx="122">
                  <c:v>108674</c:v>
                </c:pt>
                <c:pt idx="123">
                  <c:v>0</c:v>
                </c:pt>
                <c:pt idx="124">
                  <c:v>98588</c:v>
                </c:pt>
                <c:pt idx="125">
                  <c:v>0</c:v>
                </c:pt>
                <c:pt idx="126">
                  <c:v>0</c:v>
                </c:pt>
                <c:pt idx="127">
                  <c:v>86654</c:v>
                </c:pt>
                <c:pt idx="128">
                  <c:v>0</c:v>
                </c:pt>
                <c:pt idx="129">
                  <c:v>73521</c:v>
                </c:pt>
                <c:pt idx="130">
                  <c:v>0</c:v>
                </c:pt>
                <c:pt idx="131">
                  <c:v>0</c:v>
                </c:pt>
                <c:pt idx="132">
                  <c:v>65808</c:v>
                </c:pt>
                <c:pt idx="133">
                  <c:v>0</c:v>
                </c:pt>
                <c:pt idx="134">
                  <c:v>59499</c:v>
                </c:pt>
                <c:pt idx="135">
                  <c:v>0</c:v>
                </c:pt>
                <c:pt idx="136">
                  <c:v>0</c:v>
                </c:pt>
                <c:pt idx="137">
                  <c:v>53998</c:v>
                </c:pt>
                <c:pt idx="138">
                  <c:v>0</c:v>
                </c:pt>
                <c:pt idx="139">
                  <c:v>0</c:v>
                </c:pt>
                <c:pt idx="140">
                  <c:v>46950</c:v>
                </c:pt>
                <c:pt idx="141">
                  <c:v>0</c:v>
                </c:pt>
                <c:pt idx="142">
                  <c:v>43440</c:v>
                </c:pt>
                <c:pt idx="143">
                  <c:v>0</c:v>
                </c:pt>
                <c:pt idx="144">
                  <c:v>0</c:v>
                </c:pt>
                <c:pt idx="145">
                  <c:v>40535</c:v>
                </c:pt>
                <c:pt idx="146">
                  <c:v>0</c:v>
                </c:pt>
                <c:pt idx="147">
                  <c:v>37532</c:v>
                </c:pt>
                <c:pt idx="148">
                  <c:v>0</c:v>
                </c:pt>
                <c:pt idx="149">
                  <c:v>0</c:v>
                </c:pt>
                <c:pt idx="150">
                  <c:v>35428</c:v>
                </c:pt>
                <c:pt idx="151">
                  <c:v>0</c:v>
                </c:pt>
                <c:pt idx="152">
                  <c:v>27555</c:v>
                </c:pt>
                <c:pt idx="153">
                  <c:v>0</c:v>
                </c:pt>
                <c:pt idx="154">
                  <c:v>0</c:v>
                </c:pt>
                <c:pt idx="155">
                  <c:v>21695</c:v>
                </c:pt>
                <c:pt idx="156">
                  <c:v>0</c:v>
                </c:pt>
                <c:pt idx="157">
                  <c:v>0</c:v>
                </c:pt>
                <c:pt idx="158">
                  <c:v>19714</c:v>
                </c:pt>
                <c:pt idx="159">
                  <c:v>0</c:v>
                </c:pt>
                <c:pt idx="160">
                  <c:v>17157</c:v>
                </c:pt>
                <c:pt idx="161">
                  <c:v>0</c:v>
                </c:pt>
                <c:pt idx="162">
                  <c:v>0</c:v>
                </c:pt>
                <c:pt idx="163">
                  <c:v>14658</c:v>
                </c:pt>
                <c:pt idx="164">
                  <c:v>0</c:v>
                </c:pt>
                <c:pt idx="165">
                  <c:v>11771</c:v>
                </c:pt>
                <c:pt idx="166">
                  <c:v>0</c:v>
                </c:pt>
                <c:pt idx="167">
                  <c:v>0</c:v>
                </c:pt>
                <c:pt idx="168">
                  <c:v>10046</c:v>
                </c:pt>
                <c:pt idx="169">
                  <c:v>0</c:v>
                </c:pt>
                <c:pt idx="170">
                  <c:v>0</c:v>
                </c:pt>
                <c:pt idx="171">
                  <c:v>8190</c:v>
                </c:pt>
                <c:pt idx="172">
                  <c:v>0</c:v>
                </c:pt>
                <c:pt idx="173">
                  <c:v>8358</c:v>
                </c:pt>
                <c:pt idx="174">
                  <c:v>0</c:v>
                </c:pt>
                <c:pt idx="175">
                  <c:v>0</c:v>
                </c:pt>
                <c:pt idx="176">
                  <c:v>6453</c:v>
                </c:pt>
                <c:pt idx="177">
                  <c:v>0</c:v>
                </c:pt>
                <c:pt idx="178">
                  <c:v>5958</c:v>
                </c:pt>
                <c:pt idx="179">
                  <c:v>0</c:v>
                </c:pt>
                <c:pt idx="180">
                  <c:v>0</c:v>
                </c:pt>
                <c:pt idx="181">
                  <c:v>5178</c:v>
                </c:pt>
                <c:pt idx="182">
                  <c:v>0</c:v>
                </c:pt>
                <c:pt idx="183">
                  <c:v>3480</c:v>
                </c:pt>
                <c:pt idx="184">
                  <c:v>0</c:v>
                </c:pt>
                <c:pt idx="185">
                  <c:v>0</c:v>
                </c:pt>
                <c:pt idx="186">
                  <c:v>1558</c:v>
                </c:pt>
                <c:pt idx="187">
                  <c:v>0</c:v>
                </c:pt>
                <c:pt idx="188">
                  <c:v>0</c:v>
                </c:pt>
                <c:pt idx="189">
                  <c:v>1035</c:v>
                </c:pt>
                <c:pt idx="190">
                  <c:v>0</c:v>
                </c:pt>
                <c:pt idx="191">
                  <c:v>971</c:v>
                </c:pt>
                <c:pt idx="192">
                  <c:v>0</c:v>
                </c:pt>
                <c:pt idx="193">
                  <c:v>0</c:v>
                </c:pt>
                <c:pt idx="194">
                  <c:v>399</c:v>
                </c:pt>
                <c:pt idx="195">
                  <c:v>0</c:v>
                </c:pt>
                <c:pt idx="196">
                  <c:v>435</c:v>
                </c:pt>
                <c:pt idx="197">
                  <c:v>0</c:v>
                </c:pt>
                <c:pt idx="198">
                  <c:v>0</c:v>
                </c:pt>
                <c:pt idx="199">
                  <c:v>44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0.23953277410070306</c:v>
                </c:pt>
                <c:pt idx="1">
                  <c:v>0.28919642456154732</c:v>
                </c:pt>
                <c:pt idx="2">
                  <c:v>0.47127080133774957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0.48591105301938792</c:v>
                </c:pt>
                <c:pt idx="1">
                  <c:v>0.30819694271097342</c:v>
                </c:pt>
                <c:pt idx="2">
                  <c:v>0.20589200426963869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5.42225</c:v>
                </c:pt>
                <c:pt idx="1">
                  <c:v>10.22495</c:v>
                </c:pt>
                <c:pt idx="2">
                  <c:v>29.53125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0.40865000000000001</c:v>
                </c:pt>
                <c:pt idx="2">
                  <c:v>0.81341799999999997</c:v>
                </c:pt>
                <c:pt idx="3">
                  <c:v>1.2194700000000001</c:v>
                </c:pt>
                <c:pt idx="4">
                  <c:v>1.629</c:v>
                </c:pt>
                <c:pt idx="5">
                  <c:v>2.0331999999999999</c:v>
                </c:pt>
                <c:pt idx="6">
                  <c:v>2.4378700000000002</c:v>
                </c:pt>
                <c:pt idx="7">
                  <c:v>2.8432300000000001</c:v>
                </c:pt>
                <c:pt idx="8">
                  <c:v>3.2490000000000001</c:v>
                </c:pt>
                <c:pt idx="9">
                  <c:v>3.6577500000000001</c:v>
                </c:pt>
                <c:pt idx="10">
                  <c:v>4.0684100000000001</c:v>
                </c:pt>
                <c:pt idx="11">
                  <c:v>4.4714299999999998</c:v>
                </c:pt>
                <c:pt idx="12">
                  <c:v>4.8754499999999998</c:v>
                </c:pt>
                <c:pt idx="13">
                  <c:v>5.2813100000000004</c:v>
                </c:pt>
                <c:pt idx="14">
                  <c:v>5.6887999999999996</c:v>
                </c:pt>
                <c:pt idx="15">
                  <c:v>6.0973800000000002</c:v>
                </c:pt>
                <c:pt idx="16">
                  <c:v>6.5033500000000002</c:v>
                </c:pt>
                <c:pt idx="17">
                  <c:v>6.9071899999999999</c:v>
                </c:pt>
                <c:pt idx="18">
                  <c:v>7.3123399999999998</c:v>
                </c:pt>
                <c:pt idx="19">
                  <c:v>7.7215299999999996</c:v>
                </c:pt>
                <c:pt idx="20">
                  <c:v>8.1253600000000006</c:v>
                </c:pt>
                <c:pt idx="21">
                  <c:v>8.5322899999999997</c:v>
                </c:pt>
                <c:pt idx="22">
                  <c:v>8.9407399999999999</c:v>
                </c:pt>
                <c:pt idx="23">
                  <c:v>9.3461700000000008</c:v>
                </c:pt>
                <c:pt idx="24">
                  <c:v>9.7523099999999996</c:v>
                </c:pt>
                <c:pt idx="25">
                  <c:v>10.157999999999999</c:v>
                </c:pt>
                <c:pt idx="26">
                  <c:v>10.5639</c:v>
                </c:pt>
                <c:pt idx="27">
                  <c:v>10.9718</c:v>
                </c:pt>
                <c:pt idx="28">
                  <c:v>11.378399999999999</c:v>
                </c:pt>
                <c:pt idx="29">
                  <c:v>11.7829</c:v>
                </c:pt>
                <c:pt idx="30">
                  <c:v>12.1883</c:v>
                </c:pt>
                <c:pt idx="31">
                  <c:v>12.595700000000001</c:v>
                </c:pt>
                <c:pt idx="32">
                  <c:v>13.002599999999999</c:v>
                </c:pt>
                <c:pt idx="33">
                  <c:v>13.409000000000001</c:v>
                </c:pt>
                <c:pt idx="34">
                  <c:v>13.814399999999999</c:v>
                </c:pt>
                <c:pt idx="35">
                  <c:v>14.220800000000001</c:v>
                </c:pt>
                <c:pt idx="36">
                  <c:v>14.6234</c:v>
                </c:pt>
                <c:pt idx="37">
                  <c:v>15.031700000000001</c:v>
                </c:pt>
                <c:pt idx="38">
                  <c:v>15.437799999999999</c:v>
                </c:pt>
                <c:pt idx="39">
                  <c:v>15.8452</c:v>
                </c:pt>
                <c:pt idx="40">
                  <c:v>16.250900000000001</c:v>
                </c:pt>
                <c:pt idx="41">
                  <c:v>16.6557</c:v>
                </c:pt>
                <c:pt idx="42">
                  <c:v>17.064900000000002</c:v>
                </c:pt>
                <c:pt idx="43">
                  <c:v>17.471499999999999</c:v>
                </c:pt>
                <c:pt idx="44">
                  <c:v>17.875900000000001</c:v>
                </c:pt>
                <c:pt idx="45">
                  <c:v>18.281700000000001</c:v>
                </c:pt>
                <c:pt idx="46">
                  <c:v>18.6889</c:v>
                </c:pt>
                <c:pt idx="47">
                  <c:v>19.093299999999999</c:v>
                </c:pt>
                <c:pt idx="48">
                  <c:v>19.502500000000001</c:v>
                </c:pt>
                <c:pt idx="49">
                  <c:v>19.908799999999999</c:v>
                </c:pt>
                <c:pt idx="50">
                  <c:v>20.315000000000001</c:v>
                </c:pt>
                <c:pt idx="51">
                  <c:v>20.721900000000002</c:v>
                </c:pt>
                <c:pt idx="52">
                  <c:v>21.125900000000001</c:v>
                </c:pt>
                <c:pt idx="53">
                  <c:v>21.534300000000002</c:v>
                </c:pt>
                <c:pt idx="54">
                  <c:v>21.939900000000002</c:v>
                </c:pt>
                <c:pt idx="55">
                  <c:v>22.3446</c:v>
                </c:pt>
                <c:pt idx="56">
                  <c:v>22.748799999999999</c:v>
                </c:pt>
                <c:pt idx="57">
                  <c:v>23.158000000000001</c:v>
                </c:pt>
                <c:pt idx="58">
                  <c:v>23.562799999999999</c:v>
                </c:pt>
                <c:pt idx="59">
                  <c:v>23.973700000000001</c:v>
                </c:pt>
                <c:pt idx="60">
                  <c:v>24.376300000000001</c:v>
                </c:pt>
                <c:pt idx="61">
                  <c:v>24.783000000000001</c:v>
                </c:pt>
                <c:pt idx="62">
                  <c:v>25.188400000000001</c:v>
                </c:pt>
                <c:pt idx="63">
                  <c:v>25.596800000000002</c:v>
                </c:pt>
                <c:pt idx="64">
                  <c:v>26.0046</c:v>
                </c:pt>
                <c:pt idx="65">
                  <c:v>26.408200000000001</c:v>
                </c:pt>
                <c:pt idx="66">
                  <c:v>26.8124</c:v>
                </c:pt>
                <c:pt idx="67">
                  <c:v>27.219899999999999</c:v>
                </c:pt>
                <c:pt idx="68">
                  <c:v>27.627500000000001</c:v>
                </c:pt>
                <c:pt idx="69">
                  <c:v>28.033300000000001</c:v>
                </c:pt>
                <c:pt idx="70">
                  <c:v>28.437799999999999</c:v>
                </c:pt>
                <c:pt idx="71">
                  <c:v>28.8447</c:v>
                </c:pt>
                <c:pt idx="72">
                  <c:v>29.252099999999999</c:v>
                </c:pt>
                <c:pt idx="73">
                  <c:v>29.658300000000001</c:v>
                </c:pt>
                <c:pt idx="74">
                  <c:v>30.065200000000001</c:v>
                </c:pt>
                <c:pt idx="75">
                  <c:v>30.5031</c:v>
                </c:pt>
                <c:pt idx="76">
                  <c:v>30.908100000000001</c:v>
                </c:pt>
                <c:pt idx="77">
                  <c:v>31.3142</c:v>
                </c:pt>
                <c:pt idx="78">
                  <c:v>31.718299999999999</c:v>
                </c:pt>
                <c:pt idx="79">
                  <c:v>32.125500000000002</c:v>
                </c:pt>
                <c:pt idx="80">
                  <c:v>32.531500000000001</c:v>
                </c:pt>
                <c:pt idx="81">
                  <c:v>32.939599999999999</c:v>
                </c:pt>
                <c:pt idx="82">
                  <c:v>33.345100000000002</c:v>
                </c:pt>
                <c:pt idx="83">
                  <c:v>33.750799999999998</c:v>
                </c:pt>
                <c:pt idx="84">
                  <c:v>34.156199999999998</c:v>
                </c:pt>
                <c:pt idx="85">
                  <c:v>34.562100000000001</c:v>
                </c:pt>
                <c:pt idx="86">
                  <c:v>34.968600000000002</c:v>
                </c:pt>
                <c:pt idx="87">
                  <c:v>35.376300000000001</c:v>
                </c:pt>
                <c:pt idx="88">
                  <c:v>35.784700000000001</c:v>
                </c:pt>
                <c:pt idx="89">
                  <c:v>36.188099999999999</c:v>
                </c:pt>
                <c:pt idx="90">
                  <c:v>36.5961</c:v>
                </c:pt>
                <c:pt idx="91">
                  <c:v>37.000799999999998</c:v>
                </c:pt>
                <c:pt idx="92">
                  <c:v>37.410499999999999</c:v>
                </c:pt>
                <c:pt idx="93">
                  <c:v>37.815800000000003</c:v>
                </c:pt>
                <c:pt idx="94">
                  <c:v>38.2241</c:v>
                </c:pt>
                <c:pt idx="95">
                  <c:v>38.626399999999997</c:v>
                </c:pt>
                <c:pt idx="96">
                  <c:v>39.032899999999998</c:v>
                </c:pt>
                <c:pt idx="97">
                  <c:v>39.4422</c:v>
                </c:pt>
                <c:pt idx="98">
                  <c:v>39.844799999999999</c:v>
                </c:pt>
                <c:pt idx="99">
                  <c:v>40.251800000000003</c:v>
                </c:pt>
                <c:pt idx="100">
                  <c:v>40.657600000000002</c:v>
                </c:pt>
                <c:pt idx="101">
                  <c:v>41.066200000000002</c:v>
                </c:pt>
                <c:pt idx="102">
                  <c:v>41.472099999999998</c:v>
                </c:pt>
                <c:pt idx="103">
                  <c:v>41.878700000000002</c:v>
                </c:pt>
                <c:pt idx="104">
                  <c:v>42.283099999999997</c:v>
                </c:pt>
                <c:pt idx="105">
                  <c:v>42.688800000000001</c:v>
                </c:pt>
                <c:pt idx="106">
                  <c:v>43.094700000000003</c:v>
                </c:pt>
                <c:pt idx="107">
                  <c:v>43.503599999999999</c:v>
                </c:pt>
                <c:pt idx="108">
                  <c:v>43.909199999999998</c:v>
                </c:pt>
                <c:pt idx="109">
                  <c:v>44.314500000000002</c:v>
                </c:pt>
                <c:pt idx="110">
                  <c:v>44.717799999999997</c:v>
                </c:pt>
                <c:pt idx="111">
                  <c:v>45.124699999999997</c:v>
                </c:pt>
                <c:pt idx="112">
                  <c:v>45.533299999999997</c:v>
                </c:pt>
                <c:pt idx="113">
                  <c:v>45.9392</c:v>
                </c:pt>
                <c:pt idx="114">
                  <c:v>46.343200000000003</c:v>
                </c:pt>
                <c:pt idx="115">
                  <c:v>46.749499999999998</c:v>
                </c:pt>
                <c:pt idx="116">
                  <c:v>47.1586</c:v>
                </c:pt>
                <c:pt idx="117">
                  <c:v>47.563800000000001</c:v>
                </c:pt>
                <c:pt idx="118">
                  <c:v>47.972099999999998</c:v>
                </c:pt>
                <c:pt idx="119">
                  <c:v>48.375799999999998</c:v>
                </c:pt>
                <c:pt idx="120">
                  <c:v>48.784300000000002</c:v>
                </c:pt>
                <c:pt idx="121">
                  <c:v>49.187600000000003</c:v>
                </c:pt>
                <c:pt idx="122">
                  <c:v>49.5944</c:v>
                </c:pt>
                <c:pt idx="123">
                  <c:v>50.005200000000002</c:v>
                </c:pt>
                <c:pt idx="124">
                  <c:v>50.409300000000002</c:v>
                </c:pt>
                <c:pt idx="125">
                  <c:v>50.811500000000002</c:v>
                </c:pt>
                <c:pt idx="126">
                  <c:v>51.222000000000001</c:v>
                </c:pt>
                <c:pt idx="127">
                  <c:v>51.6282</c:v>
                </c:pt>
                <c:pt idx="128">
                  <c:v>52.0364</c:v>
                </c:pt>
                <c:pt idx="129">
                  <c:v>52.443800000000003</c:v>
                </c:pt>
                <c:pt idx="130">
                  <c:v>52.8444</c:v>
                </c:pt>
                <c:pt idx="131">
                  <c:v>53.253700000000002</c:v>
                </c:pt>
                <c:pt idx="132">
                  <c:v>53.656599999999997</c:v>
                </c:pt>
                <c:pt idx="133">
                  <c:v>54.066499999999998</c:v>
                </c:pt>
                <c:pt idx="134">
                  <c:v>54.470199999999998</c:v>
                </c:pt>
                <c:pt idx="135">
                  <c:v>54.875799999999998</c:v>
                </c:pt>
                <c:pt idx="136">
                  <c:v>55.284999999999997</c:v>
                </c:pt>
                <c:pt idx="137">
                  <c:v>55.6892</c:v>
                </c:pt>
                <c:pt idx="138">
                  <c:v>56.097999999999999</c:v>
                </c:pt>
                <c:pt idx="139">
                  <c:v>56.502600000000001</c:v>
                </c:pt>
                <c:pt idx="140">
                  <c:v>56.907299999999999</c:v>
                </c:pt>
                <c:pt idx="141">
                  <c:v>57.310499999999998</c:v>
                </c:pt>
                <c:pt idx="142">
                  <c:v>57.720799999999997</c:v>
                </c:pt>
                <c:pt idx="143">
                  <c:v>58.123699999999999</c:v>
                </c:pt>
                <c:pt idx="144">
                  <c:v>58.535499999999999</c:v>
                </c:pt>
                <c:pt idx="145">
                  <c:v>58.941099999999999</c:v>
                </c:pt>
                <c:pt idx="146">
                  <c:v>59.3506</c:v>
                </c:pt>
                <c:pt idx="147">
                  <c:v>59.755899999999997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2.4964400000000002</c:v>
                </c:pt>
                <c:pt idx="1">
                  <c:v>2.5545</c:v>
                </c:pt>
                <c:pt idx="2">
                  <c:v>2.6159300000000001</c:v>
                </c:pt>
                <c:pt idx="3">
                  <c:v>2.6804000000000001</c:v>
                </c:pt>
                <c:pt idx="4">
                  <c:v>2.7461200000000003</c:v>
                </c:pt>
                <c:pt idx="5">
                  <c:v>2.81047</c:v>
                </c:pt>
                <c:pt idx="6">
                  <c:v>2.8785799999999999</c:v>
                </c:pt>
                <c:pt idx="7">
                  <c:v>2.9477700000000002</c:v>
                </c:pt>
                <c:pt idx="8">
                  <c:v>3.01661</c:v>
                </c:pt>
                <c:pt idx="9">
                  <c:v>3.0870199999999999</c:v>
                </c:pt>
                <c:pt idx="10">
                  <c:v>3.1540600000000003</c:v>
                </c:pt>
                <c:pt idx="11">
                  <c:v>3.2182399999999998</c:v>
                </c:pt>
                <c:pt idx="12">
                  <c:v>3.2812400000000004</c:v>
                </c:pt>
                <c:pt idx="13">
                  <c:v>3.3438400000000001</c:v>
                </c:pt>
                <c:pt idx="14">
                  <c:v>3.4059499999999998</c:v>
                </c:pt>
                <c:pt idx="15">
                  <c:v>3.4694700000000003</c:v>
                </c:pt>
                <c:pt idx="16">
                  <c:v>3.5329100000000002</c:v>
                </c:pt>
                <c:pt idx="17">
                  <c:v>3.5946400000000001</c:v>
                </c:pt>
                <c:pt idx="18">
                  <c:v>3.6551299999999998</c:v>
                </c:pt>
                <c:pt idx="19">
                  <c:v>3.7130000000000001</c:v>
                </c:pt>
                <c:pt idx="20">
                  <c:v>3.7673399999999999</c:v>
                </c:pt>
                <c:pt idx="21">
                  <c:v>3.8199100000000001</c:v>
                </c:pt>
                <c:pt idx="22">
                  <c:v>3.8719799999999998</c:v>
                </c:pt>
                <c:pt idx="23">
                  <c:v>3.9210699999999998</c:v>
                </c:pt>
                <c:pt idx="24">
                  <c:v>3.96915</c:v>
                </c:pt>
                <c:pt idx="25">
                  <c:v>4.0186899999999994</c:v>
                </c:pt>
                <c:pt idx="26">
                  <c:v>4.0652300000000006</c:v>
                </c:pt>
                <c:pt idx="27">
                  <c:v>4.1055999999999999</c:v>
                </c:pt>
                <c:pt idx="28">
                  <c:v>4.1471099999999996</c:v>
                </c:pt>
                <c:pt idx="29">
                  <c:v>4.1897500000000001</c:v>
                </c:pt>
                <c:pt idx="30">
                  <c:v>4.23576</c:v>
                </c:pt>
                <c:pt idx="31">
                  <c:v>4.2828600000000003</c:v>
                </c:pt>
                <c:pt idx="32">
                  <c:v>4.3310900000000006</c:v>
                </c:pt>
                <c:pt idx="33">
                  <c:v>4.3761799999999997</c:v>
                </c:pt>
                <c:pt idx="34">
                  <c:v>4.4198599999999999</c:v>
                </c:pt>
                <c:pt idx="35">
                  <c:v>4.4611200000000002</c:v>
                </c:pt>
                <c:pt idx="36">
                  <c:v>4.4997300000000005</c:v>
                </c:pt>
                <c:pt idx="37">
                  <c:v>4.53559</c:v>
                </c:pt>
                <c:pt idx="38">
                  <c:v>4.5702999999999996</c:v>
                </c:pt>
                <c:pt idx="39">
                  <c:v>4.60527</c:v>
                </c:pt>
                <c:pt idx="40">
                  <c:v>4.6384799999999995</c:v>
                </c:pt>
                <c:pt idx="41">
                  <c:v>4.6668399999999997</c:v>
                </c:pt>
                <c:pt idx="42">
                  <c:v>4.6901799999999998</c:v>
                </c:pt>
                <c:pt idx="43">
                  <c:v>4.7134999999999998</c:v>
                </c:pt>
                <c:pt idx="44">
                  <c:v>4.7344999999999997</c:v>
                </c:pt>
                <c:pt idx="45">
                  <c:v>4.7559300000000002</c:v>
                </c:pt>
                <c:pt idx="46">
                  <c:v>4.77935</c:v>
                </c:pt>
                <c:pt idx="47">
                  <c:v>4.7985600000000002</c:v>
                </c:pt>
                <c:pt idx="48">
                  <c:v>4.8142800000000001</c:v>
                </c:pt>
                <c:pt idx="49">
                  <c:v>4.8270900000000001</c:v>
                </c:pt>
                <c:pt idx="50">
                  <c:v>4.8391900000000003</c:v>
                </c:pt>
                <c:pt idx="51">
                  <c:v>4.85067</c:v>
                </c:pt>
                <c:pt idx="52">
                  <c:v>4.8591600000000001</c:v>
                </c:pt>
                <c:pt idx="53">
                  <c:v>4.8610300000000004</c:v>
                </c:pt>
                <c:pt idx="54">
                  <c:v>4.8574900000000003</c:v>
                </c:pt>
                <c:pt idx="55">
                  <c:v>4.8464900000000002</c:v>
                </c:pt>
                <c:pt idx="56">
                  <c:v>4.8302499999999995</c:v>
                </c:pt>
                <c:pt idx="57">
                  <c:v>4.8100100000000001</c:v>
                </c:pt>
                <c:pt idx="58">
                  <c:v>4.7889900000000001</c:v>
                </c:pt>
                <c:pt idx="59">
                  <c:v>4.7658899999999997</c:v>
                </c:pt>
                <c:pt idx="60">
                  <c:v>4.7425899999999999</c:v>
                </c:pt>
                <c:pt idx="61">
                  <c:v>4.72112</c:v>
                </c:pt>
                <c:pt idx="62">
                  <c:v>4.6987199999999998</c:v>
                </c:pt>
                <c:pt idx="63">
                  <c:v>4.6767700000000003</c:v>
                </c:pt>
                <c:pt idx="64">
                  <c:v>4.6544699999999999</c:v>
                </c:pt>
                <c:pt idx="65">
                  <c:v>4.6323299999999996</c:v>
                </c:pt>
                <c:pt idx="66">
                  <c:v>4.6132499999999999</c:v>
                </c:pt>
                <c:pt idx="67">
                  <c:v>4.5984499999999997</c:v>
                </c:pt>
                <c:pt idx="68">
                  <c:v>4.5823599999999995</c:v>
                </c:pt>
                <c:pt idx="69">
                  <c:v>4.5692300000000001</c:v>
                </c:pt>
                <c:pt idx="70">
                  <c:v>4.5552200000000003</c:v>
                </c:pt>
                <c:pt idx="71">
                  <c:v>4.5348600000000001</c:v>
                </c:pt>
                <c:pt idx="72">
                  <c:v>4.5139699999999996</c:v>
                </c:pt>
                <c:pt idx="73">
                  <c:v>4.4982299999999995</c:v>
                </c:pt>
                <c:pt idx="74">
                  <c:v>4.4805099999999998</c:v>
                </c:pt>
                <c:pt idx="75">
                  <c:v>4.4594699999999996</c:v>
                </c:pt>
                <c:pt idx="76">
                  <c:v>4.4363200000000003</c:v>
                </c:pt>
                <c:pt idx="77">
                  <c:v>4.4153599999999997</c:v>
                </c:pt>
                <c:pt idx="78">
                  <c:v>4.3966899999999995</c:v>
                </c:pt>
                <c:pt idx="79">
                  <c:v>4.3782300000000003</c:v>
                </c:pt>
                <c:pt idx="80">
                  <c:v>4.3628099999999996</c:v>
                </c:pt>
                <c:pt idx="81">
                  <c:v>4.34999</c:v>
                </c:pt>
                <c:pt idx="82">
                  <c:v>4.3387900000000004</c:v>
                </c:pt>
                <c:pt idx="83">
                  <c:v>4.3274400000000002</c:v>
                </c:pt>
                <c:pt idx="84">
                  <c:v>4.3140999999999998</c:v>
                </c:pt>
                <c:pt idx="85">
                  <c:v>4.3015799999999995</c:v>
                </c:pt>
                <c:pt idx="86">
                  <c:v>4.2881099999999996</c:v>
                </c:pt>
                <c:pt idx="87">
                  <c:v>4.2734800000000002</c:v>
                </c:pt>
                <c:pt idx="88">
                  <c:v>4.2551499999999995</c:v>
                </c:pt>
                <c:pt idx="89">
                  <c:v>4.2328799999999998</c:v>
                </c:pt>
                <c:pt idx="90">
                  <c:v>4.20899</c:v>
                </c:pt>
                <c:pt idx="91">
                  <c:v>4.1837200000000001</c:v>
                </c:pt>
                <c:pt idx="92">
                  <c:v>4.1547000000000001</c:v>
                </c:pt>
                <c:pt idx="93">
                  <c:v>4.1238900000000003</c:v>
                </c:pt>
                <c:pt idx="94">
                  <c:v>4.0893800000000002</c:v>
                </c:pt>
                <c:pt idx="95">
                  <c:v>4.0546699999999998</c:v>
                </c:pt>
                <c:pt idx="96">
                  <c:v>4.0226800000000003</c:v>
                </c:pt>
                <c:pt idx="97">
                  <c:v>3.9930700000000003</c:v>
                </c:pt>
                <c:pt idx="98">
                  <c:v>3.9591500000000002</c:v>
                </c:pt>
                <c:pt idx="99">
                  <c:v>3.9247700000000001</c:v>
                </c:pt>
                <c:pt idx="100">
                  <c:v>3.8881800000000002</c:v>
                </c:pt>
                <c:pt idx="101">
                  <c:v>3.8532499999999996</c:v>
                </c:pt>
                <c:pt idx="102">
                  <c:v>3.8202399999999996</c:v>
                </c:pt>
                <c:pt idx="103">
                  <c:v>3.7899100000000003</c:v>
                </c:pt>
                <c:pt idx="104">
                  <c:v>3.7635800000000001</c:v>
                </c:pt>
                <c:pt idx="105">
                  <c:v>3.7373000000000003</c:v>
                </c:pt>
                <c:pt idx="106">
                  <c:v>3.7084999999999999</c:v>
                </c:pt>
                <c:pt idx="107">
                  <c:v>3.6780499999999998</c:v>
                </c:pt>
                <c:pt idx="108">
                  <c:v>3.6493599999999997</c:v>
                </c:pt>
                <c:pt idx="109">
                  <c:v>3.6258400000000002</c:v>
                </c:pt>
                <c:pt idx="110">
                  <c:v>3.6048100000000001</c:v>
                </c:pt>
                <c:pt idx="111">
                  <c:v>3.5856900000000005</c:v>
                </c:pt>
                <c:pt idx="112">
                  <c:v>3.56813</c:v>
                </c:pt>
                <c:pt idx="113">
                  <c:v>3.5504099999999998</c:v>
                </c:pt>
                <c:pt idx="114">
                  <c:v>3.53207</c:v>
                </c:pt>
                <c:pt idx="115">
                  <c:v>3.5137800000000001</c:v>
                </c:pt>
                <c:pt idx="116">
                  <c:v>3.4954099999999997</c:v>
                </c:pt>
                <c:pt idx="117">
                  <c:v>3.4804499999999998</c:v>
                </c:pt>
                <c:pt idx="118">
                  <c:v>3.4662600000000001</c:v>
                </c:pt>
                <c:pt idx="119">
                  <c:v>3.4526600000000003</c:v>
                </c:pt>
                <c:pt idx="120">
                  <c:v>3.4401799999999998</c:v>
                </c:pt>
                <c:pt idx="121">
                  <c:v>3.4296700000000002</c:v>
                </c:pt>
                <c:pt idx="122">
                  <c:v>3.4194499999999999</c:v>
                </c:pt>
                <c:pt idx="123">
                  <c:v>3.41181</c:v>
                </c:pt>
                <c:pt idx="124">
                  <c:v>3.40815</c:v>
                </c:pt>
                <c:pt idx="125">
                  <c:v>3.4084199999999996</c:v>
                </c:pt>
                <c:pt idx="126">
                  <c:v>3.4072300000000002</c:v>
                </c:pt>
                <c:pt idx="127">
                  <c:v>3.40578</c:v>
                </c:pt>
                <c:pt idx="128">
                  <c:v>3.4047200000000002</c:v>
                </c:pt>
                <c:pt idx="129">
                  <c:v>3.4038499999999998</c:v>
                </c:pt>
                <c:pt idx="130">
                  <c:v>3.4049800000000001</c:v>
                </c:pt>
                <c:pt idx="131">
                  <c:v>3.4088400000000001</c:v>
                </c:pt>
                <c:pt idx="132">
                  <c:v>3.4141300000000001</c:v>
                </c:pt>
                <c:pt idx="133">
                  <c:v>3.4192299999999998</c:v>
                </c:pt>
                <c:pt idx="134">
                  <c:v>3.4210800000000003</c:v>
                </c:pt>
                <c:pt idx="135">
                  <c:v>3.4169200000000002</c:v>
                </c:pt>
                <c:pt idx="136">
                  <c:v>3.4083999999999999</c:v>
                </c:pt>
                <c:pt idx="137">
                  <c:v>3.4006500000000002</c:v>
                </c:pt>
                <c:pt idx="138">
                  <c:v>3.4001700000000001</c:v>
                </c:pt>
                <c:pt idx="139">
                  <c:v>3.4077200000000003</c:v>
                </c:pt>
                <c:pt idx="140">
                  <c:v>3.4117999999999999</c:v>
                </c:pt>
                <c:pt idx="141">
                  <c:v>3.4151799999999999</c:v>
                </c:pt>
                <c:pt idx="142">
                  <c:v>3.4156199999999997</c:v>
                </c:pt>
                <c:pt idx="143">
                  <c:v>3.4148299999999998</c:v>
                </c:pt>
                <c:pt idx="144">
                  <c:v>3.4213300000000002</c:v>
                </c:pt>
                <c:pt idx="145">
                  <c:v>3.4246300000000001</c:v>
                </c:pt>
                <c:pt idx="146">
                  <c:v>3.4208300000000005</c:v>
                </c:pt>
                <c:pt idx="147">
                  <c:v>3.4258800000000003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0.40865000000000001</c:v>
                </c:pt>
                <c:pt idx="2">
                  <c:v>0.81341799999999997</c:v>
                </c:pt>
                <c:pt idx="3">
                  <c:v>1.2194700000000001</c:v>
                </c:pt>
                <c:pt idx="4">
                  <c:v>1.629</c:v>
                </c:pt>
                <c:pt idx="5">
                  <c:v>2.0331999999999999</c:v>
                </c:pt>
                <c:pt idx="6">
                  <c:v>2.4378700000000002</c:v>
                </c:pt>
                <c:pt idx="7">
                  <c:v>2.8432300000000001</c:v>
                </c:pt>
                <c:pt idx="8">
                  <c:v>3.2490000000000001</c:v>
                </c:pt>
                <c:pt idx="9">
                  <c:v>3.6577500000000001</c:v>
                </c:pt>
                <c:pt idx="10">
                  <c:v>4.0684100000000001</c:v>
                </c:pt>
                <c:pt idx="11">
                  <c:v>4.4714299999999998</c:v>
                </c:pt>
                <c:pt idx="12">
                  <c:v>4.8754499999999998</c:v>
                </c:pt>
                <c:pt idx="13">
                  <c:v>5.2813100000000004</c:v>
                </c:pt>
                <c:pt idx="14">
                  <c:v>5.6887999999999996</c:v>
                </c:pt>
                <c:pt idx="15">
                  <c:v>6.0973800000000002</c:v>
                </c:pt>
                <c:pt idx="16">
                  <c:v>6.5033500000000002</c:v>
                </c:pt>
                <c:pt idx="17">
                  <c:v>6.9071899999999999</c:v>
                </c:pt>
                <c:pt idx="18">
                  <c:v>7.3123399999999998</c:v>
                </c:pt>
                <c:pt idx="19">
                  <c:v>7.7215299999999996</c:v>
                </c:pt>
                <c:pt idx="20">
                  <c:v>8.1253600000000006</c:v>
                </c:pt>
                <c:pt idx="21">
                  <c:v>8.5322899999999997</c:v>
                </c:pt>
                <c:pt idx="22">
                  <c:v>8.9407399999999999</c:v>
                </c:pt>
                <c:pt idx="23">
                  <c:v>9.3461700000000008</c:v>
                </c:pt>
                <c:pt idx="24">
                  <c:v>9.7523099999999996</c:v>
                </c:pt>
                <c:pt idx="25">
                  <c:v>10.157999999999999</c:v>
                </c:pt>
                <c:pt idx="26">
                  <c:v>10.5639</c:v>
                </c:pt>
                <c:pt idx="27">
                  <c:v>10.9718</c:v>
                </c:pt>
                <c:pt idx="28">
                  <c:v>11.378399999999999</c:v>
                </c:pt>
                <c:pt idx="29">
                  <c:v>11.7829</c:v>
                </c:pt>
                <c:pt idx="30">
                  <c:v>12.1883</c:v>
                </c:pt>
                <c:pt idx="31">
                  <c:v>12.595700000000001</c:v>
                </c:pt>
                <c:pt idx="32">
                  <c:v>13.002599999999999</c:v>
                </c:pt>
                <c:pt idx="33">
                  <c:v>13.409000000000001</c:v>
                </c:pt>
                <c:pt idx="34">
                  <c:v>13.814399999999999</c:v>
                </c:pt>
                <c:pt idx="35">
                  <c:v>14.220800000000001</c:v>
                </c:pt>
                <c:pt idx="36">
                  <c:v>14.6234</c:v>
                </c:pt>
                <c:pt idx="37">
                  <c:v>15.031700000000001</c:v>
                </c:pt>
                <c:pt idx="38">
                  <c:v>15.437799999999999</c:v>
                </c:pt>
                <c:pt idx="39">
                  <c:v>15.8452</c:v>
                </c:pt>
                <c:pt idx="40">
                  <c:v>16.250900000000001</c:v>
                </c:pt>
                <c:pt idx="41">
                  <c:v>16.6557</c:v>
                </c:pt>
                <c:pt idx="42">
                  <c:v>17.064900000000002</c:v>
                </c:pt>
                <c:pt idx="43">
                  <c:v>17.471499999999999</c:v>
                </c:pt>
                <c:pt idx="44">
                  <c:v>17.875900000000001</c:v>
                </c:pt>
                <c:pt idx="45">
                  <c:v>18.281700000000001</c:v>
                </c:pt>
                <c:pt idx="46">
                  <c:v>18.6889</c:v>
                </c:pt>
                <c:pt idx="47">
                  <c:v>19.093299999999999</c:v>
                </c:pt>
                <c:pt idx="48">
                  <c:v>19.502500000000001</c:v>
                </c:pt>
                <c:pt idx="49">
                  <c:v>19.908799999999999</c:v>
                </c:pt>
                <c:pt idx="50">
                  <c:v>20.315000000000001</c:v>
                </c:pt>
                <c:pt idx="51">
                  <c:v>20.721900000000002</c:v>
                </c:pt>
                <c:pt idx="52">
                  <c:v>21.125900000000001</c:v>
                </c:pt>
                <c:pt idx="53">
                  <c:v>21.534300000000002</c:v>
                </c:pt>
                <c:pt idx="54">
                  <c:v>21.939900000000002</c:v>
                </c:pt>
                <c:pt idx="55">
                  <c:v>22.3446</c:v>
                </c:pt>
                <c:pt idx="56">
                  <c:v>22.748799999999999</c:v>
                </c:pt>
                <c:pt idx="57">
                  <c:v>23.158000000000001</c:v>
                </c:pt>
                <c:pt idx="58">
                  <c:v>23.562799999999999</c:v>
                </c:pt>
                <c:pt idx="59">
                  <c:v>23.973700000000001</c:v>
                </c:pt>
                <c:pt idx="60">
                  <c:v>24.376300000000001</c:v>
                </c:pt>
                <c:pt idx="61">
                  <c:v>24.783000000000001</c:v>
                </c:pt>
                <c:pt idx="62">
                  <c:v>25.188400000000001</c:v>
                </c:pt>
                <c:pt idx="63">
                  <c:v>25.596800000000002</c:v>
                </c:pt>
                <c:pt idx="64">
                  <c:v>26.0046</c:v>
                </c:pt>
                <c:pt idx="65">
                  <c:v>26.408200000000001</c:v>
                </c:pt>
                <c:pt idx="66">
                  <c:v>26.8124</c:v>
                </c:pt>
                <c:pt idx="67">
                  <c:v>27.219899999999999</c:v>
                </c:pt>
                <c:pt idx="68">
                  <c:v>27.627500000000001</c:v>
                </c:pt>
                <c:pt idx="69">
                  <c:v>28.033300000000001</c:v>
                </c:pt>
                <c:pt idx="70">
                  <c:v>28.437799999999999</c:v>
                </c:pt>
                <c:pt idx="71">
                  <c:v>28.8447</c:v>
                </c:pt>
                <c:pt idx="72">
                  <c:v>29.252099999999999</c:v>
                </c:pt>
                <c:pt idx="73">
                  <c:v>29.658300000000001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2.4964400000000002</c:v>
                </c:pt>
                <c:pt idx="1">
                  <c:v>2.5545</c:v>
                </c:pt>
                <c:pt idx="2">
                  <c:v>2.6159300000000001</c:v>
                </c:pt>
                <c:pt idx="3">
                  <c:v>2.6804000000000001</c:v>
                </c:pt>
                <c:pt idx="4">
                  <c:v>2.7461200000000003</c:v>
                </c:pt>
                <c:pt idx="5">
                  <c:v>2.81047</c:v>
                </c:pt>
                <c:pt idx="6">
                  <c:v>2.8785799999999999</c:v>
                </c:pt>
                <c:pt idx="7">
                  <c:v>2.9477700000000002</c:v>
                </c:pt>
                <c:pt idx="8">
                  <c:v>3.01661</c:v>
                </c:pt>
                <c:pt idx="9">
                  <c:v>3.0870199999999999</c:v>
                </c:pt>
                <c:pt idx="10">
                  <c:v>3.1540600000000003</c:v>
                </c:pt>
                <c:pt idx="11">
                  <c:v>3.2182399999999998</c:v>
                </c:pt>
                <c:pt idx="12">
                  <c:v>3.2812400000000004</c:v>
                </c:pt>
                <c:pt idx="13">
                  <c:v>3.3438400000000001</c:v>
                </c:pt>
                <c:pt idx="14">
                  <c:v>3.4059499999999998</c:v>
                </c:pt>
                <c:pt idx="15">
                  <c:v>3.4694700000000003</c:v>
                </c:pt>
                <c:pt idx="16">
                  <c:v>3.5329100000000002</c:v>
                </c:pt>
                <c:pt idx="17">
                  <c:v>3.5946400000000001</c:v>
                </c:pt>
                <c:pt idx="18">
                  <c:v>3.6551299999999998</c:v>
                </c:pt>
                <c:pt idx="19">
                  <c:v>3.7130000000000001</c:v>
                </c:pt>
                <c:pt idx="20">
                  <c:v>3.7673399999999999</c:v>
                </c:pt>
                <c:pt idx="21">
                  <c:v>3.8199100000000001</c:v>
                </c:pt>
                <c:pt idx="22">
                  <c:v>3.8719799999999998</c:v>
                </c:pt>
                <c:pt idx="23">
                  <c:v>3.9210699999999998</c:v>
                </c:pt>
                <c:pt idx="24">
                  <c:v>3.96915</c:v>
                </c:pt>
                <c:pt idx="25">
                  <c:v>4.0186899999999994</c:v>
                </c:pt>
                <c:pt idx="26">
                  <c:v>4.0652300000000006</c:v>
                </c:pt>
                <c:pt idx="27">
                  <c:v>4.1055999999999999</c:v>
                </c:pt>
                <c:pt idx="28">
                  <c:v>4.1471099999999996</c:v>
                </c:pt>
                <c:pt idx="29">
                  <c:v>4.1897500000000001</c:v>
                </c:pt>
                <c:pt idx="30">
                  <c:v>4.23576</c:v>
                </c:pt>
                <c:pt idx="31">
                  <c:v>4.2828600000000003</c:v>
                </c:pt>
                <c:pt idx="32">
                  <c:v>4.3310900000000006</c:v>
                </c:pt>
                <c:pt idx="33">
                  <c:v>4.3761799999999997</c:v>
                </c:pt>
                <c:pt idx="34">
                  <c:v>4.4198599999999999</c:v>
                </c:pt>
                <c:pt idx="35">
                  <c:v>4.4611200000000002</c:v>
                </c:pt>
                <c:pt idx="36">
                  <c:v>4.4997300000000005</c:v>
                </c:pt>
                <c:pt idx="37">
                  <c:v>4.53559</c:v>
                </c:pt>
                <c:pt idx="38">
                  <c:v>4.5702999999999996</c:v>
                </c:pt>
                <c:pt idx="39">
                  <c:v>4.60527</c:v>
                </c:pt>
                <c:pt idx="40">
                  <c:v>4.6384799999999995</c:v>
                </c:pt>
                <c:pt idx="41">
                  <c:v>4.6668399999999997</c:v>
                </c:pt>
                <c:pt idx="42">
                  <c:v>4.6901799999999998</c:v>
                </c:pt>
                <c:pt idx="43">
                  <c:v>4.7134999999999998</c:v>
                </c:pt>
                <c:pt idx="44">
                  <c:v>4.7344999999999997</c:v>
                </c:pt>
                <c:pt idx="45">
                  <c:v>4.7559300000000002</c:v>
                </c:pt>
                <c:pt idx="46">
                  <c:v>4.77935</c:v>
                </c:pt>
                <c:pt idx="47">
                  <c:v>4.7985600000000002</c:v>
                </c:pt>
                <c:pt idx="48">
                  <c:v>4.8142800000000001</c:v>
                </c:pt>
                <c:pt idx="49">
                  <c:v>4.8270900000000001</c:v>
                </c:pt>
                <c:pt idx="50">
                  <c:v>4.8391900000000003</c:v>
                </c:pt>
                <c:pt idx="51">
                  <c:v>4.85067</c:v>
                </c:pt>
                <c:pt idx="52">
                  <c:v>4.8591600000000001</c:v>
                </c:pt>
                <c:pt idx="53">
                  <c:v>4.8610300000000004</c:v>
                </c:pt>
                <c:pt idx="54">
                  <c:v>4.8574900000000003</c:v>
                </c:pt>
                <c:pt idx="55">
                  <c:v>4.8464900000000002</c:v>
                </c:pt>
                <c:pt idx="56">
                  <c:v>4.8302499999999995</c:v>
                </c:pt>
                <c:pt idx="57">
                  <c:v>4.8100100000000001</c:v>
                </c:pt>
                <c:pt idx="58">
                  <c:v>4.7889900000000001</c:v>
                </c:pt>
                <c:pt idx="59">
                  <c:v>4.7658899999999997</c:v>
                </c:pt>
                <c:pt idx="60">
                  <c:v>4.7425899999999999</c:v>
                </c:pt>
                <c:pt idx="61">
                  <c:v>4.72112</c:v>
                </c:pt>
                <c:pt idx="62">
                  <c:v>4.6987199999999998</c:v>
                </c:pt>
                <c:pt idx="63">
                  <c:v>4.6767700000000003</c:v>
                </c:pt>
                <c:pt idx="64">
                  <c:v>4.6544699999999999</c:v>
                </c:pt>
                <c:pt idx="65">
                  <c:v>4.6323299999999996</c:v>
                </c:pt>
                <c:pt idx="66">
                  <c:v>4.6132499999999999</c:v>
                </c:pt>
                <c:pt idx="67">
                  <c:v>4.5984499999999997</c:v>
                </c:pt>
                <c:pt idx="68">
                  <c:v>4.5823599999999995</c:v>
                </c:pt>
                <c:pt idx="69">
                  <c:v>4.5692300000000001</c:v>
                </c:pt>
                <c:pt idx="70">
                  <c:v>4.5552200000000003</c:v>
                </c:pt>
                <c:pt idx="71">
                  <c:v>4.5348600000000001</c:v>
                </c:pt>
                <c:pt idx="72">
                  <c:v>4.5139699999999996</c:v>
                </c:pt>
                <c:pt idx="73">
                  <c:v>4.4982299999999995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29.658300000000001</c:v>
                </c:pt>
                <c:pt idx="1">
                  <c:v>30.065200000000001</c:v>
                </c:pt>
                <c:pt idx="2">
                  <c:v>30.5031</c:v>
                </c:pt>
                <c:pt idx="3">
                  <c:v>30.908100000000001</c:v>
                </c:pt>
                <c:pt idx="4">
                  <c:v>31.3142</c:v>
                </c:pt>
                <c:pt idx="5">
                  <c:v>31.718299999999999</c:v>
                </c:pt>
                <c:pt idx="6">
                  <c:v>32.125500000000002</c:v>
                </c:pt>
                <c:pt idx="7">
                  <c:v>32.531500000000001</c:v>
                </c:pt>
                <c:pt idx="8">
                  <c:v>32.939599999999999</c:v>
                </c:pt>
                <c:pt idx="9">
                  <c:v>33.345100000000002</c:v>
                </c:pt>
                <c:pt idx="10">
                  <c:v>33.750799999999998</c:v>
                </c:pt>
                <c:pt idx="11">
                  <c:v>34.156199999999998</c:v>
                </c:pt>
                <c:pt idx="12">
                  <c:v>34.562100000000001</c:v>
                </c:pt>
                <c:pt idx="13">
                  <c:v>34.968600000000002</c:v>
                </c:pt>
                <c:pt idx="14">
                  <c:v>35.376300000000001</c:v>
                </c:pt>
                <c:pt idx="15">
                  <c:v>35.784700000000001</c:v>
                </c:pt>
                <c:pt idx="16">
                  <c:v>36.188099999999999</c:v>
                </c:pt>
                <c:pt idx="17">
                  <c:v>36.5961</c:v>
                </c:pt>
                <c:pt idx="18">
                  <c:v>37.000799999999998</c:v>
                </c:pt>
                <c:pt idx="19">
                  <c:v>37.410499999999999</c:v>
                </c:pt>
                <c:pt idx="20">
                  <c:v>37.815800000000003</c:v>
                </c:pt>
                <c:pt idx="21">
                  <c:v>38.2241</c:v>
                </c:pt>
                <c:pt idx="22">
                  <c:v>38.626399999999997</c:v>
                </c:pt>
                <c:pt idx="23">
                  <c:v>39.032899999999998</c:v>
                </c:pt>
                <c:pt idx="24">
                  <c:v>39.4422</c:v>
                </c:pt>
                <c:pt idx="25">
                  <c:v>39.844799999999999</c:v>
                </c:pt>
                <c:pt idx="26">
                  <c:v>40.251800000000003</c:v>
                </c:pt>
                <c:pt idx="27">
                  <c:v>40.657600000000002</c:v>
                </c:pt>
                <c:pt idx="28">
                  <c:v>41.066200000000002</c:v>
                </c:pt>
                <c:pt idx="29">
                  <c:v>41.472099999999998</c:v>
                </c:pt>
                <c:pt idx="30">
                  <c:v>41.878700000000002</c:v>
                </c:pt>
                <c:pt idx="31">
                  <c:v>42.283099999999997</c:v>
                </c:pt>
                <c:pt idx="32">
                  <c:v>42.688800000000001</c:v>
                </c:pt>
                <c:pt idx="33">
                  <c:v>43.094700000000003</c:v>
                </c:pt>
                <c:pt idx="34">
                  <c:v>43.503599999999999</c:v>
                </c:pt>
                <c:pt idx="35">
                  <c:v>43.909199999999998</c:v>
                </c:pt>
                <c:pt idx="36">
                  <c:v>44.314500000000002</c:v>
                </c:pt>
                <c:pt idx="37">
                  <c:v>44.717799999999997</c:v>
                </c:pt>
                <c:pt idx="38">
                  <c:v>45.124699999999997</c:v>
                </c:pt>
                <c:pt idx="39">
                  <c:v>45.533299999999997</c:v>
                </c:pt>
                <c:pt idx="40">
                  <c:v>45.9392</c:v>
                </c:pt>
                <c:pt idx="41">
                  <c:v>46.343200000000003</c:v>
                </c:pt>
                <c:pt idx="42">
                  <c:v>46.749499999999998</c:v>
                </c:pt>
                <c:pt idx="43">
                  <c:v>47.1586</c:v>
                </c:pt>
                <c:pt idx="44">
                  <c:v>47.563800000000001</c:v>
                </c:pt>
                <c:pt idx="45">
                  <c:v>47.972099999999998</c:v>
                </c:pt>
                <c:pt idx="46">
                  <c:v>48.375799999999998</c:v>
                </c:pt>
                <c:pt idx="47">
                  <c:v>48.784300000000002</c:v>
                </c:pt>
                <c:pt idx="48">
                  <c:v>49.187600000000003</c:v>
                </c:pt>
                <c:pt idx="49">
                  <c:v>49.5944</c:v>
                </c:pt>
                <c:pt idx="50">
                  <c:v>50.005200000000002</c:v>
                </c:pt>
                <c:pt idx="51">
                  <c:v>50.409300000000002</c:v>
                </c:pt>
                <c:pt idx="52">
                  <c:v>50.811500000000002</c:v>
                </c:pt>
                <c:pt idx="53">
                  <c:v>51.222000000000001</c:v>
                </c:pt>
                <c:pt idx="54">
                  <c:v>51.6282</c:v>
                </c:pt>
                <c:pt idx="55">
                  <c:v>52.0364</c:v>
                </c:pt>
                <c:pt idx="56">
                  <c:v>52.443800000000003</c:v>
                </c:pt>
                <c:pt idx="57">
                  <c:v>52.8444</c:v>
                </c:pt>
                <c:pt idx="58">
                  <c:v>53.253700000000002</c:v>
                </c:pt>
                <c:pt idx="59">
                  <c:v>53.656599999999997</c:v>
                </c:pt>
                <c:pt idx="60">
                  <c:v>54.066499999999998</c:v>
                </c:pt>
                <c:pt idx="61">
                  <c:v>54.470199999999998</c:v>
                </c:pt>
                <c:pt idx="62">
                  <c:v>54.875799999999998</c:v>
                </c:pt>
                <c:pt idx="63">
                  <c:v>55.284999999999997</c:v>
                </c:pt>
                <c:pt idx="64">
                  <c:v>55.6892</c:v>
                </c:pt>
                <c:pt idx="65">
                  <c:v>56.097999999999999</c:v>
                </c:pt>
                <c:pt idx="66">
                  <c:v>56.502600000000001</c:v>
                </c:pt>
                <c:pt idx="67">
                  <c:v>56.907299999999999</c:v>
                </c:pt>
                <c:pt idx="68">
                  <c:v>57.310499999999998</c:v>
                </c:pt>
                <c:pt idx="69">
                  <c:v>57.720799999999997</c:v>
                </c:pt>
                <c:pt idx="70">
                  <c:v>58.123699999999999</c:v>
                </c:pt>
                <c:pt idx="71">
                  <c:v>58.535499999999999</c:v>
                </c:pt>
                <c:pt idx="72">
                  <c:v>58.941099999999999</c:v>
                </c:pt>
                <c:pt idx="73">
                  <c:v>59.3506</c:v>
                </c:pt>
                <c:pt idx="74">
                  <c:v>59.755899999999997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4.4982299999999995</c:v>
                </c:pt>
                <c:pt idx="1">
                  <c:v>4.4805099999999998</c:v>
                </c:pt>
                <c:pt idx="2">
                  <c:v>4.4594699999999996</c:v>
                </c:pt>
                <c:pt idx="3">
                  <c:v>4.4363200000000003</c:v>
                </c:pt>
                <c:pt idx="4">
                  <c:v>4.4153599999999997</c:v>
                </c:pt>
                <c:pt idx="5">
                  <c:v>4.3966899999999995</c:v>
                </c:pt>
                <c:pt idx="6">
                  <c:v>4.3782300000000003</c:v>
                </c:pt>
                <c:pt idx="7">
                  <c:v>4.3628099999999996</c:v>
                </c:pt>
                <c:pt idx="8">
                  <c:v>4.34999</c:v>
                </c:pt>
                <c:pt idx="9">
                  <c:v>4.3387900000000004</c:v>
                </c:pt>
                <c:pt idx="10">
                  <c:v>4.3274400000000002</c:v>
                </c:pt>
                <c:pt idx="11">
                  <c:v>4.3140999999999998</c:v>
                </c:pt>
                <c:pt idx="12">
                  <c:v>4.3015799999999995</c:v>
                </c:pt>
                <c:pt idx="13">
                  <c:v>4.2881099999999996</c:v>
                </c:pt>
                <c:pt idx="14">
                  <c:v>4.2734800000000002</c:v>
                </c:pt>
                <c:pt idx="15">
                  <c:v>4.2551499999999995</c:v>
                </c:pt>
                <c:pt idx="16">
                  <c:v>4.2328799999999998</c:v>
                </c:pt>
                <c:pt idx="17">
                  <c:v>4.20899</c:v>
                </c:pt>
                <c:pt idx="18">
                  <c:v>4.1837200000000001</c:v>
                </c:pt>
                <c:pt idx="19">
                  <c:v>4.1547000000000001</c:v>
                </c:pt>
                <c:pt idx="20">
                  <c:v>4.1238900000000003</c:v>
                </c:pt>
                <c:pt idx="21">
                  <c:v>4.0893800000000002</c:v>
                </c:pt>
                <c:pt idx="22">
                  <c:v>4.0546699999999998</c:v>
                </c:pt>
                <c:pt idx="23">
                  <c:v>4.0226800000000003</c:v>
                </c:pt>
                <c:pt idx="24">
                  <c:v>3.9930700000000003</c:v>
                </c:pt>
                <c:pt idx="25">
                  <c:v>3.9591500000000002</c:v>
                </c:pt>
                <c:pt idx="26">
                  <c:v>3.9247700000000001</c:v>
                </c:pt>
                <c:pt idx="27">
                  <c:v>3.8881800000000002</c:v>
                </c:pt>
                <c:pt idx="28">
                  <c:v>3.8532499999999996</c:v>
                </c:pt>
                <c:pt idx="29">
                  <c:v>3.8202399999999996</c:v>
                </c:pt>
                <c:pt idx="30">
                  <c:v>3.7899100000000003</c:v>
                </c:pt>
                <c:pt idx="31">
                  <c:v>3.7635800000000001</c:v>
                </c:pt>
                <c:pt idx="32">
                  <c:v>3.7373000000000003</c:v>
                </c:pt>
                <c:pt idx="33">
                  <c:v>3.7084999999999999</c:v>
                </c:pt>
                <c:pt idx="34">
                  <c:v>3.6780499999999998</c:v>
                </c:pt>
                <c:pt idx="35">
                  <c:v>3.6493599999999997</c:v>
                </c:pt>
                <c:pt idx="36">
                  <c:v>3.6258400000000002</c:v>
                </c:pt>
                <c:pt idx="37">
                  <c:v>3.6048100000000001</c:v>
                </c:pt>
                <c:pt idx="38">
                  <c:v>3.5856900000000005</c:v>
                </c:pt>
                <c:pt idx="39">
                  <c:v>3.56813</c:v>
                </c:pt>
                <c:pt idx="40">
                  <c:v>3.5504099999999998</c:v>
                </c:pt>
                <c:pt idx="41">
                  <c:v>3.53207</c:v>
                </c:pt>
                <c:pt idx="42">
                  <c:v>3.5137800000000001</c:v>
                </c:pt>
                <c:pt idx="43">
                  <c:v>3.4954099999999997</c:v>
                </c:pt>
                <c:pt idx="44">
                  <c:v>3.4804499999999998</c:v>
                </c:pt>
                <c:pt idx="45">
                  <c:v>3.4662600000000001</c:v>
                </c:pt>
                <c:pt idx="46">
                  <c:v>3.4526600000000003</c:v>
                </c:pt>
                <c:pt idx="47">
                  <c:v>3.4401799999999998</c:v>
                </c:pt>
                <c:pt idx="48">
                  <c:v>3.4296700000000002</c:v>
                </c:pt>
                <c:pt idx="49">
                  <c:v>3.4194499999999999</c:v>
                </c:pt>
                <c:pt idx="50">
                  <c:v>3.41181</c:v>
                </c:pt>
                <c:pt idx="51">
                  <c:v>3.40815</c:v>
                </c:pt>
                <c:pt idx="52">
                  <c:v>3.4084199999999996</c:v>
                </c:pt>
                <c:pt idx="53">
                  <c:v>3.4072300000000002</c:v>
                </c:pt>
                <c:pt idx="54">
                  <c:v>3.40578</c:v>
                </c:pt>
                <c:pt idx="55">
                  <c:v>3.4047200000000002</c:v>
                </c:pt>
                <c:pt idx="56">
                  <c:v>3.4038499999999998</c:v>
                </c:pt>
                <c:pt idx="57">
                  <c:v>3.4049800000000001</c:v>
                </c:pt>
                <c:pt idx="58">
                  <c:v>3.4088400000000001</c:v>
                </c:pt>
                <c:pt idx="59">
                  <c:v>3.4141300000000001</c:v>
                </c:pt>
                <c:pt idx="60">
                  <c:v>3.4192299999999998</c:v>
                </c:pt>
                <c:pt idx="61">
                  <c:v>3.4210800000000003</c:v>
                </c:pt>
                <c:pt idx="62">
                  <c:v>3.4169200000000002</c:v>
                </c:pt>
                <c:pt idx="63">
                  <c:v>3.4083999999999999</c:v>
                </c:pt>
                <c:pt idx="64">
                  <c:v>3.4006500000000002</c:v>
                </c:pt>
                <c:pt idx="65">
                  <c:v>3.4001700000000001</c:v>
                </c:pt>
                <c:pt idx="66">
                  <c:v>3.4077200000000003</c:v>
                </c:pt>
                <c:pt idx="67">
                  <c:v>3.4117999999999999</c:v>
                </c:pt>
                <c:pt idx="68">
                  <c:v>3.4151799999999999</c:v>
                </c:pt>
                <c:pt idx="69">
                  <c:v>3.4156199999999997</c:v>
                </c:pt>
                <c:pt idx="70">
                  <c:v>3.4148299999999998</c:v>
                </c:pt>
                <c:pt idx="71">
                  <c:v>3.4213300000000002</c:v>
                </c:pt>
                <c:pt idx="72">
                  <c:v>3.4246300000000001</c:v>
                </c:pt>
                <c:pt idx="73">
                  <c:v>3.4208300000000005</c:v>
                </c:pt>
                <c:pt idx="74">
                  <c:v>3.4258800000000003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14.938974999999999</c:v>
                </c:pt>
                <c:pt idx="1">
                  <c:v>44.816924999999998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4.1448021621621614</c:v>
                </c:pt>
                <c:pt idx="1">
                  <c:v>3.7659633783783777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0.40865000000000001</c:v>
                </c:pt>
                <c:pt idx="2">
                  <c:v>0.81341799999999997</c:v>
                </c:pt>
                <c:pt idx="3">
                  <c:v>1.2194700000000001</c:v>
                </c:pt>
                <c:pt idx="4">
                  <c:v>1.629</c:v>
                </c:pt>
                <c:pt idx="5">
                  <c:v>2.0331999999999999</c:v>
                </c:pt>
                <c:pt idx="6">
                  <c:v>2.4378700000000002</c:v>
                </c:pt>
                <c:pt idx="7">
                  <c:v>2.8432300000000001</c:v>
                </c:pt>
                <c:pt idx="8">
                  <c:v>3.2490000000000001</c:v>
                </c:pt>
                <c:pt idx="9">
                  <c:v>3.6577500000000001</c:v>
                </c:pt>
                <c:pt idx="10">
                  <c:v>4.0684100000000001</c:v>
                </c:pt>
                <c:pt idx="11">
                  <c:v>4.4714299999999998</c:v>
                </c:pt>
                <c:pt idx="12">
                  <c:v>4.8754499999999998</c:v>
                </c:pt>
                <c:pt idx="13">
                  <c:v>5.2813100000000004</c:v>
                </c:pt>
                <c:pt idx="14">
                  <c:v>5.6887999999999996</c:v>
                </c:pt>
                <c:pt idx="15">
                  <c:v>6.0973800000000002</c:v>
                </c:pt>
                <c:pt idx="16">
                  <c:v>6.5033500000000002</c:v>
                </c:pt>
                <c:pt idx="17">
                  <c:v>6.9071899999999999</c:v>
                </c:pt>
                <c:pt idx="18">
                  <c:v>7.3123399999999998</c:v>
                </c:pt>
                <c:pt idx="19">
                  <c:v>7.7215299999999996</c:v>
                </c:pt>
                <c:pt idx="20">
                  <c:v>8.1253600000000006</c:v>
                </c:pt>
                <c:pt idx="21">
                  <c:v>8.5322899999999997</c:v>
                </c:pt>
                <c:pt idx="22">
                  <c:v>8.9407399999999999</c:v>
                </c:pt>
                <c:pt idx="23">
                  <c:v>9.3461700000000008</c:v>
                </c:pt>
                <c:pt idx="24">
                  <c:v>9.7523099999999996</c:v>
                </c:pt>
                <c:pt idx="25">
                  <c:v>10.157999999999999</c:v>
                </c:pt>
                <c:pt idx="26">
                  <c:v>10.5639</c:v>
                </c:pt>
                <c:pt idx="27">
                  <c:v>10.9718</c:v>
                </c:pt>
                <c:pt idx="28">
                  <c:v>11.378399999999999</c:v>
                </c:pt>
                <c:pt idx="29">
                  <c:v>11.7829</c:v>
                </c:pt>
                <c:pt idx="30">
                  <c:v>12.1883</c:v>
                </c:pt>
                <c:pt idx="31">
                  <c:v>12.595700000000001</c:v>
                </c:pt>
                <c:pt idx="32">
                  <c:v>13.002599999999999</c:v>
                </c:pt>
                <c:pt idx="33">
                  <c:v>13.409000000000001</c:v>
                </c:pt>
                <c:pt idx="34">
                  <c:v>13.814399999999999</c:v>
                </c:pt>
                <c:pt idx="35">
                  <c:v>14.220800000000001</c:v>
                </c:pt>
                <c:pt idx="36">
                  <c:v>14.6234</c:v>
                </c:pt>
                <c:pt idx="37">
                  <c:v>15.031700000000001</c:v>
                </c:pt>
                <c:pt idx="38">
                  <c:v>15.437799999999999</c:v>
                </c:pt>
                <c:pt idx="39">
                  <c:v>15.8452</c:v>
                </c:pt>
                <c:pt idx="40">
                  <c:v>16.250900000000001</c:v>
                </c:pt>
                <c:pt idx="41">
                  <c:v>16.6557</c:v>
                </c:pt>
                <c:pt idx="42">
                  <c:v>17.064900000000002</c:v>
                </c:pt>
                <c:pt idx="43">
                  <c:v>17.471499999999999</c:v>
                </c:pt>
                <c:pt idx="44">
                  <c:v>17.875900000000001</c:v>
                </c:pt>
                <c:pt idx="45">
                  <c:v>18.281700000000001</c:v>
                </c:pt>
                <c:pt idx="46">
                  <c:v>18.6889</c:v>
                </c:pt>
                <c:pt idx="47">
                  <c:v>19.093299999999999</c:v>
                </c:pt>
                <c:pt idx="48">
                  <c:v>19.502500000000001</c:v>
                </c:pt>
                <c:pt idx="49">
                  <c:v>19.908799999999999</c:v>
                </c:pt>
                <c:pt idx="50">
                  <c:v>20.315000000000001</c:v>
                </c:pt>
                <c:pt idx="51">
                  <c:v>20.721900000000002</c:v>
                </c:pt>
                <c:pt idx="52">
                  <c:v>21.125900000000001</c:v>
                </c:pt>
                <c:pt idx="53">
                  <c:v>21.534300000000002</c:v>
                </c:pt>
                <c:pt idx="54">
                  <c:v>21.939900000000002</c:v>
                </c:pt>
                <c:pt idx="55">
                  <c:v>22.3446</c:v>
                </c:pt>
                <c:pt idx="56">
                  <c:v>22.748799999999999</c:v>
                </c:pt>
                <c:pt idx="57">
                  <c:v>23.158000000000001</c:v>
                </c:pt>
                <c:pt idx="58">
                  <c:v>23.562799999999999</c:v>
                </c:pt>
                <c:pt idx="59">
                  <c:v>23.973700000000001</c:v>
                </c:pt>
                <c:pt idx="60">
                  <c:v>24.376300000000001</c:v>
                </c:pt>
                <c:pt idx="61">
                  <c:v>24.783000000000001</c:v>
                </c:pt>
                <c:pt idx="62">
                  <c:v>25.188400000000001</c:v>
                </c:pt>
                <c:pt idx="63">
                  <c:v>25.596800000000002</c:v>
                </c:pt>
                <c:pt idx="64">
                  <c:v>26.0046</c:v>
                </c:pt>
                <c:pt idx="65">
                  <c:v>26.408200000000001</c:v>
                </c:pt>
                <c:pt idx="66">
                  <c:v>26.8124</c:v>
                </c:pt>
                <c:pt idx="67">
                  <c:v>27.219899999999999</c:v>
                </c:pt>
                <c:pt idx="68">
                  <c:v>27.627500000000001</c:v>
                </c:pt>
                <c:pt idx="69">
                  <c:v>28.033300000000001</c:v>
                </c:pt>
                <c:pt idx="70">
                  <c:v>28.437799999999999</c:v>
                </c:pt>
                <c:pt idx="71">
                  <c:v>28.8447</c:v>
                </c:pt>
                <c:pt idx="72">
                  <c:v>29.252099999999999</c:v>
                </c:pt>
                <c:pt idx="73">
                  <c:v>29.658300000000001</c:v>
                </c:pt>
                <c:pt idx="74">
                  <c:v>30.065200000000001</c:v>
                </c:pt>
                <c:pt idx="75">
                  <c:v>30.5031</c:v>
                </c:pt>
                <c:pt idx="76">
                  <c:v>30.908100000000001</c:v>
                </c:pt>
                <c:pt idx="77">
                  <c:v>31.3142</c:v>
                </c:pt>
                <c:pt idx="78">
                  <c:v>31.718299999999999</c:v>
                </c:pt>
                <c:pt idx="79">
                  <c:v>32.125500000000002</c:v>
                </c:pt>
                <c:pt idx="80">
                  <c:v>32.531500000000001</c:v>
                </c:pt>
                <c:pt idx="81">
                  <c:v>32.939599999999999</c:v>
                </c:pt>
                <c:pt idx="82">
                  <c:v>33.345100000000002</c:v>
                </c:pt>
                <c:pt idx="83">
                  <c:v>33.750799999999998</c:v>
                </c:pt>
                <c:pt idx="84">
                  <c:v>34.156199999999998</c:v>
                </c:pt>
                <c:pt idx="85">
                  <c:v>34.562100000000001</c:v>
                </c:pt>
                <c:pt idx="86">
                  <c:v>34.968600000000002</c:v>
                </c:pt>
                <c:pt idx="87">
                  <c:v>35.376300000000001</c:v>
                </c:pt>
                <c:pt idx="88">
                  <c:v>35.784700000000001</c:v>
                </c:pt>
                <c:pt idx="89">
                  <c:v>36.188099999999999</c:v>
                </c:pt>
                <c:pt idx="90">
                  <c:v>36.5961</c:v>
                </c:pt>
                <c:pt idx="91">
                  <c:v>37.000799999999998</c:v>
                </c:pt>
                <c:pt idx="92">
                  <c:v>37.410499999999999</c:v>
                </c:pt>
                <c:pt idx="93">
                  <c:v>37.815800000000003</c:v>
                </c:pt>
                <c:pt idx="94">
                  <c:v>38.2241</c:v>
                </c:pt>
                <c:pt idx="95">
                  <c:v>38.626399999999997</c:v>
                </c:pt>
                <c:pt idx="96">
                  <c:v>39.032899999999998</c:v>
                </c:pt>
                <c:pt idx="97">
                  <c:v>39.4422</c:v>
                </c:pt>
                <c:pt idx="98">
                  <c:v>39.844799999999999</c:v>
                </c:pt>
                <c:pt idx="99">
                  <c:v>40.251800000000003</c:v>
                </c:pt>
                <c:pt idx="100">
                  <c:v>40.657600000000002</c:v>
                </c:pt>
                <c:pt idx="101">
                  <c:v>41.066200000000002</c:v>
                </c:pt>
                <c:pt idx="102">
                  <c:v>41.472099999999998</c:v>
                </c:pt>
                <c:pt idx="103">
                  <c:v>41.878700000000002</c:v>
                </c:pt>
                <c:pt idx="104">
                  <c:v>42.283099999999997</c:v>
                </c:pt>
                <c:pt idx="105">
                  <c:v>42.688800000000001</c:v>
                </c:pt>
                <c:pt idx="106">
                  <c:v>43.094700000000003</c:v>
                </c:pt>
                <c:pt idx="107">
                  <c:v>43.503599999999999</c:v>
                </c:pt>
                <c:pt idx="108">
                  <c:v>43.909199999999998</c:v>
                </c:pt>
                <c:pt idx="109">
                  <c:v>44.314500000000002</c:v>
                </c:pt>
                <c:pt idx="110">
                  <c:v>44.717799999999997</c:v>
                </c:pt>
                <c:pt idx="111">
                  <c:v>45.124699999999997</c:v>
                </c:pt>
                <c:pt idx="112">
                  <c:v>45.533299999999997</c:v>
                </c:pt>
                <c:pt idx="113">
                  <c:v>45.9392</c:v>
                </c:pt>
                <c:pt idx="114">
                  <c:v>46.343200000000003</c:v>
                </c:pt>
                <c:pt idx="115">
                  <c:v>46.749499999999998</c:v>
                </c:pt>
                <c:pt idx="116">
                  <c:v>47.1586</c:v>
                </c:pt>
                <c:pt idx="117">
                  <c:v>47.563800000000001</c:v>
                </c:pt>
                <c:pt idx="118">
                  <c:v>47.972099999999998</c:v>
                </c:pt>
                <c:pt idx="119">
                  <c:v>48.375799999999998</c:v>
                </c:pt>
                <c:pt idx="120">
                  <c:v>48.784300000000002</c:v>
                </c:pt>
                <c:pt idx="121">
                  <c:v>49.187600000000003</c:v>
                </c:pt>
                <c:pt idx="122">
                  <c:v>49.5944</c:v>
                </c:pt>
                <c:pt idx="123">
                  <c:v>50.005200000000002</c:v>
                </c:pt>
                <c:pt idx="124">
                  <c:v>50.409300000000002</c:v>
                </c:pt>
                <c:pt idx="125">
                  <c:v>50.811500000000002</c:v>
                </c:pt>
                <c:pt idx="126">
                  <c:v>51.222000000000001</c:v>
                </c:pt>
                <c:pt idx="127">
                  <c:v>51.6282</c:v>
                </c:pt>
                <c:pt idx="128">
                  <c:v>52.0364</c:v>
                </c:pt>
                <c:pt idx="129">
                  <c:v>52.443800000000003</c:v>
                </c:pt>
                <c:pt idx="130">
                  <c:v>52.8444</c:v>
                </c:pt>
                <c:pt idx="131">
                  <c:v>53.253700000000002</c:v>
                </c:pt>
                <c:pt idx="132">
                  <c:v>53.656599999999997</c:v>
                </c:pt>
                <c:pt idx="133">
                  <c:v>54.066499999999998</c:v>
                </c:pt>
                <c:pt idx="134">
                  <c:v>54.470199999999998</c:v>
                </c:pt>
                <c:pt idx="135">
                  <c:v>54.875799999999998</c:v>
                </c:pt>
                <c:pt idx="136">
                  <c:v>55.284999999999997</c:v>
                </c:pt>
                <c:pt idx="137">
                  <c:v>55.6892</c:v>
                </c:pt>
                <c:pt idx="138">
                  <c:v>56.097999999999999</c:v>
                </c:pt>
                <c:pt idx="139">
                  <c:v>56.502600000000001</c:v>
                </c:pt>
                <c:pt idx="140">
                  <c:v>56.907299999999999</c:v>
                </c:pt>
                <c:pt idx="141">
                  <c:v>57.310499999999998</c:v>
                </c:pt>
                <c:pt idx="142">
                  <c:v>57.720799999999997</c:v>
                </c:pt>
                <c:pt idx="143">
                  <c:v>58.123699999999999</c:v>
                </c:pt>
                <c:pt idx="144">
                  <c:v>58.535499999999999</c:v>
                </c:pt>
                <c:pt idx="145">
                  <c:v>58.941099999999999</c:v>
                </c:pt>
                <c:pt idx="146">
                  <c:v>59.3506</c:v>
                </c:pt>
                <c:pt idx="147">
                  <c:v>59.755899999999997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50.843400000000003</c:v>
                </c:pt>
                <c:pt idx="1">
                  <c:v>49.811100000000003</c:v>
                </c:pt>
                <c:pt idx="2">
                  <c:v>48.622799999999998</c:v>
                </c:pt>
                <c:pt idx="3">
                  <c:v>47.459299999999999</c:v>
                </c:pt>
                <c:pt idx="4">
                  <c:v>46.316299999999998</c:v>
                </c:pt>
                <c:pt idx="5">
                  <c:v>45.257599999999996</c:v>
                </c:pt>
                <c:pt idx="6">
                  <c:v>44.078899999999997</c:v>
                </c:pt>
                <c:pt idx="7">
                  <c:v>42.860599999999998</c:v>
                </c:pt>
                <c:pt idx="8">
                  <c:v>41.646699999999996</c:v>
                </c:pt>
                <c:pt idx="9">
                  <c:v>40.357999999999997</c:v>
                </c:pt>
                <c:pt idx="10">
                  <c:v>39.108499999999999</c:v>
                </c:pt>
                <c:pt idx="11">
                  <c:v>38.091299999999997</c:v>
                </c:pt>
                <c:pt idx="12">
                  <c:v>37.2273</c:v>
                </c:pt>
                <c:pt idx="13">
                  <c:v>36.4724</c:v>
                </c:pt>
                <c:pt idx="14">
                  <c:v>35.789900000000003</c:v>
                </c:pt>
                <c:pt idx="15">
                  <c:v>35.174299999999995</c:v>
                </c:pt>
                <c:pt idx="16">
                  <c:v>34.629599999999996</c:v>
                </c:pt>
                <c:pt idx="17">
                  <c:v>34.177800000000005</c:v>
                </c:pt>
                <c:pt idx="18">
                  <c:v>33.815400000000004</c:v>
                </c:pt>
                <c:pt idx="19">
                  <c:v>33.600499999999997</c:v>
                </c:pt>
                <c:pt idx="20">
                  <c:v>33.532699999999998</c:v>
                </c:pt>
                <c:pt idx="21">
                  <c:v>33.551400000000001</c:v>
                </c:pt>
                <c:pt idx="22">
                  <c:v>33.61</c:v>
                </c:pt>
                <c:pt idx="23">
                  <c:v>33.734900000000003</c:v>
                </c:pt>
                <c:pt idx="24">
                  <c:v>33.808100000000003</c:v>
                </c:pt>
                <c:pt idx="25">
                  <c:v>33.852600000000002</c:v>
                </c:pt>
                <c:pt idx="26">
                  <c:v>33.870600000000003</c:v>
                </c:pt>
                <c:pt idx="27">
                  <c:v>33.9343</c:v>
                </c:pt>
                <c:pt idx="28">
                  <c:v>33.940799999999996</c:v>
                </c:pt>
                <c:pt idx="29">
                  <c:v>33.978999999999999</c:v>
                </c:pt>
                <c:pt idx="30">
                  <c:v>33.944400000000002</c:v>
                </c:pt>
                <c:pt idx="31">
                  <c:v>33.728299999999997</c:v>
                </c:pt>
                <c:pt idx="32">
                  <c:v>33.503399999999999</c:v>
                </c:pt>
                <c:pt idx="33">
                  <c:v>33.236499999999999</c:v>
                </c:pt>
                <c:pt idx="34">
                  <c:v>32.992800000000003</c:v>
                </c:pt>
                <c:pt idx="35">
                  <c:v>32.9268</c:v>
                </c:pt>
                <c:pt idx="36">
                  <c:v>32.916899999999998</c:v>
                </c:pt>
                <c:pt idx="37">
                  <c:v>32.881599999999999</c:v>
                </c:pt>
                <c:pt idx="38">
                  <c:v>32.879000000000005</c:v>
                </c:pt>
                <c:pt idx="39">
                  <c:v>32.8842</c:v>
                </c:pt>
                <c:pt idx="40">
                  <c:v>32.8598</c:v>
                </c:pt>
                <c:pt idx="41">
                  <c:v>32.850299999999997</c:v>
                </c:pt>
                <c:pt idx="42">
                  <c:v>32.898600000000002</c:v>
                </c:pt>
                <c:pt idx="43">
                  <c:v>32.915199999999999</c:v>
                </c:pt>
                <c:pt idx="44">
                  <c:v>32.9527</c:v>
                </c:pt>
                <c:pt idx="45">
                  <c:v>33.0227</c:v>
                </c:pt>
                <c:pt idx="46">
                  <c:v>33.084799999999994</c:v>
                </c:pt>
                <c:pt idx="47">
                  <c:v>33.166499999999999</c:v>
                </c:pt>
                <c:pt idx="48">
                  <c:v>33.2303</c:v>
                </c:pt>
                <c:pt idx="49">
                  <c:v>33.313900000000004</c:v>
                </c:pt>
                <c:pt idx="50">
                  <c:v>33.347700000000003</c:v>
                </c:pt>
                <c:pt idx="51">
                  <c:v>33.449200000000005</c:v>
                </c:pt>
                <c:pt idx="52">
                  <c:v>33.625699999999995</c:v>
                </c:pt>
                <c:pt idx="53">
                  <c:v>33.806000000000004</c:v>
                </c:pt>
                <c:pt idx="54">
                  <c:v>33.910000000000004</c:v>
                </c:pt>
                <c:pt idx="55">
                  <c:v>33.914299999999997</c:v>
                </c:pt>
                <c:pt idx="56">
                  <c:v>33.904899999999998</c:v>
                </c:pt>
                <c:pt idx="57">
                  <c:v>33.8767</c:v>
                </c:pt>
                <c:pt idx="58">
                  <c:v>33.924300000000002</c:v>
                </c:pt>
                <c:pt idx="59">
                  <c:v>33.994300000000003</c:v>
                </c:pt>
                <c:pt idx="60">
                  <c:v>34.020699999999998</c:v>
                </c:pt>
                <c:pt idx="61">
                  <c:v>34.098399999999998</c:v>
                </c:pt>
                <c:pt idx="62">
                  <c:v>34.202100000000002</c:v>
                </c:pt>
                <c:pt idx="63">
                  <c:v>34.337200000000003</c:v>
                </c:pt>
                <c:pt idx="64">
                  <c:v>34.550599999999996</c:v>
                </c:pt>
                <c:pt idx="65">
                  <c:v>34.8262</c:v>
                </c:pt>
                <c:pt idx="66">
                  <c:v>35.163899999999998</c:v>
                </c:pt>
                <c:pt idx="67">
                  <c:v>35.465600000000002</c:v>
                </c:pt>
                <c:pt idx="68">
                  <c:v>35.820500000000003</c:v>
                </c:pt>
                <c:pt idx="69">
                  <c:v>36.1629</c:v>
                </c:pt>
                <c:pt idx="70">
                  <c:v>36.516500000000001</c:v>
                </c:pt>
                <c:pt idx="71">
                  <c:v>36.999099999999999</c:v>
                </c:pt>
                <c:pt idx="72">
                  <c:v>37.491600000000005</c:v>
                </c:pt>
                <c:pt idx="73">
                  <c:v>37.992699999999999</c:v>
                </c:pt>
                <c:pt idx="74">
                  <c:v>38.453199999999995</c:v>
                </c:pt>
                <c:pt idx="75">
                  <c:v>38.990600000000001</c:v>
                </c:pt>
                <c:pt idx="76">
                  <c:v>39.557900000000004</c:v>
                </c:pt>
                <c:pt idx="77">
                  <c:v>40.0182</c:v>
                </c:pt>
                <c:pt idx="78">
                  <c:v>40.414200000000001</c:v>
                </c:pt>
                <c:pt idx="79">
                  <c:v>40.713799999999999</c:v>
                </c:pt>
                <c:pt idx="80">
                  <c:v>40.982100000000003</c:v>
                </c:pt>
                <c:pt idx="81">
                  <c:v>41.288000000000004</c:v>
                </c:pt>
                <c:pt idx="82">
                  <c:v>41.573300000000003</c:v>
                </c:pt>
                <c:pt idx="83">
                  <c:v>41.864200000000004</c:v>
                </c:pt>
                <c:pt idx="84">
                  <c:v>42.103699999999996</c:v>
                </c:pt>
                <c:pt idx="85">
                  <c:v>42.3001</c:v>
                </c:pt>
                <c:pt idx="86">
                  <c:v>42.468899999999998</c:v>
                </c:pt>
                <c:pt idx="87">
                  <c:v>42.661100000000005</c:v>
                </c:pt>
                <c:pt idx="88">
                  <c:v>42.8735</c:v>
                </c:pt>
                <c:pt idx="89">
                  <c:v>43.116399999999999</c:v>
                </c:pt>
                <c:pt idx="90">
                  <c:v>43.431199999999997</c:v>
                </c:pt>
                <c:pt idx="91">
                  <c:v>43.756499999999996</c:v>
                </c:pt>
                <c:pt idx="92">
                  <c:v>44.150399999999998</c:v>
                </c:pt>
                <c:pt idx="93">
                  <c:v>44.5991</c:v>
                </c:pt>
                <c:pt idx="94">
                  <c:v>45.129300000000001</c:v>
                </c:pt>
                <c:pt idx="95">
                  <c:v>45.680999999999997</c:v>
                </c:pt>
                <c:pt idx="96">
                  <c:v>46.118099999999998</c:v>
                </c:pt>
                <c:pt idx="97">
                  <c:v>46.506799999999998</c:v>
                </c:pt>
                <c:pt idx="98">
                  <c:v>47.009599999999999</c:v>
                </c:pt>
                <c:pt idx="99">
                  <c:v>47.439300000000003</c:v>
                </c:pt>
                <c:pt idx="100">
                  <c:v>47.834400000000002</c:v>
                </c:pt>
                <c:pt idx="101">
                  <c:v>48.244500000000002</c:v>
                </c:pt>
                <c:pt idx="102">
                  <c:v>48.640499999999996</c:v>
                </c:pt>
                <c:pt idx="103">
                  <c:v>48.956300000000006</c:v>
                </c:pt>
                <c:pt idx="104">
                  <c:v>49.204000000000001</c:v>
                </c:pt>
                <c:pt idx="105">
                  <c:v>49.433300000000003</c:v>
                </c:pt>
                <c:pt idx="106">
                  <c:v>49.677199999999999</c:v>
                </c:pt>
                <c:pt idx="107">
                  <c:v>49.942399999999999</c:v>
                </c:pt>
                <c:pt idx="108">
                  <c:v>50.165300000000002</c:v>
                </c:pt>
                <c:pt idx="109">
                  <c:v>50.337699999999998</c:v>
                </c:pt>
                <c:pt idx="110">
                  <c:v>50.582999999999998</c:v>
                </c:pt>
                <c:pt idx="111">
                  <c:v>50.852600000000002</c:v>
                </c:pt>
                <c:pt idx="112">
                  <c:v>51.032699999999998</c:v>
                </c:pt>
                <c:pt idx="113">
                  <c:v>51.173400000000001</c:v>
                </c:pt>
                <c:pt idx="114">
                  <c:v>51.285899999999998</c:v>
                </c:pt>
                <c:pt idx="115">
                  <c:v>51.4741</c:v>
                </c:pt>
                <c:pt idx="116">
                  <c:v>51.724599999999995</c:v>
                </c:pt>
                <c:pt idx="117">
                  <c:v>51.9041</c:v>
                </c:pt>
                <c:pt idx="118">
                  <c:v>52.094200000000001</c:v>
                </c:pt>
                <c:pt idx="119">
                  <c:v>52.2575</c:v>
                </c:pt>
                <c:pt idx="120">
                  <c:v>52.4313</c:v>
                </c:pt>
                <c:pt idx="121">
                  <c:v>52.607599999999998</c:v>
                </c:pt>
                <c:pt idx="122">
                  <c:v>52.754100000000001</c:v>
                </c:pt>
                <c:pt idx="123">
                  <c:v>52.828099999999999</c:v>
                </c:pt>
                <c:pt idx="124">
                  <c:v>52.779800000000002</c:v>
                </c:pt>
                <c:pt idx="125">
                  <c:v>52.727800000000002</c:v>
                </c:pt>
                <c:pt idx="126">
                  <c:v>52.714799999999997</c:v>
                </c:pt>
                <c:pt idx="127">
                  <c:v>52.707300000000004</c:v>
                </c:pt>
                <c:pt idx="128">
                  <c:v>52.675600000000003</c:v>
                </c:pt>
                <c:pt idx="129">
                  <c:v>52.646000000000001</c:v>
                </c:pt>
                <c:pt idx="130">
                  <c:v>52.618699999999997</c:v>
                </c:pt>
                <c:pt idx="131">
                  <c:v>52.608699999999999</c:v>
                </c:pt>
                <c:pt idx="132">
                  <c:v>52.644199999999998</c:v>
                </c:pt>
                <c:pt idx="133">
                  <c:v>52.7288</c:v>
                </c:pt>
                <c:pt idx="134">
                  <c:v>52.891399999999997</c:v>
                </c:pt>
                <c:pt idx="135">
                  <c:v>53.099600000000002</c:v>
                </c:pt>
                <c:pt idx="136">
                  <c:v>53.400400000000005</c:v>
                </c:pt>
                <c:pt idx="137">
                  <c:v>53.757600000000004</c:v>
                </c:pt>
                <c:pt idx="138">
                  <c:v>54.035200000000003</c:v>
                </c:pt>
                <c:pt idx="139">
                  <c:v>54.204099999999997</c:v>
                </c:pt>
                <c:pt idx="140">
                  <c:v>54.347900000000003</c:v>
                </c:pt>
                <c:pt idx="141">
                  <c:v>54.460099999999997</c:v>
                </c:pt>
                <c:pt idx="142">
                  <c:v>54.642800000000001</c:v>
                </c:pt>
                <c:pt idx="143">
                  <c:v>54.809300000000007</c:v>
                </c:pt>
                <c:pt idx="144">
                  <c:v>54.939700000000002</c:v>
                </c:pt>
                <c:pt idx="145">
                  <c:v>55.116600000000005</c:v>
                </c:pt>
                <c:pt idx="146">
                  <c:v>55.1554</c:v>
                </c:pt>
                <c:pt idx="147">
                  <c:v>55.059800000000003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0.40865000000000001</c:v>
                </c:pt>
                <c:pt idx="2">
                  <c:v>0.81341799999999997</c:v>
                </c:pt>
                <c:pt idx="3">
                  <c:v>1.2194700000000001</c:v>
                </c:pt>
                <c:pt idx="4">
                  <c:v>1.629</c:v>
                </c:pt>
                <c:pt idx="5">
                  <c:v>2.0331999999999999</c:v>
                </c:pt>
                <c:pt idx="6">
                  <c:v>2.4378700000000002</c:v>
                </c:pt>
                <c:pt idx="7">
                  <c:v>2.8432300000000001</c:v>
                </c:pt>
                <c:pt idx="8">
                  <c:v>3.2490000000000001</c:v>
                </c:pt>
                <c:pt idx="9">
                  <c:v>3.6577500000000001</c:v>
                </c:pt>
                <c:pt idx="10">
                  <c:v>4.0684100000000001</c:v>
                </c:pt>
                <c:pt idx="11">
                  <c:v>4.4714299999999998</c:v>
                </c:pt>
                <c:pt idx="12">
                  <c:v>4.8754499999999998</c:v>
                </c:pt>
                <c:pt idx="13">
                  <c:v>5.2813100000000004</c:v>
                </c:pt>
                <c:pt idx="14">
                  <c:v>5.6887999999999996</c:v>
                </c:pt>
                <c:pt idx="15">
                  <c:v>6.0973800000000002</c:v>
                </c:pt>
                <c:pt idx="16">
                  <c:v>6.5033500000000002</c:v>
                </c:pt>
                <c:pt idx="17">
                  <c:v>6.9071899999999999</c:v>
                </c:pt>
                <c:pt idx="18">
                  <c:v>7.3123399999999998</c:v>
                </c:pt>
                <c:pt idx="19">
                  <c:v>7.7215299999999996</c:v>
                </c:pt>
                <c:pt idx="20">
                  <c:v>8.1253600000000006</c:v>
                </c:pt>
                <c:pt idx="21">
                  <c:v>8.5322899999999997</c:v>
                </c:pt>
                <c:pt idx="22">
                  <c:v>8.9407399999999999</c:v>
                </c:pt>
                <c:pt idx="23">
                  <c:v>9.3461700000000008</c:v>
                </c:pt>
                <c:pt idx="24">
                  <c:v>9.7523099999999996</c:v>
                </c:pt>
                <c:pt idx="25">
                  <c:v>10.157999999999999</c:v>
                </c:pt>
                <c:pt idx="26">
                  <c:v>10.5639</c:v>
                </c:pt>
                <c:pt idx="27">
                  <c:v>10.9718</c:v>
                </c:pt>
                <c:pt idx="28">
                  <c:v>11.378399999999999</c:v>
                </c:pt>
                <c:pt idx="29">
                  <c:v>11.7829</c:v>
                </c:pt>
                <c:pt idx="30">
                  <c:v>12.1883</c:v>
                </c:pt>
                <c:pt idx="31">
                  <c:v>12.595700000000001</c:v>
                </c:pt>
                <c:pt idx="32">
                  <c:v>13.002599999999999</c:v>
                </c:pt>
                <c:pt idx="33">
                  <c:v>13.409000000000001</c:v>
                </c:pt>
                <c:pt idx="34">
                  <c:v>13.814399999999999</c:v>
                </c:pt>
                <c:pt idx="35">
                  <c:v>14.220800000000001</c:v>
                </c:pt>
                <c:pt idx="36">
                  <c:v>14.6234</c:v>
                </c:pt>
                <c:pt idx="37">
                  <c:v>15.031700000000001</c:v>
                </c:pt>
                <c:pt idx="38">
                  <c:v>15.437799999999999</c:v>
                </c:pt>
                <c:pt idx="39">
                  <c:v>15.8452</c:v>
                </c:pt>
                <c:pt idx="40">
                  <c:v>16.250900000000001</c:v>
                </c:pt>
                <c:pt idx="41">
                  <c:v>16.6557</c:v>
                </c:pt>
                <c:pt idx="42">
                  <c:v>17.064900000000002</c:v>
                </c:pt>
                <c:pt idx="43">
                  <c:v>17.471499999999999</c:v>
                </c:pt>
                <c:pt idx="44">
                  <c:v>17.875900000000001</c:v>
                </c:pt>
                <c:pt idx="45">
                  <c:v>18.281700000000001</c:v>
                </c:pt>
                <c:pt idx="46">
                  <c:v>18.6889</c:v>
                </c:pt>
                <c:pt idx="47">
                  <c:v>19.093299999999999</c:v>
                </c:pt>
                <c:pt idx="48">
                  <c:v>19.502500000000001</c:v>
                </c:pt>
                <c:pt idx="49">
                  <c:v>19.908799999999999</c:v>
                </c:pt>
                <c:pt idx="50">
                  <c:v>20.315000000000001</c:v>
                </c:pt>
                <c:pt idx="51">
                  <c:v>20.721900000000002</c:v>
                </c:pt>
                <c:pt idx="52">
                  <c:v>21.125900000000001</c:v>
                </c:pt>
                <c:pt idx="53">
                  <c:v>21.534300000000002</c:v>
                </c:pt>
                <c:pt idx="54">
                  <c:v>21.939900000000002</c:v>
                </c:pt>
                <c:pt idx="55">
                  <c:v>22.3446</c:v>
                </c:pt>
                <c:pt idx="56">
                  <c:v>22.748799999999999</c:v>
                </c:pt>
                <c:pt idx="57">
                  <c:v>23.158000000000001</c:v>
                </c:pt>
                <c:pt idx="58">
                  <c:v>23.562799999999999</c:v>
                </c:pt>
                <c:pt idx="59">
                  <c:v>23.973700000000001</c:v>
                </c:pt>
                <c:pt idx="60">
                  <c:v>24.376300000000001</c:v>
                </c:pt>
                <c:pt idx="61">
                  <c:v>24.783000000000001</c:v>
                </c:pt>
                <c:pt idx="62">
                  <c:v>25.188400000000001</c:v>
                </c:pt>
                <c:pt idx="63">
                  <c:v>25.596800000000002</c:v>
                </c:pt>
                <c:pt idx="64">
                  <c:v>26.0046</c:v>
                </c:pt>
                <c:pt idx="65">
                  <c:v>26.408200000000001</c:v>
                </c:pt>
                <c:pt idx="66">
                  <c:v>26.8124</c:v>
                </c:pt>
                <c:pt idx="67">
                  <c:v>27.219899999999999</c:v>
                </c:pt>
                <c:pt idx="68">
                  <c:v>27.627500000000001</c:v>
                </c:pt>
                <c:pt idx="69">
                  <c:v>28.033300000000001</c:v>
                </c:pt>
                <c:pt idx="70">
                  <c:v>28.437799999999999</c:v>
                </c:pt>
                <c:pt idx="71">
                  <c:v>28.8447</c:v>
                </c:pt>
                <c:pt idx="72">
                  <c:v>29.252099999999999</c:v>
                </c:pt>
                <c:pt idx="73">
                  <c:v>29.658300000000001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50.843400000000003</c:v>
                </c:pt>
                <c:pt idx="1">
                  <c:v>49.811100000000003</c:v>
                </c:pt>
                <c:pt idx="2">
                  <c:v>48.622799999999998</c:v>
                </c:pt>
                <c:pt idx="3">
                  <c:v>47.459299999999999</c:v>
                </c:pt>
                <c:pt idx="4">
                  <c:v>46.316299999999998</c:v>
                </c:pt>
                <c:pt idx="5">
                  <c:v>45.257599999999996</c:v>
                </c:pt>
                <c:pt idx="6">
                  <c:v>44.078899999999997</c:v>
                </c:pt>
                <c:pt idx="7">
                  <c:v>42.860599999999998</c:v>
                </c:pt>
                <c:pt idx="8">
                  <c:v>41.646699999999996</c:v>
                </c:pt>
                <c:pt idx="9">
                  <c:v>40.357999999999997</c:v>
                </c:pt>
                <c:pt idx="10">
                  <c:v>39.108499999999999</c:v>
                </c:pt>
                <c:pt idx="11">
                  <c:v>38.091299999999997</c:v>
                </c:pt>
                <c:pt idx="12">
                  <c:v>37.2273</c:v>
                </c:pt>
                <c:pt idx="13">
                  <c:v>36.4724</c:v>
                </c:pt>
                <c:pt idx="14">
                  <c:v>35.789900000000003</c:v>
                </c:pt>
                <c:pt idx="15">
                  <c:v>35.174299999999995</c:v>
                </c:pt>
                <c:pt idx="16">
                  <c:v>34.629599999999996</c:v>
                </c:pt>
                <c:pt idx="17">
                  <c:v>34.177800000000005</c:v>
                </c:pt>
                <c:pt idx="18">
                  <c:v>33.815400000000004</c:v>
                </c:pt>
                <c:pt idx="19">
                  <c:v>33.600499999999997</c:v>
                </c:pt>
                <c:pt idx="20">
                  <c:v>33.532699999999998</c:v>
                </c:pt>
                <c:pt idx="21">
                  <c:v>33.551400000000001</c:v>
                </c:pt>
                <c:pt idx="22">
                  <c:v>33.61</c:v>
                </c:pt>
                <c:pt idx="23">
                  <c:v>33.734900000000003</c:v>
                </c:pt>
                <c:pt idx="24">
                  <c:v>33.808100000000003</c:v>
                </c:pt>
                <c:pt idx="25">
                  <c:v>33.852600000000002</c:v>
                </c:pt>
                <c:pt idx="26">
                  <c:v>33.870600000000003</c:v>
                </c:pt>
                <c:pt idx="27">
                  <c:v>33.9343</c:v>
                </c:pt>
                <c:pt idx="28">
                  <c:v>33.940799999999996</c:v>
                </c:pt>
                <c:pt idx="29">
                  <c:v>33.978999999999999</c:v>
                </c:pt>
                <c:pt idx="30">
                  <c:v>33.944400000000002</c:v>
                </c:pt>
                <c:pt idx="31">
                  <c:v>33.728299999999997</c:v>
                </c:pt>
                <c:pt idx="32">
                  <c:v>33.503399999999999</c:v>
                </c:pt>
                <c:pt idx="33">
                  <c:v>33.236499999999999</c:v>
                </c:pt>
                <c:pt idx="34">
                  <c:v>32.992800000000003</c:v>
                </c:pt>
                <c:pt idx="35">
                  <c:v>32.9268</c:v>
                </c:pt>
                <c:pt idx="36">
                  <c:v>32.916899999999998</c:v>
                </c:pt>
                <c:pt idx="37">
                  <c:v>32.881599999999999</c:v>
                </c:pt>
                <c:pt idx="38">
                  <c:v>32.879000000000005</c:v>
                </c:pt>
                <c:pt idx="39">
                  <c:v>32.8842</c:v>
                </c:pt>
                <c:pt idx="40">
                  <c:v>32.8598</c:v>
                </c:pt>
                <c:pt idx="41">
                  <c:v>32.850299999999997</c:v>
                </c:pt>
                <c:pt idx="42">
                  <c:v>32.898600000000002</c:v>
                </c:pt>
                <c:pt idx="43">
                  <c:v>32.915199999999999</c:v>
                </c:pt>
                <c:pt idx="44">
                  <c:v>32.9527</c:v>
                </c:pt>
                <c:pt idx="45">
                  <c:v>33.0227</c:v>
                </c:pt>
                <c:pt idx="46">
                  <c:v>33.084799999999994</c:v>
                </c:pt>
                <c:pt idx="47">
                  <c:v>33.166499999999999</c:v>
                </c:pt>
                <c:pt idx="48">
                  <c:v>33.2303</c:v>
                </c:pt>
                <c:pt idx="49">
                  <c:v>33.313900000000004</c:v>
                </c:pt>
                <c:pt idx="50">
                  <c:v>33.347700000000003</c:v>
                </c:pt>
                <c:pt idx="51">
                  <c:v>33.449200000000005</c:v>
                </c:pt>
                <c:pt idx="52">
                  <c:v>33.625699999999995</c:v>
                </c:pt>
                <c:pt idx="53">
                  <c:v>33.806000000000004</c:v>
                </c:pt>
                <c:pt idx="54">
                  <c:v>33.910000000000004</c:v>
                </c:pt>
                <c:pt idx="55">
                  <c:v>33.914299999999997</c:v>
                </c:pt>
                <c:pt idx="56">
                  <c:v>33.904899999999998</c:v>
                </c:pt>
                <c:pt idx="57">
                  <c:v>33.8767</c:v>
                </c:pt>
                <c:pt idx="58">
                  <c:v>33.924300000000002</c:v>
                </c:pt>
                <c:pt idx="59">
                  <c:v>33.994300000000003</c:v>
                </c:pt>
                <c:pt idx="60">
                  <c:v>34.020699999999998</c:v>
                </c:pt>
                <c:pt idx="61">
                  <c:v>34.098399999999998</c:v>
                </c:pt>
                <c:pt idx="62">
                  <c:v>34.202100000000002</c:v>
                </c:pt>
                <c:pt idx="63">
                  <c:v>34.337200000000003</c:v>
                </c:pt>
                <c:pt idx="64">
                  <c:v>34.550599999999996</c:v>
                </c:pt>
                <c:pt idx="65">
                  <c:v>34.8262</c:v>
                </c:pt>
                <c:pt idx="66">
                  <c:v>35.163899999999998</c:v>
                </c:pt>
                <c:pt idx="67">
                  <c:v>35.465600000000002</c:v>
                </c:pt>
                <c:pt idx="68">
                  <c:v>35.820500000000003</c:v>
                </c:pt>
                <c:pt idx="69">
                  <c:v>36.1629</c:v>
                </c:pt>
                <c:pt idx="70">
                  <c:v>36.516500000000001</c:v>
                </c:pt>
                <c:pt idx="71">
                  <c:v>36.999099999999999</c:v>
                </c:pt>
                <c:pt idx="72">
                  <c:v>37.491600000000005</c:v>
                </c:pt>
                <c:pt idx="73">
                  <c:v>37.992699999999999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29.658300000000001</c:v>
                </c:pt>
                <c:pt idx="1">
                  <c:v>30.065200000000001</c:v>
                </c:pt>
                <c:pt idx="2">
                  <c:v>30.5031</c:v>
                </c:pt>
                <c:pt idx="3">
                  <c:v>30.908100000000001</c:v>
                </c:pt>
                <c:pt idx="4">
                  <c:v>31.3142</c:v>
                </c:pt>
                <c:pt idx="5">
                  <c:v>31.718299999999999</c:v>
                </c:pt>
                <c:pt idx="6">
                  <c:v>32.125500000000002</c:v>
                </c:pt>
                <c:pt idx="7">
                  <c:v>32.531500000000001</c:v>
                </c:pt>
                <c:pt idx="8">
                  <c:v>32.939599999999999</c:v>
                </c:pt>
                <c:pt idx="9">
                  <c:v>33.345100000000002</c:v>
                </c:pt>
                <c:pt idx="10">
                  <c:v>33.750799999999998</c:v>
                </c:pt>
                <c:pt idx="11">
                  <c:v>34.156199999999998</c:v>
                </c:pt>
                <c:pt idx="12">
                  <c:v>34.562100000000001</c:v>
                </c:pt>
                <c:pt idx="13">
                  <c:v>34.968600000000002</c:v>
                </c:pt>
                <c:pt idx="14">
                  <c:v>35.376300000000001</c:v>
                </c:pt>
                <c:pt idx="15">
                  <c:v>35.784700000000001</c:v>
                </c:pt>
                <c:pt idx="16">
                  <c:v>36.188099999999999</c:v>
                </c:pt>
                <c:pt idx="17">
                  <c:v>36.5961</c:v>
                </c:pt>
                <c:pt idx="18">
                  <c:v>37.000799999999998</c:v>
                </c:pt>
                <c:pt idx="19">
                  <c:v>37.410499999999999</c:v>
                </c:pt>
                <c:pt idx="20">
                  <c:v>37.815800000000003</c:v>
                </c:pt>
                <c:pt idx="21">
                  <c:v>38.2241</c:v>
                </c:pt>
                <c:pt idx="22">
                  <c:v>38.626399999999997</c:v>
                </c:pt>
                <c:pt idx="23">
                  <c:v>39.032899999999998</c:v>
                </c:pt>
                <c:pt idx="24">
                  <c:v>39.4422</c:v>
                </c:pt>
                <c:pt idx="25">
                  <c:v>39.844799999999999</c:v>
                </c:pt>
                <c:pt idx="26">
                  <c:v>40.251800000000003</c:v>
                </c:pt>
                <c:pt idx="27">
                  <c:v>40.657600000000002</c:v>
                </c:pt>
                <c:pt idx="28">
                  <c:v>41.066200000000002</c:v>
                </c:pt>
                <c:pt idx="29">
                  <c:v>41.472099999999998</c:v>
                </c:pt>
                <c:pt idx="30">
                  <c:v>41.878700000000002</c:v>
                </c:pt>
                <c:pt idx="31">
                  <c:v>42.283099999999997</c:v>
                </c:pt>
                <c:pt idx="32">
                  <c:v>42.688800000000001</c:v>
                </c:pt>
                <c:pt idx="33">
                  <c:v>43.094700000000003</c:v>
                </c:pt>
                <c:pt idx="34">
                  <c:v>43.503599999999999</c:v>
                </c:pt>
                <c:pt idx="35">
                  <c:v>43.909199999999998</c:v>
                </c:pt>
                <c:pt idx="36">
                  <c:v>44.314500000000002</c:v>
                </c:pt>
                <c:pt idx="37">
                  <c:v>44.717799999999997</c:v>
                </c:pt>
                <c:pt idx="38">
                  <c:v>45.124699999999997</c:v>
                </c:pt>
                <c:pt idx="39">
                  <c:v>45.533299999999997</c:v>
                </c:pt>
                <c:pt idx="40">
                  <c:v>45.9392</c:v>
                </c:pt>
                <c:pt idx="41">
                  <c:v>46.343200000000003</c:v>
                </c:pt>
                <c:pt idx="42">
                  <c:v>46.749499999999998</c:v>
                </c:pt>
                <c:pt idx="43">
                  <c:v>47.1586</c:v>
                </c:pt>
                <c:pt idx="44">
                  <c:v>47.563800000000001</c:v>
                </c:pt>
                <c:pt idx="45">
                  <c:v>47.972099999999998</c:v>
                </c:pt>
                <c:pt idx="46">
                  <c:v>48.375799999999998</c:v>
                </c:pt>
                <c:pt idx="47">
                  <c:v>48.784300000000002</c:v>
                </c:pt>
                <c:pt idx="48">
                  <c:v>49.187600000000003</c:v>
                </c:pt>
                <c:pt idx="49">
                  <c:v>49.5944</c:v>
                </c:pt>
                <c:pt idx="50">
                  <c:v>50.005200000000002</c:v>
                </c:pt>
                <c:pt idx="51">
                  <c:v>50.409300000000002</c:v>
                </c:pt>
                <c:pt idx="52">
                  <c:v>50.811500000000002</c:v>
                </c:pt>
                <c:pt idx="53">
                  <c:v>51.222000000000001</c:v>
                </c:pt>
                <c:pt idx="54">
                  <c:v>51.6282</c:v>
                </c:pt>
                <c:pt idx="55">
                  <c:v>52.0364</c:v>
                </c:pt>
                <c:pt idx="56">
                  <c:v>52.443800000000003</c:v>
                </c:pt>
                <c:pt idx="57">
                  <c:v>52.8444</c:v>
                </c:pt>
                <c:pt idx="58">
                  <c:v>53.253700000000002</c:v>
                </c:pt>
                <c:pt idx="59">
                  <c:v>53.656599999999997</c:v>
                </c:pt>
                <c:pt idx="60">
                  <c:v>54.066499999999998</c:v>
                </c:pt>
                <c:pt idx="61">
                  <c:v>54.470199999999998</c:v>
                </c:pt>
                <c:pt idx="62">
                  <c:v>54.875799999999998</c:v>
                </c:pt>
                <c:pt idx="63">
                  <c:v>55.284999999999997</c:v>
                </c:pt>
                <c:pt idx="64">
                  <c:v>55.6892</c:v>
                </c:pt>
                <c:pt idx="65">
                  <c:v>56.097999999999999</c:v>
                </c:pt>
                <c:pt idx="66">
                  <c:v>56.502600000000001</c:v>
                </c:pt>
                <c:pt idx="67">
                  <c:v>56.907299999999999</c:v>
                </c:pt>
                <c:pt idx="68">
                  <c:v>57.310499999999998</c:v>
                </c:pt>
                <c:pt idx="69">
                  <c:v>57.720799999999997</c:v>
                </c:pt>
                <c:pt idx="70">
                  <c:v>58.123699999999999</c:v>
                </c:pt>
                <c:pt idx="71">
                  <c:v>58.535499999999999</c:v>
                </c:pt>
                <c:pt idx="72">
                  <c:v>58.941099999999999</c:v>
                </c:pt>
                <c:pt idx="73">
                  <c:v>59.3506</c:v>
                </c:pt>
                <c:pt idx="74">
                  <c:v>59.755899999999997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37.992699999999999</c:v>
                </c:pt>
                <c:pt idx="1">
                  <c:v>38.453199999999995</c:v>
                </c:pt>
                <c:pt idx="2">
                  <c:v>38.990600000000001</c:v>
                </c:pt>
                <c:pt idx="3">
                  <c:v>39.557900000000004</c:v>
                </c:pt>
                <c:pt idx="4">
                  <c:v>40.0182</c:v>
                </c:pt>
                <c:pt idx="5">
                  <c:v>40.414200000000001</c:v>
                </c:pt>
                <c:pt idx="6">
                  <c:v>40.713799999999999</c:v>
                </c:pt>
                <c:pt idx="7">
                  <c:v>40.982100000000003</c:v>
                </c:pt>
                <c:pt idx="8">
                  <c:v>41.288000000000004</c:v>
                </c:pt>
                <c:pt idx="9">
                  <c:v>41.573300000000003</c:v>
                </c:pt>
                <c:pt idx="10">
                  <c:v>41.864200000000004</c:v>
                </c:pt>
                <c:pt idx="11">
                  <c:v>42.103699999999996</c:v>
                </c:pt>
                <c:pt idx="12">
                  <c:v>42.3001</c:v>
                </c:pt>
                <c:pt idx="13">
                  <c:v>42.468899999999998</c:v>
                </c:pt>
                <c:pt idx="14">
                  <c:v>42.661100000000005</c:v>
                </c:pt>
                <c:pt idx="15">
                  <c:v>42.8735</c:v>
                </c:pt>
                <c:pt idx="16">
                  <c:v>43.116399999999999</c:v>
                </c:pt>
                <c:pt idx="17">
                  <c:v>43.431199999999997</c:v>
                </c:pt>
                <c:pt idx="18">
                  <c:v>43.756499999999996</c:v>
                </c:pt>
                <c:pt idx="19">
                  <c:v>44.150399999999998</c:v>
                </c:pt>
                <c:pt idx="20">
                  <c:v>44.5991</c:v>
                </c:pt>
                <c:pt idx="21">
                  <c:v>45.129300000000001</c:v>
                </c:pt>
                <c:pt idx="22">
                  <c:v>45.680999999999997</c:v>
                </c:pt>
                <c:pt idx="23">
                  <c:v>46.118099999999998</c:v>
                </c:pt>
                <c:pt idx="24">
                  <c:v>46.506799999999998</c:v>
                </c:pt>
                <c:pt idx="25">
                  <c:v>47.009599999999999</c:v>
                </c:pt>
                <c:pt idx="26">
                  <c:v>47.439300000000003</c:v>
                </c:pt>
                <c:pt idx="27">
                  <c:v>47.834400000000002</c:v>
                </c:pt>
                <c:pt idx="28">
                  <c:v>48.244500000000002</c:v>
                </c:pt>
                <c:pt idx="29">
                  <c:v>48.640499999999996</c:v>
                </c:pt>
                <c:pt idx="30">
                  <c:v>48.956300000000006</c:v>
                </c:pt>
                <c:pt idx="31">
                  <c:v>49.204000000000001</c:v>
                </c:pt>
                <c:pt idx="32">
                  <c:v>49.433300000000003</c:v>
                </c:pt>
                <c:pt idx="33">
                  <c:v>49.677199999999999</c:v>
                </c:pt>
                <c:pt idx="34">
                  <c:v>49.942399999999999</c:v>
                </c:pt>
                <c:pt idx="35">
                  <c:v>50.165300000000002</c:v>
                </c:pt>
                <c:pt idx="36">
                  <c:v>50.337699999999998</c:v>
                </c:pt>
                <c:pt idx="37">
                  <c:v>50.582999999999998</c:v>
                </c:pt>
                <c:pt idx="38">
                  <c:v>50.852600000000002</c:v>
                </c:pt>
                <c:pt idx="39">
                  <c:v>51.032699999999998</c:v>
                </c:pt>
                <c:pt idx="40">
                  <c:v>51.173400000000001</c:v>
                </c:pt>
                <c:pt idx="41">
                  <c:v>51.285899999999998</c:v>
                </c:pt>
                <c:pt idx="42">
                  <c:v>51.4741</c:v>
                </c:pt>
                <c:pt idx="43">
                  <c:v>51.724599999999995</c:v>
                </c:pt>
                <c:pt idx="44">
                  <c:v>51.9041</c:v>
                </c:pt>
                <c:pt idx="45">
                  <c:v>52.094200000000001</c:v>
                </c:pt>
                <c:pt idx="46">
                  <c:v>52.2575</c:v>
                </c:pt>
                <c:pt idx="47">
                  <c:v>52.4313</c:v>
                </c:pt>
                <c:pt idx="48">
                  <c:v>52.607599999999998</c:v>
                </c:pt>
                <c:pt idx="49">
                  <c:v>52.754100000000001</c:v>
                </c:pt>
                <c:pt idx="50">
                  <c:v>52.828099999999999</c:v>
                </c:pt>
                <c:pt idx="51">
                  <c:v>52.779800000000002</c:v>
                </c:pt>
                <c:pt idx="52">
                  <c:v>52.727800000000002</c:v>
                </c:pt>
                <c:pt idx="53">
                  <c:v>52.714799999999997</c:v>
                </c:pt>
                <c:pt idx="54">
                  <c:v>52.707300000000004</c:v>
                </c:pt>
                <c:pt idx="55">
                  <c:v>52.675600000000003</c:v>
                </c:pt>
                <c:pt idx="56">
                  <c:v>52.646000000000001</c:v>
                </c:pt>
                <c:pt idx="57">
                  <c:v>52.618699999999997</c:v>
                </c:pt>
                <c:pt idx="58">
                  <c:v>52.608699999999999</c:v>
                </c:pt>
                <c:pt idx="59">
                  <c:v>52.644199999999998</c:v>
                </c:pt>
                <c:pt idx="60">
                  <c:v>52.7288</c:v>
                </c:pt>
                <c:pt idx="61">
                  <c:v>52.891399999999997</c:v>
                </c:pt>
                <c:pt idx="62">
                  <c:v>53.099600000000002</c:v>
                </c:pt>
                <c:pt idx="63">
                  <c:v>53.400400000000005</c:v>
                </c:pt>
                <c:pt idx="64">
                  <c:v>53.757600000000004</c:v>
                </c:pt>
                <c:pt idx="65">
                  <c:v>54.035200000000003</c:v>
                </c:pt>
                <c:pt idx="66">
                  <c:v>54.204099999999997</c:v>
                </c:pt>
                <c:pt idx="67">
                  <c:v>54.347900000000003</c:v>
                </c:pt>
                <c:pt idx="68">
                  <c:v>54.460099999999997</c:v>
                </c:pt>
                <c:pt idx="69">
                  <c:v>54.642800000000001</c:v>
                </c:pt>
                <c:pt idx="70">
                  <c:v>54.809300000000007</c:v>
                </c:pt>
                <c:pt idx="71">
                  <c:v>54.939700000000002</c:v>
                </c:pt>
                <c:pt idx="72">
                  <c:v>55.116600000000005</c:v>
                </c:pt>
                <c:pt idx="73">
                  <c:v>55.1554</c:v>
                </c:pt>
                <c:pt idx="74">
                  <c:v>55.059800000000003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14.938974999999999</c:v>
                </c:pt>
                <c:pt idx="1">
                  <c:v>44.816924999999998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35.820890540540525</c:v>
                </c:pt>
                <c:pt idx="1">
                  <c:v>48.88393108108108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2.4964400000000002</c:v>
                </c:pt>
                <c:pt idx="1">
                  <c:v>2.5545</c:v>
                </c:pt>
                <c:pt idx="2">
                  <c:v>2.6159300000000001</c:v>
                </c:pt>
                <c:pt idx="3">
                  <c:v>2.6804000000000001</c:v>
                </c:pt>
                <c:pt idx="4">
                  <c:v>2.7461200000000003</c:v>
                </c:pt>
                <c:pt idx="5">
                  <c:v>2.81047</c:v>
                </c:pt>
                <c:pt idx="6">
                  <c:v>2.8785799999999999</c:v>
                </c:pt>
                <c:pt idx="7">
                  <c:v>2.9477700000000002</c:v>
                </c:pt>
                <c:pt idx="8">
                  <c:v>3.01661</c:v>
                </c:pt>
                <c:pt idx="9">
                  <c:v>3.0870199999999999</c:v>
                </c:pt>
                <c:pt idx="10">
                  <c:v>3.1540600000000003</c:v>
                </c:pt>
                <c:pt idx="11">
                  <c:v>3.2182399999999998</c:v>
                </c:pt>
                <c:pt idx="12">
                  <c:v>3.2812400000000004</c:v>
                </c:pt>
                <c:pt idx="13">
                  <c:v>3.3438400000000001</c:v>
                </c:pt>
                <c:pt idx="14">
                  <c:v>3.4059499999999998</c:v>
                </c:pt>
                <c:pt idx="15">
                  <c:v>3.4694700000000003</c:v>
                </c:pt>
                <c:pt idx="16">
                  <c:v>3.5329100000000002</c:v>
                </c:pt>
                <c:pt idx="17">
                  <c:v>3.5946400000000001</c:v>
                </c:pt>
                <c:pt idx="18">
                  <c:v>3.6551299999999998</c:v>
                </c:pt>
                <c:pt idx="19">
                  <c:v>3.7130000000000001</c:v>
                </c:pt>
                <c:pt idx="20">
                  <c:v>3.7673399999999999</c:v>
                </c:pt>
                <c:pt idx="21">
                  <c:v>3.8199100000000001</c:v>
                </c:pt>
                <c:pt idx="22">
                  <c:v>3.8719799999999998</c:v>
                </c:pt>
                <c:pt idx="23">
                  <c:v>3.9210699999999998</c:v>
                </c:pt>
                <c:pt idx="24">
                  <c:v>3.96915</c:v>
                </c:pt>
                <c:pt idx="25">
                  <c:v>4.0186899999999994</c:v>
                </c:pt>
                <c:pt idx="26">
                  <c:v>4.0652300000000006</c:v>
                </c:pt>
                <c:pt idx="27">
                  <c:v>4.1055999999999999</c:v>
                </c:pt>
                <c:pt idx="28">
                  <c:v>4.1471099999999996</c:v>
                </c:pt>
                <c:pt idx="29">
                  <c:v>4.1897500000000001</c:v>
                </c:pt>
                <c:pt idx="30">
                  <c:v>4.23576</c:v>
                </c:pt>
                <c:pt idx="31">
                  <c:v>4.2828600000000003</c:v>
                </c:pt>
                <c:pt idx="32">
                  <c:v>4.3310900000000006</c:v>
                </c:pt>
                <c:pt idx="33">
                  <c:v>4.3761799999999997</c:v>
                </c:pt>
                <c:pt idx="34">
                  <c:v>4.4198599999999999</c:v>
                </c:pt>
                <c:pt idx="35">
                  <c:v>4.4611200000000002</c:v>
                </c:pt>
                <c:pt idx="36">
                  <c:v>4.4997300000000005</c:v>
                </c:pt>
                <c:pt idx="37">
                  <c:v>4.53559</c:v>
                </c:pt>
                <c:pt idx="38">
                  <c:v>4.5702999999999996</c:v>
                </c:pt>
                <c:pt idx="39">
                  <c:v>4.60527</c:v>
                </c:pt>
                <c:pt idx="40">
                  <c:v>4.6384799999999995</c:v>
                </c:pt>
                <c:pt idx="41">
                  <c:v>4.6668399999999997</c:v>
                </c:pt>
                <c:pt idx="42">
                  <c:v>4.6901799999999998</c:v>
                </c:pt>
                <c:pt idx="43">
                  <c:v>4.7134999999999998</c:v>
                </c:pt>
                <c:pt idx="44">
                  <c:v>4.7344999999999997</c:v>
                </c:pt>
                <c:pt idx="45">
                  <c:v>4.7559300000000002</c:v>
                </c:pt>
                <c:pt idx="46">
                  <c:v>4.77935</c:v>
                </c:pt>
                <c:pt idx="47">
                  <c:v>4.7985600000000002</c:v>
                </c:pt>
                <c:pt idx="48">
                  <c:v>4.8142800000000001</c:v>
                </c:pt>
                <c:pt idx="49">
                  <c:v>4.8270900000000001</c:v>
                </c:pt>
                <c:pt idx="50">
                  <c:v>4.8391900000000003</c:v>
                </c:pt>
                <c:pt idx="51">
                  <c:v>4.85067</c:v>
                </c:pt>
                <c:pt idx="52">
                  <c:v>4.8591600000000001</c:v>
                </c:pt>
                <c:pt idx="53">
                  <c:v>4.8610300000000004</c:v>
                </c:pt>
                <c:pt idx="54">
                  <c:v>4.8574900000000003</c:v>
                </c:pt>
                <c:pt idx="55">
                  <c:v>4.8464900000000002</c:v>
                </c:pt>
                <c:pt idx="56">
                  <c:v>4.8302499999999995</c:v>
                </c:pt>
                <c:pt idx="57">
                  <c:v>4.8100100000000001</c:v>
                </c:pt>
                <c:pt idx="58">
                  <c:v>4.7889900000000001</c:v>
                </c:pt>
                <c:pt idx="59">
                  <c:v>4.7658899999999997</c:v>
                </c:pt>
                <c:pt idx="60">
                  <c:v>4.7425899999999999</c:v>
                </c:pt>
                <c:pt idx="61">
                  <c:v>4.72112</c:v>
                </c:pt>
                <c:pt idx="62">
                  <c:v>4.6987199999999998</c:v>
                </c:pt>
                <c:pt idx="63">
                  <c:v>4.6767700000000003</c:v>
                </c:pt>
                <c:pt idx="64">
                  <c:v>4.6544699999999999</c:v>
                </c:pt>
                <c:pt idx="65">
                  <c:v>4.6323299999999996</c:v>
                </c:pt>
                <c:pt idx="66">
                  <c:v>4.6132499999999999</c:v>
                </c:pt>
                <c:pt idx="67">
                  <c:v>4.5984499999999997</c:v>
                </c:pt>
                <c:pt idx="68">
                  <c:v>4.5823599999999995</c:v>
                </c:pt>
                <c:pt idx="69">
                  <c:v>4.5692300000000001</c:v>
                </c:pt>
                <c:pt idx="70">
                  <c:v>4.5552200000000003</c:v>
                </c:pt>
                <c:pt idx="71">
                  <c:v>4.5348600000000001</c:v>
                </c:pt>
                <c:pt idx="72">
                  <c:v>4.5139699999999996</c:v>
                </c:pt>
                <c:pt idx="73">
                  <c:v>4.4982299999999995</c:v>
                </c:pt>
                <c:pt idx="74">
                  <c:v>4.4805099999999998</c:v>
                </c:pt>
                <c:pt idx="75">
                  <c:v>4.4594699999999996</c:v>
                </c:pt>
                <c:pt idx="76">
                  <c:v>4.4363200000000003</c:v>
                </c:pt>
                <c:pt idx="77">
                  <c:v>4.4153599999999997</c:v>
                </c:pt>
                <c:pt idx="78">
                  <c:v>4.3966899999999995</c:v>
                </c:pt>
                <c:pt idx="79">
                  <c:v>4.3782300000000003</c:v>
                </c:pt>
                <c:pt idx="80">
                  <c:v>4.3628099999999996</c:v>
                </c:pt>
                <c:pt idx="81">
                  <c:v>4.34999</c:v>
                </c:pt>
                <c:pt idx="82">
                  <c:v>4.3387900000000004</c:v>
                </c:pt>
                <c:pt idx="83">
                  <c:v>4.3274400000000002</c:v>
                </c:pt>
                <c:pt idx="84">
                  <c:v>4.3140999999999998</c:v>
                </c:pt>
                <c:pt idx="85">
                  <c:v>4.3015799999999995</c:v>
                </c:pt>
                <c:pt idx="86">
                  <c:v>4.2881099999999996</c:v>
                </c:pt>
                <c:pt idx="87">
                  <c:v>4.2734800000000002</c:v>
                </c:pt>
                <c:pt idx="88">
                  <c:v>4.2551499999999995</c:v>
                </c:pt>
                <c:pt idx="89">
                  <c:v>4.2328799999999998</c:v>
                </c:pt>
                <c:pt idx="90">
                  <c:v>4.20899</c:v>
                </c:pt>
                <c:pt idx="91">
                  <c:v>4.1837200000000001</c:v>
                </c:pt>
                <c:pt idx="92">
                  <c:v>4.1547000000000001</c:v>
                </c:pt>
                <c:pt idx="93">
                  <c:v>4.1238900000000003</c:v>
                </c:pt>
                <c:pt idx="94">
                  <c:v>4.0893800000000002</c:v>
                </c:pt>
                <c:pt idx="95">
                  <c:v>4.0546699999999998</c:v>
                </c:pt>
                <c:pt idx="96">
                  <c:v>4.0226800000000003</c:v>
                </c:pt>
                <c:pt idx="97">
                  <c:v>3.9930700000000003</c:v>
                </c:pt>
                <c:pt idx="98">
                  <c:v>3.9591500000000002</c:v>
                </c:pt>
                <c:pt idx="99">
                  <c:v>3.9247700000000001</c:v>
                </c:pt>
                <c:pt idx="100">
                  <c:v>3.8881800000000002</c:v>
                </c:pt>
                <c:pt idx="101">
                  <c:v>3.8532499999999996</c:v>
                </c:pt>
                <c:pt idx="102">
                  <c:v>3.8202399999999996</c:v>
                </c:pt>
                <c:pt idx="103">
                  <c:v>3.7899100000000003</c:v>
                </c:pt>
                <c:pt idx="104">
                  <c:v>3.7635800000000001</c:v>
                </c:pt>
                <c:pt idx="105">
                  <c:v>3.7373000000000003</c:v>
                </c:pt>
                <c:pt idx="106">
                  <c:v>3.7084999999999999</c:v>
                </c:pt>
                <c:pt idx="107">
                  <c:v>3.6780499999999998</c:v>
                </c:pt>
                <c:pt idx="108">
                  <c:v>3.6493599999999997</c:v>
                </c:pt>
                <c:pt idx="109">
                  <c:v>3.6258400000000002</c:v>
                </c:pt>
                <c:pt idx="110">
                  <c:v>3.6048100000000001</c:v>
                </c:pt>
                <c:pt idx="111">
                  <c:v>3.5856900000000005</c:v>
                </c:pt>
                <c:pt idx="112">
                  <c:v>3.56813</c:v>
                </c:pt>
                <c:pt idx="113">
                  <c:v>3.5504099999999998</c:v>
                </c:pt>
                <c:pt idx="114">
                  <c:v>3.53207</c:v>
                </c:pt>
                <c:pt idx="115">
                  <c:v>3.5137800000000001</c:v>
                </c:pt>
                <c:pt idx="116">
                  <c:v>3.4954099999999997</c:v>
                </c:pt>
                <c:pt idx="117">
                  <c:v>3.4804499999999998</c:v>
                </c:pt>
                <c:pt idx="118">
                  <c:v>3.4662600000000001</c:v>
                </c:pt>
                <c:pt idx="119">
                  <c:v>3.4526600000000003</c:v>
                </c:pt>
                <c:pt idx="120">
                  <c:v>3.4401799999999998</c:v>
                </c:pt>
                <c:pt idx="121">
                  <c:v>3.4296700000000002</c:v>
                </c:pt>
                <c:pt idx="122">
                  <c:v>3.4194499999999999</c:v>
                </c:pt>
                <c:pt idx="123">
                  <c:v>3.41181</c:v>
                </c:pt>
                <c:pt idx="124">
                  <c:v>3.40815</c:v>
                </c:pt>
                <c:pt idx="125">
                  <c:v>3.4084199999999996</c:v>
                </c:pt>
                <c:pt idx="126">
                  <c:v>3.4072300000000002</c:v>
                </c:pt>
                <c:pt idx="127">
                  <c:v>3.40578</c:v>
                </c:pt>
                <c:pt idx="128">
                  <c:v>3.4047200000000002</c:v>
                </c:pt>
                <c:pt idx="129">
                  <c:v>3.4038499999999998</c:v>
                </c:pt>
                <c:pt idx="130">
                  <c:v>3.4049800000000001</c:v>
                </c:pt>
                <c:pt idx="131">
                  <c:v>3.4088400000000001</c:v>
                </c:pt>
                <c:pt idx="132">
                  <c:v>3.4141300000000001</c:v>
                </c:pt>
                <c:pt idx="133">
                  <c:v>3.4192299999999998</c:v>
                </c:pt>
                <c:pt idx="134">
                  <c:v>3.4210800000000003</c:v>
                </c:pt>
                <c:pt idx="135">
                  <c:v>3.4169200000000002</c:v>
                </c:pt>
                <c:pt idx="136">
                  <c:v>3.4083999999999999</c:v>
                </c:pt>
                <c:pt idx="137">
                  <c:v>3.4006500000000002</c:v>
                </c:pt>
                <c:pt idx="138">
                  <c:v>3.4001700000000001</c:v>
                </c:pt>
                <c:pt idx="139">
                  <c:v>3.4077200000000003</c:v>
                </c:pt>
                <c:pt idx="140">
                  <c:v>3.4117999999999999</c:v>
                </c:pt>
                <c:pt idx="141">
                  <c:v>3.4151799999999999</c:v>
                </c:pt>
                <c:pt idx="142">
                  <c:v>3.4156199999999997</c:v>
                </c:pt>
                <c:pt idx="143">
                  <c:v>3.4148299999999998</c:v>
                </c:pt>
                <c:pt idx="144">
                  <c:v>3.4213300000000002</c:v>
                </c:pt>
                <c:pt idx="145">
                  <c:v>3.4246300000000001</c:v>
                </c:pt>
                <c:pt idx="146">
                  <c:v>3.4208300000000005</c:v>
                </c:pt>
                <c:pt idx="147">
                  <c:v>3.4258800000000003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50.843400000000003</c:v>
                </c:pt>
                <c:pt idx="1">
                  <c:v>49.811100000000003</c:v>
                </c:pt>
                <c:pt idx="2">
                  <c:v>48.622799999999998</c:v>
                </c:pt>
                <c:pt idx="3">
                  <c:v>47.459299999999999</c:v>
                </c:pt>
                <c:pt idx="4">
                  <c:v>46.316299999999998</c:v>
                </c:pt>
                <c:pt idx="5">
                  <c:v>45.257599999999996</c:v>
                </c:pt>
                <c:pt idx="6">
                  <c:v>44.078899999999997</c:v>
                </c:pt>
                <c:pt idx="7">
                  <c:v>42.860599999999998</c:v>
                </c:pt>
                <c:pt idx="8">
                  <c:v>41.646699999999996</c:v>
                </c:pt>
                <c:pt idx="9">
                  <c:v>40.357999999999997</c:v>
                </c:pt>
                <c:pt idx="10">
                  <c:v>39.108499999999999</c:v>
                </c:pt>
                <c:pt idx="11">
                  <c:v>38.091299999999997</c:v>
                </c:pt>
                <c:pt idx="12">
                  <c:v>37.2273</c:v>
                </c:pt>
                <c:pt idx="13">
                  <c:v>36.4724</c:v>
                </c:pt>
                <c:pt idx="14">
                  <c:v>35.789900000000003</c:v>
                </c:pt>
                <c:pt idx="15">
                  <c:v>35.174299999999995</c:v>
                </c:pt>
                <c:pt idx="16">
                  <c:v>34.629599999999996</c:v>
                </c:pt>
                <c:pt idx="17">
                  <c:v>34.177800000000005</c:v>
                </c:pt>
                <c:pt idx="18">
                  <c:v>33.815400000000004</c:v>
                </c:pt>
                <c:pt idx="19">
                  <c:v>33.600499999999997</c:v>
                </c:pt>
                <c:pt idx="20">
                  <c:v>33.532699999999998</c:v>
                </c:pt>
                <c:pt idx="21">
                  <c:v>33.551400000000001</c:v>
                </c:pt>
                <c:pt idx="22">
                  <c:v>33.61</c:v>
                </c:pt>
                <c:pt idx="23">
                  <c:v>33.734900000000003</c:v>
                </c:pt>
                <c:pt idx="24">
                  <c:v>33.808100000000003</c:v>
                </c:pt>
                <c:pt idx="25">
                  <c:v>33.852600000000002</c:v>
                </c:pt>
                <c:pt idx="26">
                  <c:v>33.870600000000003</c:v>
                </c:pt>
                <c:pt idx="27">
                  <c:v>33.9343</c:v>
                </c:pt>
                <c:pt idx="28">
                  <c:v>33.940799999999996</c:v>
                </c:pt>
                <c:pt idx="29">
                  <c:v>33.978999999999999</c:v>
                </c:pt>
                <c:pt idx="30">
                  <c:v>33.944400000000002</c:v>
                </c:pt>
                <c:pt idx="31">
                  <c:v>33.728299999999997</c:v>
                </c:pt>
                <c:pt idx="32">
                  <c:v>33.503399999999999</c:v>
                </c:pt>
                <c:pt idx="33">
                  <c:v>33.236499999999999</c:v>
                </c:pt>
                <c:pt idx="34">
                  <c:v>32.992800000000003</c:v>
                </c:pt>
                <c:pt idx="35">
                  <c:v>32.9268</c:v>
                </c:pt>
                <c:pt idx="36">
                  <c:v>32.916899999999998</c:v>
                </c:pt>
                <c:pt idx="37">
                  <c:v>32.881599999999999</c:v>
                </c:pt>
                <c:pt idx="38">
                  <c:v>32.879000000000005</c:v>
                </c:pt>
                <c:pt idx="39">
                  <c:v>32.8842</c:v>
                </c:pt>
                <c:pt idx="40">
                  <c:v>32.8598</c:v>
                </c:pt>
                <c:pt idx="41">
                  <c:v>32.850299999999997</c:v>
                </c:pt>
                <c:pt idx="42">
                  <c:v>32.898600000000002</c:v>
                </c:pt>
                <c:pt idx="43">
                  <c:v>32.915199999999999</c:v>
                </c:pt>
                <c:pt idx="44">
                  <c:v>32.9527</c:v>
                </c:pt>
                <c:pt idx="45">
                  <c:v>33.0227</c:v>
                </c:pt>
                <c:pt idx="46">
                  <c:v>33.084799999999994</c:v>
                </c:pt>
                <c:pt idx="47">
                  <c:v>33.166499999999999</c:v>
                </c:pt>
                <c:pt idx="48">
                  <c:v>33.2303</c:v>
                </c:pt>
                <c:pt idx="49">
                  <c:v>33.313900000000004</c:v>
                </c:pt>
                <c:pt idx="50">
                  <c:v>33.347700000000003</c:v>
                </c:pt>
                <c:pt idx="51">
                  <c:v>33.449200000000005</c:v>
                </c:pt>
                <c:pt idx="52">
                  <c:v>33.625699999999995</c:v>
                </c:pt>
                <c:pt idx="53">
                  <c:v>33.806000000000004</c:v>
                </c:pt>
                <c:pt idx="54">
                  <c:v>33.910000000000004</c:v>
                </c:pt>
                <c:pt idx="55">
                  <c:v>33.914299999999997</c:v>
                </c:pt>
                <c:pt idx="56">
                  <c:v>33.904899999999998</c:v>
                </c:pt>
                <c:pt idx="57">
                  <c:v>33.8767</c:v>
                </c:pt>
                <c:pt idx="58">
                  <c:v>33.924300000000002</c:v>
                </c:pt>
                <c:pt idx="59">
                  <c:v>33.994300000000003</c:v>
                </c:pt>
                <c:pt idx="60">
                  <c:v>34.020699999999998</c:v>
                </c:pt>
                <c:pt idx="61">
                  <c:v>34.098399999999998</c:v>
                </c:pt>
                <c:pt idx="62">
                  <c:v>34.202100000000002</c:v>
                </c:pt>
                <c:pt idx="63">
                  <c:v>34.337200000000003</c:v>
                </c:pt>
                <c:pt idx="64">
                  <c:v>34.550599999999996</c:v>
                </c:pt>
                <c:pt idx="65">
                  <c:v>34.8262</c:v>
                </c:pt>
                <c:pt idx="66">
                  <c:v>35.163899999999998</c:v>
                </c:pt>
                <c:pt idx="67">
                  <c:v>35.465600000000002</c:v>
                </c:pt>
                <c:pt idx="68">
                  <c:v>35.820500000000003</c:v>
                </c:pt>
                <c:pt idx="69">
                  <c:v>36.1629</c:v>
                </c:pt>
                <c:pt idx="70">
                  <c:v>36.516500000000001</c:v>
                </c:pt>
                <c:pt idx="71">
                  <c:v>36.999099999999999</c:v>
                </c:pt>
                <c:pt idx="72">
                  <c:v>37.491600000000005</c:v>
                </c:pt>
                <c:pt idx="73">
                  <c:v>37.992699999999999</c:v>
                </c:pt>
                <c:pt idx="74">
                  <c:v>38.453199999999995</c:v>
                </c:pt>
                <c:pt idx="75">
                  <c:v>38.990600000000001</c:v>
                </c:pt>
                <c:pt idx="76">
                  <c:v>39.557900000000004</c:v>
                </c:pt>
                <c:pt idx="77">
                  <c:v>40.0182</c:v>
                </c:pt>
                <c:pt idx="78">
                  <c:v>40.414200000000001</c:v>
                </c:pt>
                <c:pt idx="79">
                  <c:v>40.713799999999999</c:v>
                </c:pt>
                <c:pt idx="80">
                  <c:v>40.982100000000003</c:v>
                </c:pt>
                <c:pt idx="81">
                  <c:v>41.288000000000004</c:v>
                </c:pt>
                <c:pt idx="82">
                  <c:v>41.573300000000003</c:v>
                </c:pt>
                <c:pt idx="83">
                  <c:v>41.864200000000004</c:v>
                </c:pt>
                <c:pt idx="84">
                  <c:v>42.103699999999996</c:v>
                </c:pt>
                <c:pt idx="85">
                  <c:v>42.3001</c:v>
                </c:pt>
                <c:pt idx="86">
                  <c:v>42.468899999999998</c:v>
                </c:pt>
                <c:pt idx="87">
                  <c:v>42.661100000000005</c:v>
                </c:pt>
                <c:pt idx="88">
                  <c:v>42.8735</c:v>
                </c:pt>
                <c:pt idx="89">
                  <c:v>43.116399999999999</c:v>
                </c:pt>
                <c:pt idx="90">
                  <c:v>43.431199999999997</c:v>
                </c:pt>
                <c:pt idx="91">
                  <c:v>43.756499999999996</c:v>
                </c:pt>
                <c:pt idx="92">
                  <c:v>44.150399999999998</c:v>
                </c:pt>
                <c:pt idx="93">
                  <c:v>44.5991</c:v>
                </c:pt>
                <c:pt idx="94">
                  <c:v>45.129300000000001</c:v>
                </c:pt>
                <c:pt idx="95">
                  <c:v>45.680999999999997</c:v>
                </c:pt>
                <c:pt idx="96">
                  <c:v>46.118099999999998</c:v>
                </c:pt>
                <c:pt idx="97">
                  <c:v>46.506799999999998</c:v>
                </c:pt>
                <c:pt idx="98">
                  <c:v>47.009599999999999</c:v>
                </c:pt>
                <c:pt idx="99">
                  <c:v>47.439300000000003</c:v>
                </c:pt>
                <c:pt idx="100">
                  <c:v>47.834400000000002</c:v>
                </c:pt>
                <c:pt idx="101">
                  <c:v>48.244500000000002</c:v>
                </c:pt>
                <c:pt idx="102">
                  <c:v>48.640499999999996</c:v>
                </c:pt>
                <c:pt idx="103">
                  <c:v>48.956300000000006</c:v>
                </c:pt>
                <c:pt idx="104">
                  <c:v>49.204000000000001</c:v>
                </c:pt>
                <c:pt idx="105">
                  <c:v>49.433300000000003</c:v>
                </c:pt>
                <c:pt idx="106">
                  <c:v>49.677199999999999</c:v>
                </c:pt>
                <c:pt idx="107">
                  <c:v>49.942399999999999</c:v>
                </c:pt>
                <c:pt idx="108">
                  <c:v>50.165300000000002</c:v>
                </c:pt>
                <c:pt idx="109">
                  <c:v>50.337699999999998</c:v>
                </c:pt>
                <c:pt idx="110">
                  <c:v>50.582999999999998</c:v>
                </c:pt>
                <c:pt idx="111">
                  <c:v>50.852600000000002</c:v>
                </c:pt>
                <c:pt idx="112">
                  <c:v>51.032699999999998</c:v>
                </c:pt>
                <c:pt idx="113">
                  <c:v>51.173400000000001</c:v>
                </c:pt>
                <c:pt idx="114">
                  <c:v>51.285899999999998</c:v>
                </c:pt>
                <c:pt idx="115">
                  <c:v>51.4741</c:v>
                </c:pt>
                <c:pt idx="116">
                  <c:v>51.724599999999995</c:v>
                </c:pt>
                <c:pt idx="117">
                  <c:v>51.9041</c:v>
                </c:pt>
                <c:pt idx="118">
                  <c:v>52.094200000000001</c:v>
                </c:pt>
                <c:pt idx="119">
                  <c:v>52.2575</c:v>
                </c:pt>
                <c:pt idx="120">
                  <c:v>52.4313</c:v>
                </c:pt>
                <c:pt idx="121">
                  <c:v>52.607599999999998</c:v>
                </c:pt>
                <c:pt idx="122">
                  <c:v>52.754100000000001</c:v>
                </c:pt>
                <c:pt idx="123">
                  <c:v>52.828099999999999</c:v>
                </c:pt>
                <c:pt idx="124">
                  <c:v>52.779800000000002</c:v>
                </c:pt>
                <c:pt idx="125">
                  <c:v>52.727800000000002</c:v>
                </c:pt>
                <c:pt idx="126">
                  <c:v>52.714799999999997</c:v>
                </c:pt>
                <c:pt idx="127">
                  <c:v>52.707300000000004</c:v>
                </c:pt>
                <c:pt idx="128">
                  <c:v>52.675600000000003</c:v>
                </c:pt>
                <c:pt idx="129">
                  <c:v>52.646000000000001</c:v>
                </c:pt>
                <c:pt idx="130">
                  <c:v>52.618699999999997</c:v>
                </c:pt>
                <c:pt idx="131">
                  <c:v>52.608699999999999</c:v>
                </c:pt>
                <c:pt idx="132">
                  <c:v>52.644199999999998</c:v>
                </c:pt>
                <c:pt idx="133">
                  <c:v>52.7288</c:v>
                </c:pt>
                <c:pt idx="134">
                  <c:v>52.891399999999997</c:v>
                </c:pt>
                <c:pt idx="135">
                  <c:v>53.099600000000002</c:v>
                </c:pt>
                <c:pt idx="136">
                  <c:v>53.400400000000005</c:v>
                </c:pt>
                <c:pt idx="137">
                  <c:v>53.757600000000004</c:v>
                </c:pt>
                <c:pt idx="138">
                  <c:v>54.035200000000003</c:v>
                </c:pt>
                <c:pt idx="139">
                  <c:v>54.204099999999997</c:v>
                </c:pt>
                <c:pt idx="140">
                  <c:v>54.347900000000003</c:v>
                </c:pt>
                <c:pt idx="141">
                  <c:v>54.460099999999997</c:v>
                </c:pt>
                <c:pt idx="142">
                  <c:v>54.642800000000001</c:v>
                </c:pt>
                <c:pt idx="143">
                  <c:v>54.809300000000007</c:v>
                </c:pt>
                <c:pt idx="144">
                  <c:v>54.939700000000002</c:v>
                </c:pt>
                <c:pt idx="145">
                  <c:v>55.116600000000005</c:v>
                </c:pt>
                <c:pt idx="146">
                  <c:v>55.1554</c:v>
                </c:pt>
                <c:pt idx="147">
                  <c:v>55.059800000000003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2.4964400000000002</c:v>
                </c:pt>
                <c:pt idx="1">
                  <c:v>2.5545</c:v>
                </c:pt>
                <c:pt idx="2">
                  <c:v>2.6159300000000001</c:v>
                </c:pt>
                <c:pt idx="3">
                  <c:v>2.6804000000000001</c:v>
                </c:pt>
                <c:pt idx="4">
                  <c:v>2.7461200000000003</c:v>
                </c:pt>
                <c:pt idx="5">
                  <c:v>2.81047</c:v>
                </c:pt>
                <c:pt idx="6">
                  <c:v>2.8785799999999999</c:v>
                </c:pt>
                <c:pt idx="7">
                  <c:v>2.9477700000000002</c:v>
                </c:pt>
                <c:pt idx="8">
                  <c:v>3.01661</c:v>
                </c:pt>
                <c:pt idx="9">
                  <c:v>3.0870199999999999</c:v>
                </c:pt>
                <c:pt idx="10">
                  <c:v>3.1540600000000003</c:v>
                </c:pt>
                <c:pt idx="11">
                  <c:v>3.2182399999999998</c:v>
                </c:pt>
                <c:pt idx="12">
                  <c:v>3.2812400000000004</c:v>
                </c:pt>
                <c:pt idx="13">
                  <c:v>3.3438400000000001</c:v>
                </c:pt>
                <c:pt idx="14">
                  <c:v>3.4059499999999998</c:v>
                </c:pt>
                <c:pt idx="15">
                  <c:v>3.4694700000000003</c:v>
                </c:pt>
                <c:pt idx="16">
                  <c:v>3.5329100000000002</c:v>
                </c:pt>
                <c:pt idx="17">
                  <c:v>3.5946400000000001</c:v>
                </c:pt>
                <c:pt idx="18">
                  <c:v>3.6551299999999998</c:v>
                </c:pt>
                <c:pt idx="19">
                  <c:v>3.7130000000000001</c:v>
                </c:pt>
                <c:pt idx="20">
                  <c:v>3.7673399999999999</c:v>
                </c:pt>
                <c:pt idx="21">
                  <c:v>3.8199100000000001</c:v>
                </c:pt>
                <c:pt idx="22">
                  <c:v>3.8719799999999998</c:v>
                </c:pt>
                <c:pt idx="23">
                  <c:v>3.9210699999999998</c:v>
                </c:pt>
                <c:pt idx="24">
                  <c:v>3.96915</c:v>
                </c:pt>
                <c:pt idx="25">
                  <c:v>4.0186899999999994</c:v>
                </c:pt>
                <c:pt idx="26">
                  <c:v>4.0652300000000006</c:v>
                </c:pt>
                <c:pt idx="27">
                  <c:v>4.1055999999999999</c:v>
                </c:pt>
                <c:pt idx="28">
                  <c:v>4.1471099999999996</c:v>
                </c:pt>
                <c:pt idx="29">
                  <c:v>4.1897500000000001</c:v>
                </c:pt>
                <c:pt idx="30">
                  <c:v>4.23576</c:v>
                </c:pt>
                <c:pt idx="31">
                  <c:v>4.2828600000000003</c:v>
                </c:pt>
                <c:pt idx="32">
                  <c:v>4.3310900000000006</c:v>
                </c:pt>
                <c:pt idx="33">
                  <c:v>4.3761799999999997</c:v>
                </c:pt>
                <c:pt idx="34">
                  <c:v>4.4198599999999999</c:v>
                </c:pt>
                <c:pt idx="35">
                  <c:v>4.4611200000000002</c:v>
                </c:pt>
                <c:pt idx="36">
                  <c:v>4.4997300000000005</c:v>
                </c:pt>
                <c:pt idx="37">
                  <c:v>4.53559</c:v>
                </c:pt>
                <c:pt idx="38">
                  <c:v>4.5702999999999996</c:v>
                </c:pt>
                <c:pt idx="39">
                  <c:v>4.60527</c:v>
                </c:pt>
                <c:pt idx="40">
                  <c:v>4.6384799999999995</c:v>
                </c:pt>
                <c:pt idx="41">
                  <c:v>4.6668399999999997</c:v>
                </c:pt>
                <c:pt idx="42">
                  <c:v>4.6901799999999998</c:v>
                </c:pt>
                <c:pt idx="43">
                  <c:v>4.7134999999999998</c:v>
                </c:pt>
                <c:pt idx="44">
                  <c:v>4.7344999999999997</c:v>
                </c:pt>
                <c:pt idx="45">
                  <c:v>4.7559300000000002</c:v>
                </c:pt>
                <c:pt idx="46">
                  <c:v>4.77935</c:v>
                </c:pt>
                <c:pt idx="47">
                  <c:v>4.7985600000000002</c:v>
                </c:pt>
                <c:pt idx="48">
                  <c:v>4.8142800000000001</c:v>
                </c:pt>
                <c:pt idx="49">
                  <c:v>4.8270900000000001</c:v>
                </c:pt>
                <c:pt idx="50">
                  <c:v>4.8391900000000003</c:v>
                </c:pt>
                <c:pt idx="51">
                  <c:v>4.85067</c:v>
                </c:pt>
                <c:pt idx="52">
                  <c:v>4.8591600000000001</c:v>
                </c:pt>
                <c:pt idx="53">
                  <c:v>4.8610300000000004</c:v>
                </c:pt>
                <c:pt idx="54">
                  <c:v>4.8574900000000003</c:v>
                </c:pt>
                <c:pt idx="55">
                  <c:v>4.8464900000000002</c:v>
                </c:pt>
                <c:pt idx="56">
                  <c:v>4.8302499999999995</c:v>
                </c:pt>
                <c:pt idx="57">
                  <c:v>4.8100100000000001</c:v>
                </c:pt>
                <c:pt idx="58">
                  <c:v>4.7889900000000001</c:v>
                </c:pt>
                <c:pt idx="59">
                  <c:v>4.7658899999999997</c:v>
                </c:pt>
                <c:pt idx="60">
                  <c:v>4.7425899999999999</c:v>
                </c:pt>
                <c:pt idx="61">
                  <c:v>4.72112</c:v>
                </c:pt>
                <c:pt idx="62">
                  <c:v>4.6987199999999998</c:v>
                </c:pt>
                <c:pt idx="63">
                  <c:v>4.6767700000000003</c:v>
                </c:pt>
                <c:pt idx="64">
                  <c:v>4.6544699999999999</c:v>
                </c:pt>
                <c:pt idx="65">
                  <c:v>4.6323299999999996</c:v>
                </c:pt>
                <c:pt idx="66">
                  <c:v>4.6132499999999999</c:v>
                </c:pt>
                <c:pt idx="67">
                  <c:v>4.5984499999999997</c:v>
                </c:pt>
                <c:pt idx="68">
                  <c:v>4.5823599999999995</c:v>
                </c:pt>
                <c:pt idx="69">
                  <c:v>4.5692300000000001</c:v>
                </c:pt>
                <c:pt idx="70">
                  <c:v>4.5552200000000003</c:v>
                </c:pt>
                <c:pt idx="71">
                  <c:v>4.5348600000000001</c:v>
                </c:pt>
                <c:pt idx="72">
                  <c:v>4.5139699999999996</c:v>
                </c:pt>
                <c:pt idx="73">
                  <c:v>4.4982299999999995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50.843400000000003</c:v>
                </c:pt>
                <c:pt idx="1">
                  <c:v>49.811100000000003</c:v>
                </c:pt>
                <c:pt idx="2">
                  <c:v>48.622799999999998</c:v>
                </c:pt>
                <c:pt idx="3">
                  <c:v>47.459299999999999</c:v>
                </c:pt>
                <c:pt idx="4">
                  <c:v>46.316299999999998</c:v>
                </c:pt>
                <c:pt idx="5">
                  <c:v>45.257599999999996</c:v>
                </c:pt>
                <c:pt idx="6">
                  <c:v>44.078899999999997</c:v>
                </c:pt>
                <c:pt idx="7">
                  <c:v>42.860599999999998</c:v>
                </c:pt>
                <c:pt idx="8">
                  <c:v>41.646699999999996</c:v>
                </c:pt>
                <c:pt idx="9">
                  <c:v>40.357999999999997</c:v>
                </c:pt>
                <c:pt idx="10">
                  <c:v>39.108499999999999</c:v>
                </c:pt>
                <c:pt idx="11">
                  <c:v>38.091299999999997</c:v>
                </c:pt>
                <c:pt idx="12">
                  <c:v>37.2273</c:v>
                </c:pt>
                <c:pt idx="13">
                  <c:v>36.4724</c:v>
                </c:pt>
                <c:pt idx="14">
                  <c:v>35.789900000000003</c:v>
                </c:pt>
                <c:pt idx="15">
                  <c:v>35.174299999999995</c:v>
                </c:pt>
                <c:pt idx="16">
                  <c:v>34.629599999999996</c:v>
                </c:pt>
                <c:pt idx="17">
                  <c:v>34.177800000000005</c:v>
                </c:pt>
                <c:pt idx="18">
                  <c:v>33.815400000000004</c:v>
                </c:pt>
                <c:pt idx="19">
                  <c:v>33.600499999999997</c:v>
                </c:pt>
                <c:pt idx="20">
                  <c:v>33.532699999999998</c:v>
                </c:pt>
                <c:pt idx="21">
                  <c:v>33.551400000000001</c:v>
                </c:pt>
                <c:pt idx="22">
                  <c:v>33.61</c:v>
                </c:pt>
                <c:pt idx="23">
                  <c:v>33.734900000000003</c:v>
                </c:pt>
                <c:pt idx="24">
                  <c:v>33.808100000000003</c:v>
                </c:pt>
                <c:pt idx="25">
                  <c:v>33.852600000000002</c:v>
                </c:pt>
                <c:pt idx="26">
                  <c:v>33.870600000000003</c:v>
                </c:pt>
                <c:pt idx="27">
                  <c:v>33.9343</c:v>
                </c:pt>
                <c:pt idx="28">
                  <c:v>33.940799999999996</c:v>
                </c:pt>
                <c:pt idx="29">
                  <c:v>33.978999999999999</c:v>
                </c:pt>
                <c:pt idx="30">
                  <c:v>33.944400000000002</c:v>
                </c:pt>
                <c:pt idx="31">
                  <c:v>33.728299999999997</c:v>
                </c:pt>
                <c:pt idx="32">
                  <c:v>33.503399999999999</c:v>
                </c:pt>
                <c:pt idx="33">
                  <c:v>33.236499999999999</c:v>
                </c:pt>
                <c:pt idx="34">
                  <c:v>32.992800000000003</c:v>
                </c:pt>
                <c:pt idx="35">
                  <c:v>32.9268</c:v>
                </c:pt>
                <c:pt idx="36">
                  <c:v>32.916899999999998</c:v>
                </c:pt>
                <c:pt idx="37">
                  <c:v>32.881599999999999</c:v>
                </c:pt>
                <c:pt idx="38">
                  <c:v>32.879000000000005</c:v>
                </c:pt>
                <c:pt idx="39">
                  <c:v>32.8842</c:v>
                </c:pt>
                <c:pt idx="40">
                  <c:v>32.8598</c:v>
                </c:pt>
                <c:pt idx="41">
                  <c:v>32.850299999999997</c:v>
                </c:pt>
                <c:pt idx="42">
                  <c:v>32.898600000000002</c:v>
                </c:pt>
                <c:pt idx="43">
                  <c:v>32.915199999999999</c:v>
                </c:pt>
                <c:pt idx="44">
                  <c:v>32.9527</c:v>
                </c:pt>
                <c:pt idx="45">
                  <c:v>33.0227</c:v>
                </c:pt>
                <c:pt idx="46">
                  <c:v>33.084799999999994</c:v>
                </c:pt>
                <c:pt idx="47">
                  <c:v>33.166499999999999</c:v>
                </c:pt>
                <c:pt idx="48">
                  <c:v>33.2303</c:v>
                </c:pt>
                <c:pt idx="49">
                  <c:v>33.313900000000004</c:v>
                </c:pt>
                <c:pt idx="50">
                  <c:v>33.347700000000003</c:v>
                </c:pt>
                <c:pt idx="51">
                  <c:v>33.449200000000005</c:v>
                </c:pt>
                <c:pt idx="52">
                  <c:v>33.625699999999995</c:v>
                </c:pt>
                <c:pt idx="53">
                  <c:v>33.806000000000004</c:v>
                </c:pt>
                <c:pt idx="54">
                  <c:v>33.910000000000004</c:v>
                </c:pt>
                <c:pt idx="55">
                  <c:v>33.914299999999997</c:v>
                </c:pt>
                <c:pt idx="56">
                  <c:v>33.904899999999998</c:v>
                </c:pt>
                <c:pt idx="57">
                  <c:v>33.8767</c:v>
                </c:pt>
                <c:pt idx="58">
                  <c:v>33.924300000000002</c:v>
                </c:pt>
                <c:pt idx="59">
                  <c:v>33.994300000000003</c:v>
                </c:pt>
                <c:pt idx="60">
                  <c:v>34.020699999999998</c:v>
                </c:pt>
                <c:pt idx="61">
                  <c:v>34.098399999999998</c:v>
                </c:pt>
                <c:pt idx="62">
                  <c:v>34.202100000000002</c:v>
                </c:pt>
                <c:pt idx="63">
                  <c:v>34.337200000000003</c:v>
                </c:pt>
                <c:pt idx="64">
                  <c:v>34.550599999999996</c:v>
                </c:pt>
                <c:pt idx="65">
                  <c:v>34.8262</c:v>
                </c:pt>
                <c:pt idx="66">
                  <c:v>35.163899999999998</c:v>
                </c:pt>
                <c:pt idx="67">
                  <c:v>35.465600000000002</c:v>
                </c:pt>
                <c:pt idx="68">
                  <c:v>35.820500000000003</c:v>
                </c:pt>
                <c:pt idx="69">
                  <c:v>36.1629</c:v>
                </c:pt>
                <c:pt idx="70">
                  <c:v>36.516500000000001</c:v>
                </c:pt>
                <c:pt idx="71">
                  <c:v>36.999099999999999</c:v>
                </c:pt>
                <c:pt idx="72">
                  <c:v>37.491600000000005</c:v>
                </c:pt>
                <c:pt idx="73">
                  <c:v>37.992699999999999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4.4982299999999995</c:v>
                </c:pt>
                <c:pt idx="1">
                  <c:v>4.4805099999999998</c:v>
                </c:pt>
                <c:pt idx="2">
                  <c:v>4.4594699999999996</c:v>
                </c:pt>
                <c:pt idx="3">
                  <c:v>4.4363200000000003</c:v>
                </c:pt>
                <c:pt idx="4">
                  <c:v>4.4153599999999997</c:v>
                </c:pt>
                <c:pt idx="5">
                  <c:v>4.3966899999999995</c:v>
                </c:pt>
                <c:pt idx="6">
                  <c:v>4.3782300000000003</c:v>
                </c:pt>
                <c:pt idx="7">
                  <c:v>4.3628099999999996</c:v>
                </c:pt>
                <c:pt idx="8">
                  <c:v>4.34999</c:v>
                </c:pt>
                <c:pt idx="9">
                  <c:v>4.3387900000000004</c:v>
                </c:pt>
                <c:pt idx="10">
                  <c:v>4.3274400000000002</c:v>
                </c:pt>
                <c:pt idx="11">
                  <c:v>4.3140999999999998</c:v>
                </c:pt>
                <c:pt idx="12">
                  <c:v>4.3015799999999995</c:v>
                </c:pt>
                <c:pt idx="13">
                  <c:v>4.2881099999999996</c:v>
                </c:pt>
                <c:pt idx="14">
                  <c:v>4.2734800000000002</c:v>
                </c:pt>
                <c:pt idx="15">
                  <c:v>4.2551499999999995</c:v>
                </c:pt>
                <c:pt idx="16">
                  <c:v>4.2328799999999998</c:v>
                </c:pt>
                <c:pt idx="17">
                  <c:v>4.20899</c:v>
                </c:pt>
                <c:pt idx="18">
                  <c:v>4.1837200000000001</c:v>
                </c:pt>
                <c:pt idx="19">
                  <c:v>4.1547000000000001</c:v>
                </c:pt>
                <c:pt idx="20">
                  <c:v>4.1238900000000003</c:v>
                </c:pt>
                <c:pt idx="21">
                  <c:v>4.0893800000000002</c:v>
                </c:pt>
                <c:pt idx="22">
                  <c:v>4.0546699999999998</c:v>
                </c:pt>
                <c:pt idx="23">
                  <c:v>4.0226800000000003</c:v>
                </c:pt>
                <c:pt idx="24">
                  <c:v>3.9930700000000003</c:v>
                </c:pt>
                <c:pt idx="25">
                  <c:v>3.9591500000000002</c:v>
                </c:pt>
                <c:pt idx="26">
                  <c:v>3.9247700000000001</c:v>
                </c:pt>
                <c:pt idx="27">
                  <c:v>3.8881800000000002</c:v>
                </c:pt>
                <c:pt idx="28">
                  <c:v>3.8532499999999996</c:v>
                </c:pt>
                <c:pt idx="29">
                  <c:v>3.8202399999999996</c:v>
                </c:pt>
                <c:pt idx="30">
                  <c:v>3.7899100000000003</c:v>
                </c:pt>
                <c:pt idx="31">
                  <c:v>3.7635800000000001</c:v>
                </c:pt>
                <c:pt idx="32">
                  <c:v>3.7373000000000003</c:v>
                </c:pt>
                <c:pt idx="33">
                  <c:v>3.7084999999999999</c:v>
                </c:pt>
                <c:pt idx="34">
                  <c:v>3.6780499999999998</c:v>
                </c:pt>
                <c:pt idx="35">
                  <c:v>3.6493599999999997</c:v>
                </c:pt>
                <c:pt idx="36">
                  <c:v>3.6258400000000002</c:v>
                </c:pt>
                <c:pt idx="37">
                  <c:v>3.6048100000000001</c:v>
                </c:pt>
                <c:pt idx="38">
                  <c:v>3.5856900000000005</c:v>
                </c:pt>
                <c:pt idx="39">
                  <c:v>3.56813</c:v>
                </c:pt>
                <c:pt idx="40">
                  <c:v>3.5504099999999998</c:v>
                </c:pt>
                <c:pt idx="41">
                  <c:v>3.53207</c:v>
                </c:pt>
                <c:pt idx="42">
                  <c:v>3.5137800000000001</c:v>
                </c:pt>
                <c:pt idx="43">
                  <c:v>3.4954099999999997</c:v>
                </c:pt>
                <c:pt idx="44">
                  <c:v>3.4804499999999998</c:v>
                </c:pt>
                <c:pt idx="45">
                  <c:v>3.4662600000000001</c:v>
                </c:pt>
                <c:pt idx="46">
                  <c:v>3.4526600000000003</c:v>
                </c:pt>
                <c:pt idx="47">
                  <c:v>3.4401799999999998</c:v>
                </c:pt>
                <c:pt idx="48">
                  <c:v>3.4296700000000002</c:v>
                </c:pt>
                <c:pt idx="49">
                  <c:v>3.4194499999999999</c:v>
                </c:pt>
                <c:pt idx="50">
                  <c:v>3.41181</c:v>
                </c:pt>
                <c:pt idx="51">
                  <c:v>3.40815</c:v>
                </c:pt>
                <c:pt idx="52">
                  <c:v>3.4084199999999996</c:v>
                </c:pt>
                <c:pt idx="53">
                  <c:v>3.4072300000000002</c:v>
                </c:pt>
                <c:pt idx="54">
                  <c:v>3.40578</c:v>
                </c:pt>
                <c:pt idx="55">
                  <c:v>3.4047200000000002</c:v>
                </c:pt>
                <c:pt idx="56">
                  <c:v>3.4038499999999998</c:v>
                </c:pt>
                <c:pt idx="57">
                  <c:v>3.4049800000000001</c:v>
                </c:pt>
                <c:pt idx="58">
                  <c:v>3.4088400000000001</c:v>
                </c:pt>
                <c:pt idx="59">
                  <c:v>3.4141300000000001</c:v>
                </c:pt>
                <c:pt idx="60">
                  <c:v>3.4192299999999998</c:v>
                </c:pt>
                <c:pt idx="61">
                  <c:v>3.4210800000000003</c:v>
                </c:pt>
                <c:pt idx="62">
                  <c:v>3.4169200000000002</c:v>
                </c:pt>
                <c:pt idx="63">
                  <c:v>3.4083999999999999</c:v>
                </c:pt>
                <c:pt idx="64">
                  <c:v>3.4006500000000002</c:v>
                </c:pt>
                <c:pt idx="65">
                  <c:v>3.4001700000000001</c:v>
                </c:pt>
                <c:pt idx="66">
                  <c:v>3.4077200000000003</c:v>
                </c:pt>
                <c:pt idx="67">
                  <c:v>3.4117999999999999</c:v>
                </c:pt>
                <c:pt idx="68">
                  <c:v>3.4151799999999999</c:v>
                </c:pt>
                <c:pt idx="69">
                  <c:v>3.4156199999999997</c:v>
                </c:pt>
                <c:pt idx="70">
                  <c:v>3.4148299999999998</c:v>
                </c:pt>
                <c:pt idx="71">
                  <c:v>3.4213300000000002</c:v>
                </c:pt>
                <c:pt idx="72">
                  <c:v>3.4246300000000001</c:v>
                </c:pt>
                <c:pt idx="73">
                  <c:v>3.4208300000000005</c:v>
                </c:pt>
                <c:pt idx="74">
                  <c:v>3.4258800000000003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37.992699999999999</c:v>
                </c:pt>
                <c:pt idx="1">
                  <c:v>38.453199999999995</c:v>
                </c:pt>
                <c:pt idx="2">
                  <c:v>38.990600000000001</c:v>
                </c:pt>
                <c:pt idx="3">
                  <c:v>39.557900000000004</c:v>
                </c:pt>
                <c:pt idx="4">
                  <c:v>40.0182</c:v>
                </c:pt>
                <c:pt idx="5">
                  <c:v>40.414200000000001</c:v>
                </c:pt>
                <c:pt idx="6">
                  <c:v>40.713799999999999</c:v>
                </c:pt>
                <c:pt idx="7">
                  <c:v>40.982100000000003</c:v>
                </c:pt>
                <c:pt idx="8">
                  <c:v>41.288000000000004</c:v>
                </c:pt>
                <c:pt idx="9">
                  <c:v>41.573300000000003</c:v>
                </c:pt>
                <c:pt idx="10">
                  <c:v>41.864200000000004</c:v>
                </c:pt>
                <c:pt idx="11">
                  <c:v>42.103699999999996</c:v>
                </c:pt>
                <c:pt idx="12">
                  <c:v>42.3001</c:v>
                </c:pt>
                <c:pt idx="13">
                  <c:v>42.468899999999998</c:v>
                </c:pt>
                <c:pt idx="14">
                  <c:v>42.661100000000005</c:v>
                </c:pt>
                <c:pt idx="15">
                  <c:v>42.8735</c:v>
                </c:pt>
                <c:pt idx="16">
                  <c:v>43.116399999999999</c:v>
                </c:pt>
                <c:pt idx="17">
                  <c:v>43.431199999999997</c:v>
                </c:pt>
                <c:pt idx="18">
                  <c:v>43.756499999999996</c:v>
                </c:pt>
                <c:pt idx="19">
                  <c:v>44.150399999999998</c:v>
                </c:pt>
                <c:pt idx="20">
                  <c:v>44.5991</c:v>
                </c:pt>
                <c:pt idx="21">
                  <c:v>45.129300000000001</c:v>
                </c:pt>
                <c:pt idx="22">
                  <c:v>45.680999999999997</c:v>
                </c:pt>
                <c:pt idx="23">
                  <c:v>46.118099999999998</c:v>
                </c:pt>
                <c:pt idx="24">
                  <c:v>46.506799999999998</c:v>
                </c:pt>
                <c:pt idx="25">
                  <c:v>47.009599999999999</c:v>
                </c:pt>
                <c:pt idx="26">
                  <c:v>47.439300000000003</c:v>
                </c:pt>
                <c:pt idx="27">
                  <c:v>47.834400000000002</c:v>
                </c:pt>
                <c:pt idx="28">
                  <c:v>48.244500000000002</c:v>
                </c:pt>
                <c:pt idx="29">
                  <c:v>48.640499999999996</c:v>
                </c:pt>
                <c:pt idx="30">
                  <c:v>48.956300000000006</c:v>
                </c:pt>
                <c:pt idx="31">
                  <c:v>49.204000000000001</c:v>
                </c:pt>
                <c:pt idx="32">
                  <c:v>49.433300000000003</c:v>
                </c:pt>
                <c:pt idx="33">
                  <c:v>49.677199999999999</c:v>
                </c:pt>
                <c:pt idx="34">
                  <c:v>49.942399999999999</c:v>
                </c:pt>
                <c:pt idx="35">
                  <c:v>50.165300000000002</c:v>
                </c:pt>
                <c:pt idx="36">
                  <c:v>50.337699999999998</c:v>
                </c:pt>
                <c:pt idx="37">
                  <c:v>50.582999999999998</c:v>
                </c:pt>
                <c:pt idx="38">
                  <c:v>50.852600000000002</c:v>
                </c:pt>
                <c:pt idx="39">
                  <c:v>51.032699999999998</c:v>
                </c:pt>
                <c:pt idx="40">
                  <c:v>51.173400000000001</c:v>
                </c:pt>
                <c:pt idx="41">
                  <c:v>51.285899999999998</c:v>
                </c:pt>
                <c:pt idx="42">
                  <c:v>51.4741</c:v>
                </c:pt>
                <c:pt idx="43">
                  <c:v>51.724599999999995</c:v>
                </c:pt>
                <c:pt idx="44">
                  <c:v>51.9041</c:v>
                </c:pt>
                <c:pt idx="45">
                  <c:v>52.094200000000001</c:v>
                </c:pt>
                <c:pt idx="46">
                  <c:v>52.2575</c:v>
                </c:pt>
                <c:pt idx="47">
                  <c:v>52.4313</c:v>
                </c:pt>
                <c:pt idx="48">
                  <c:v>52.607599999999998</c:v>
                </c:pt>
                <c:pt idx="49">
                  <c:v>52.754100000000001</c:v>
                </c:pt>
                <c:pt idx="50">
                  <c:v>52.828099999999999</c:v>
                </c:pt>
                <c:pt idx="51">
                  <c:v>52.779800000000002</c:v>
                </c:pt>
                <c:pt idx="52">
                  <c:v>52.727800000000002</c:v>
                </c:pt>
                <c:pt idx="53">
                  <c:v>52.714799999999997</c:v>
                </c:pt>
                <c:pt idx="54">
                  <c:v>52.707300000000004</c:v>
                </c:pt>
                <c:pt idx="55">
                  <c:v>52.675600000000003</c:v>
                </c:pt>
                <c:pt idx="56">
                  <c:v>52.646000000000001</c:v>
                </c:pt>
                <c:pt idx="57">
                  <c:v>52.618699999999997</c:v>
                </c:pt>
                <c:pt idx="58">
                  <c:v>52.608699999999999</c:v>
                </c:pt>
                <c:pt idx="59">
                  <c:v>52.644199999999998</c:v>
                </c:pt>
                <c:pt idx="60">
                  <c:v>52.7288</c:v>
                </c:pt>
                <c:pt idx="61">
                  <c:v>52.891399999999997</c:v>
                </c:pt>
                <c:pt idx="62">
                  <c:v>53.099600000000002</c:v>
                </c:pt>
                <c:pt idx="63">
                  <c:v>53.400400000000005</c:v>
                </c:pt>
                <c:pt idx="64">
                  <c:v>53.757600000000004</c:v>
                </c:pt>
                <c:pt idx="65">
                  <c:v>54.035200000000003</c:v>
                </c:pt>
                <c:pt idx="66">
                  <c:v>54.204099999999997</c:v>
                </c:pt>
                <c:pt idx="67">
                  <c:v>54.347900000000003</c:v>
                </c:pt>
                <c:pt idx="68">
                  <c:v>54.460099999999997</c:v>
                </c:pt>
                <c:pt idx="69">
                  <c:v>54.642800000000001</c:v>
                </c:pt>
                <c:pt idx="70">
                  <c:v>54.809300000000007</c:v>
                </c:pt>
                <c:pt idx="71">
                  <c:v>54.939700000000002</c:v>
                </c:pt>
                <c:pt idx="72">
                  <c:v>55.116600000000005</c:v>
                </c:pt>
                <c:pt idx="73">
                  <c:v>55.1554</c:v>
                </c:pt>
                <c:pt idx="74">
                  <c:v>55.059800000000003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2.4964400000000002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50.843400000000003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4.1448021621621614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35.820890540540525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3.7659633783783777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48.88393108108108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3.7659633783783777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48.88393108108108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521</v>
      </c>
      <c r="D5" s="151"/>
      <c r="E5" s="151"/>
      <c r="F5" s="152"/>
      <c r="G5" s="48" t="str">
        <f>lang!B27</f>
        <v>编号</v>
      </c>
      <c r="H5" s="150">
        <v>6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520</v>
      </c>
      <c r="D6" s="188"/>
      <c r="E6" s="188"/>
      <c r="F6" s="189"/>
      <c r="G6" s="49" t="str">
        <f>lang!B28</f>
        <v xml:space="preserve"> 日期</v>
      </c>
      <c r="H6" s="172">
        <f>FH_info!A2</f>
        <v>43621.389837962961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24</v>
      </c>
      <c r="D7" s="191"/>
      <c r="E7" s="191"/>
      <c r="F7" s="192"/>
      <c r="G7" s="50" t="str">
        <f>lang!B29</f>
        <v>误差率（%）</v>
      </c>
      <c r="H7" s="175">
        <f>M!B17*1</f>
        <v>14.755100000000001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42.629600000000003</v>
      </c>
      <c r="O8" s="59">
        <f>M!C5*1</f>
        <v>8.1794600000000006</v>
      </c>
      <c r="P8" s="59">
        <f>M!D5*1</f>
        <v>19.1873</v>
      </c>
      <c r="Q8" s="59">
        <f>M!E5*1</f>
        <v>20</v>
      </c>
      <c r="R8" s="59">
        <f>M!F5*1</f>
        <v>19.255600000000001</v>
      </c>
      <c r="S8" s="59">
        <f>M!G5*1</f>
        <v>50</v>
      </c>
      <c r="T8" s="59">
        <f>M!H5*1</f>
        <v>56.310600000000001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35.634999999999998</v>
      </c>
      <c r="O9" s="59">
        <f>M!C6*1</f>
        <v>2.77075</v>
      </c>
      <c r="P9" s="59">
        <f>M!D6*1</f>
        <v>7.7753500000000004</v>
      </c>
      <c r="Q9" s="59">
        <f>M!E6*1</f>
        <v>20</v>
      </c>
      <c r="R9" s="59">
        <f>M!F6*1</f>
        <v>32.868699999999997</v>
      </c>
      <c r="S9" s="59">
        <f>M!G6*1</f>
        <v>40</v>
      </c>
      <c r="T9" s="59">
        <f>M!H6*1</f>
        <v>43.5227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19.255600000000001</v>
      </c>
      <c r="D10" s="99">
        <f>N8</f>
        <v>42.629600000000003</v>
      </c>
      <c r="E10" s="100">
        <f>T8</f>
        <v>56.310600000000001</v>
      </c>
      <c r="F10" s="91">
        <f>P8</f>
        <v>19.1873</v>
      </c>
      <c r="G10" s="81" t="str">
        <f>CONCATENATE(M9,"
(20 ~ 40)")</f>
        <v>压力
(20 ~ 40)</v>
      </c>
      <c r="H10" s="98">
        <f>R9</f>
        <v>32.868699999999997</v>
      </c>
      <c r="I10" s="108">
        <f>N9</f>
        <v>35.634999999999998</v>
      </c>
      <c r="J10" s="98">
        <f>T9</f>
        <v>43.5227</v>
      </c>
      <c r="K10" s="92">
        <f>P9</f>
        <v>7.7753500000000004</v>
      </c>
      <c r="L10" s="6"/>
      <c r="M10" s="27" t="str">
        <f>lang!B16</f>
        <v>焦虑</v>
      </c>
      <c r="N10" s="59">
        <f>M!B7*1</f>
        <v>26.087299999999999</v>
      </c>
      <c r="O10" s="59">
        <f>M!C7*1</f>
        <v>4.7574100000000001</v>
      </c>
      <c r="P10" s="59">
        <f>M!D7*1</f>
        <v>18.236499999999999</v>
      </c>
      <c r="Q10" s="59">
        <f>M!E7*1</f>
        <v>15</v>
      </c>
      <c r="R10" s="59">
        <f>M!F7*1</f>
        <v>11.5167</v>
      </c>
      <c r="S10" s="59">
        <f>M!G7*1</f>
        <v>40</v>
      </c>
      <c r="T10" s="59">
        <f>M!H7*1</f>
        <v>45.997399999999999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11.5167</v>
      </c>
      <c r="D11" s="102">
        <f>N10</f>
        <v>26.087299999999999</v>
      </c>
      <c r="E11" s="103">
        <f>T10</f>
        <v>45.997399999999999</v>
      </c>
      <c r="F11" s="94">
        <f>P10</f>
        <v>18.236499999999999</v>
      </c>
      <c r="G11" s="52" t="str">
        <f>CONCATENATE(M11,"
(20 ~ 50)")</f>
        <v>可疑
(20 ~ 50)</v>
      </c>
      <c r="H11" s="101">
        <f>R11</f>
        <v>25.0305</v>
      </c>
      <c r="I11" s="104">
        <f>N11</f>
        <v>35.2774</v>
      </c>
      <c r="J11" s="101">
        <f>T11</f>
        <v>40.029600000000002</v>
      </c>
      <c r="K11" s="95">
        <f>P11</f>
        <v>9.0878999999999994</v>
      </c>
      <c r="L11" s="4"/>
      <c r="M11" s="27" t="str">
        <f>lang!B17</f>
        <v>可疑</v>
      </c>
      <c r="N11" s="59">
        <f>M!B8*1</f>
        <v>35.2774</v>
      </c>
      <c r="O11" s="59">
        <f>M!C8*1</f>
        <v>3.2059700000000002</v>
      </c>
      <c r="P11" s="59">
        <f>M!D8*1</f>
        <v>9.0878999999999994</v>
      </c>
      <c r="Q11" s="59">
        <f>M!E8*1</f>
        <v>20</v>
      </c>
      <c r="R11" s="59">
        <f>M!F8*1</f>
        <v>25.0305</v>
      </c>
      <c r="S11" s="59">
        <f>M!G8*1</f>
        <v>50</v>
      </c>
      <c r="T11" s="59">
        <f>M!H8*1</f>
        <v>40.029600000000002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61.349699999999999</v>
      </c>
      <c r="D12" s="104">
        <f>N12</f>
        <v>68.788300000000007</v>
      </c>
      <c r="E12" s="101">
        <f>T12</f>
        <v>82.667000000000002</v>
      </c>
      <c r="F12" s="93">
        <f>P12</f>
        <v>6.6841499999999998</v>
      </c>
      <c r="G12" s="52" t="str">
        <f>CONCATENATE(M13,"
(40 ~ 100)")</f>
        <v>自信
(40 ~ 100)</v>
      </c>
      <c r="H12" s="101">
        <f>R13</f>
        <v>55.636000000000003</v>
      </c>
      <c r="I12" s="104">
        <f>N13</f>
        <v>60.965699999999998</v>
      </c>
      <c r="J12" s="101">
        <f>T13</f>
        <v>75.747399999999999</v>
      </c>
      <c r="K12" s="95">
        <f>P13</f>
        <v>7.9905200000000001</v>
      </c>
      <c r="L12" s="4"/>
      <c r="M12" s="27" t="str">
        <f>lang!B18</f>
        <v>平衡</v>
      </c>
      <c r="N12" s="59">
        <f>M!B9*1</f>
        <v>68.788300000000007</v>
      </c>
      <c r="O12" s="59">
        <f>M!C9*1</f>
        <v>4.5979099999999997</v>
      </c>
      <c r="P12" s="59">
        <f>M!D9*1</f>
        <v>6.6841499999999998</v>
      </c>
      <c r="Q12" s="59">
        <f>M!E9*1</f>
        <v>50</v>
      </c>
      <c r="R12" s="59">
        <f>M!F9*1</f>
        <v>61.349699999999999</v>
      </c>
      <c r="S12" s="59">
        <f>M!G9*1</f>
        <v>100</v>
      </c>
      <c r="T12" s="59">
        <f>M!H9*1</f>
        <v>82.667000000000002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11.0268</v>
      </c>
      <c r="D13" s="102">
        <f>N14</f>
        <v>28.421399999999998</v>
      </c>
      <c r="E13" s="103">
        <f>T14</f>
        <v>36.970599999999997</v>
      </c>
      <c r="F13" s="94">
        <f>P14</f>
        <v>22.789100000000001</v>
      </c>
      <c r="G13" s="52" t="str">
        <f>CONCATENATE(M15,"
(50 ~ 100)")</f>
        <v>自我调节
(50 ~ 100)</v>
      </c>
      <c r="H13" s="101">
        <f>R15</f>
        <v>60.399799999999999</v>
      </c>
      <c r="I13" s="104">
        <f>N15</f>
        <v>65.248000000000005</v>
      </c>
      <c r="J13" s="101">
        <f>T15</f>
        <v>78.813500000000005</v>
      </c>
      <c r="K13" s="95">
        <f>P15</f>
        <v>5.9209800000000001</v>
      </c>
      <c r="L13" s="4"/>
      <c r="M13" s="27" t="str">
        <f>lang!B19</f>
        <v>自信</v>
      </c>
      <c r="N13" s="59">
        <f>M!B10*1</f>
        <v>60.965699999999998</v>
      </c>
      <c r="O13" s="59">
        <f>M!C10*1</f>
        <v>4.87148</v>
      </c>
      <c r="P13" s="59">
        <f>M!D10*1</f>
        <v>7.9905200000000001</v>
      </c>
      <c r="Q13" s="59">
        <f>M!E10*1</f>
        <v>40</v>
      </c>
      <c r="R13" s="59">
        <f>M!F10*1</f>
        <v>55.636000000000003</v>
      </c>
      <c r="S13" s="59">
        <f>M!G10*1</f>
        <v>100</v>
      </c>
      <c r="T13" s="59">
        <f>M!H10*1</f>
        <v>75.747399999999999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14.3291</v>
      </c>
      <c r="D14" s="106">
        <f>N16</f>
        <v>21.162099999999999</v>
      </c>
      <c r="E14" s="107">
        <f>T16</f>
        <v>32.801099999999998</v>
      </c>
      <c r="F14" s="96">
        <f>P16</f>
        <v>16.152200000000001</v>
      </c>
      <c r="G14" s="112" t="str">
        <f>CONCATENATE(M17,"
(10 ~ 50)")</f>
        <v>神经质
(10 ~ 50)</v>
      </c>
      <c r="H14" s="105">
        <f>R17</f>
        <v>2.4430100000000001</v>
      </c>
      <c r="I14" s="106">
        <f>N17</f>
        <v>34.1815</v>
      </c>
      <c r="J14" s="107">
        <f>T17</f>
        <v>48.281599999999997</v>
      </c>
      <c r="K14" s="97">
        <f>P17</f>
        <v>33.7273</v>
      </c>
      <c r="M14" s="27" t="str">
        <f>lang!B20</f>
        <v>活力</v>
      </c>
      <c r="N14" s="59">
        <f>M!B11*1</f>
        <v>28.421399999999998</v>
      </c>
      <c r="O14" s="59">
        <f>M!C11*1</f>
        <v>6.4769899999999998</v>
      </c>
      <c r="P14" s="59">
        <f>M!D11*1</f>
        <v>22.789100000000001</v>
      </c>
      <c r="Q14" s="59">
        <f>M!E11*1</f>
        <v>10</v>
      </c>
      <c r="R14" s="59">
        <f>M!F11*1</f>
        <v>11.0268</v>
      </c>
      <c r="S14" s="59">
        <f>M!G11*1</f>
        <v>50</v>
      </c>
      <c r="T14" s="59">
        <f>M!H11*1</f>
        <v>36.970599999999997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65.248000000000005</v>
      </c>
      <c r="O15" s="59">
        <f>M!C12*1</f>
        <v>3.8633199999999999</v>
      </c>
      <c r="P15" s="59">
        <f>M!D12*1</f>
        <v>5.9209800000000001</v>
      </c>
      <c r="Q15" s="59">
        <f>M!E12*1</f>
        <v>50</v>
      </c>
      <c r="R15" s="59">
        <f>M!F12*1</f>
        <v>60.399799999999999</v>
      </c>
      <c r="S15" s="59">
        <f>M!G12*1</f>
        <v>100</v>
      </c>
      <c r="T15" s="59">
        <f>M!H12*1</f>
        <v>78.813500000000005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21.162099999999999</v>
      </c>
      <c r="O16" s="59">
        <f>M!C13*1</f>
        <v>3.4181499999999998</v>
      </c>
      <c r="P16" s="59">
        <f>M!D13*1</f>
        <v>16.152200000000001</v>
      </c>
      <c r="Q16" s="59">
        <f>M!E13*1</f>
        <v>10</v>
      </c>
      <c r="R16" s="59">
        <f>M!F13*1</f>
        <v>14.3291</v>
      </c>
      <c r="S16" s="59">
        <f>M!G13*1</f>
        <v>25</v>
      </c>
      <c r="T16" s="59">
        <f>M!H13*1</f>
        <v>32.801099999999998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34.1815</v>
      </c>
      <c r="O17" s="59">
        <f>M!C14*1</f>
        <v>11.528499999999999</v>
      </c>
      <c r="P17" s="59">
        <f>M!D14*1</f>
        <v>33.7273</v>
      </c>
      <c r="Q17" s="59">
        <f>M!E14*1</f>
        <v>10</v>
      </c>
      <c r="R17" s="59">
        <f>M!F14*1</f>
        <v>2.4430100000000001</v>
      </c>
      <c r="S17" s="59">
        <f>M!G14*1</f>
        <v>50</v>
      </c>
      <c r="T17" s="59">
        <f>M!H14*1</f>
        <v>48.281599999999997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55.855850000000004</v>
      </c>
      <c r="O18" s="22">
        <f>N18/(N18+N19+N20)</f>
        <v>0.47161617588047788</v>
      </c>
      <c r="P18" s="65">
        <f>SUM(P12:P15)/4</f>
        <v>10.846187499999999</v>
      </c>
      <c r="Q18" s="22">
        <f>P18/(P18+P19+P20)</f>
        <v>0.219746615016502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34.907325</v>
      </c>
      <c r="O19" s="22">
        <f>N19/(N18+N19+N20)</f>
        <v>0.29473831526540195</v>
      </c>
      <c r="P19" s="18">
        <f>SUM(P8:P11)/4</f>
        <v>13.5717625</v>
      </c>
      <c r="Q19" s="22">
        <f>P19/(P18+P19+P20)</f>
        <v>0.2749674822773347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27.671799999999998</v>
      </c>
      <c r="O20" s="22">
        <f>N20/(N18+N19+N20)</f>
        <v>0.23364550885412014</v>
      </c>
      <c r="P20" s="18">
        <f>(P16+P17)/2</f>
        <v>24.93975</v>
      </c>
      <c r="Q20" s="22">
        <f>P20/(P18+P19+P20)</f>
        <v>0.50528590270616347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0.16851428378378402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1.9656438132978751</v>
      </c>
      <c r="D25" s="44" t="str">
        <f>lang!B11</f>
        <v>频率方差</v>
      </c>
      <c r="E25" s="142">
        <f ca="1">FH!L3</f>
        <v>0.67191556809547115</v>
      </c>
      <c r="F25" s="143"/>
      <c r="G25" s="134" t="str">
        <f>lang!B12</f>
        <v>生理变化率</v>
      </c>
      <c r="H25" s="135"/>
      <c r="I25" s="62" t="str">
        <f ca="1">CONCATENATE(info!M7,"-",info!M8)</f>
        <v>32.9-55.2</v>
      </c>
      <c r="J25" s="42" t="str">
        <f>lang!B13</f>
        <v>千卡l/分钟</v>
      </c>
      <c r="K25" s="41" t="str">
        <f ca="1">CONCATENATE(info!M5,"-",info!M6)</f>
        <v>2.5-4.9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36.086600000000004</v>
      </c>
      <c r="F28" s="164"/>
      <c r="G28" s="178" t="str">
        <f>lang!B33</f>
        <v>稳定性</v>
      </c>
      <c r="H28" s="179"/>
      <c r="I28" s="180"/>
      <c r="J28" s="181">
        <f>M!B19*100</f>
        <v>42.578099999999999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43621.389837962961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-4.8082000000000065</v>
      </c>
      <c r="O7" s="59">
        <f t="shared" ref="O7:T7" si="2">AG7-X7</f>
        <v>-5.0713400000000002</v>
      </c>
      <c r="P7" s="59">
        <f t="shared" si="2"/>
        <v>-9.7497999999999987</v>
      </c>
      <c r="Q7" s="59">
        <f t="shared" si="2"/>
        <v>0</v>
      </c>
      <c r="R7" s="59">
        <f t="shared" si="2"/>
        <v>14.4711</v>
      </c>
      <c r="S7" s="59">
        <f t="shared" si="2"/>
        <v>0</v>
      </c>
      <c r="T7" s="59">
        <f t="shared" si="2"/>
        <v>-4.1223000000000027</v>
      </c>
      <c r="U7" s="14"/>
      <c r="V7" s="27" t="str">
        <f>M7</f>
        <v>攻击性</v>
      </c>
      <c r="W7" s="59">
        <f>'M1'!B5*1</f>
        <v>45.704300000000003</v>
      </c>
      <c r="X7" s="59">
        <f>'M1'!C5*1</f>
        <v>10.303900000000001</v>
      </c>
      <c r="Y7" s="59">
        <f>'M1'!D5*1</f>
        <v>22.544599999999999</v>
      </c>
      <c r="Z7" s="59">
        <f>'M1'!E5*1</f>
        <v>20</v>
      </c>
      <c r="AA7" s="59">
        <f>'M1'!F5*1</f>
        <v>19.255600000000001</v>
      </c>
      <c r="AB7" s="59">
        <f>'M1'!G5*1</f>
        <v>50</v>
      </c>
      <c r="AC7" s="59">
        <f>'M1'!H5*1</f>
        <v>56.310600000000001</v>
      </c>
      <c r="AE7" s="27" t="str">
        <f>V7</f>
        <v>攻击性</v>
      </c>
      <c r="AF7" s="59">
        <f>'M2'!B5*1</f>
        <v>40.896099999999997</v>
      </c>
      <c r="AG7" s="59">
        <f>'M2'!C5*1</f>
        <v>5.2325600000000003</v>
      </c>
      <c r="AH7" s="59">
        <f>'M2'!D5*1</f>
        <v>12.7948</v>
      </c>
      <c r="AI7" s="59">
        <f>'M2'!E5*1</f>
        <v>20</v>
      </c>
      <c r="AJ7" s="59">
        <f>'M2'!F5*1</f>
        <v>33.726700000000001</v>
      </c>
      <c r="AK7" s="59">
        <f>'M2'!G5*1</f>
        <v>50</v>
      </c>
      <c r="AL7" s="59">
        <f>'M2'!H5*1</f>
        <v>52.188299999999998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-1.4613999999999976</v>
      </c>
      <c r="O8" s="59">
        <f t="shared" ref="O8:O16" si="5">AG8-X8</f>
        <v>0.38100999999999985</v>
      </c>
      <c r="P8" s="59">
        <f t="shared" ref="P8:P16" si="6">AH8-Y8</f>
        <v>1.3687100000000001</v>
      </c>
      <c r="Q8" s="59">
        <f t="shared" ref="Q8:Q16" si="7">AI8-Z8</f>
        <v>0</v>
      </c>
      <c r="R8" s="59">
        <f t="shared" ref="R8:R16" si="8">AJ8-AA8</f>
        <v>0.68590000000000373</v>
      </c>
      <c r="S8" s="59">
        <f t="shared" ref="S8:S16" si="9">AK8-AB8</f>
        <v>0</v>
      </c>
      <c r="T8" s="59">
        <f t="shared" ref="T8:T16" si="10">AL8-AC8</f>
        <v>3.2680999999999969</v>
      </c>
      <c r="U8" s="15"/>
      <c r="V8" s="27" t="str">
        <f t="shared" ref="V8:V16" si="11">M8</f>
        <v>压力</v>
      </c>
      <c r="W8" s="59">
        <f>'M1'!B6*1</f>
        <v>36.734699999999997</v>
      </c>
      <c r="X8" s="59">
        <f>'M1'!C6*1</f>
        <v>2.55836</v>
      </c>
      <c r="Y8" s="59">
        <f>'M1'!D6*1</f>
        <v>6.9644300000000001</v>
      </c>
      <c r="Z8" s="59">
        <f>'M1'!E6*1</f>
        <v>20</v>
      </c>
      <c r="AA8" s="59">
        <f>'M1'!F6*1</f>
        <v>32.868699999999997</v>
      </c>
      <c r="AB8" s="59">
        <f>'M1'!G6*1</f>
        <v>40</v>
      </c>
      <c r="AC8" s="59">
        <f>'M1'!H6*1</f>
        <v>40.254600000000003</v>
      </c>
      <c r="AE8" s="27" t="str">
        <f t="shared" ref="AE8:AE16" si="12">V8</f>
        <v>压力</v>
      </c>
      <c r="AF8" s="59">
        <f>'M2'!B6*1</f>
        <v>35.273299999999999</v>
      </c>
      <c r="AG8" s="59">
        <f>'M2'!C6*1</f>
        <v>2.9393699999999998</v>
      </c>
      <c r="AH8" s="59">
        <f>'M2'!D6*1</f>
        <v>8.3331400000000002</v>
      </c>
      <c r="AI8" s="59">
        <f>'M2'!E6*1</f>
        <v>20</v>
      </c>
      <c r="AJ8" s="59">
        <f>'M2'!F6*1</f>
        <v>33.554600000000001</v>
      </c>
      <c r="AK8" s="59">
        <f>'M2'!G6*1</f>
        <v>40</v>
      </c>
      <c r="AL8" s="59">
        <f>'M2'!H6*1</f>
        <v>43.5227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14.4711</v>
      </c>
      <c r="D9" s="78">
        <f>N7</f>
        <v>-4.8082000000000065</v>
      </c>
      <c r="E9" s="79">
        <f>T7</f>
        <v>-4.1223000000000027</v>
      </c>
      <c r="F9" s="79">
        <f>P7</f>
        <v>-9.7497999999999987</v>
      </c>
      <c r="G9" s="80" t="str">
        <f>CONCATENATE(M8,"
(20 ~ 40)")</f>
        <v>压力
(20 ~ 40)</v>
      </c>
      <c r="H9" s="77">
        <f>R8</f>
        <v>0.68590000000000373</v>
      </c>
      <c r="I9" s="81">
        <f>N8</f>
        <v>-1.4613999999999976</v>
      </c>
      <c r="J9" s="77">
        <f>T8</f>
        <v>3.2680999999999969</v>
      </c>
      <c r="K9" s="82">
        <f>P8</f>
        <v>1.3687100000000001</v>
      </c>
      <c r="L9" s="6"/>
      <c r="M9" s="27" t="str">
        <f>lang!B16</f>
        <v>焦虑</v>
      </c>
      <c r="N9" s="59">
        <f t="shared" si="4"/>
        <v>4.0414999999999992</v>
      </c>
      <c r="O9" s="59">
        <f t="shared" si="5"/>
        <v>0.40433000000000074</v>
      </c>
      <c r="P9" s="59">
        <f t="shared" si="6"/>
        <v>-1.0631000000000022</v>
      </c>
      <c r="Q9" s="59">
        <f t="shared" si="7"/>
        <v>0</v>
      </c>
      <c r="R9" s="59">
        <f t="shared" si="8"/>
        <v>5.1993000000000009</v>
      </c>
      <c r="S9" s="59">
        <f t="shared" si="9"/>
        <v>0</v>
      </c>
      <c r="T9" s="59">
        <f t="shared" si="10"/>
        <v>11.558999999999997</v>
      </c>
      <c r="U9" s="14"/>
      <c r="V9" s="27" t="str">
        <f t="shared" si="11"/>
        <v>焦虑</v>
      </c>
      <c r="W9" s="59">
        <f>'M1'!B7*1</f>
        <v>23.995000000000001</v>
      </c>
      <c r="X9" s="59">
        <f>'M1'!C7*1</f>
        <v>4.1700999999999997</v>
      </c>
      <c r="Y9" s="59">
        <f>'M1'!D7*1</f>
        <v>17.379100000000001</v>
      </c>
      <c r="Z9" s="59">
        <f>'M1'!E7*1</f>
        <v>15</v>
      </c>
      <c r="AA9" s="59">
        <f>'M1'!F7*1</f>
        <v>11.5167</v>
      </c>
      <c r="AB9" s="59">
        <f>'M1'!G7*1</f>
        <v>40</v>
      </c>
      <c r="AC9" s="59">
        <f>'M1'!H7*1</f>
        <v>34.438400000000001</v>
      </c>
      <c r="AE9" s="27" t="str">
        <f t="shared" si="12"/>
        <v>焦虑</v>
      </c>
      <c r="AF9" s="59">
        <f>'M2'!B7*1</f>
        <v>28.0365</v>
      </c>
      <c r="AG9" s="59">
        <f>'M2'!C7*1</f>
        <v>4.5744300000000004</v>
      </c>
      <c r="AH9" s="59">
        <f>'M2'!D7*1</f>
        <v>16.315999999999999</v>
      </c>
      <c r="AI9" s="59">
        <f>'M2'!E7*1</f>
        <v>15</v>
      </c>
      <c r="AJ9" s="59">
        <f>'M2'!F7*1</f>
        <v>16.716000000000001</v>
      </c>
      <c r="AK9" s="59">
        <f>'M2'!G7*1</f>
        <v>40</v>
      </c>
      <c r="AL9" s="59">
        <f>'M2'!H7*1</f>
        <v>45.997399999999999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5.1993000000000009</v>
      </c>
      <c r="D10" s="51">
        <f>N9</f>
        <v>4.0414999999999992</v>
      </c>
      <c r="E10" s="53">
        <f>T9</f>
        <v>11.558999999999997</v>
      </c>
      <c r="F10" s="53">
        <f>P9</f>
        <v>-1.0631000000000022</v>
      </c>
      <c r="G10" s="73" t="str">
        <f>CONCATENATE(M10,"
(20 ~ 50)")</f>
        <v>可疑
(20 ~ 50)</v>
      </c>
      <c r="H10" s="24">
        <f>R10</f>
        <v>7.6425000000000018</v>
      </c>
      <c r="I10" s="52">
        <f>N10</f>
        <v>0.28370000000000317</v>
      </c>
      <c r="J10" s="24">
        <f>T10</f>
        <v>-2.3547000000000011</v>
      </c>
      <c r="K10" s="25">
        <f>P10</f>
        <v>-8.6406400000000012</v>
      </c>
      <c r="L10" s="4"/>
      <c r="M10" s="27" t="str">
        <f>lang!B17</f>
        <v>可疑</v>
      </c>
      <c r="N10" s="59">
        <f t="shared" si="4"/>
        <v>0.28370000000000317</v>
      </c>
      <c r="O10" s="59">
        <f t="shared" si="5"/>
        <v>-3.0291699999999997</v>
      </c>
      <c r="P10" s="59">
        <f t="shared" si="6"/>
        <v>-8.6406400000000012</v>
      </c>
      <c r="Q10" s="59">
        <f t="shared" si="7"/>
        <v>0</v>
      </c>
      <c r="R10" s="59">
        <f t="shared" si="8"/>
        <v>7.6425000000000018</v>
      </c>
      <c r="S10" s="59">
        <f t="shared" si="9"/>
        <v>0</v>
      </c>
      <c r="T10" s="59">
        <f t="shared" si="10"/>
        <v>-2.3547000000000011</v>
      </c>
      <c r="U10" s="14"/>
      <c r="V10" s="27" t="str">
        <f t="shared" si="11"/>
        <v>可疑</v>
      </c>
      <c r="W10" s="59">
        <f>'M1'!B8*1</f>
        <v>35.1708</v>
      </c>
      <c r="X10" s="59">
        <f>'M1'!C8*1</f>
        <v>4.2544199999999996</v>
      </c>
      <c r="Y10" s="59">
        <f>'M1'!D8*1</f>
        <v>12.096500000000001</v>
      </c>
      <c r="Z10" s="59">
        <f>'M1'!E8*1</f>
        <v>20</v>
      </c>
      <c r="AA10" s="59">
        <f>'M1'!F8*1</f>
        <v>25.0305</v>
      </c>
      <c r="AB10" s="59">
        <f>'M1'!G8*1</f>
        <v>50</v>
      </c>
      <c r="AC10" s="59">
        <f>'M1'!H8*1</f>
        <v>40.029600000000002</v>
      </c>
      <c r="AE10" s="27" t="str">
        <f t="shared" si="12"/>
        <v>可疑</v>
      </c>
      <c r="AF10" s="59">
        <f>'M2'!B8*1</f>
        <v>35.454500000000003</v>
      </c>
      <c r="AG10" s="59">
        <f>'M2'!C8*1</f>
        <v>1.22525</v>
      </c>
      <c r="AH10" s="59">
        <f>'M2'!D8*1</f>
        <v>3.4558599999999999</v>
      </c>
      <c r="AI10" s="59">
        <f>'M2'!E8*1</f>
        <v>20</v>
      </c>
      <c r="AJ10" s="59">
        <f>'M2'!F8*1</f>
        <v>32.673000000000002</v>
      </c>
      <c r="AK10" s="59">
        <f>'M2'!G8*1</f>
        <v>50</v>
      </c>
      <c r="AL10" s="59">
        <f>'M2'!H8*1</f>
        <v>37.674900000000001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-0.31510000000000105</v>
      </c>
      <c r="D11" s="52">
        <f>N11</f>
        <v>-2.6514999999999986</v>
      </c>
      <c r="E11" s="24">
        <f>T11</f>
        <v>-7.0169999999999959</v>
      </c>
      <c r="F11" s="24">
        <f>P11</f>
        <v>-2.2154699999999998</v>
      </c>
      <c r="G11" s="73" t="str">
        <f>CONCATENATE(M12,"
(40 ~ 100)")</f>
        <v>自信
(40 ~ 100)</v>
      </c>
      <c r="H11" s="24">
        <f>R12</f>
        <v>-4.7650999999999968</v>
      </c>
      <c r="I11" s="52">
        <f>N12</f>
        <v>-6.221100000000007</v>
      </c>
      <c r="J11" s="24">
        <f>T12</f>
        <v>-12.525700000000001</v>
      </c>
      <c r="K11" s="25">
        <f>P12</f>
        <v>-4.1684200000000002</v>
      </c>
      <c r="L11" s="4"/>
      <c r="M11" s="27" t="str">
        <f>lang!B18</f>
        <v>平衡</v>
      </c>
      <c r="N11" s="59">
        <f t="shared" si="4"/>
        <v>-2.6514999999999986</v>
      </c>
      <c r="O11" s="59">
        <f t="shared" si="5"/>
        <v>-1.6914200000000004</v>
      </c>
      <c r="P11" s="59">
        <f t="shared" si="6"/>
        <v>-2.2154699999999998</v>
      </c>
      <c r="Q11" s="59">
        <f t="shared" si="7"/>
        <v>0</v>
      </c>
      <c r="R11" s="59">
        <f t="shared" si="8"/>
        <v>-0.31510000000000105</v>
      </c>
      <c r="S11" s="59">
        <f t="shared" si="9"/>
        <v>0</v>
      </c>
      <c r="T11" s="59">
        <f t="shared" si="10"/>
        <v>-7.0169999999999959</v>
      </c>
      <c r="U11" s="14"/>
      <c r="V11" s="27" t="str">
        <f t="shared" si="11"/>
        <v>平衡</v>
      </c>
      <c r="W11" s="59">
        <f>'M1'!B9*1</f>
        <v>70.472899999999996</v>
      </c>
      <c r="X11" s="59">
        <f>'M1'!C9*1</f>
        <v>5.0195800000000004</v>
      </c>
      <c r="Y11" s="59">
        <f>'M1'!D9*1</f>
        <v>7.1227099999999997</v>
      </c>
      <c r="Z11" s="59">
        <f>'M1'!E9*1</f>
        <v>50</v>
      </c>
      <c r="AA11" s="59">
        <f>'M1'!F9*1</f>
        <v>61.6648</v>
      </c>
      <c r="AB11" s="59">
        <f>'M1'!G9*1</f>
        <v>100</v>
      </c>
      <c r="AC11" s="59">
        <f>'M1'!H9*1</f>
        <v>82.667000000000002</v>
      </c>
      <c r="AE11" s="27" t="str">
        <f t="shared" si="12"/>
        <v>平衡</v>
      </c>
      <c r="AF11" s="59">
        <f>'M2'!B9*1</f>
        <v>67.821399999999997</v>
      </c>
      <c r="AG11" s="59">
        <f>'M2'!C9*1</f>
        <v>3.32816</v>
      </c>
      <c r="AH11" s="59">
        <f>'M2'!D9*1</f>
        <v>4.9072399999999998</v>
      </c>
      <c r="AI11" s="59">
        <f>'M2'!E9*1</f>
        <v>50</v>
      </c>
      <c r="AJ11" s="59">
        <f>'M2'!F9*1</f>
        <v>61.349699999999999</v>
      </c>
      <c r="AK11" s="59">
        <f>'M2'!G9*1</f>
        <v>100</v>
      </c>
      <c r="AL11" s="59">
        <f>'M2'!H9*1</f>
        <v>75.650000000000006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12.472600000000002</v>
      </c>
      <c r="D12" s="51">
        <f>N13</f>
        <v>0.85100000000000264</v>
      </c>
      <c r="E12" s="53">
        <f>T13</f>
        <v>-1.9623999999999953</v>
      </c>
      <c r="F12" s="53">
        <f>P13</f>
        <v>-17.628800000000002</v>
      </c>
      <c r="G12" s="73" t="str">
        <f>CONCATENATE(M14,"
(50 ~ 100)")</f>
        <v>自我调节
(50 ~ 100)</v>
      </c>
      <c r="H12" s="24">
        <f>R14</f>
        <v>-1.5662999999999982</v>
      </c>
      <c r="I12" s="52">
        <f>N14</f>
        <v>-4.0516999999999967</v>
      </c>
      <c r="J12" s="24">
        <f>T14</f>
        <v>-11.472800000000007</v>
      </c>
      <c r="K12" s="25">
        <f>P14</f>
        <v>-3.1535199999999999</v>
      </c>
      <c r="L12" s="4"/>
      <c r="M12" s="27" t="str">
        <f>lang!B19</f>
        <v>自信</v>
      </c>
      <c r="N12" s="59">
        <f t="shared" si="4"/>
        <v>-6.221100000000007</v>
      </c>
      <c r="O12" s="59">
        <f t="shared" si="5"/>
        <v>-2.9204599999999994</v>
      </c>
      <c r="P12" s="59">
        <f t="shared" si="6"/>
        <v>-4.1684200000000002</v>
      </c>
      <c r="Q12" s="59">
        <f t="shared" si="7"/>
        <v>0</v>
      </c>
      <c r="R12" s="59">
        <f t="shared" si="8"/>
        <v>-4.7650999999999968</v>
      </c>
      <c r="S12" s="59">
        <f t="shared" si="9"/>
        <v>0</v>
      </c>
      <c r="T12" s="59">
        <f t="shared" si="10"/>
        <v>-12.525700000000001</v>
      </c>
      <c r="U12" s="15"/>
      <c r="V12" s="27" t="str">
        <f t="shared" si="11"/>
        <v>自信</v>
      </c>
      <c r="W12" s="59">
        <f>'M1'!B10*1</f>
        <v>66.129000000000005</v>
      </c>
      <c r="X12" s="59">
        <f>'M1'!C10*1</f>
        <v>4.4990699999999997</v>
      </c>
      <c r="Y12" s="59">
        <f>'M1'!D10*1</f>
        <v>6.8034800000000004</v>
      </c>
      <c r="Z12" s="59">
        <f>'M1'!E10*1</f>
        <v>40</v>
      </c>
      <c r="AA12" s="59">
        <f>'M1'!F10*1</f>
        <v>60.4011</v>
      </c>
      <c r="AB12" s="59">
        <f>'M1'!G10*1</f>
        <v>100</v>
      </c>
      <c r="AC12" s="59">
        <f>'M1'!H10*1</f>
        <v>75.747399999999999</v>
      </c>
      <c r="AE12" s="27" t="str">
        <f t="shared" si="12"/>
        <v>自信</v>
      </c>
      <c r="AF12" s="59">
        <f>'M2'!B10*1</f>
        <v>59.907899999999998</v>
      </c>
      <c r="AG12" s="59">
        <f>'M2'!C10*1</f>
        <v>1.5786100000000001</v>
      </c>
      <c r="AH12" s="59">
        <f>'M2'!D10*1</f>
        <v>2.6350600000000002</v>
      </c>
      <c r="AI12" s="59">
        <f>'M2'!E10*1</f>
        <v>40</v>
      </c>
      <c r="AJ12" s="59">
        <f>'M2'!F10*1</f>
        <v>55.636000000000003</v>
      </c>
      <c r="AK12" s="59">
        <f>'M2'!G10*1</f>
        <v>100</v>
      </c>
      <c r="AL12" s="59">
        <f>'M2'!H10*1</f>
        <v>63.221699999999998</v>
      </c>
    </row>
    <row r="13" spans="2:38" ht="25.5" customHeight="1" thickBot="1">
      <c r="B13" s="72" t="str">
        <f>CONCATENATE(M15,"
(10 ~ 25)")</f>
        <v>抑郁
(10 ~ 25)</v>
      </c>
      <c r="C13" s="54">
        <f>R15</f>
        <v>-2.8489000000000004</v>
      </c>
      <c r="D13" s="55">
        <f>N15</f>
        <v>-3.9544999999999995</v>
      </c>
      <c r="E13" s="56">
        <f>T15</f>
        <v>-4.1480999999999995</v>
      </c>
      <c r="F13" s="56">
        <f>P15</f>
        <v>1.3453999999999997</v>
      </c>
      <c r="G13" s="74" t="str">
        <f>CONCATENATE(M16,"
(10 ~ 50)")</f>
        <v>神经质
(10 ~ 50)</v>
      </c>
      <c r="H13" s="54">
        <f>R16</f>
        <v>0.29550999999999972</v>
      </c>
      <c r="I13" s="55">
        <f>N16</f>
        <v>-2.3062000000000005</v>
      </c>
      <c r="J13" s="56">
        <f>T16</f>
        <v>-12.482699999999994</v>
      </c>
      <c r="K13" s="57">
        <f>P16</f>
        <v>9.6567999999999969</v>
      </c>
      <c r="M13" s="27" t="str">
        <f>lang!B20</f>
        <v>活力</v>
      </c>
      <c r="N13" s="59">
        <f t="shared" si="4"/>
        <v>0.85100000000000264</v>
      </c>
      <c r="O13" s="59">
        <f t="shared" si="5"/>
        <v>-4.8547799999999999</v>
      </c>
      <c r="P13" s="59">
        <f t="shared" si="6"/>
        <v>-17.628800000000002</v>
      </c>
      <c r="Q13" s="59">
        <f t="shared" si="7"/>
        <v>0</v>
      </c>
      <c r="R13" s="59">
        <f t="shared" si="8"/>
        <v>12.472600000000002</v>
      </c>
      <c r="S13" s="59">
        <f t="shared" si="9"/>
        <v>0</v>
      </c>
      <c r="T13" s="59">
        <f t="shared" si="10"/>
        <v>-1.9623999999999953</v>
      </c>
      <c r="U13" s="14"/>
      <c r="V13" s="27" t="str">
        <f t="shared" si="11"/>
        <v>活力</v>
      </c>
      <c r="W13" s="59">
        <f>'M1'!B11*1</f>
        <v>28.107099999999999</v>
      </c>
      <c r="X13" s="59">
        <f>'M1'!C11*1</f>
        <v>8.2627199999999998</v>
      </c>
      <c r="Y13" s="59">
        <f>'M1'!D11*1</f>
        <v>29.397300000000001</v>
      </c>
      <c r="Z13" s="59">
        <f>'M1'!E11*1</f>
        <v>10</v>
      </c>
      <c r="AA13" s="59">
        <f>'M1'!F11*1</f>
        <v>11.0268</v>
      </c>
      <c r="AB13" s="59">
        <f>'M1'!G11*1</f>
        <v>50</v>
      </c>
      <c r="AC13" s="59">
        <f>'M1'!H11*1</f>
        <v>36.970599999999997</v>
      </c>
      <c r="AE13" s="27" t="str">
        <f t="shared" si="12"/>
        <v>活力</v>
      </c>
      <c r="AF13" s="59">
        <f>'M2'!B11*1</f>
        <v>28.958100000000002</v>
      </c>
      <c r="AG13" s="59">
        <f>'M2'!C11*1</f>
        <v>3.40794</v>
      </c>
      <c r="AH13" s="59">
        <f>'M2'!D11*1</f>
        <v>11.7685</v>
      </c>
      <c r="AI13" s="59">
        <f>'M2'!E11*1</f>
        <v>10</v>
      </c>
      <c r="AJ13" s="59">
        <f>'M2'!F11*1</f>
        <v>23.499400000000001</v>
      </c>
      <c r="AK13" s="59">
        <f>'M2'!G11*1</f>
        <v>50</v>
      </c>
      <c r="AL13" s="59">
        <f>'M2'!H11*1</f>
        <v>35.008200000000002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-4.0516999999999967</v>
      </c>
      <c r="O14" s="59">
        <f t="shared" si="5"/>
        <v>-2.2267599999999996</v>
      </c>
      <c r="P14" s="59">
        <f t="shared" si="6"/>
        <v>-3.1535199999999999</v>
      </c>
      <c r="Q14" s="59">
        <f t="shared" si="7"/>
        <v>0</v>
      </c>
      <c r="R14" s="59">
        <f t="shared" si="8"/>
        <v>-1.5662999999999982</v>
      </c>
      <c r="S14" s="59">
        <f t="shared" si="9"/>
        <v>0</v>
      </c>
      <c r="T14" s="59">
        <f t="shared" si="10"/>
        <v>-11.472800000000007</v>
      </c>
      <c r="U14" s="14"/>
      <c r="V14" s="27" t="str">
        <f t="shared" si="11"/>
        <v>自我调节</v>
      </c>
      <c r="W14" s="59">
        <f>'M1'!B12*1</f>
        <v>67.556399999999996</v>
      </c>
      <c r="X14" s="59">
        <f>'M1'!C12*1</f>
        <v>3.7370299999999999</v>
      </c>
      <c r="Y14" s="59">
        <f>'M1'!D12*1</f>
        <v>5.53172</v>
      </c>
      <c r="Z14" s="59">
        <f>'M1'!E12*1</f>
        <v>50</v>
      </c>
      <c r="AA14" s="59">
        <f>'M1'!F12*1</f>
        <v>61.966099999999997</v>
      </c>
      <c r="AB14" s="59">
        <f>'M1'!G12*1</f>
        <v>100</v>
      </c>
      <c r="AC14" s="59">
        <f>'M1'!H12*1</f>
        <v>78.813500000000005</v>
      </c>
      <c r="AE14" s="27" t="str">
        <f t="shared" si="12"/>
        <v>自我调节</v>
      </c>
      <c r="AF14" s="59">
        <f>'M2'!B12*1</f>
        <v>63.5047</v>
      </c>
      <c r="AG14" s="59">
        <f>'M2'!C12*1</f>
        <v>1.51027</v>
      </c>
      <c r="AH14" s="59">
        <f>'M2'!D12*1</f>
        <v>2.3782000000000001</v>
      </c>
      <c r="AI14" s="59">
        <f>'M2'!E12*1</f>
        <v>50</v>
      </c>
      <c r="AJ14" s="59">
        <f>'M2'!F12*1</f>
        <v>60.399799999999999</v>
      </c>
      <c r="AK14" s="59">
        <f>'M2'!G12*1</f>
        <v>100</v>
      </c>
      <c r="AL14" s="59">
        <f>'M2'!H12*1</f>
        <v>67.340699999999998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-3.9544999999999995</v>
      </c>
      <c r="O15" s="59">
        <f t="shared" si="5"/>
        <v>-0.23062000000000005</v>
      </c>
      <c r="P15" s="59">
        <f t="shared" si="6"/>
        <v>1.3453999999999997</v>
      </c>
      <c r="Q15" s="59">
        <f t="shared" si="7"/>
        <v>0</v>
      </c>
      <c r="R15" s="59">
        <f t="shared" si="8"/>
        <v>-2.8489000000000004</v>
      </c>
      <c r="S15" s="59">
        <f t="shared" si="9"/>
        <v>0</v>
      </c>
      <c r="T15" s="59">
        <f t="shared" si="10"/>
        <v>-4.1480999999999995</v>
      </c>
      <c r="U15" s="14"/>
      <c r="V15" s="27" t="str">
        <f t="shared" si="11"/>
        <v>抑郁</v>
      </c>
      <c r="W15" s="59">
        <f>'M1'!B13*1</f>
        <v>23.5258</v>
      </c>
      <c r="X15" s="59">
        <f>'M1'!C13*1</f>
        <v>2.93852</v>
      </c>
      <c r="Y15" s="59">
        <f>'M1'!D13*1</f>
        <v>12.4907</v>
      </c>
      <c r="Z15" s="59">
        <f>'M1'!E13*1</f>
        <v>10</v>
      </c>
      <c r="AA15" s="59">
        <f>'M1'!F13*1</f>
        <v>17.178000000000001</v>
      </c>
      <c r="AB15" s="59">
        <f>'M1'!G13*1</f>
        <v>25</v>
      </c>
      <c r="AC15" s="59">
        <f>'M1'!H13*1</f>
        <v>32.801099999999998</v>
      </c>
      <c r="AE15" s="27" t="str">
        <f t="shared" si="12"/>
        <v>抑郁</v>
      </c>
      <c r="AF15" s="59">
        <f>'M2'!B13*1</f>
        <v>19.571300000000001</v>
      </c>
      <c r="AG15" s="59">
        <f>'M2'!C13*1</f>
        <v>2.7079</v>
      </c>
      <c r="AH15" s="59">
        <f>'M2'!D13*1</f>
        <v>13.8361</v>
      </c>
      <c r="AI15" s="59">
        <f>'M2'!E13*1</f>
        <v>10</v>
      </c>
      <c r="AJ15" s="59">
        <f>'M2'!F13*1</f>
        <v>14.3291</v>
      </c>
      <c r="AK15" s="59">
        <f>'M2'!G13*1</f>
        <v>25</v>
      </c>
      <c r="AL15" s="59">
        <f>'M2'!H13*1</f>
        <v>28.652999999999999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-2.3062000000000005</v>
      </c>
      <c r="O16" s="59">
        <f t="shared" si="5"/>
        <v>1.7947000000000006</v>
      </c>
      <c r="P16" s="59">
        <f t="shared" si="6"/>
        <v>9.6567999999999969</v>
      </c>
      <c r="Q16" s="59">
        <f t="shared" si="7"/>
        <v>0</v>
      </c>
      <c r="R16" s="59">
        <f t="shared" si="8"/>
        <v>0.29550999999999972</v>
      </c>
      <c r="S16" s="59">
        <f t="shared" si="9"/>
        <v>0</v>
      </c>
      <c r="T16" s="59">
        <f t="shared" si="10"/>
        <v>-12.482699999999994</v>
      </c>
      <c r="U16" s="15"/>
      <c r="V16" s="27" t="str">
        <f t="shared" si="11"/>
        <v>神经质</v>
      </c>
      <c r="W16" s="59">
        <f>'M1'!B14*1</f>
        <v>29.385200000000001</v>
      </c>
      <c r="X16" s="59">
        <f>'M1'!C14*1</f>
        <v>10.452199999999999</v>
      </c>
      <c r="Y16" s="59">
        <f>'M1'!D14*1</f>
        <v>35.569600000000001</v>
      </c>
      <c r="Z16" s="59">
        <f>'M1'!E14*1</f>
        <v>10</v>
      </c>
      <c r="AA16" s="59">
        <f>'M1'!F14*1</f>
        <v>2.4430100000000001</v>
      </c>
      <c r="AB16" s="59">
        <f>'M1'!G14*1</f>
        <v>50</v>
      </c>
      <c r="AC16" s="59">
        <f>'M1'!H14*1</f>
        <v>48.281599999999997</v>
      </c>
      <c r="AE16" s="27" t="str">
        <f t="shared" si="12"/>
        <v>神经质</v>
      </c>
      <c r="AF16" s="59">
        <f>'M2'!B14*1</f>
        <v>27.079000000000001</v>
      </c>
      <c r="AG16" s="59">
        <f>'M2'!C14*1</f>
        <v>12.2469</v>
      </c>
      <c r="AH16" s="59">
        <f>'M2'!D14*1</f>
        <v>45.226399999999998</v>
      </c>
      <c r="AI16" s="59">
        <f>'M2'!E14*1</f>
        <v>10</v>
      </c>
      <c r="AJ16" s="59">
        <f>'M2'!F14*1</f>
        <v>2.7385199999999998</v>
      </c>
      <c r="AK16" s="59">
        <f>'M2'!G14*1</f>
        <v>50</v>
      </c>
      <c r="AL16" s="59">
        <f>'M2'!H14*1</f>
        <v>35.798900000000003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-3.0183249999999999</v>
      </c>
      <c r="O17" s="22">
        <f>N17/(N17+N18+N19)</f>
        <v>0.45492499745658288</v>
      </c>
      <c r="P17" s="65">
        <f>SUM(P11:P14)/4</f>
        <v>-6.7915525000000008</v>
      </c>
      <c r="Q17" s="22">
        <f>P17/(P17+P18+P19)</f>
        <v>1.1686080224927125</v>
      </c>
      <c r="R17" s="14"/>
      <c r="S17" s="14"/>
      <c r="T17" s="14"/>
      <c r="U17" s="14"/>
      <c r="V17" s="21" t="str">
        <f>M17</f>
        <v>Positive</v>
      </c>
      <c r="W17" s="65">
        <f>SUM(W11:W14)/4</f>
        <v>58.06635</v>
      </c>
      <c r="X17" s="22">
        <f>W17/(W17+W18+W19)</f>
        <v>0.48419674116026901</v>
      </c>
      <c r="Y17" s="65">
        <f>SUM(Y11:Y14)/4</f>
        <v>12.2138025</v>
      </c>
      <c r="Z17" s="22">
        <f>Y17/(Y17+Y18+Y19)</f>
        <v>0.23953277410070306</v>
      </c>
      <c r="AA17" s="14"/>
      <c r="AB17" s="14"/>
      <c r="AC17" s="14"/>
      <c r="AE17" s="21" t="str">
        <f>V17</f>
        <v>Positive</v>
      </c>
      <c r="AF17" s="65">
        <f>SUM(AF11:AF14)/4</f>
        <v>55.048024999999996</v>
      </c>
      <c r="AG17" s="22">
        <f>AF17/(AF17+AF18+AF19)</f>
        <v>0.48591105301938792</v>
      </c>
      <c r="AH17" s="65">
        <f>SUM(AH11:AH14)/4</f>
        <v>5.42225</v>
      </c>
      <c r="AI17" s="22">
        <f>AH17/(AH17+AH18+AH19)</f>
        <v>0.12001850439756123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-0.48610000000000042</v>
      </c>
      <c r="O18" s="22">
        <f>N18/(N17+N18+N19)</f>
        <v>7.3265483757927047E-2</v>
      </c>
      <c r="P18" s="18">
        <f>SUM(P7:P10)/4</f>
        <v>-4.5212075000000009</v>
      </c>
      <c r="Q18" s="22">
        <f>P18/(P17+P18+P19)</f>
        <v>0.77795457752174058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35.401200000000003</v>
      </c>
      <c r="X18" s="22">
        <f>W18/(W17+W18+W19)</f>
        <v>0.29519929654891203</v>
      </c>
      <c r="Y18" s="18">
        <f>SUM(Y7:Y10)/4</f>
        <v>14.746157500000001</v>
      </c>
      <c r="Z18" s="22">
        <f>Y18/(Y17+Y18+Y19)</f>
        <v>0.28919642456154732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34.915100000000002</v>
      </c>
      <c r="AG18" s="22">
        <f>AF18/(AF17+AF18+AF19)</f>
        <v>0.30819694271097342</v>
      </c>
      <c r="AH18" s="18">
        <f>SUM(AH7:AH10)/4</f>
        <v>10.22495</v>
      </c>
      <c r="AI18" s="22">
        <f>AH18/(AH17+AH18+AH19)</f>
        <v>0.22632361225318709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-3.13035</v>
      </c>
      <c r="O19" s="22">
        <f>N19/(N17+N18+N19)</f>
        <v>0.47180951878549005</v>
      </c>
      <c r="P19" s="18">
        <f>(P15+P16)/2</f>
        <v>5.5010999999999983</v>
      </c>
      <c r="Q19" s="22">
        <f>P19/(P17+P18+P19)</f>
        <v>-0.94656260001445303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26.455500000000001</v>
      </c>
      <c r="X19" s="22">
        <f>W19/(W17+W18+W19)</f>
        <v>0.22060396229081899</v>
      </c>
      <c r="Y19" s="18">
        <f>(Y15+Y16)/2</f>
        <v>24.030149999999999</v>
      </c>
      <c r="Z19" s="22">
        <f>Y19/(Y17+Y18+Y19)</f>
        <v>0.47127080133774957</v>
      </c>
      <c r="AA19" s="14"/>
      <c r="AB19" s="14"/>
      <c r="AC19" s="14"/>
      <c r="AE19" s="21" t="str">
        <f t="shared" si="14"/>
        <v>Physiological</v>
      </c>
      <c r="AF19" s="18">
        <f>(AF15+AF16)/2</f>
        <v>23.325150000000001</v>
      </c>
      <c r="AG19" s="22">
        <f>AF19/(AF17+AF18+AF19)</f>
        <v>0.20589200426963869</v>
      </c>
      <c r="AH19" s="18">
        <f>(AH15+AH16)/2</f>
        <v>29.53125</v>
      </c>
      <c r="AI19" s="22">
        <f>AH19/(AH17+AH18+AH19)</f>
        <v>0.65365788334925168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1.97/1.97</v>
      </c>
      <c r="D24" s="44" t="str">
        <f>lang!B11</f>
        <v>频率方差</v>
      </c>
      <c r="E24" s="142" t="str">
        <f ca="1">CONCATENATE(ROUND('FH1'!L3,2),"/",ROUND('FH2'!L3,2))</f>
        <v>0.76/0.58</v>
      </c>
      <c r="F24" s="143"/>
      <c r="G24" s="134" t="str">
        <f>lang!B12</f>
        <v>生理变化率</v>
      </c>
      <c r="H24" s="135"/>
      <c r="I24" s="62" t="str">
        <f ca="1">CONCATENATE(info!M7,"-",info!M8)</f>
        <v>32.9-55.2</v>
      </c>
      <c r="J24" s="42" t="str">
        <f>lang!B13</f>
        <v>千卡l/分钟</v>
      </c>
      <c r="K24" s="41" t="str">
        <f ca="1">CONCATENATE(info!M5,"-",info!M6)</f>
        <v>2.5-4.9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-24.836800000000004</v>
      </c>
      <c r="F27" s="164"/>
      <c r="G27" s="178" t="str">
        <f>lang!B33</f>
        <v>稳定性</v>
      </c>
      <c r="H27" s="179"/>
      <c r="I27" s="180"/>
      <c r="J27" s="181">
        <f>dM!B19*100</f>
        <v>-10.225299999999999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-0.80639505309523707</v>
      </c>
      <c r="C2">
        <f t="array" aca="1" ref="C2" ca="1">CORREL(FT_E02,FT_PH02)</f>
        <v>-0.98967001494666962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2.4964400000000002</v>
      </c>
      <c r="G2" s="61">
        <f>IF(FT!B2&lt;&gt;"",FT!B2*100,"")</f>
        <v>50.843400000000003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2.5545</v>
      </c>
      <c r="G3" s="61">
        <f>IF(FT!B3&lt;&gt;"",FT!B3*100,"")</f>
        <v>49.811100000000003</v>
      </c>
      <c r="H3" s="61">
        <f t="shared" ref="H3:H66" si="1">(IF(F3&lt;&gt;"",1,""))</f>
        <v>1</v>
      </c>
      <c r="I3" t="str">
        <f>IF(FT!B3&lt;&gt;"",FT!E3,"")</f>
        <v>1 [0.408650]</v>
      </c>
      <c r="J3">
        <f>IF(FT!B3&lt;&gt;"",FT!C3,"")</f>
        <v>0.40865000000000001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0.35820890540540523</v>
      </c>
      <c r="V3">
        <f ca="1">AVERAGE(OFFSET(FT!B2,info!$L$3/2,0,info!$L$3/2,1))</f>
        <v>0.48883931081081083</v>
      </c>
      <c r="W3">
        <f ca="1">AVERAGE(OFFSET(FT!A2,0,0,info!$L$3/2,1))</f>
        <v>0.41448021621621617</v>
      </c>
      <c r="X3">
        <f ca="1">AVERAGE(OFFSET(FT!A2,info!$L$3/2,0,info!$L$3/2,1))</f>
        <v>0.37659633783783775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2.6159300000000001</v>
      </c>
      <c r="G4" s="61">
        <f>IF(FT!B4&lt;&gt;"",FT!B4*100,"")</f>
        <v>48.622799999999998</v>
      </c>
      <c r="H4" s="61">
        <f t="shared" si="1"/>
        <v>1</v>
      </c>
      <c r="I4" t="str">
        <f>IF(FT!B4&lt;&gt;"",FT!E4,"")</f>
        <v>1 [0.813418]</v>
      </c>
      <c r="J4">
        <f>IF(FT!B4&lt;&gt;"",FT!C4,"")</f>
        <v>0.81341799999999997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14.938974999999999</v>
      </c>
      <c r="V4">
        <f>U4*3</f>
        <v>44.816924999999998</v>
      </c>
      <c r="W4">
        <f>U4</f>
        <v>14.938974999999999</v>
      </c>
      <c r="X4">
        <f>V4</f>
        <v>44.816924999999998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2.6804000000000001</v>
      </c>
      <c r="G5" s="61">
        <f>IF(FT!B5&lt;&gt;"",FT!B5*100,"")</f>
        <v>47.459299999999999</v>
      </c>
      <c r="H5" s="61">
        <f t="shared" si="1"/>
        <v>1</v>
      </c>
      <c r="I5" t="str">
        <f>IF(FT!B5&lt;&gt;"",FT!E5,"")</f>
        <v>1 [1.219468]</v>
      </c>
      <c r="J5">
        <f>IF(FT!B5&lt;&gt;"",FT!C5,"")</f>
        <v>1.2194700000000001</v>
      </c>
      <c r="K5" t="s">
        <v>53</v>
      </c>
      <c r="L5" s="63">
        <f ca="1">MIN(FT_E)</f>
        <v>2.4964400000000002</v>
      </c>
      <c r="M5" s="63">
        <f ca="1">ROUND(L5,1)</f>
        <v>2.5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35.820890540540525</v>
      </c>
      <c r="V5">
        <f ca="1">V3*100</f>
        <v>48.88393108108108</v>
      </c>
      <c r="W5">
        <f ca="1">W3*10</f>
        <v>4.1448021621621614</v>
      </c>
      <c r="X5">
        <f ca="1">X3*10</f>
        <v>3.7659633783783777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2.7461200000000003</v>
      </c>
      <c r="G6" s="61">
        <f>IF(FT!B6&lt;&gt;"",FT!B6*100,"")</f>
        <v>46.316299999999998</v>
      </c>
      <c r="H6" s="61">
        <f t="shared" si="1"/>
        <v>1</v>
      </c>
      <c r="I6" t="str">
        <f>IF(FT!B6&lt;&gt;"",FT!E6,"")</f>
        <v>1 [1.628998]</v>
      </c>
      <c r="J6">
        <f>IF(FT!B6&lt;&gt;"",FT!C6,"")</f>
        <v>1.629</v>
      </c>
      <c r="K6" t="s">
        <v>54</v>
      </c>
      <c r="L6" s="63">
        <f ca="1">MAX(FT_E)</f>
        <v>4.8610300000000004</v>
      </c>
      <c r="M6" s="63">
        <f ca="1">ROUND(L6,1)</f>
        <v>4.9000000000000004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2.81047</v>
      </c>
      <c r="G7" s="61">
        <f>IF(FT!B7&lt;&gt;"",FT!B7*100,"")</f>
        <v>45.257599999999996</v>
      </c>
      <c r="H7" s="61">
        <f t="shared" si="1"/>
        <v>1</v>
      </c>
      <c r="I7" t="str">
        <f>IF(FT!B7&lt;&gt;"",FT!E7,"")</f>
        <v>1 [2.033199]</v>
      </c>
      <c r="J7">
        <f>IF(FT!B7&lt;&gt;"",FT!C7,"")</f>
        <v>2.0331999999999999</v>
      </c>
      <c r="K7" t="s">
        <v>55</v>
      </c>
      <c r="L7" s="63">
        <f ca="1">MIN(FT_PH)</f>
        <v>32.850299999999997</v>
      </c>
      <c r="M7" s="63">
        <f ca="1">ROUND(L7,1)</f>
        <v>32.9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8116</v>
      </c>
      <c r="D8" s="61">
        <f>FH!B8*1</f>
        <v>8116</v>
      </c>
      <c r="E8">
        <f t="shared" si="3"/>
        <v>6</v>
      </c>
      <c r="F8" s="61">
        <f>IF(FT!A8&lt;&gt;"",FT!A8*10,"")</f>
        <v>2.8785799999999999</v>
      </c>
      <c r="G8" s="61">
        <f>IF(FT!B8&lt;&gt;"",FT!B8*100,"")</f>
        <v>44.078899999999997</v>
      </c>
      <c r="H8" s="61">
        <f t="shared" si="1"/>
        <v>1</v>
      </c>
      <c r="I8" t="str">
        <f>IF(FT!B8&lt;&gt;"",FT!E8,"")</f>
        <v>1 [2.437874]</v>
      </c>
      <c r="J8">
        <f>IF(FT!B8&lt;&gt;"",FT!C8,"")</f>
        <v>2.4378700000000002</v>
      </c>
      <c r="K8" t="s">
        <v>56</v>
      </c>
      <c r="L8" s="63">
        <f ca="1">MAX(FT_PH)</f>
        <v>55.1554</v>
      </c>
      <c r="M8" s="63">
        <f ca="1">ROUND(L8,1)</f>
        <v>55.2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2.9477700000000002</v>
      </c>
      <c r="G9" s="61">
        <f>IF(FT!B9&lt;&gt;"",FT!B9*100,"")</f>
        <v>42.860599999999998</v>
      </c>
      <c r="H9" s="61">
        <f t="shared" si="1"/>
        <v>1</v>
      </c>
      <c r="I9" t="str">
        <f>IF(FT!B9&lt;&gt;"",FT!E9,"")</f>
        <v>1 [2.843228]</v>
      </c>
      <c r="J9">
        <f>IF(FT!B9&lt;&gt;"",FT!C9,"")</f>
        <v>2.8432300000000001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7233</v>
      </c>
      <c r="D10" s="61">
        <f>FH!B10*1</f>
        <v>7233</v>
      </c>
      <c r="E10">
        <f t="shared" si="3"/>
        <v>8</v>
      </c>
      <c r="F10" s="61">
        <f>IF(FT!A10&lt;&gt;"",FT!A10*10,"")</f>
        <v>3.01661</v>
      </c>
      <c r="G10" s="61">
        <f>IF(FT!B10&lt;&gt;"",FT!B10*100,"")</f>
        <v>41.646699999999996</v>
      </c>
      <c r="H10" s="61">
        <f t="shared" si="1"/>
        <v>1</v>
      </c>
      <c r="I10" t="str">
        <f>IF(FT!B10&lt;&gt;"",FT!E10,"")</f>
        <v>1 [3.248999]</v>
      </c>
      <c r="J10">
        <f>IF(FT!B10&lt;&gt;"",FT!C10,"")</f>
        <v>3.2490000000000001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3.0870199999999999</v>
      </c>
      <c r="G11" s="61">
        <f>IF(FT!B11&lt;&gt;"",FT!B11*100,"")</f>
        <v>40.357999999999997</v>
      </c>
      <c r="H11" s="61">
        <f t="shared" si="1"/>
        <v>1</v>
      </c>
      <c r="I11" t="str">
        <f>IF(FT!B11&lt;&gt;"",FT!E11,"")</f>
        <v>1 [3.657751]</v>
      </c>
      <c r="J11">
        <f>IF(FT!B11&lt;&gt;"",FT!C11,"")</f>
        <v>3.6577500000000001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3.1540600000000003</v>
      </c>
      <c r="G12" s="61">
        <f>IF(FT!B12&lt;&gt;"",FT!B12*100,"")</f>
        <v>39.108499999999999</v>
      </c>
      <c r="H12" s="61">
        <f t="shared" si="1"/>
        <v>1</v>
      </c>
      <c r="I12" t="str">
        <f>IF(FT!B12&lt;&gt;"",FT!E12,"")</f>
        <v>1 [4.068413]</v>
      </c>
      <c r="J12">
        <f>IF(FT!B12&lt;&gt;"",FT!C12,"")</f>
        <v>4.0684100000000001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13024</v>
      </c>
      <c r="D13" s="61">
        <f>FH!B13*1</f>
        <v>13024</v>
      </c>
      <c r="E13">
        <f t="shared" si="3"/>
        <v>11</v>
      </c>
      <c r="F13" s="61">
        <f>IF(FT!A13&lt;&gt;"",FT!A13*10,"")</f>
        <v>3.2182399999999998</v>
      </c>
      <c r="G13" s="61">
        <f>IF(FT!B13&lt;&gt;"",FT!B13*100,"")</f>
        <v>38.091299999999997</v>
      </c>
      <c r="H13" s="61">
        <f t="shared" si="1"/>
        <v>1</v>
      </c>
      <c r="I13" t="str">
        <f>IF(FT!B13&lt;&gt;"",FT!E13,"")</f>
        <v>1 [4.471425]</v>
      </c>
      <c r="J13">
        <f>IF(FT!B13&lt;&gt;"",FT!C13,"")</f>
        <v>4.4714299999999998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3.2812400000000004</v>
      </c>
      <c r="G14" s="61">
        <f>IF(FT!B14&lt;&gt;"",FT!B14*100,"")</f>
        <v>37.2273</v>
      </c>
      <c r="H14" s="61">
        <f t="shared" si="1"/>
        <v>1</v>
      </c>
      <c r="I14" t="str">
        <f>IF(FT!B14&lt;&gt;"",FT!E14,"")</f>
        <v>1 [4.875452]</v>
      </c>
      <c r="J14">
        <f>IF(FT!B14&lt;&gt;"",FT!C14,"")</f>
        <v>4.8754499999999998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14838</v>
      </c>
      <c r="D15" s="61">
        <f>FH!B15*1</f>
        <v>14838</v>
      </c>
      <c r="E15">
        <f t="shared" si="3"/>
        <v>13</v>
      </c>
      <c r="F15" s="61">
        <f>IF(FT!A15&lt;&gt;"",FT!A15*10,"")</f>
        <v>3.3438400000000001</v>
      </c>
      <c r="G15" s="61">
        <f>IF(FT!B15&lt;&gt;"",FT!B15*100,"")</f>
        <v>36.4724</v>
      </c>
      <c r="H15" s="61">
        <f t="shared" si="1"/>
        <v>1</v>
      </c>
      <c r="I15" t="str">
        <f>IF(FT!B15&lt;&gt;"",FT!E15,"")</f>
        <v>1 [5.281307]</v>
      </c>
      <c r="J15">
        <f>IF(FT!B15&lt;&gt;"",FT!C15,"")</f>
        <v>5.2813100000000004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3.4059499999999998</v>
      </c>
      <c r="G16" s="61">
        <f>IF(FT!B16&lt;&gt;"",FT!B16*100,"")</f>
        <v>35.789900000000003</v>
      </c>
      <c r="H16" s="61">
        <f t="shared" si="1"/>
        <v>1</v>
      </c>
      <c r="I16" t="str">
        <f>IF(FT!B16&lt;&gt;"",FT!E16,"")</f>
        <v>1 [5.688804]</v>
      </c>
      <c r="J16">
        <f>IF(FT!B16&lt;&gt;"",FT!C16,"")</f>
        <v>5.6887999999999996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3.4694700000000003</v>
      </c>
      <c r="G17" s="61">
        <f>IF(FT!B17&lt;&gt;"",FT!B17*100,"")</f>
        <v>35.174299999999995</v>
      </c>
      <c r="H17" s="61">
        <f t="shared" si="1"/>
        <v>1</v>
      </c>
      <c r="I17" t="str">
        <f>IF(FT!B17&lt;&gt;"",FT!E17,"")</f>
        <v>1 [6.097383]</v>
      </c>
      <c r="J17">
        <f>IF(FT!B17&lt;&gt;"",FT!C17,"")</f>
        <v>6.0973800000000002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14570</v>
      </c>
      <c r="D18" s="61">
        <f>FH!B18*1</f>
        <v>14570</v>
      </c>
      <c r="E18">
        <f t="shared" si="3"/>
        <v>16</v>
      </c>
      <c r="F18" s="61">
        <f>IF(FT!A18&lt;&gt;"",FT!A18*10,"")</f>
        <v>3.5329100000000002</v>
      </c>
      <c r="G18" s="61">
        <f>IF(FT!B18&lt;&gt;"",FT!B18*100,"")</f>
        <v>34.629599999999996</v>
      </c>
      <c r="H18" s="61">
        <f t="shared" si="1"/>
        <v>1</v>
      </c>
      <c r="I18" t="str">
        <f>IF(FT!B18&lt;&gt;"",FT!E18,"")</f>
        <v>1 [6.503351]</v>
      </c>
      <c r="J18">
        <f>IF(FT!B18&lt;&gt;"",FT!C18,"")</f>
        <v>6.5033500000000002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3.5946400000000001</v>
      </c>
      <c r="G19" s="61">
        <f>IF(FT!B19&lt;&gt;"",FT!B19*100,"")</f>
        <v>34.177800000000005</v>
      </c>
      <c r="H19" s="61">
        <f t="shared" si="1"/>
        <v>1</v>
      </c>
      <c r="I19" t="str">
        <f>IF(FT!B19&lt;&gt;"",FT!E19,"")</f>
        <v>1 [6.907189]</v>
      </c>
      <c r="J19">
        <f>IF(FT!B19&lt;&gt;"",FT!C19,"")</f>
        <v>6.9071899999999999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3.6551299999999998</v>
      </c>
      <c r="G20" s="61">
        <f>IF(FT!B20&lt;&gt;"",FT!B20*100,"")</f>
        <v>33.815400000000004</v>
      </c>
      <c r="H20" s="61">
        <f t="shared" si="1"/>
        <v>1</v>
      </c>
      <c r="I20" t="str">
        <f>IF(FT!B20&lt;&gt;"",FT!E20,"")</f>
        <v>1 [7.312341]</v>
      </c>
      <c r="J20">
        <f>IF(FT!B20&lt;&gt;"",FT!C20,"")</f>
        <v>7.3123399999999998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19479</v>
      </c>
      <c r="D21" s="61">
        <f>FH!B21*1</f>
        <v>19479</v>
      </c>
      <c r="E21">
        <f t="shared" si="3"/>
        <v>19</v>
      </c>
      <c r="F21" s="61">
        <f>IF(FT!A21&lt;&gt;"",FT!A21*10,"")</f>
        <v>3.7130000000000001</v>
      </c>
      <c r="G21" s="61">
        <f>IF(FT!B21&lt;&gt;"",FT!B21*100,"")</f>
        <v>33.600499999999997</v>
      </c>
      <c r="H21" s="61">
        <f t="shared" si="1"/>
        <v>1</v>
      </c>
      <c r="I21" t="str">
        <f>IF(FT!B21&lt;&gt;"",FT!E21,"")</f>
        <v>1 [7.721529]</v>
      </c>
      <c r="J21">
        <f>IF(FT!B21&lt;&gt;"",FT!C21,"")</f>
        <v>7.7215299999999996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3.7673399999999999</v>
      </c>
      <c r="G22" s="61">
        <f>IF(FT!B22&lt;&gt;"",FT!B22*100,"")</f>
        <v>33.532699999999998</v>
      </c>
      <c r="H22" s="61">
        <f t="shared" si="1"/>
        <v>1</v>
      </c>
      <c r="I22" t="str">
        <f>IF(FT!B22&lt;&gt;"",FT!E22,"")</f>
        <v>1 [8.125358]</v>
      </c>
      <c r="J22">
        <f>IF(FT!B22&lt;&gt;"",FT!C22,"")</f>
        <v>8.1253600000000006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18609</v>
      </c>
      <c r="D23" s="61">
        <f>FH!B23*1</f>
        <v>18609</v>
      </c>
      <c r="E23">
        <f t="shared" si="3"/>
        <v>21</v>
      </c>
      <c r="F23" s="61">
        <f>IF(FT!A23&lt;&gt;"",FT!A23*10,"")</f>
        <v>3.8199100000000001</v>
      </c>
      <c r="G23" s="61">
        <f>IF(FT!B23&lt;&gt;"",FT!B23*100,"")</f>
        <v>33.551400000000001</v>
      </c>
      <c r="H23" s="61">
        <f t="shared" si="1"/>
        <v>1</v>
      </c>
      <c r="I23" t="str">
        <f>IF(FT!B23&lt;&gt;"",FT!E23,"")</f>
        <v>1 [8.532286]</v>
      </c>
      <c r="J23">
        <f>IF(FT!B23&lt;&gt;"",FT!C23,"")</f>
        <v>8.5322899999999997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3.8719799999999998</v>
      </c>
      <c r="G24" s="61">
        <f>IF(FT!B24&lt;&gt;"",FT!B24*100,"")</f>
        <v>33.61</v>
      </c>
      <c r="H24" s="61">
        <f t="shared" si="1"/>
        <v>1</v>
      </c>
      <c r="I24" t="str">
        <f>IF(FT!B24&lt;&gt;"",FT!E24,"")</f>
        <v>1 [8.940743]</v>
      </c>
      <c r="J24">
        <f>IF(FT!B24&lt;&gt;"",FT!C24,"")</f>
        <v>8.9407399999999999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3.9210699999999998</v>
      </c>
      <c r="G25" s="61">
        <f>IF(FT!B25&lt;&gt;"",FT!B25*100,"")</f>
        <v>33.734900000000003</v>
      </c>
      <c r="H25" s="61">
        <f t="shared" si="1"/>
        <v>1</v>
      </c>
      <c r="I25" t="str">
        <f>IF(FT!B25&lt;&gt;"",FT!E25,"")</f>
        <v>1 [9.346169]</v>
      </c>
      <c r="J25">
        <f>IF(FT!B25&lt;&gt;"",FT!C25,"")</f>
        <v>9.3461700000000008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19228</v>
      </c>
      <c r="D26" s="61">
        <f>FH!B26*1</f>
        <v>19228</v>
      </c>
      <c r="E26">
        <f t="shared" si="3"/>
        <v>24</v>
      </c>
      <c r="F26" s="61">
        <f>IF(FT!A26&lt;&gt;"",FT!A26*10,"")</f>
        <v>3.96915</v>
      </c>
      <c r="G26" s="61">
        <f>IF(FT!B26&lt;&gt;"",FT!B26*100,"")</f>
        <v>33.808100000000003</v>
      </c>
      <c r="H26" s="61">
        <f t="shared" si="1"/>
        <v>1</v>
      </c>
      <c r="I26" t="str">
        <f>IF(FT!B26&lt;&gt;"",FT!E26,"")</f>
        <v>1 [9.752312]</v>
      </c>
      <c r="J26">
        <f>IF(FT!B26&lt;&gt;"",FT!C26,"")</f>
        <v>9.7523099999999996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4.0186899999999994</v>
      </c>
      <c r="G27" s="61">
        <f>IF(FT!B27&lt;&gt;"",FT!B27*100,"")</f>
        <v>33.852600000000002</v>
      </c>
      <c r="H27" s="61">
        <f t="shared" si="1"/>
        <v>1</v>
      </c>
      <c r="I27" t="str">
        <f>IF(FT!B27&lt;&gt;"",FT!E27,"")</f>
        <v>1 [10.157977]</v>
      </c>
      <c r="J27">
        <f>IF(FT!B27&lt;&gt;"",FT!C27,"")</f>
        <v>10.157999999999999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21276</v>
      </c>
      <c r="D28" s="61">
        <f>FH!B28*1</f>
        <v>21276</v>
      </c>
      <c r="E28">
        <f t="shared" si="3"/>
        <v>26</v>
      </c>
      <c r="F28" s="61">
        <f>IF(FT!A28&lt;&gt;"",FT!A28*10,"")</f>
        <v>4.0652300000000006</v>
      </c>
      <c r="G28" s="61">
        <f>IF(FT!B28&lt;&gt;"",FT!B28*100,"")</f>
        <v>33.870600000000003</v>
      </c>
      <c r="H28" s="61">
        <f t="shared" si="1"/>
        <v>1</v>
      </c>
      <c r="I28" t="str">
        <f>IF(FT!B28&lt;&gt;"",FT!E28,"")</f>
        <v>1 [10.563922]</v>
      </c>
      <c r="J28">
        <f>IF(FT!B28&lt;&gt;"",FT!C28,"")</f>
        <v>10.5639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4.1055999999999999</v>
      </c>
      <c r="G29" s="61">
        <f>IF(FT!B29&lt;&gt;"",FT!B29*100,"")</f>
        <v>33.9343</v>
      </c>
      <c r="H29" s="61">
        <f t="shared" si="1"/>
        <v>1</v>
      </c>
      <c r="I29" t="str">
        <f>IF(FT!B29&lt;&gt;"",FT!E29,"")</f>
        <v>1 [10.971783]</v>
      </c>
      <c r="J29">
        <f>IF(FT!B29&lt;&gt;"",FT!C29,"")</f>
        <v>10.9718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4.1471099999999996</v>
      </c>
      <c r="G30" s="61">
        <f>IF(FT!B30&lt;&gt;"",FT!B30*100,"")</f>
        <v>33.940799999999996</v>
      </c>
      <c r="H30" s="61">
        <f t="shared" si="1"/>
        <v>1</v>
      </c>
      <c r="I30" t="str">
        <f>IF(FT!B30&lt;&gt;"",FT!E30,"")</f>
        <v>1 [11.378358]</v>
      </c>
      <c r="J30">
        <f>IF(FT!B30&lt;&gt;"",FT!C30,"")</f>
        <v>11.378399999999999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25683</v>
      </c>
      <c r="D31" s="61">
        <f>FH!B31*1</f>
        <v>25683</v>
      </c>
      <c r="E31">
        <f t="shared" si="3"/>
        <v>29</v>
      </c>
      <c r="F31" s="61">
        <f>IF(FT!A31&lt;&gt;"",FT!A31*10,"")</f>
        <v>4.1897500000000001</v>
      </c>
      <c r="G31" s="61">
        <f>IF(FT!B31&lt;&gt;"",FT!B31*100,"")</f>
        <v>33.978999999999999</v>
      </c>
      <c r="H31" s="61">
        <f t="shared" si="1"/>
        <v>1</v>
      </c>
      <c r="I31" t="str">
        <f>IF(FT!B31&lt;&gt;"",FT!E31,"")</f>
        <v>1 [11.782884]</v>
      </c>
      <c r="J31">
        <f>IF(FT!B31&lt;&gt;"",FT!C31,"")</f>
        <v>11.7829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4.23576</v>
      </c>
      <c r="G32" s="61">
        <f>IF(FT!B32&lt;&gt;"",FT!B32*100,"")</f>
        <v>33.944400000000002</v>
      </c>
      <c r="H32" s="61">
        <f t="shared" si="1"/>
        <v>1</v>
      </c>
      <c r="I32" t="str">
        <f>IF(FT!B32&lt;&gt;"",FT!E32,"")</f>
        <v>1 [12.188322]</v>
      </c>
      <c r="J32">
        <f>IF(FT!B32&lt;&gt;"",FT!C32,"")</f>
        <v>12.1883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27811</v>
      </c>
      <c r="D33" s="61">
        <f>FH!B33*1</f>
        <v>27811</v>
      </c>
      <c r="E33">
        <f t="shared" si="3"/>
        <v>31</v>
      </c>
      <c r="F33" s="61">
        <f>IF(FT!A33&lt;&gt;"",FT!A33*10,"")</f>
        <v>4.2828600000000003</v>
      </c>
      <c r="G33" s="61">
        <f>IF(FT!B33&lt;&gt;"",FT!B33*100,"")</f>
        <v>33.728299999999997</v>
      </c>
      <c r="H33" s="61">
        <f t="shared" si="1"/>
        <v>1</v>
      </c>
      <c r="I33" t="str">
        <f>IF(FT!B33&lt;&gt;"",FT!E33,"")</f>
        <v>1 [12.595678]</v>
      </c>
      <c r="J33">
        <f>IF(FT!B33&lt;&gt;"",FT!C33,"")</f>
        <v>12.595700000000001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4.3310900000000006</v>
      </c>
      <c r="G34" s="61">
        <f>IF(FT!B34&lt;&gt;"",FT!B34*100,"")</f>
        <v>33.503399999999999</v>
      </c>
      <c r="H34" s="61">
        <f t="shared" si="1"/>
        <v>1</v>
      </c>
      <c r="I34" t="str">
        <f>IF(FT!B34&lt;&gt;"",FT!E34,"")</f>
        <v>1 [13.002593]</v>
      </c>
      <c r="J34">
        <f>IF(FT!B34&lt;&gt;"",FT!C34,"")</f>
        <v>13.002599999999999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4.3761799999999997</v>
      </c>
      <c r="G35" s="61">
        <f>IF(FT!B35&lt;&gt;"",FT!B35*100,"")</f>
        <v>33.236499999999999</v>
      </c>
      <c r="H35" s="61">
        <f t="shared" si="1"/>
        <v>1</v>
      </c>
      <c r="I35" t="str">
        <f>IF(FT!B35&lt;&gt;"",FT!E35,"")</f>
        <v>1 [13.408998]</v>
      </c>
      <c r="J35">
        <f>IF(FT!B35&lt;&gt;"",FT!C35,"")</f>
        <v>13.409000000000001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38110</v>
      </c>
      <c r="D36" s="61">
        <f>FH!B36*1</f>
        <v>38110</v>
      </c>
      <c r="E36">
        <f t="shared" si="3"/>
        <v>34</v>
      </c>
      <c r="F36" s="61">
        <f>IF(FT!A36&lt;&gt;"",FT!A36*10,"")</f>
        <v>4.4198599999999999</v>
      </c>
      <c r="G36" s="61">
        <f>IF(FT!B36&lt;&gt;"",FT!B36*100,"")</f>
        <v>32.992800000000003</v>
      </c>
      <c r="H36" s="61">
        <f t="shared" si="1"/>
        <v>1</v>
      </c>
      <c r="I36" t="str">
        <f>IF(FT!B36&lt;&gt;"",FT!E36,"")</f>
        <v>1 [13.814442]</v>
      </c>
      <c r="J36">
        <f>IF(FT!B36&lt;&gt;"",FT!C36,"")</f>
        <v>13.814399999999999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4.4611200000000002</v>
      </c>
      <c r="G37" s="61">
        <f>IF(FT!B37&lt;&gt;"",FT!B37*100,"")</f>
        <v>32.9268</v>
      </c>
      <c r="H37" s="61">
        <f t="shared" si="1"/>
        <v>1</v>
      </c>
      <c r="I37" t="str">
        <f>IF(FT!B37&lt;&gt;"",FT!E37,"")</f>
        <v>1 [14.220778]</v>
      </c>
      <c r="J37">
        <f>IF(FT!B37&lt;&gt;"",FT!C37,"")</f>
        <v>14.220800000000001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4.4997300000000005</v>
      </c>
      <c r="G38" s="61">
        <f>IF(FT!B38&lt;&gt;"",FT!B38*100,"")</f>
        <v>32.916899999999998</v>
      </c>
      <c r="H38" s="61">
        <f t="shared" si="1"/>
        <v>1</v>
      </c>
      <c r="I38" t="str">
        <f>IF(FT!B38&lt;&gt;"",FT!E38,"")</f>
        <v>1 [14.623375]</v>
      </c>
      <c r="J38">
        <f>IF(FT!B38&lt;&gt;"",FT!C38,"")</f>
        <v>14.6234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45441</v>
      </c>
      <c r="D39" s="61">
        <f>FH!B39*1</f>
        <v>45441</v>
      </c>
      <c r="E39">
        <f t="shared" si="3"/>
        <v>37</v>
      </c>
      <c r="F39" s="61">
        <f>IF(FT!A39&lt;&gt;"",FT!A39*10,"")</f>
        <v>4.53559</v>
      </c>
      <c r="G39" s="61">
        <f>IF(FT!B39&lt;&gt;"",FT!B39*100,"")</f>
        <v>32.881599999999999</v>
      </c>
      <c r="H39" s="61">
        <f t="shared" si="1"/>
        <v>1</v>
      </c>
      <c r="I39" t="str">
        <f>IF(FT!B39&lt;&gt;"",FT!E39,"")</f>
        <v>1 [15.031710]</v>
      </c>
      <c r="J39">
        <f>IF(FT!B39&lt;&gt;"",FT!C39,"")</f>
        <v>15.031700000000001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4.5702999999999996</v>
      </c>
      <c r="G40" s="61">
        <f>IF(FT!B40&lt;&gt;"",FT!B40*100,"")</f>
        <v>32.879000000000005</v>
      </c>
      <c r="H40" s="61">
        <f t="shared" si="1"/>
        <v>1</v>
      </c>
      <c r="I40" t="str">
        <f>IF(FT!B40&lt;&gt;"",FT!E40,"")</f>
        <v>1 [15.437810]</v>
      </c>
      <c r="J40">
        <f>IF(FT!B40&lt;&gt;"",FT!C40,"")</f>
        <v>15.437799999999999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48750</v>
      </c>
      <c r="D41" s="61">
        <f>FH!B41*1</f>
        <v>48750</v>
      </c>
      <c r="E41">
        <f t="shared" si="3"/>
        <v>39</v>
      </c>
      <c r="F41" s="61">
        <f>IF(FT!A41&lt;&gt;"",FT!A41*10,"")</f>
        <v>4.60527</v>
      </c>
      <c r="G41" s="61">
        <f>IF(FT!B41&lt;&gt;"",FT!B41*100,"")</f>
        <v>32.8842</v>
      </c>
      <c r="H41" s="61">
        <f t="shared" si="1"/>
        <v>1</v>
      </c>
      <c r="I41" t="str">
        <f>IF(FT!B41&lt;&gt;"",FT!E41,"")</f>
        <v>1 [15.845205]</v>
      </c>
      <c r="J41">
        <f>IF(FT!B41&lt;&gt;"",FT!C41,"")</f>
        <v>15.8452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4.6384799999999995</v>
      </c>
      <c r="G42" s="61">
        <f>IF(FT!B42&lt;&gt;"",FT!B42*100,"")</f>
        <v>32.8598</v>
      </c>
      <c r="H42" s="61">
        <f t="shared" si="1"/>
        <v>1</v>
      </c>
      <c r="I42" t="str">
        <f>IF(FT!B42&lt;&gt;"",FT!E42,"")</f>
        <v>1 [16.250862]</v>
      </c>
      <c r="J42">
        <f>IF(FT!B42&lt;&gt;"",FT!C42,"")</f>
        <v>16.250900000000001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4.6668399999999997</v>
      </c>
      <c r="G43" s="61">
        <f>IF(FT!B43&lt;&gt;"",FT!B43*100,"")</f>
        <v>32.850299999999997</v>
      </c>
      <c r="H43" s="61">
        <f t="shared" si="1"/>
        <v>1</v>
      </c>
      <c r="I43" t="str">
        <f>IF(FT!B43&lt;&gt;"",FT!E43,"")</f>
        <v>1 [16.655675]</v>
      </c>
      <c r="J43">
        <f>IF(FT!B43&lt;&gt;"",FT!C43,"")</f>
        <v>16.6557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52727</v>
      </c>
      <c r="D44" s="61">
        <f>FH!B44*1</f>
        <v>52727</v>
      </c>
      <c r="E44">
        <f t="shared" si="3"/>
        <v>42</v>
      </c>
      <c r="F44" s="61">
        <f>IF(FT!A44&lt;&gt;"",FT!A44*10,"")</f>
        <v>4.6901799999999998</v>
      </c>
      <c r="G44" s="61">
        <f>IF(FT!B44&lt;&gt;"",FT!B44*100,"")</f>
        <v>32.898600000000002</v>
      </c>
      <c r="H44" s="61">
        <f t="shared" si="1"/>
        <v>1</v>
      </c>
      <c r="I44" t="str">
        <f>IF(FT!B44&lt;&gt;"",FT!E44,"")</f>
        <v>1 [17.064901]</v>
      </c>
      <c r="J44">
        <f>IF(FT!B44&lt;&gt;"",FT!C44,"")</f>
        <v>17.064900000000002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4.7134999999999998</v>
      </c>
      <c r="G45" s="61">
        <f>IF(FT!B45&lt;&gt;"",FT!B45*100,"")</f>
        <v>32.915199999999999</v>
      </c>
      <c r="H45" s="61">
        <f t="shared" si="1"/>
        <v>1</v>
      </c>
      <c r="I45" t="str">
        <f>IF(FT!B45&lt;&gt;"",FT!E45,"")</f>
        <v>1 [17.471539]</v>
      </c>
      <c r="J45">
        <f>IF(FT!B45&lt;&gt;"",FT!C45,"")</f>
        <v>17.471499999999999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55827</v>
      </c>
      <c r="D46" s="61">
        <f>FH!B46*1</f>
        <v>55827</v>
      </c>
      <c r="E46">
        <f t="shared" si="3"/>
        <v>44</v>
      </c>
      <c r="F46" s="61">
        <f>IF(FT!A46&lt;&gt;"",FT!A46*10,"")</f>
        <v>4.7344999999999997</v>
      </c>
      <c r="G46" s="61">
        <f>IF(FT!B46&lt;&gt;"",FT!B46*100,"")</f>
        <v>32.9527</v>
      </c>
      <c r="H46" s="61">
        <f t="shared" si="1"/>
        <v>1</v>
      </c>
      <c r="I46" t="str">
        <f>IF(FT!B46&lt;&gt;"",FT!E46,"")</f>
        <v>1 [17.875889]</v>
      </c>
      <c r="J46">
        <f>IF(FT!B46&lt;&gt;"",FT!C46,"")</f>
        <v>17.875900000000001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4.7559300000000002</v>
      </c>
      <c r="G47" s="61">
        <f>IF(FT!B47&lt;&gt;"",FT!B47*100,"")</f>
        <v>33.0227</v>
      </c>
      <c r="H47" s="61">
        <f t="shared" si="1"/>
        <v>1</v>
      </c>
      <c r="I47" t="str">
        <f>IF(FT!B47&lt;&gt;"",FT!E47,"")</f>
        <v>1 [18.281686]</v>
      </c>
      <c r="J47">
        <f>IF(FT!B47&lt;&gt;"",FT!C47,"")</f>
        <v>18.281700000000001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4.77935</v>
      </c>
      <c r="G48" s="61">
        <f>IF(FT!B48&lt;&gt;"",FT!B48*100,"")</f>
        <v>33.084799999999994</v>
      </c>
      <c r="H48" s="61">
        <f t="shared" si="1"/>
        <v>1</v>
      </c>
      <c r="I48" t="str">
        <f>IF(FT!B48&lt;&gt;"",FT!E48,"")</f>
        <v>1 [18.688887]</v>
      </c>
      <c r="J48">
        <f>IF(FT!B48&lt;&gt;"",FT!C48,"")</f>
        <v>18.6889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70012</v>
      </c>
      <c r="D49" s="61">
        <f>FH!B49*1</f>
        <v>70012</v>
      </c>
      <c r="E49">
        <f t="shared" si="3"/>
        <v>47</v>
      </c>
      <c r="F49" s="61">
        <f>IF(FT!A49&lt;&gt;"",FT!A49*10,"")</f>
        <v>4.7985600000000002</v>
      </c>
      <c r="G49" s="61">
        <f>IF(FT!B49&lt;&gt;"",FT!B49*100,"")</f>
        <v>33.166499999999999</v>
      </c>
      <c r="H49" s="61">
        <f t="shared" si="1"/>
        <v>1</v>
      </c>
      <c r="I49" t="str">
        <f>IF(FT!B49&lt;&gt;"",FT!E49,"")</f>
        <v>1 [19.093297]</v>
      </c>
      <c r="J49">
        <f>IF(FT!B49&lt;&gt;"",FT!C49,"")</f>
        <v>19.093299999999999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4.8142800000000001</v>
      </c>
      <c r="G50" s="61">
        <f>IF(FT!B50&lt;&gt;"",FT!B50*100,"")</f>
        <v>33.2303</v>
      </c>
      <c r="H50" s="61">
        <f t="shared" si="1"/>
        <v>1</v>
      </c>
      <c r="I50" t="str">
        <f>IF(FT!B50&lt;&gt;"",FT!E50,"")</f>
        <v>1 [19.502512]</v>
      </c>
      <c r="J50">
        <f>IF(FT!B50&lt;&gt;"",FT!C50,"")</f>
        <v>19.502500000000001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73020</v>
      </c>
      <c r="D51" s="61">
        <f>FH!B51*1</f>
        <v>73020</v>
      </c>
      <c r="E51">
        <f t="shared" si="3"/>
        <v>49</v>
      </c>
      <c r="F51" s="61">
        <f>IF(FT!A51&lt;&gt;"",FT!A51*10,"")</f>
        <v>4.8270900000000001</v>
      </c>
      <c r="G51" s="61">
        <f>IF(FT!B51&lt;&gt;"",FT!B51*100,"")</f>
        <v>33.313900000000004</v>
      </c>
      <c r="H51" s="61">
        <f t="shared" si="1"/>
        <v>1</v>
      </c>
      <c r="I51" t="str">
        <f>IF(FT!B51&lt;&gt;"",FT!E51,"")</f>
        <v>1 [19.908820]</v>
      </c>
      <c r="J51">
        <f>IF(FT!B51&lt;&gt;"",FT!C51,"")</f>
        <v>19.908799999999999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4.8391900000000003</v>
      </c>
      <c r="G52" s="61">
        <f>IF(FT!B52&lt;&gt;"",FT!B52*100,"")</f>
        <v>33.347700000000003</v>
      </c>
      <c r="H52" s="61">
        <f t="shared" si="1"/>
        <v>1</v>
      </c>
      <c r="I52" t="str">
        <f>IF(FT!B52&lt;&gt;"",FT!E52,"")</f>
        <v>1 [20.315013]</v>
      </c>
      <c r="J52">
        <f>IF(FT!B52&lt;&gt;"",FT!C52,"")</f>
        <v>20.315000000000001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4.85067</v>
      </c>
      <c r="G53" s="61">
        <f>IF(FT!B53&lt;&gt;"",FT!B53*100,"")</f>
        <v>33.449200000000005</v>
      </c>
      <c r="H53" s="61">
        <f t="shared" si="1"/>
        <v>1</v>
      </c>
      <c r="I53" t="str">
        <f>IF(FT!B53&lt;&gt;"",FT!E53,"")</f>
        <v>1 [20.721908]</v>
      </c>
      <c r="J53">
        <f>IF(FT!B53&lt;&gt;"",FT!C53,"")</f>
        <v>20.721900000000002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71008</v>
      </c>
      <c r="D54" s="61">
        <f>FH!B54*1</f>
        <v>71008</v>
      </c>
      <c r="E54">
        <f t="shared" si="3"/>
        <v>52</v>
      </c>
      <c r="F54" s="61">
        <f>IF(FT!A54&lt;&gt;"",FT!A54*10,"")</f>
        <v>4.8591600000000001</v>
      </c>
      <c r="G54" s="61">
        <f>IF(FT!B54&lt;&gt;"",FT!B54*100,"")</f>
        <v>33.625699999999995</v>
      </c>
      <c r="H54" s="61">
        <f t="shared" si="1"/>
        <v>1</v>
      </c>
      <c r="I54" t="str">
        <f>IF(FT!B54&lt;&gt;"",FT!E54,"")</f>
        <v>1 [21.125875]</v>
      </c>
      <c r="J54">
        <f>IF(FT!B54&lt;&gt;"",FT!C54,"")</f>
        <v>21.125900000000001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4.8610300000000004</v>
      </c>
      <c r="G55" s="61">
        <f>IF(FT!B55&lt;&gt;"",FT!B55*100,"")</f>
        <v>33.806000000000004</v>
      </c>
      <c r="H55" s="61">
        <f t="shared" si="1"/>
        <v>1</v>
      </c>
      <c r="I55" t="str">
        <f>IF(FT!B55&lt;&gt;"",FT!E55,"")</f>
        <v>1 [21.534349]</v>
      </c>
      <c r="J55">
        <f>IF(FT!B55&lt;&gt;"",FT!C55,"")</f>
        <v>21.534300000000002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4.8574900000000003</v>
      </c>
      <c r="G56" s="61">
        <f>IF(FT!B56&lt;&gt;"",FT!B56*100,"")</f>
        <v>33.910000000000004</v>
      </c>
      <c r="H56" s="61">
        <f t="shared" si="1"/>
        <v>1</v>
      </c>
      <c r="I56" t="str">
        <f>IF(FT!B56&lt;&gt;"",FT!E56,"")</f>
        <v>1 [21.939921]</v>
      </c>
      <c r="J56">
        <f>IF(FT!B56&lt;&gt;"",FT!C56,"")</f>
        <v>21.939900000000002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70489</v>
      </c>
      <c r="D57" s="61">
        <f>FH!B57*1</f>
        <v>70489</v>
      </c>
      <c r="E57">
        <f t="shared" si="3"/>
        <v>55</v>
      </c>
      <c r="F57" s="61">
        <f>IF(FT!A57&lt;&gt;"",FT!A57*10,"")</f>
        <v>4.8464900000000002</v>
      </c>
      <c r="G57" s="61">
        <f>IF(FT!B57&lt;&gt;"",FT!B57*100,"")</f>
        <v>33.914299999999997</v>
      </c>
      <c r="H57" s="61">
        <f t="shared" si="1"/>
        <v>1</v>
      </c>
      <c r="I57" t="str">
        <f>IF(FT!B57&lt;&gt;"",FT!E57,"")</f>
        <v>1 [22.344635]</v>
      </c>
      <c r="J57">
        <f>IF(FT!B57&lt;&gt;"",FT!C57,"")</f>
        <v>22.3446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4.8302499999999995</v>
      </c>
      <c r="G58" s="61">
        <f>IF(FT!B58&lt;&gt;"",FT!B58*100,"")</f>
        <v>33.904899999999998</v>
      </c>
      <c r="H58" s="61">
        <f t="shared" si="1"/>
        <v>1</v>
      </c>
      <c r="I58" t="str">
        <f>IF(FT!B58&lt;&gt;"",FT!E58,"")</f>
        <v>1 [22.748756]</v>
      </c>
      <c r="J58">
        <f>IF(FT!B58&lt;&gt;"",FT!C58,"")</f>
        <v>22.748799999999999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71276</v>
      </c>
      <c r="D59" s="61">
        <f>FH!B59*1</f>
        <v>71276</v>
      </c>
      <c r="E59">
        <f t="shared" si="3"/>
        <v>57</v>
      </c>
      <c r="F59" s="61">
        <f>IF(FT!A59&lt;&gt;"",FT!A59*10,"")</f>
        <v>4.8100100000000001</v>
      </c>
      <c r="G59" s="61">
        <f>IF(FT!B59&lt;&gt;"",FT!B59*100,"")</f>
        <v>33.8767</v>
      </c>
      <c r="H59" s="61">
        <f t="shared" si="1"/>
        <v>1</v>
      </c>
      <c r="I59" t="str">
        <f>IF(FT!B59&lt;&gt;"",FT!E59,"")</f>
        <v>1 [23.158050]</v>
      </c>
      <c r="J59">
        <f>IF(FT!B59&lt;&gt;"",FT!C59,"")</f>
        <v>23.158000000000001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4.7889900000000001</v>
      </c>
      <c r="G60" s="61">
        <f>IF(FT!B60&lt;&gt;"",FT!B60*100,"")</f>
        <v>33.924300000000002</v>
      </c>
      <c r="H60" s="61">
        <f t="shared" si="1"/>
        <v>1</v>
      </c>
      <c r="I60" t="str">
        <f>IF(FT!B60&lt;&gt;"",FT!E60,"")</f>
        <v>1 [23.562794]</v>
      </c>
      <c r="J60">
        <f>IF(FT!B60&lt;&gt;"",FT!C60,"")</f>
        <v>23.562799999999999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4.7658899999999997</v>
      </c>
      <c r="G61" s="61">
        <f>IF(FT!B61&lt;&gt;"",FT!B61*100,"")</f>
        <v>33.994300000000003</v>
      </c>
      <c r="H61" s="61">
        <f t="shared" si="1"/>
        <v>1</v>
      </c>
      <c r="I61" t="str">
        <f>IF(FT!B61&lt;&gt;"",FT!E61,"")</f>
        <v>1 [23.973665]</v>
      </c>
      <c r="J61">
        <f>IF(FT!B61&lt;&gt;"",FT!C61,"")</f>
        <v>23.973700000000001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79239</v>
      </c>
      <c r="D62" s="61">
        <f>FH!B62*1</f>
        <v>79239</v>
      </c>
      <c r="E62">
        <f t="shared" si="3"/>
        <v>60</v>
      </c>
      <c r="F62" s="61">
        <f>IF(FT!A62&lt;&gt;"",FT!A62*10,"")</f>
        <v>4.7425899999999999</v>
      </c>
      <c r="G62" s="61">
        <f>IF(FT!B62&lt;&gt;"",FT!B62*100,"")</f>
        <v>34.020699999999998</v>
      </c>
      <c r="H62" s="61">
        <f t="shared" si="1"/>
        <v>1</v>
      </c>
      <c r="I62" t="str">
        <f>IF(FT!B62&lt;&gt;"",FT!E62,"")</f>
        <v>1 [24.376284]</v>
      </c>
      <c r="J62">
        <f>IF(FT!B62&lt;&gt;"",FT!C62,"")</f>
        <v>24.376300000000001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4.72112</v>
      </c>
      <c r="G63" s="61">
        <f>IF(FT!B63&lt;&gt;"",FT!B63*100,"")</f>
        <v>34.098399999999998</v>
      </c>
      <c r="H63" s="61">
        <f t="shared" si="1"/>
        <v>1</v>
      </c>
      <c r="I63" t="str">
        <f>IF(FT!B63&lt;&gt;"",FT!E63,"")</f>
        <v>1 [24.782999]</v>
      </c>
      <c r="J63">
        <f>IF(FT!B63&lt;&gt;"",FT!C63,"")</f>
        <v>24.783000000000001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78568</v>
      </c>
      <c r="D64" s="61">
        <f>FH!B64*1</f>
        <v>78568</v>
      </c>
      <c r="E64">
        <f t="shared" si="3"/>
        <v>62</v>
      </c>
      <c r="F64" s="61">
        <f>IF(FT!A64&lt;&gt;"",FT!A64*10,"")</f>
        <v>4.6987199999999998</v>
      </c>
      <c r="G64" s="61">
        <f>IF(FT!B64&lt;&gt;"",FT!B64*100,"")</f>
        <v>34.202100000000002</v>
      </c>
      <c r="H64" s="61">
        <f t="shared" si="1"/>
        <v>1</v>
      </c>
      <c r="I64" t="str">
        <f>IF(FT!B64&lt;&gt;"",FT!E64,"")</f>
        <v>1 [25.188437]</v>
      </c>
      <c r="J64">
        <f>IF(FT!B64&lt;&gt;"",FT!C64,"")</f>
        <v>25.188400000000001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4.6767700000000003</v>
      </c>
      <c r="G65" s="61">
        <f>IF(FT!B65&lt;&gt;"",FT!B65*100,"")</f>
        <v>34.337200000000003</v>
      </c>
      <c r="H65" s="61">
        <f t="shared" si="1"/>
        <v>1</v>
      </c>
      <c r="I65" t="str">
        <f>IF(FT!B65&lt;&gt;"",FT!E65,"")</f>
        <v>1 [25.596760]</v>
      </c>
      <c r="J65">
        <f>IF(FT!B65&lt;&gt;"",FT!C65,"")</f>
        <v>25.596800000000002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4.6544699999999999</v>
      </c>
      <c r="G66" s="61">
        <f>IF(FT!B66&lt;&gt;"",FT!B66*100,"")</f>
        <v>34.550599999999996</v>
      </c>
      <c r="H66" s="61">
        <f t="shared" si="1"/>
        <v>1</v>
      </c>
      <c r="I66" t="str">
        <f>IF(FT!B66&lt;&gt;"",FT!E66,"")</f>
        <v>1 [26.004582]</v>
      </c>
      <c r="J66">
        <f>IF(FT!B66&lt;&gt;"",FT!C66,"")</f>
        <v>26.0046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89566</v>
      </c>
      <c r="D67" s="61">
        <f>FH!B67*1</f>
        <v>89566</v>
      </c>
      <c r="E67">
        <f t="shared" si="3"/>
        <v>65</v>
      </c>
      <c r="F67" s="61">
        <f>IF(FT!A67&lt;&gt;"",FT!A67*10,"")</f>
        <v>4.6323299999999996</v>
      </c>
      <c r="G67" s="61">
        <f>IF(FT!B67&lt;&gt;"",FT!B67*100,"")</f>
        <v>34.8262</v>
      </c>
      <c r="H67" s="61">
        <f t="shared" ref="H67:H130" si="9">(IF(F67&lt;&gt;"",1,""))</f>
        <v>1</v>
      </c>
      <c r="I67" t="str">
        <f>IF(FT!B67&lt;&gt;"",FT!E67,"")</f>
        <v>1 [26.408205]</v>
      </c>
      <c r="J67">
        <f>IF(FT!B67&lt;&gt;"",FT!C67,"")</f>
        <v>26.408200000000001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4.6132499999999999</v>
      </c>
      <c r="G68" s="61">
        <f>IF(FT!B68&lt;&gt;"",FT!B68*100,"")</f>
        <v>35.163899999999998</v>
      </c>
      <c r="H68" s="61">
        <f t="shared" si="9"/>
        <v>1</v>
      </c>
      <c r="I68" t="str">
        <f>IF(FT!B68&lt;&gt;"",FT!E68,"")</f>
        <v>1 [26.812443]</v>
      </c>
      <c r="J68">
        <f>IF(FT!B68&lt;&gt;"",FT!C68,"")</f>
        <v>26.8124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93220</v>
      </c>
      <c r="D69" s="61">
        <f>FH!B69*1</f>
        <v>93220</v>
      </c>
      <c r="E69">
        <f t="shared" si="11"/>
        <v>67</v>
      </c>
      <c r="F69" s="61">
        <f>IF(FT!A69&lt;&gt;"",FT!A69*10,"")</f>
        <v>4.5984499999999997</v>
      </c>
      <c r="G69" s="61">
        <f>IF(FT!B69&lt;&gt;"",FT!B69*100,"")</f>
        <v>35.465600000000002</v>
      </c>
      <c r="H69" s="61">
        <f t="shared" si="9"/>
        <v>1</v>
      </c>
      <c r="I69" t="str">
        <f>IF(FT!B69&lt;&gt;"",FT!E69,"")</f>
        <v>1 [27.219887]</v>
      </c>
      <c r="J69">
        <f>IF(FT!B69&lt;&gt;"",FT!C69,"")</f>
        <v>27.219899999999999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4.5823599999999995</v>
      </c>
      <c r="G70" s="61">
        <f>IF(FT!B70&lt;&gt;"",FT!B70*100,"")</f>
        <v>35.820500000000003</v>
      </c>
      <c r="H70" s="61">
        <f t="shared" si="9"/>
        <v>1</v>
      </c>
      <c r="I70" t="str">
        <f>IF(FT!B70&lt;&gt;"",FT!E70,"")</f>
        <v>1 [27.627452]</v>
      </c>
      <c r="J70">
        <f>IF(FT!B70&lt;&gt;"",FT!C70,"")</f>
        <v>27.627500000000001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4.5692300000000001</v>
      </c>
      <c r="G71" s="61">
        <f>IF(FT!B71&lt;&gt;"",FT!B71*100,"")</f>
        <v>36.1629</v>
      </c>
      <c r="H71" s="61">
        <f t="shared" si="9"/>
        <v>1</v>
      </c>
      <c r="I71" t="str">
        <f>IF(FT!B71&lt;&gt;"",FT!E71,"")</f>
        <v>1 [28.033265]</v>
      </c>
      <c r="J71">
        <f>IF(FT!B71&lt;&gt;"",FT!C71,"")</f>
        <v>28.033300000000001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102985</v>
      </c>
      <c r="D72" s="61">
        <f>FH!B72*1</f>
        <v>102985</v>
      </c>
      <c r="E72">
        <f t="shared" si="11"/>
        <v>70</v>
      </c>
      <c r="F72" s="61">
        <f>IF(FT!A72&lt;&gt;"",FT!A72*10,"")</f>
        <v>4.5552200000000003</v>
      </c>
      <c r="G72" s="61">
        <f>IF(FT!B72&lt;&gt;"",FT!B72*100,"")</f>
        <v>36.516500000000001</v>
      </c>
      <c r="H72" s="61">
        <f t="shared" si="9"/>
        <v>1</v>
      </c>
      <c r="I72" t="str">
        <f>IF(FT!B72&lt;&gt;"",FT!E72,"")</f>
        <v>1 [28.437807]</v>
      </c>
      <c r="J72">
        <f>IF(FT!B72&lt;&gt;"",FT!C72,"")</f>
        <v>28.437799999999999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4.5348600000000001</v>
      </c>
      <c r="G73" s="61">
        <f>IF(FT!B73&lt;&gt;"",FT!B73*100,"")</f>
        <v>36.999099999999999</v>
      </c>
      <c r="H73" s="61">
        <f t="shared" si="9"/>
        <v>1</v>
      </c>
      <c r="I73" t="str">
        <f>IF(FT!B73&lt;&gt;"",FT!E73,"")</f>
        <v>1 [28.844709]</v>
      </c>
      <c r="J73">
        <f>IF(FT!B73&lt;&gt;"",FT!C73,"")</f>
        <v>28.8447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4.5139699999999996</v>
      </c>
      <c r="G74" s="61">
        <f>IF(FT!B74&lt;&gt;"",FT!B74*100,"")</f>
        <v>37.491600000000005</v>
      </c>
      <c r="H74" s="61">
        <f t="shared" si="9"/>
        <v>1</v>
      </c>
      <c r="I74" t="str">
        <f>IF(FT!B74&lt;&gt;"",FT!E74,"")</f>
        <v>1 [29.252095]</v>
      </c>
      <c r="J74">
        <f>IF(FT!B74&lt;&gt;"",FT!C74,"")</f>
        <v>29.252099999999999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112569</v>
      </c>
      <c r="D75" s="61">
        <f>FH!B75*1</f>
        <v>112569</v>
      </c>
      <c r="E75">
        <f t="shared" si="11"/>
        <v>73</v>
      </c>
      <c r="F75" s="61">
        <f>IF(FT!A75&lt;&gt;"",FT!A75*10,"")</f>
        <v>4.4982299999999995</v>
      </c>
      <c r="G75" s="61">
        <f>IF(FT!B75&lt;&gt;"",FT!B75*100,"")</f>
        <v>37.992699999999999</v>
      </c>
      <c r="H75" s="61">
        <f t="shared" si="9"/>
        <v>1</v>
      </c>
      <c r="I75" t="str">
        <f>IF(FT!B75&lt;&gt;"",FT!E75,"")</f>
        <v>1 [29.658306]</v>
      </c>
      <c r="J75">
        <f>IF(FT!B75&lt;&gt;"",FT!C75,"")</f>
        <v>29.658300000000001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4.4805099999999998</v>
      </c>
      <c r="G76" s="61">
        <f>IF(FT!B76&lt;&gt;"",FT!B76*100,"")</f>
        <v>38.453199999999995</v>
      </c>
      <c r="H76" s="61">
        <f t="shared" si="9"/>
        <v>1</v>
      </c>
      <c r="I76" t="str">
        <f>IF(FT!B76&lt;&gt;"",FT!E76,"")</f>
        <v>2 [30.065199]</v>
      </c>
      <c r="J76">
        <f>IF(FT!B76&lt;&gt;"",FT!C76,"")</f>
        <v>30.065200000000001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117750</v>
      </c>
      <c r="D77" s="61">
        <f>FH!B77*1</f>
        <v>117750</v>
      </c>
      <c r="E77">
        <f t="shared" si="11"/>
        <v>75</v>
      </c>
      <c r="F77" s="61">
        <f>IF(FT!A77&lt;&gt;"",FT!A77*10,"")</f>
        <v>4.4594699999999996</v>
      </c>
      <c r="G77" s="61">
        <f>IF(FT!B77&lt;&gt;"",FT!B77*100,"")</f>
        <v>38.990600000000001</v>
      </c>
      <c r="H77" s="61">
        <f t="shared" si="9"/>
        <v>1</v>
      </c>
      <c r="I77" t="str">
        <f>IF(FT!B77&lt;&gt;"",FT!E77,"")</f>
        <v>2 [30.503072]</v>
      </c>
      <c r="J77">
        <f>IF(FT!B77&lt;&gt;"",FT!C77,"")</f>
        <v>30.5031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4.4363200000000003</v>
      </c>
      <c r="G78" s="61">
        <f>IF(FT!B78&lt;&gt;"",FT!B78*100,"")</f>
        <v>39.557900000000004</v>
      </c>
      <c r="H78" s="61">
        <f t="shared" si="9"/>
        <v>1</v>
      </c>
      <c r="I78" t="str">
        <f>IF(FT!B78&lt;&gt;"",FT!E78,"")</f>
        <v>2 [30.908107]</v>
      </c>
      <c r="J78">
        <f>IF(FT!B78&lt;&gt;"",FT!C78,"")</f>
        <v>30.908100000000001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4.4153599999999997</v>
      </c>
      <c r="G79" s="61">
        <f>IF(FT!B79&lt;&gt;"",FT!B79*100,"")</f>
        <v>40.0182</v>
      </c>
      <c r="H79" s="61">
        <f t="shared" si="9"/>
        <v>1</v>
      </c>
      <c r="I79" t="str">
        <f>IF(FT!B79&lt;&gt;"",FT!E79,"")</f>
        <v>2 [31.314194]</v>
      </c>
      <c r="J79">
        <f>IF(FT!B79&lt;&gt;"",FT!C79,"")</f>
        <v>31.3142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129268</v>
      </c>
      <c r="D80" s="61">
        <f>FH!B80*1</f>
        <v>129268</v>
      </c>
      <c r="E80">
        <f t="shared" si="11"/>
        <v>78</v>
      </c>
      <c r="F80" s="61">
        <f>IF(FT!A80&lt;&gt;"",FT!A80*10,"")</f>
        <v>4.3966899999999995</v>
      </c>
      <c r="G80" s="61">
        <f>IF(FT!B80&lt;&gt;"",FT!B80*100,"")</f>
        <v>40.414200000000001</v>
      </c>
      <c r="H80" s="61">
        <f t="shared" si="9"/>
        <v>1</v>
      </c>
      <c r="I80" t="str">
        <f>IF(FT!B80&lt;&gt;"",FT!E80,"")</f>
        <v>2 [31.718291]</v>
      </c>
      <c r="J80">
        <f>IF(FT!B80&lt;&gt;"",FT!C80,"")</f>
        <v>31.718299999999999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4.3782300000000003</v>
      </c>
      <c r="G81" s="61">
        <f>IF(FT!B81&lt;&gt;"",FT!B81*100,"")</f>
        <v>40.713799999999999</v>
      </c>
      <c r="H81" s="61">
        <f t="shared" si="9"/>
        <v>1</v>
      </c>
      <c r="I81" t="str">
        <f>IF(FT!B81&lt;&gt;"",FT!E81,"")</f>
        <v>2 [32.125492]</v>
      </c>
      <c r="J81">
        <f>IF(FT!B81&lt;&gt;"",FT!C81,"")</f>
        <v>32.125500000000002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132497</v>
      </c>
      <c r="D82" s="61">
        <f>FH!B82*1</f>
        <v>132497</v>
      </c>
      <c r="E82">
        <f t="shared" si="11"/>
        <v>80</v>
      </c>
      <c r="F82" s="61">
        <f>IF(FT!A82&lt;&gt;"",FT!A82*10,"")</f>
        <v>4.3628099999999996</v>
      </c>
      <c r="G82" s="61">
        <f>IF(FT!B82&lt;&gt;"",FT!B82*100,"")</f>
        <v>40.982100000000003</v>
      </c>
      <c r="H82" s="61">
        <f t="shared" si="9"/>
        <v>1</v>
      </c>
      <c r="I82" t="str">
        <f>IF(FT!B82&lt;&gt;"",FT!E82,"")</f>
        <v>2 [32.531497]</v>
      </c>
      <c r="J82">
        <f>IF(FT!B82&lt;&gt;"",FT!C82,"")</f>
        <v>32.531500000000001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4.34999</v>
      </c>
      <c r="G83" s="61">
        <f>IF(FT!B83&lt;&gt;"",FT!B83*100,"")</f>
        <v>41.288000000000004</v>
      </c>
      <c r="H83" s="61">
        <f t="shared" si="9"/>
        <v>1</v>
      </c>
      <c r="I83" t="str">
        <f>IF(FT!B83&lt;&gt;"",FT!E83,"")</f>
        <v>2 [32.939629]</v>
      </c>
      <c r="J83">
        <f>IF(FT!B83&lt;&gt;"",FT!C83,"")</f>
        <v>32.939599999999999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4.3387900000000004</v>
      </c>
      <c r="G84" s="61">
        <f>IF(FT!B84&lt;&gt;"",FT!B84*100,"")</f>
        <v>41.573300000000003</v>
      </c>
      <c r="H84" s="61">
        <f t="shared" si="9"/>
        <v>1</v>
      </c>
      <c r="I84" t="str">
        <f>IF(FT!B84&lt;&gt;"",FT!E84,"")</f>
        <v>2 [33.345131]</v>
      </c>
      <c r="J84">
        <f>IF(FT!B84&lt;&gt;"",FT!C84,"")</f>
        <v>33.345100000000002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140712</v>
      </c>
      <c r="D85" s="61">
        <f>FH!B85*1</f>
        <v>140712</v>
      </c>
      <c r="E85">
        <f t="shared" si="11"/>
        <v>83</v>
      </c>
      <c r="F85" s="61">
        <f>IF(FT!A85&lt;&gt;"",FT!A85*10,"")</f>
        <v>4.3274400000000002</v>
      </c>
      <c r="G85" s="61">
        <f>IF(FT!B85&lt;&gt;"",FT!B85*100,"")</f>
        <v>41.864200000000004</v>
      </c>
      <c r="H85" s="61">
        <f t="shared" si="9"/>
        <v>1</v>
      </c>
      <c r="I85" t="str">
        <f>IF(FT!B85&lt;&gt;"",FT!E85,"")</f>
        <v>2 [33.750798]</v>
      </c>
      <c r="J85">
        <f>IF(FT!B85&lt;&gt;"",FT!C85,"")</f>
        <v>33.750799999999998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4.3140999999999998</v>
      </c>
      <c r="G86" s="61">
        <f>IF(FT!B86&lt;&gt;"",FT!B86*100,"")</f>
        <v>42.103699999999996</v>
      </c>
      <c r="H86" s="61">
        <f t="shared" si="9"/>
        <v>1</v>
      </c>
      <c r="I86" t="str">
        <f>IF(FT!B86&lt;&gt;"",FT!E86,"")</f>
        <v>2 [34.156168]</v>
      </c>
      <c r="J86">
        <f>IF(FT!B86&lt;&gt;"",FT!C86,"")</f>
        <v>34.156199999999998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4.3015799999999995</v>
      </c>
      <c r="G87" s="61">
        <f>IF(FT!B87&lt;&gt;"",FT!B87*100,"")</f>
        <v>42.3001</v>
      </c>
      <c r="H87" s="61">
        <f t="shared" si="9"/>
        <v>1</v>
      </c>
      <c r="I87" t="str">
        <f>IF(FT!B87&lt;&gt;"",FT!E87,"")</f>
        <v>2 [34.562067]</v>
      </c>
      <c r="J87">
        <f>IF(FT!B87&lt;&gt;"",FT!C87,"")</f>
        <v>34.562100000000001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156713</v>
      </c>
      <c r="D88" s="61">
        <f>FH!B88*1</f>
        <v>156713</v>
      </c>
      <c r="E88">
        <f t="shared" si="11"/>
        <v>86</v>
      </c>
      <c r="F88" s="61">
        <f>IF(FT!A88&lt;&gt;"",FT!A88*10,"")</f>
        <v>4.2881099999999996</v>
      </c>
      <c r="G88" s="61">
        <f>IF(FT!B88&lt;&gt;"",FT!B88*100,"")</f>
        <v>42.468899999999998</v>
      </c>
      <c r="H88" s="61">
        <f t="shared" si="9"/>
        <v>1</v>
      </c>
      <c r="I88" t="str">
        <f>IF(FT!B88&lt;&gt;"",FT!E88,"")</f>
        <v>2 [34.968630]</v>
      </c>
      <c r="J88">
        <f>IF(FT!B88&lt;&gt;"",FT!C88,"")</f>
        <v>34.968600000000002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4.2734800000000002</v>
      </c>
      <c r="G89" s="61">
        <f>IF(FT!B89&lt;&gt;"",FT!B89*100,"")</f>
        <v>42.661100000000005</v>
      </c>
      <c r="H89" s="61">
        <f t="shared" si="9"/>
        <v>1</v>
      </c>
      <c r="I89" t="str">
        <f>IF(FT!B89&lt;&gt;"",FT!E89,"")</f>
        <v>2 [35.376297]</v>
      </c>
      <c r="J89">
        <f>IF(FT!B89&lt;&gt;"",FT!C89,"")</f>
        <v>35.376300000000001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166566</v>
      </c>
      <c r="D90" s="61">
        <f>FH!B90*1</f>
        <v>166566</v>
      </c>
      <c r="E90">
        <f t="shared" si="11"/>
        <v>88</v>
      </c>
      <c r="F90" s="61">
        <f>IF(FT!A90&lt;&gt;"",FT!A90*10,"")</f>
        <v>4.2551499999999995</v>
      </c>
      <c r="G90" s="61">
        <f>IF(FT!B90&lt;&gt;"",FT!B90*100,"")</f>
        <v>42.8735</v>
      </c>
      <c r="H90" s="61">
        <f t="shared" si="9"/>
        <v>1</v>
      </c>
      <c r="I90" t="str">
        <f>IF(FT!B90&lt;&gt;"",FT!E90,"")</f>
        <v>2 [35.784704]</v>
      </c>
      <c r="J90">
        <f>IF(FT!B90&lt;&gt;"",FT!C90,"")</f>
        <v>35.784700000000001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4.2328799999999998</v>
      </c>
      <c r="G91" s="61">
        <f>IF(FT!B91&lt;&gt;"",FT!B91*100,"")</f>
        <v>43.116399999999999</v>
      </c>
      <c r="H91" s="61">
        <f t="shared" si="9"/>
        <v>1</v>
      </c>
      <c r="I91" t="str">
        <f>IF(FT!B91&lt;&gt;"",FT!E91,"")</f>
        <v>2 [36.188080]</v>
      </c>
      <c r="J91">
        <f>IF(FT!B91&lt;&gt;"",FT!C91,"")</f>
        <v>36.188099999999999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4.20899</v>
      </c>
      <c r="G92" s="61">
        <f>IF(FT!B92&lt;&gt;"",FT!B92*100,"")</f>
        <v>43.431199999999997</v>
      </c>
      <c r="H92" s="61">
        <f t="shared" si="9"/>
        <v>1</v>
      </c>
      <c r="I92" t="str">
        <f>IF(FT!B92&lt;&gt;"",FT!E92,"")</f>
        <v>2 [36.596108]</v>
      </c>
      <c r="J92">
        <f>IF(FT!B92&lt;&gt;"",FT!C92,"")</f>
        <v>36.5961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170369</v>
      </c>
      <c r="D93" s="61">
        <f>FH!B93*1</f>
        <v>170369</v>
      </c>
      <c r="E93">
        <f t="shared" si="11"/>
        <v>91</v>
      </c>
      <c r="F93" s="61">
        <f>IF(FT!A93&lt;&gt;"",FT!A93*10,"")</f>
        <v>4.1837200000000001</v>
      </c>
      <c r="G93" s="61">
        <f>IF(FT!B93&lt;&gt;"",FT!B93*100,"")</f>
        <v>43.756499999999996</v>
      </c>
      <c r="H93" s="61">
        <f t="shared" si="9"/>
        <v>1</v>
      </c>
      <c r="I93" t="str">
        <f>IF(FT!B93&lt;&gt;"",FT!E93,"")</f>
        <v>2 [37.000768]</v>
      </c>
      <c r="J93">
        <f>IF(FT!B93&lt;&gt;"",FT!C93,"")</f>
        <v>37.000799999999998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4.1547000000000001</v>
      </c>
      <c r="G94" s="61">
        <f>IF(FT!B94&lt;&gt;"",FT!B94*100,"")</f>
        <v>44.150399999999998</v>
      </c>
      <c r="H94" s="61">
        <f t="shared" si="9"/>
        <v>1</v>
      </c>
      <c r="I94" t="str">
        <f>IF(FT!B94&lt;&gt;"",FT!E94,"")</f>
        <v>2 [37.410491]</v>
      </c>
      <c r="J94">
        <f>IF(FT!B94&lt;&gt;"",FT!C94,"")</f>
        <v>37.410499999999999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176026</v>
      </c>
      <c r="D95" s="61">
        <f>FH!B95*1</f>
        <v>176026</v>
      </c>
      <c r="E95">
        <f t="shared" si="11"/>
        <v>93</v>
      </c>
      <c r="F95" s="61">
        <f>IF(FT!A95&lt;&gt;"",FT!A95*10,"")</f>
        <v>4.1238900000000003</v>
      </c>
      <c r="G95" s="61">
        <f>IF(FT!B95&lt;&gt;"",FT!B95*100,"")</f>
        <v>44.5991</v>
      </c>
      <c r="H95" s="61">
        <f t="shared" si="9"/>
        <v>1</v>
      </c>
      <c r="I95" t="str">
        <f>IF(FT!B95&lt;&gt;"",FT!E95,"")</f>
        <v>2 [37.815822]</v>
      </c>
      <c r="J95">
        <f>IF(FT!B95&lt;&gt;"",FT!C95,"")</f>
        <v>37.815800000000003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4.0893800000000002</v>
      </c>
      <c r="G96" s="61">
        <f>IF(FT!B96&lt;&gt;"",FT!B96*100,"")</f>
        <v>45.129300000000001</v>
      </c>
      <c r="H96" s="61">
        <f t="shared" si="9"/>
        <v>1</v>
      </c>
      <c r="I96" t="str">
        <f>IF(FT!B96&lt;&gt;"",FT!E96,"")</f>
        <v>2 [38.224112]</v>
      </c>
      <c r="J96">
        <f>IF(FT!B96&lt;&gt;"",FT!C96,"")</f>
        <v>38.2241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4.0546699999999998</v>
      </c>
      <c r="G97" s="61">
        <f>IF(FT!B97&lt;&gt;"",FT!B97*100,"")</f>
        <v>45.680999999999997</v>
      </c>
      <c r="H97" s="61">
        <f t="shared" si="9"/>
        <v>1</v>
      </c>
      <c r="I97" t="str">
        <f>IF(FT!B97&lt;&gt;"",FT!E97,"")</f>
        <v>2 [38.626354]</v>
      </c>
      <c r="J97">
        <f>IF(FT!B97&lt;&gt;"",FT!C97,"")</f>
        <v>38.626399999999997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186298</v>
      </c>
      <c r="D98" s="61">
        <f>FH!B98*1</f>
        <v>186298</v>
      </c>
      <c r="E98">
        <f t="shared" si="11"/>
        <v>96</v>
      </c>
      <c r="F98" s="61">
        <f>IF(FT!A98&lt;&gt;"",FT!A98*10,"")</f>
        <v>4.0226800000000003</v>
      </c>
      <c r="G98" s="61">
        <f>IF(FT!B98&lt;&gt;"",FT!B98*100,"")</f>
        <v>46.118099999999998</v>
      </c>
      <c r="H98" s="61">
        <f t="shared" si="9"/>
        <v>1</v>
      </c>
      <c r="I98" t="str">
        <f>IF(FT!B98&lt;&gt;"",FT!E98,"")</f>
        <v>2 [39.032903]</v>
      </c>
      <c r="J98">
        <f>IF(FT!B98&lt;&gt;"",FT!C98,"")</f>
        <v>39.032899999999998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3.9930700000000003</v>
      </c>
      <c r="G99" s="61">
        <f>IF(FT!B99&lt;&gt;"",FT!B99*100,"")</f>
        <v>46.506799999999998</v>
      </c>
      <c r="H99" s="61">
        <f t="shared" si="9"/>
        <v>1</v>
      </c>
      <c r="I99" t="str">
        <f>IF(FT!B99&lt;&gt;"",FT!E99,"")</f>
        <v>2 [39.442162]</v>
      </c>
      <c r="J99">
        <f>IF(FT!B99&lt;&gt;"",FT!C99,"")</f>
        <v>39.4422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186902</v>
      </c>
      <c r="D100" s="61">
        <f>FH!B100*1</f>
        <v>186902</v>
      </c>
      <c r="E100">
        <f t="shared" si="11"/>
        <v>98</v>
      </c>
      <c r="F100" s="61">
        <f>IF(FT!A100&lt;&gt;"",FT!A100*10,"")</f>
        <v>3.9591500000000002</v>
      </c>
      <c r="G100" s="61">
        <f>IF(FT!B100&lt;&gt;"",FT!B100*100,"")</f>
        <v>47.009599999999999</v>
      </c>
      <c r="H100" s="61">
        <f t="shared" si="9"/>
        <v>1</v>
      </c>
      <c r="I100" t="str">
        <f>IF(FT!B100&lt;&gt;"",FT!E100,"")</f>
        <v>2 [39.844808]</v>
      </c>
      <c r="J100">
        <f>IF(FT!B100&lt;&gt;"",FT!C100,"")</f>
        <v>39.844799999999999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3.9247700000000001</v>
      </c>
      <c r="G101" s="61">
        <f>IF(FT!B101&lt;&gt;"",FT!B101*100,"")</f>
        <v>47.439300000000003</v>
      </c>
      <c r="H101" s="61">
        <f t="shared" si="9"/>
        <v>1</v>
      </c>
      <c r="I101" t="str">
        <f>IF(FT!B101&lt;&gt;"",FT!E101,"")</f>
        <v>2 [40.251760]</v>
      </c>
      <c r="J101">
        <f>IF(FT!B101&lt;&gt;"",FT!C101,"")</f>
        <v>40.251800000000003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3.8881800000000002</v>
      </c>
      <c r="G102" s="61">
        <f>IF(FT!B102&lt;&gt;"",FT!B102*100,"")</f>
        <v>47.834400000000002</v>
      </c>
      <c r="H102" s="61">
        <f t="shared" si="9"/>
        <v>1</v>
      </c>
      <c r="I102" t="str">
        <f>IF(FT!B102&lt;&gt;"",FT!E102,"")</f>
        <v>2 [40.657551]</v>
      </c>
      <c r="J102">
        <f>IF(FT!B102&lt;&gt;"",FT!C102,"")</f>
        <v>40.657600000000002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187052</v>
      </c>
      <c r="D103" s="61">
        <f>FH!B103*1</f>
        <v>187052</v>
      </c>
      <c r="E103">
        <f t="shared" si="11"/>
        <v>101</v>
      </c>
      <c r="F103" s="61">
        <f>IF(FT!A103&lt;&gt;"",FT!A103*10,"")</f>
        <v>3.8532499999999996</v>
      </c>
      <c r="G103" s="61">
        <f>IF(FT!B103&lt;&gt;"",FT!B103*100,"")</f>
        <v>48.244500000000002</v>
      </c>
      <c r="H103" s="61">
        <f t="shared" si="9"/>
        <v>1</v>
      </c>
      <c r="I103" t="str">
        <f>IF(FT!B103&lt;&gt;"",FT!E103,"")</f>
        <v>2 [41.066175]</v>
      </c>
      <c r="J103">
        <f>IF(FT!B103&lt;&gt;"",FT!C103,"")</f>
        <v>41.066200000000002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3.8202399999999996</v>
      </c>
      <c r="G104" s="61">
        <f>IF(FT!B104&lt;&gt;"",FT!B104*100,"")</f>
        <v>48.640499999999996</v>
      </c>
      <c r="H104" s="61">
        <f t="shared" si="9"/>
        <v>1</v>
      </c>
      <c r="I104" t="str">
        <f>IF(FT!B104&lt;&gt;"",FT!E104,"")</f>
        <v>2 [41.472088]</v>
      </c>
      <c r="J104">
        <f>IF(FT!B104&lt;&gt;"",FT!C104,"")</f>
        <v>41.472099999999998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3.7899100000000003</v>
      </c>
      <c r="G105" s="61">
        <f>IF(FT!B105&lt;&gt;"",FT!B105*100,"")</f>
        <v>48.956300000000006</v>
      </c>
      <c r="H105" s="61">
        <f t="shared" si="9"/>
        <v>1</v>
      </c>
      <c r="I105" t="str">
        <f>IF(FT!B105&lt;&gt;"",FT!E105,"")</f>
        <v>2 [41.878702]</v>
      </c>
      <c r="J105">
        <f>IF(FT!B105&lt;&gt;"",FT!C105,"")</f>
        <v>41.878700000000002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194031</v>
      </c>
      <c r="D106" s="61">
        <f>FH!B106*1</f>
        <v>194031</v>
      </c>
      <c r="E106">
        <f t="shared" si="11"/>
        <v>104</v>
      </c>
      <c r="F106" s="61">
        <f>IF(FT!A106&lt;&gt;"",FT!A106*10,"")</f>
        <v>3.7635800000000001</v>
      </c>
      <c r="G106" s="61">
        <f>IF(FT!B106&lt;&gt;"",FT!B106*100,"")</f>
        <v>49.204000000000001</v>
      </c>
      <c r="H106" s="61">
        <f t="shared" si="9"/>
        <v>1</v>
      </c>
      <c r="I106" t="str">
        <f>IF(FT!B106&lt;&gt;"",FT!E106,"")</f>
        <v>2 [42.283102]</v>
      </c>
      <c r="J106">
        <f>IF(FT!B106&lt;&gt;"",FT!C106,"")</f>
        <v>42.283099999999997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3.7373000000000003</v>
      </c>
      <c r="G107" s="61">
        <f>IF(FT!B107&lt;&gt;"",FT!B107*100,"")</f>
        <v>49.433300000000003</v>
      </c>
      <c r="H107" s="61">
        <f t="shared" si="9"/>
        <v>1</v>
      </c>
      <c r="I107" t="str">
        <f>IF(FT!B107&lt;&gt;"",FT!E107,"")</f>
        <v>2 [42.688781]</v>
      </c>
      <c r="J107">
        <f>IF(FT!B107&lt;&gt;"",FT!C107,"")</f>
        <v>42.688800000000001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197069</v>
      </c>
      <c r="D108" s="61">
        <f>FH!B108*1</f>
        <v>197069</v>
      </c>
      <c r="E108">
        <f t="shared" si="11"/>
        <v>106</v>
      </c>
      <c r="F108" s="61">
        <f>IF(FT!A108&lt;&gt;"",FT!A108*10,"")</f>
        <v>3.7084999999999999</v>
      </c>
      <c r="G108" s="61">
        <f>IF(FT!B108&lt;&gt;"",FT!B108*100,"")</f>
        <v>49.677199999999999</v>
      </c>
      <c r="H108" s="61">
        <f t="shared" si="9"/>
        <v>1</v>
      </c>
      <c r="I108" t="str">
        <f>IF(FT!B108&lt;&gt;"",FT!E108,"")</f>
        <v>2 [43.094713]</v>
      </c>
      <c r="J108">
        <f>IF(FT!B108&lt;&gt;"",FT!C108,"")</f>
        <v>43.094700000000003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3.6780499999999998</v>
      </c>
      <c r="G109" s="61">
        <f>IF(FT!B109&lt;&gt;"",FT!B109*100,"")</f>
        <v>49.942399999999999</v>
      </c>
      <c r="H109" s="61">
        <f t="shared" si="9"/>
        <v>1</v>
      </c>
      <c r="I109" t="str">
        <f>IF(FT!B109&lt;&gt;"",FT!E109,"")</f>
        <v>2 [43.503629]</v>
      </c>
      <c r="J109">
        <f>IF(FT!B109&lt;&gt;"",FT!C109,"")</f>
        <v>43.503599999999999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3.6493599999999997</v>
      </c>
      <c r="G110" s="61">
        <f>IF(FT!B110&lt;&gt;"",FT!B110*100,"")</f>
        <v>50.165300000000002</v>
      </c>
      <c r="H110" s="61">
        <f t="shared" si="9"/>
        <v>1</v>
      </c>
      <c r="I110" t="str">
        <f>IF(FT!B110&lt;&gt;"",FT!E110,"")</f>
        <v>2 [43.909177]</v>
      </c>
      <c r="J110">
        <f>IF(FT!B110&lt;&gt;"",FT!C110,"")</f>
        <v>43.909199999999998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198285</v>
      </c>
      <c r="D111" s="61">
        <f>FH!B111*1</f>
        <v>198285</v>
      </c>
      <c r="E111">
        <f t="shared" si="11"/>
        <v>109</v>
      </c>
      <c r="F111" s="61">
        <f>IF(FT!A111&lt;&gt;"",FT!A111*10,"")</f>
        <v>3.6258400000000002</v>
      </c>
      <c r="G111" s="61">
        <f>IF(FT!B111&lt;&gt;"",FT!B111*100,"")</f>
        <v>50.337699999999998</v>
      </c>
      <c r="H111" s="61">
        <f t="shared" si="9"/>
        <v>1</v>
      </c>
      <c r="I111" t="str">
        <f>IF(FT!B111&lt;&gt;"",FT!E111,"")</f>
        <v>2 [44.314528]</v>
      </c>
      <c r="J111">
        <f>IF(FT!B111&lt;&gt;"",FT!C111,"")</f>
        <v>44.314500000000002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3.6048100000000001</v>
      </c>
      <c r="G112" s="61">
        <f>IF(FT!B112&lt;&gt;"",FT!B112*100,"")</f>
        <v>50.582999999999998</v>
      </c>
      <c r="H112" s="61">
        <f t="shared" si="9"/>
        <v>1</v>
      </c>
      <c r="I112" t="str">
        <f>IF(FT!B112&lt;&gt;"",FT!E112,"")</f>
        <v>2 [44.717780]</v>
      </c>
      <c r="J112">
        <f>IF(FT!B112&lt;&gt;"",FT!C112,"")</f>
        <v>44.717799999999997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200955</v>
      </c>
      <c r="D113" s="61">
        <f>FH!B113*1</f>
        <v>200955</v>
      </c>
      <c r="E113">
        <f t="shared" si="11"/>
        <v>111</v>
      </c>
      <c r="F113" s="61">
        <f>IF(FT!A113&lt;&gt;"",FT!A113*10,"")</f>
        <v>3.5856900000000005</v>
      </c>
      <c r="G113" s="61">
        <f>IF(FT!B113&lt;&gt;"",FT!B113*100,"")</f>
        <v>50.852600000000002</v>
      </c>
      <c r="H113" s="61">
        <f t="shared" si="9"/>
        <v>1</v>
      </c>
      <c r="I113" t="str">
        <f>IF(FT!B113&lt;&gt;"",FT!E113,"")</f>
        <v>2 [45.124735]</v>
      </c>
      <c r="J113">
        <f>IF(FT!B113&lt;&gt;"",FT!C113,"")</f>
        <v>45.124699999999997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3.56813</v>
      </c>
      <c r="G114" s="61">
        <f>IF(FT!B114&lt;&gt;"",FT!B114*100,"")</f>
        <v>51.032699999999998</v>
      </c>
      <c r="H114" s="61">
        <f t="shared" si="9"/>
        <v>1</v>
      </c>
      <c r="I114" t="str">
        <f>IF(FT!B114&lt;&gt;"",FT!E114,"")</f>
        <v>2 [45.533257]</v>
      </c>
      <c r="J114">
        <f>IF(FT!B114&lt;&gt;"",FT!C114,"")</f>
        <v>45.533299999999997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3.5504099999999998</v>
      </c>
      <c r="G115" s="61">
        <f>IF(FT!B115&lt;&gt;"",FT!B115*100,"")</f>
        <v>51.173400000000001</v>
      </c>
      <c r="H115" s="61">
        <f t="shared" si="9"/>
        <v>1</v>
      </c>
      <c r="I115" t="str">
        <f>IF(FT!B115&lt;&gt;"",FT!E115,"")</f>
        <v>2 [45.939152]</v>
      </c>
      <c r="J115">
        <f>IF(FT!B115&lt;&gt;"",FT!C115,"")</f>
        <v>45.9392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190138</v>
      </c>
      <c r="D116" s="61">
        <f>FH!B116*1</f>
        <v>190138</v>
      </c>
      <c r="E116">
        <f t="shared" si="11"/>
        <v>114</v>
      </c>
      <c r="F116" s="61">
        <f>IF(FT!A116&lt;&gt;"",FT!A116*10,"")</f>
        <v>3.53207</v>
      </c>
      <c r="G116" s="61">
        <f>IF(FT!B116&lt;&gt;"",FT!B116*100,"")</f>
        <v>51.285899999999998</v>
      </c>
      <c r="H116" s="61">
        <f t="shared" si="9"/>
        <v>1</v>
      </c>
      <c r="I116" t="str">
        <f>IF(FT!B116&lt;&gt;"",FT!E116,"")</f>
        <v>2 [46.343159]</v>
      </c>
      <c r="J116">
        <f>IF(FT!B116&lt;&gt;"",FT!C116,"")</f>
        <v>46.343200000000003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3.5137800000000001</v>
      </c>
      <c r="G117" s="61">
        <f>IF(FT!B117&lt;&gt;"",FT!B117*100,"")</f>
        <v>51.4741</v>
      </c>
      <c r="H117" s="61">
        <f t="shared" si="9"/>
        <v>1</v>
      </c>
      <c r="I117" t="str">
        <f>IF(FT!B117&lt;&gt;"",FT!E117,"")</f>
        <v>2 [46.749458]</v>
      </c>
      <c r="J117">
        <f>IF(FT!B117&lt;&gt;"",FT!C117,"")</f>
        <v>46.749499999999998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192021</v>
      </c>
      <c r="D118" s="61">
        <f>FH!B118*1</f>
        <v>192021</v>
      </c>
      <c r="E118">
        <f t="shared" si="11"/>
        <v>116</v>
      </c>
      <c r="F118" s="61">
        <f>IF(FT!A118&lt;&gt;"",FT!A118*10,"")</f>
        <v>3.4954099999999997</v>
      </c>
      <c r="G118" s="61">
        <f>IF(FT!B118&lt;&gt;"",FT!B118*100,"")</f>
        <v>51.724599999999995</v>
      </c>
      <c r="H118" s="61">
        <f t="shared" si="9"/>
        <v>1</v>
      </c>
      <c r="I118" t="str">
        <f>IF(FT!B118&lt;&gt;"",FT!E118,"")</f>
        <v>2 [47.158613]</v>
      </c>
      <c r="J118">
        <f>IF(FT!B118&lt;&gt;"",FT!C118,"")</f>
        <v>47.1586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3.4804499999999998</v>
      </c>
      <c r="G119" s="61">
        <f>IF(FT!B119&lt;&gt;"",FT!B119*100,"")</f>
        <v>51.9041</v>
      </c>
      <c r="H119" s="61">
        <f t="shared" si="9"/>
        <v>1</v>
      </c>
      <c r="I119" t="str">
        <f>IF(FT!B119&lt;&gt;"",FT!E119,"")</f>
        <v>2 [47.563782]</v>
      </c>
      <c r="J119">
        <f>IF(FT!B119&lt;&gt;"",FT!C119,"")</f>
        <v>47.563800000000001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3.4662600000000001</v>
      </c>
      <c r="G120" s="61">
        <f>IF(FT!B120&lt;&gt;"",FT!B120*100,"")</f>
        <v>52.094200000000001</v>
      </c>
      <c r="H120" s="61">
        <f t="shared" si="9"/>
        <v>1</v>
      </c>
      <c r="I120" t="str">
        <f>IF(FT!B120&lt;&gt;"",FT!E120,"")</f>
        <v>2 [47.972063]</v>
      </c>
      <c r="J120">
        <f>IF(FT!B120&lt;&gt;"",FT!C120,"")</f>
        <v>47.972099999999998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180849</v>
      </c>
      <c r="D121" s="61">
        <f>FH!B121*1</f>
        <v>180849</v>
      </c>
      <c r="E121">
        <f t="shared" si="11"/>
        <v>119</v>
      </c>
      <c r="F121" s="61">
        <f>IF(FT!A121&lt;&gt;"",FT!A121*10,"")</f>
        <v>3.4526600000000003</v>
      </c>
      <c r="G121" s="61">
        <f>IF(FT!B121&lt;&gt;"",FT!B121*100,"")</f>
        <v>52.2575</v>
      </c>
      <c r="H121" s="61">
        <f t="shared" si="9"/>
        <v>1</v>
      </c>
      <c r="I121" t="str">
        <f>IF(FT!B121&lt;&gt;"",FT!E121,"")</f>
        <v>2 [48.375786]</v>
      </c>
      <c r="J121">
        <f>IF(FT!B121&lt;&gt;"",FT!C121,"")</f>
        <v>48.375799999999998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3.4401799999999998</v>
      </c>
      <c r="G122" s="61">
        <f>IF(FT!B122&lt;&gt;"",FT!B122*100,"")</f>
        <v>52.4313</v>
      </c>
      <c r="H122" s="61">
        <f t="shared" si="9"/>
        <v>1</v>
      </c>
      <c r="I122" t="str">
        <f>IF(FT!B122&lt;&gt;"",FT!E122,"")</f>
        <v>2 [48.784341]</v>
      </c>
      <c r="J122">
        <f>IF(FT!B122&lt;&gt;"",FT!C122,"")</f>
        <v>48.784300000000002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3.4296700000000002</v>
      </c>
      <c r="G123" s="61">
        <f>IF(FT!B123&lt;&gt;"",FT!B123*100,"")</f>
        <v>52.607599999999998</v>
      </c>
      <c r="H123" s="61">
        <f t="shared" si="9"/>
        <v>1</v>
      </c>
      <c r="I123" t="str">
        <f>IF(FT!B123&lt;&gt;"",FT!E123,"")</f>
        <v>2 [49.187605]</v>
      </c>
      <c r="J123">
        <f>IF(FT!B123&lt;&gt;"",FT!C123,"")</f>
        <v>49.187600000000003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182881</v>
      </c>
      <c r="D124" s="61">
        <f>FH!B124*1</f>
        <v>182881</v>
      </c>
      <c r="E124">
        <f t="shared" si="11"/>
        <v>122</v>
      </c>
      <c r="F124" s="61">
        <f>IF(FT!A124&lt;&gt;"",FT!A124*10,"")</f>
        <v>3.4194499999999999</v>
      </c>
      <c r="G124" s="61">
        <f>IF(FT!B124&lt;&gt;"",FT!B124*100,"")</f>
        <v>52.754100000000001</v>
      </c>
      <c r="H124" s="61">
        <f t="shared" si="9"/>
        <v>1</v>
      </c>
      <c r="I124" t="str">
        <f>IF(FT!B124&lt;&gt;"",FT!E124,"")</f>
        <v>2 [49.594361]</v>
      </c>
      <c r="J124">
        <f>IF(FT!B124&lt;&gt;"",FT!C124,"")</f>
        <v>49.5944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3.41181</v>
      </c>
      <c r="G125" s="61">
        <f>IF(FT!B125&lt;&gt;"",FT!B125*100,"")</f>
        <v>52.828099999999999</v>
      </c>
      <c r="H125" s="61">
        <f t="shared" si="9"/>
        <v>1</v>
      </c>
      <c r="I125" t="str">
        <f>IF(FT!B125&lt;&gt;"",FT!E125,"")</f>
        <v>2 [50.005201]</v>
      </c>
      <c r="J125">
        <f>IF(FT!B125&lt;&gt;"",FT!C125,"")</f>
        <v>50.005200000000002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171306</v>
      </c>
      <c r="D126" s="61">
        <f>FH!B126*1</f>
        <v>171306</v>
      </c>
      <c r="E126">
        <f t="shared" si="11"/>
        <v>124</v>
      </c>
      <c r="F126" s="61">
        <f>IF(FT!A126&lt;&gt;"",FT!A126*10,"")</f>
        <v>3.40815</v>
      </c>
      <c r="G126" s="61">
        <f>IF(FT!B126&lt;&gt;"",FT!B126*100,"")</f>
        <v>52.779800000000002</v>
      </c>
      <c r="H126" s="61">
        <f t="shared" si="9"/>
        <v>1</v>
      </c>
      <c r="I126" t="str">
        <f>IF(FT!B126&lt;&gt;"",FT!E126,"")</f>
        <v>2 [50.409299]</v>
      </c>
      <c r="J126">
        <f>IF(FT!B126&lt;&gt;"",FT!C126,"")</f>
        <v>50.409300000000002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3.4084199999999996</v>
      </c>
      <c r="G127" s="61">
        <f>IF(FT!B127&lt;&gt;"",FT!B127*100,"")</f>
        <v>52.727800000000002</v>
      </c>
      <c r="H127" s="61">
        <f t="shared" si="9"/>
        <v>1</v>
      </c>
      <c r="I127" t="str">
        <f>IF(FT!B127&lt;&gt;"",FT!E127,"")</f>
        <v>2 [50.811546]</v>
      </c>
      <c r="J127">
        <f>IF(FT!B127&lt;&gt;"",FT!C127,"")</f>
        <v>50.811500000000002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3.4072300000000002</v>
      </c>
      <c r="G128" s="61">
        <f>IF(FT!B128&lt;&gt;"",FT!B128*100,"")</f>
        <v>52.714799999999997</v>
      </c>
      <c r="H128" s="61">
        <f t="shared" si="9"/>
        <v>1</v>
      </c>
      <c r="I128" t="str">
        <f>IF(FT!B128&lt;&gt;"",FT!E128,"")</f>
        <v>2 [51.222034]</v>
      </c>
      <c r="J128">
        <f>IF(FT!B128&lt;&gt;"",FT!C128,"")</f>
        <v>51.222000000000001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162156</v>
      </c>
      <c r="D129" s="61">
        <f>FH!B129*1</f>
        <v>162156</v>
      </c>
      <c r="E129">
        <f t="shared" si="11"/>
        <v>127</v>
      </c>
      <c r="F129" s="61">
        <f>IF(FT!A129&lt;&gt;"",FT!A129*10,"")</f>
        <v>3.40578</v>
      </c>
      <c r="G129" s="61">
        <f>IF(FT!B129&lt;&gt;"",FT!B129*100,"")</f>
        <v>52.707300000000004</v>
      </c>
      <c r="H129" s="61">
        <f t="shared" si="9"/>
        <v>1</v>
      </c>
      <c r="I129" t="str">
        <f>IF(FT!B129&lt;&gt;"",FT!E129,"")</f>
        <v>2 [51.628154]</v>
      </c>
      <c r="J129">
        <f>IF(FT!B129&lt;&gt;"",FT!C129,"")</f>
        <v>51.6282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3.4047200000000002</v>
      </c>
      <c r="G130" s="61">
        <f>IF(FT!B130&lt;&gt;"",FT!B130*100,"")</f>
        <v>52.675600000000003</v>
      </c>
      <c r="H130" s="61">
        <f t="shared" si="9"/>
        <v>1</v>
      </c>
      <c r="I130" t="str">
        <f>IF(FT!B130&lt;&gt;"",FT!E130,"")</f>
        <v>2 [52.036370]</v>
      </c>
      <c r="J130">
        <f>IF(FT!B130&lt;&gt;"",FT!C130,"")</f>
        <v>52.0364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146680</v>
      </c>
      <c r="D131" s="61">
        <f>FH!B131*1</f>
        <v>146680</v>
      </c>
      <c r="E131">
        <f t="shared" si="11"/>
        <v>129</v>
      </c>
      <c r="F131" s="61">
        <f>IF(FT!A131&lt;&gt;"",FT!A131*10,"")</f>
        <v>3.4038499999999998</v>
      </c>
      <c r="G131" s="61">
        <f>IF(FT!B131&lt;&gt;"",FT!B131*100,"")</f>
        <v>52.646000000000001</v>
      </c>
      <c r="H131" s="61">
        <f t="shared" ref="H131:H194" si="13">(IF(F131&lt;&gt;"",1,""))</f>
        <v>1</v>
      </c>
      <c r="I131" t="str">
        <f>IF(FT!B131&lt;&gt;"",FT!E131,"")</f>
        <v>2 [52.443784]</v>
      </c>
      <c r="J131">
        <f>IF(FT!B131&lt;&gt;"",FT!C131,"")</f>
        <v>52.443800000000003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3.4049800000000001</v>
      </c>
      <c r="G132" s="61">
        <f>IF(FT!B132&lt;&gt;"",FT!B132*100,"")</f>
        <v>52.618699999999997</v>
      </c>
      <c r="H132" s="61">
        <f t="shared" si="13"/>
        <v>1</v>
      </c>
      <c r="I132" t="str">
        <f>IF(FT!B132&lt;&gt;"",FT!E132,"")</f>
        <v>2 [52.844449]</v>
      </c>
      <c r="J132">
        <f>IF(FT!B132&lt;&gt;"",FT!C132,"")</f>
        <v>52.8444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3.4088400000000001</v>
      </c>
      <c r="G133" s="61">
        <f>IF(FT!B133&lt;&gt;"",FT!B133*100,"")</f>
        <v>52.608699999999999</v>
      </c>
      <c r="H133" s="61">
        <f t="shared" si="13"/>
        <v>1</v>
      </c>
      <c r="I133" t="str">
        <f>IF(FT!B133&lt;&gt;"",FT!E133,"")</f>
        <v>2 [53.253745]</v>
      </c>
      <c r="J133">
        <f>IF(FT!B133&lt;&gt;"",FT!C133,"")</f>
        <v>53.253700000000002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135374</v>
      </c>
      <c r="D134" s="61">
        <f>FH!B134*1</f>
        <v>135374</v>
      </c>
      <c r="E134">
        <f t="shared" si="15"/>
        <v>132</v>
      </c>
      <c r="F134" s="61">
        <f>IF(FT!A134&lt;&gt;"",FT!A134*10,"")</f>
        <v>3.4141300000000001</v>
      </c>
      <c r="G134" s="61">
        <f>IF(FT!B134&lt;&gt;"",FT!B134*100,"")</f>
        <v>52.644199999999998</v>
      </c>
      <c r="H134" s="61">
        <f t="shared" si="13"/>
        <v>1</v>
      </c>
      <c r="I134" t="str">
        <f>IF(FT!B134&lt;&gt;"",FT!E134,"")</f>
        <v>2 [53.656591]</v>
      </c>
      <c r="J134">
        <f>IF(FT!B134&lt;&gt;"",FT!C134,"")</f>
        <v>53.656599999999997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3.4192299999999998</v>
      </c>
      <c r="G135" s="61">
        <f>IF(FT!B135&lt;&gt;"",FT!B135*100,"")</f>
        <v>52.7288</v>
      </c>
      <c r="H135" s="61">
        <f t="shared" si="13"/>
        <v>1</v>
      </c>
      <c r="I135" t="str">
        <f>IF(FT!B135&lt;&gt;"",FT!E135,"")</f>
        <v>2 [54.066486]</v>
      </c>
      <c r="J135">
        <f>IF(FT!B135&lt;&gt;"",FT!C135,"")</f>
        <v>54.066499999999998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127162</v>
      </c>
      <c r="D136" s="61">
        <f>FH!B136*1</f>
        <v>127162</v>
      </c>
      <c r="E136">
        <f t="shared" si="15"/>
        <v>134</v>
      </c>
      <c r="F136" s="61">
        <f>IF(FT!A136&lt;&gt;"",FT!A136*10,"")</f>
        <v>3.4210800000000003</v>
      </c>
      <c r="G136" s="61">
        <f>IF(FT!B136&lt;&gt;"",FT!B136*100,"")</f>
        <v>52.891399999999997</v>
      </c>
      <c r="H136" s="61">
        <f t="shared" si="13"/>
        <v>1</v>
      </c>
      <c r="I136" t="str">
        <f>IF(FT!B136&lt;&gt;"",FT!E136,"")</f>
        <v>2 [54.470199]</v>
      </c>
      <c r="J136">
        <f>IF(FT!B136&lt;&gt;"",FT!C136,"")</f>
        <v>54.470199999999998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3.4169200000000002</v>
      </c>
      <c r="G137" s="61">
        <f>IF(FT!B137&lt;&gt;"",FT!B137*100,"")</f>
        <v>53.099600000000002</v>
      </c>
      <c r="H137" s="61">
        <f t="shared" si="13"/>
        <v>1</v>
      </c>
      <c r="I137" t="str">
        <f>IF(FT!B137&lt;&gt;"",FT!E137,"")</f>
        <v>2 [54.875770]</v>
      </c>
      <c r="J137">
        <f>IF(FT!B137&lt;&gt;"",FT!C137,"")</f>
        <v>54.875799999999998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3.4083999999999999</v>
      </c>
      <c r="G138" s="61">
        <f>IF(FT!B138&lt;&gt;"",FT!B138*100,"")</f>
        <v>53.400400000000005</v>
      </c>
      <c r="H138" s="61">
        <f t="shared" si="13"/>
        <v>1</v>
      </c>
      <c r="I138" t="str">
        <f>IF(FT!B138&lt;&gt;"",FT!E138,"")</f>
        <v>2 [55.284960]</v>
      </c>
      <c r="J138">
        <f>IF(FT!B138&lt;&gt;"",FT!C138,"")</f>
        <v>55.284999999999997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117233</v>
      </c>
      <c r="D139" s="61">
        <f>FH!B139*1</f>
        <v>117233</v>
      </c>
      <c r="E139">
        <f t="shared" si="15"/>
        <v>137</v>
      </c>
      <c r="F139" s="61">
        <f>IF(FT!A139&lt;&gt;"",FT!A139*10,"")</f>
        <v>3.4006500000000002</v>
      </c>
      <c r="G139" s="61">
        <f>IF(FT!B139&lt;&gt;"",FT!B139*100,"")</f>
        <v>53.757600000000004</v>
      </c>
      <c r="H139" s="61">
        <f t="shared" si="13"/>
        <v>1</v>
      </c>
      <c r="I139" t="str">
        <f>IF(FT!B139&lt;&gt;"",FT!E139,"")</f>
        <v>2 [55.689186]</v>
      </c>
      <c r="J139">
        <f>IF(FT!B139&lt;&gt;"",FT!C139,"")</f>
        <v>55.6892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3.4001700000000001</v>
      </c>
      <c r="G140" s="61">
        <f>IF(FT!B140&lt;&gt;"",FT!B140*100,"")</f>
        <v>54.035200000000003</v>
      </c>
      <c r="H140" s="61">
        <f t="shared" si="13"/>
        <v>1</v>
      </c>
      <c r="I140" t="str">
        <f>IF(FT!B140&lt;&gt;"",FT!E140,"")</f>
        <v>2 [56.097994]</v>
      </c>
      <c r="J140">
        <f>IF(FT!B140&lt;&gt;"",FT!C140,"")</f>
        <v>56.097999999999999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3.4077200000000003</v>
      </c>
      <c r="G141" s="61">
        <f>IF(FT!B141&lt;&gt;"",FT!B141*100,"")</f>
        <v>54.204099999999997</v>
      </c>
      <c r="H141" s="61">
        <f t="shared" si="13"/>
        <v>1</v>
      </c>
      <c r="I141" t="str">
        <f>IF(FT!B141&lt;&gt;"",FT!E141,"")</f>
        <v>2 [56.502581]</v>
      </c>
      <c r="J141">
        <f>IF(FT!B141&lt;&gt;"",FT!C141,"")</f>
        <v>56.502600000000001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104070</v>
      </c>
      <c r="D142" s="61">
        <f>FH!B142*1</f>
        <v>104070</v>
      </c>
      <c r="E142">
        <f t="shared" si="15"/>
        <v>140</v>
      </c>
      <c r="F142" s="61">
        <f>IF(FT!A142&lt;&gt;"",FT!A142*10,"")</f>
        <v>3.4117999999999999</v>
      </c>
      <c r="G142" s="61">
        <f>IF(FT!B142&lt;&gt;"",FT!B142*100,"")</f>
        <v>54.347900000000003</v>
      </c>
      <c r="H142" s="61">
        <f t="shared" si="13"/>
        <v>1</v>
      </c>
      <c r="I142" t="str">
        <f>IF(FT!B142&lt;&gt;"",FT!E142,"")</f>
        <v>2 [56.907263]</v>
      </c>
      <c r="J142">
        <f>IF(FT!B142&lt;&gt;"",FT!C142,"")</f>
        <v>56.907299999999999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3.4151799999999999</v>
      </c>
      <c r="G143" s="61">
        <f>IF(FT!B143&lt;&gt;"",FT!B143*100,"")</f>
        <v>54.460099999999997</v>
      </c>
      <c r="H143" s="61">
        <f t="shared" si="13"/>
        <v>1</v>
      </c>
      <c r="I143" t="str">
        <f>IF(FT!B143&lt;&gt;"",FT!E143,"")</f>
        <v>2 [57.310539]</v>
      </c>
      <c r="J143">
        <f>IF(FT!B143&lt;&gt;"",FT!C143,"")</f>
        <v>57.310499999999998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99156</v>
      </c>
      <c r="D144" s="61">
        <f>FH!B144*1</f>
        <v>99156</v>
      </c>
      <c r="E144">
        <f t="shared" si="15"/>
        <v>142</v>
      </c>
      <c r="F144" s="61">
        <f>IF(FT!A144&lt;&gt;"",FT!A144*10,"")</f>
        <v>3.4156199999999997</v>
      </c>
      <c r="G144" s="61">
        <f>IF(FT!B144&lt;&gt;"",FT!B144*100,"")</f>
        <v>54.642800000000001</v>
      </c>
      <c r="H144" s="61">
        <f t="shared" si="13"/>
        <v>1</v>
      </c>
      <c r="I144" t="str">
        <f>IF(FT!B144&lt;&gt;"",FT!E144,"")</f>
        <v>2 [57.720819]</v>
      </c>
      <c r="J144">
        <f>IF(FT!B144&lt;&gt;"",FT!C144,"")</f>
        <v>57.720799999999997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3.4148299999999998</v>
      </c>
      <c r="G145" s="61">
        <f>IF(FT!B145&lt;&gt;"",FT!B145*100,"")</f>
        <v>54.809300000000007</v>
      </c>
      <c r="H145" s="61">
        <f t="shared" si="13"/>
        <v>1</v>
      </c>
      <c r="I145" t="str">
        <f>IF(FT!B145&lt;&gt;"",FT!E145,"")</f>
        <v>2 [58.123707]</v>
      </c>
      <c r="J145">
        <f>IF(FT!B145&lt;&gt;"",FT!C145,"")</f>
        <v>58.123699999999999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3.4213300000000002</v>
      </c>
      <c r="G146" s="61">
        <f>IF(FT!B146&lt;&gt;"",FT!B146*100,"")</f>
        <v>54.939700000000002</v>
      </c>
      <c r="H146" s="61">
        <f t="shared" si="13"/>
        <v>1</v>
      </c>
      <c r="I146" t="str">
        <f>IF(FT!B146&lt;&gt;"",FT!E146,"")</f>
        <v>2 [58.535503]</v>
      </c>
      <c r="J146">
        <f>IF(FT!B146&lt;&gt;"",FT!C146,"")</f>
        <v>58.535499999999999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90593</v>
      </c>
      <c r="D147" s="61">
        <f>FH!B147*1</f>
        <v>90593</v>
      </c>
      <c r="E147">
        <f t="shared" si="15"/>
        <v>145</v>
      </c>
      <c r="F147" s="61">
        <f>IF(FT!A147&lt;&gt;"",FT!A147*10,"")</f>
        <v>3.4246300000000001</v>
      </c>
      <c r="G147" s="61">
        <f>IF(FT!B147&lt;&gt;"",FT!B147*100,"")</f>
        <v>55.116600000000005</v>
      </c>
      <c r="H147" s="61">
        <f t="shared" si="13"/>
        <v>1</v>
      </c>
      <c r="I147" t="str">
        <f>IF(FT!B147&lt;&gt;"",FT!E147,"")</f>
        <v>2 [58.941143]</v>
      </c>
      <c r="J147">
        <f>IF(FT!B147&lt;&gt;"",FT!C147,"")</f>
        <v>58.941099999999999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3.4208300000000005</v>
      </c>
      <c r="G148" s="61">
        <f>IF(FT!B148&lt;&gt;"",FT!B148*100,"")</f>
        <v>55.1554</v>
      </c>
      <c r="H148" s="61">
        <f t="shared" si="13"/>
        <v>1</v>
      </c>
      <c r="I148" t="str">
        <f>IF(FT!B148&lt;&gt;"",FT!E148,"")</f>
        <v>2 [59.350559]</v>
      </c>
      <c r="J148">
        <f>IF(FT!B148&lt;&gt;"",FT!C148,"")</f>
        <v>59.3506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83660</v>
      </c>
      <c r="D149" s="61">
        <f>FH!B149*1</f>
        <v>83660</v>
      </c>
      <c r="E149">
        <f t="shared" si="15"/>
        <v>147</v>
      </c>
      <c r="F149" s="61">
        <f>IF(FT!A149&lt;&gt;"",FT!A149*10,"")</f>
        <v>3.4258800000000003</v>
      </c>
      <c r="G149" s="61">
        <f>IF(FT!B149&lt;&gt;"",FT!B149*100,"")</f>
        <v>55.059800000000003</v>
      </c>
      <c r="H149" s="61">
        <f t="shared" si="13"/>
        <v>1</v>
      </c>
      <c r="I149" t="str">
        <f>IF(FT!B149&lt;&gt;"",FT!E149,"")</f>
        <v>2 [59.755943]</v>
      </c>
      <c r="J149">
        <f>IF(FT!B149&lt;&gt;"",FT!C149,"")</f>
        <v>59.755899999999997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76366</v>
      </c>
      <c r="D152" s="61">
        <f>FH!B152*1</f>
        <v>76366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65783</v>
      </c>
      <c r="D154" s="61">
        <f>FH!B154*1</f>
        <v>65783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60234</v>
      </c>
      <c r="D157" s="61">
        <f>FH!B157*1</f>
        <v>60234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55394</v>
      </c>
      <c r="D160" s="61">
        <f>FH!B160*1</f>
        <v>55394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52438</v>
      </c>
      <c r="D162" s="61">
        <f>FH!B162*1</f>
        <v>52438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45007</v>
      </c>
      <c r="D165" s="61">
        <f>FH!B165*1</f>
        <v>45007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33832</v>
      </c>
      <c r="D167" s="61">
        <f>FH!B167*1</f>
        <v>33832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31141</v>
      </c>
      <c r="D170" s="61">
        <f>FH!B170*1</f>
        <v>31141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26207</v>
      </c>
      <c r="D173" s="61">
        <f>FH!B173*1</f>
        <v>26207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24608</v>
      </c>
      <c r="D175" s="61">
        <f>FH!B175*1</f>
        <v>24608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21550</v>
      </c>
      <c r="D178" s="61">
        <f>FH!B178*1</f>
        <v>21550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19740</v>
      </c>
      <c r="D180" s="61">
        <f>FH!B180*1</f>
        <v>19740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11971</v>
      </c>
      <c r="D183" s="61">
        <f>FH!B183*1</f>
        <v>11971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8911</v>
      </c>
      <c r="D185" s="61">
        <f>FH!B185*1</f>
        <v>8911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4626</v>
      </c>
      <c r="D188" s="61">
        <f>FH!B188*1</f>
        <v>4626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3495</v>
      </c>
      <c r="D191" s="61">
        <f>FH!B191*1</f>
        <v>3495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3719</v>
      </c>
      <c r="D193" s="61">
        <f>FH!B193*1</f>
        <v>3719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2071</v>
      </c>
      <c r="D196" s="61">
        <f>FH!B196*1</f>
        <v>2071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1829</v>
      </c>
      <c r="D198" s="61">
        <f>FH!B198*1</f>
        <v>1829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671</v>
      </c>
      <c r="D201" s="61">
        <f>FH!B201*1</f>
        <v>671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357</v>
      </c>
      <c r="D203" s="61">
        <f>FH!B203*1</f>
        <v>357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90</v>
      </c>
      <c r="D206" s="61">
        <f>FH!B206*1</f>
        <v>90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42.629600000000003</v>
      </c>
      <c r="C5" s="66">
        <v>8.1794600000000006</v>
      </c>
      <c r="D5" s="66">
        <v>19.1873</v>
      </c>
      <c r="E5" s="66">
        <v>20</v>
      </c>
      <c r="F5" s="66">
        <v>19.255600000000001</v>
      </c>
      <c r="G5" s="66">
        <v>50</v>
      </c>
      <c r="H5" s="66">
        <v>56.310600000000001</v>
      </c>
    </row>
    <row r="6" spans="1:8">
      <c r="A6" s="58" t="s">
        <v>303</v>
      </c>
      <c r="B6" s="66">
        <v>35.634999999999998</v>
      </c>
      <c r="C6" s="66">
        <v>2.77075</v>
      </c>
      <c r="D6" s="66">
        <v>7.7753500000000004</v>
      </c>
      <c r="E6" s="66">
        <v>20</v>
      </c>
      <c r="F6" s="66">
        <v>32.868699999999997</v>
      </c>
      <c r="G6" s="66">
        <v>40</v>
      </c>
      <c r="H6" s="66">
        <v>43.5227</v>
      </c>
    </row>
    <row r="7" spans="1:8">
      <c r="A7" s="58" t="s">
        <v>304</v>
      </c>
      <c r="B7" s="66">
        <v>26.087299999999999</v>
      </c>
      <c r="C7" s="66">
        <v>4.7574100000000001</v>
      </c>
      <c r="D7" s="66">
        <v>18.236499999999999</v>
      </c>
      <c r="E7" s="66">
        <v>15</v>
      </c>
      <c r="F7" s="66">
        <v>11.5167</v>
      </c>
      <c r="G7" s="66">
        <v>40</v>
      </c>
      <c r="H7" s="66">
        <v>45.997399999999999</v>
      </c>
    </row>
    <row r="8" spans="1:8">
      <c r="A8" s="58" t="s">
        <v>305</v>
      </c>
      <c r="B8" s="66">
        <v>35.2774</v>
      </c>
      <c r="C8" s="66">
        <v>3.2059700000000002</v>
      </c>
      <c r="D8" s="66">
        <v>9.0878999999999994</v>
      </c>
      <c r="E8" s="66">
        <v>20</v>
      </c>
      <c r="F8" s="66">
        <v>25.0305</v>
      </c>
      <c r="G8" s="66">
        <v>50</v>
      </c>
      <c r="H8" s="66">
        <v>40.029600000000002</v>
      </c>
    </row>
    <row r="9" spans="1:8">
      <c r="A9" s="58" t="s">
        <v>306</v>
      </c>
      <c r="B9" s="66">
        <v>68.788300000000007</v>
      </c>
      <c r="C9" s="66">
        <v>4.5979099999999997</v>
      </c>
      <c r="D9" s="66">
        <v>6.6841499999999998</v>
      </c>
      <c r="E9" s="66">
        <v>50</v>
      </c>
      <c r="F9" s="66">
        <v>61.349699999999999</v>
      </c>
      <c r="G9" s="66">
        <v>100</v>
      </c>
      <c r="H9" s="66">
        <v>82.667000000000002</v>
      </c>
    </row>
    <row r="10" spans="1:8">
      <c r="A10" s="58" t="s">
        <v>307</v>
      </c>
      <c r="B10" s="66">
        <v>60.965699999999998</v>
      </c>
      <c r="C10" s="66">
        <v>4.87148</v>
      </c>
      <c r="D10" s="66">
        <v>7.9905200000000001</v>
      </c>
      <c r="E10" s="66">
        <v>40</v>
      </c>
      <c r="F10" s="66">
        <v>55.636000000000003</v>
      </c>
      <c r="G10" s="66">
        <v>100</v>
      </c>
      <c r="H10" s="66">
        <v>75.747399999999999</v>
      </c>
    </row>
    <row r="11" spans="1:8">
      <c r="A11" s="58" t="s">
        <v>308</v>
      </c>
      <c r="B11" s="66">
        <v>28.421399999999998</v>
      </c>
      <c r="C11" s="66">
        <v>6.4769899999999998</v>
      </c>
      <c r="D11" s="66">
        <v>22.789100000000001</v>
      </c>
      <c r="E11" s="66">
        <v>10</v>
      </c>
      <c r="F11" s="66">
        <v>11.0268</v>
      </c>
      <c r="G11" s="66">
        <v>50</v>
      </c>
      <c r="H11" s="66">
        <v>36.970599999999997</v>
      </c>
    </row>
    <row r="12" spans="1:8">
      <c r="A12" s="58" t="s">
        <v>309</v>
      </c>
      <c r="B12" s="66">
        <v>65.248000000000005</v>
      </c>
      <c r="C12" s="66">
        <v>3.8633199999999999</v>
      </c>
      <c r="D12" s="66">
        <v>5.9209800000000001</v>
      </c>
      <c r="E12" s="66">
        <v>50</v>
      </c>
      <c r="F12" s="66">
        <v>60.399799999999999</v>
      </c>
      <c r="G12" s="66">
        <v>100</v>
      </c>
      <c r="H12" s="66">
        <v>78.813500000000005</v>
      </c>
    </row>
    <row r="13" spans="1:8">
      <c r="A13" s="58" t="s">
        <v>310</v>
      </c>
      <c r="B13" s="66">
        <v>21.162099999999999</v>
      </c>
      <c r="C13" s="66">
        <v>3.4181499999999998</v>
      </c>
      <c r="D13" s="66">
        <v>16.152200000000001</v>
      </c>
      <c r="E13" s="66">
        <v>10</v>
      </c>
      <c r="F13" s="66">
        <v>14.3291</v>
      </c>
      <c r="G13" s="66">
        <v>25</v>
      </c>
      <c r="H13" s="66">
        <v>32.801099999999998</v>
      </c>
    </row>
    <row r="14" spans="1:8">
      <c r="A14" s="58" t="s">
        <v>311</v>
      </c>
      <c r="B14" s="66">
        <v>34.1815</v>
      </c>
      <c r="C14" s="66">
        <v>11.528499999999999</v>
      </c>
      <c r="D14" s="66">
        <v>33.7273</v>
      </c>
      <c r="E14" s="66">
        <v>10</v>
      </c>
      <c r="F14" s="66">
        <v>2.4430100000000001</v>
      </c>
      <c r="G14" s="66">
        <v>50</v>
      </c>
      <c r="H14" s="66">
        <v>48.281599999999997</v>
      </c>
    </row>
    <row r="15" spans="1:8">
      <c r="A15" s="58" t="s">
        <v>312</v>
      </c>
      <c r="B15" s="66">
        <v>1.5114900000000001E-2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1.01913E-2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14.755100000000001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0.36086600000000002</v>
      </c>
      <c r="C18" s="66">
        <v>8.0799899999999994E-2</v>
      </c>
      <c r="D18" s="66">
        <v>0.22390599999999999</v>
      </c>
      <c r="E18" s="66">
        <v>0</v>
      </c>
      <c r="F18" s="66">
        <v>0.28006599999999998</v>
      </c>
      <c r="G18" s="66">
        <v>0</v>
      </c>
      <c r="H18" s="66">
        <v>0.441666</v>
      </c>
    </row>
    <row r="19" spans="1:8">
      <c r="A19" s="58" t="s">
        <v>316</v>
      </c>
      <c r="B19" s="66">
        <v>0.42578100000000002</v>
      </c>
      <c r="C19" s="66">
        <v>4.8329999999999998E-2</v>
      </c>
      <c r="D19" s="66">
        <v>0.113509</v>
      </c>
      <c r="E19" s="66">
        <v>0</v>
      </c>
      <c r="F19" s="66">
        <v>0.37745099999999998</v>
      </c>
      <c r="G19" s="66">
        <v>0</v>
      </c>
      <c r="H19" s="66">
        <v>0.474111</v>
      </c>
    </row>
    <row r="20" spans="1:8">
      <c r="A20" s="58" t="s">
        <v>317</v>
      </c>
      <c r="B20" s="66">
        <v>3.1857000000000001E-4</v>
      </c>
      <c r="C20" s="66">
        <v>8.8981000000000008E-3</v>
      </c>
      <c r="D20" s="66">
        <v>27.9314</v>
      </c>
      <c r="E20" s="66">
        <v>0</v>
      </c>
      <c r="F20" s="66">
        <v>0</v>
      </c>
      <c r="G20" s="66">
        <v>0</v>
      </c>
      <c r="H20" s="66">
        <v>9.2239000000000002E-2</v>
      </c>
    </row>
    <row r="21" spans="1:8">
      <c r="A21" s="58" t="s">
        <v>318</v>
      </c>
      <c r="B21" s="66">
        <v>4.0957E-2</v>
      </c>
      <c r="C21" s="66">
        <v>9.4525700000000004E-2</v>
      </c>
      <c r="D21" s="66">
        <v>2.3079299999999998</v>
      </c>
      <c r="E21" s="66">
        <v>0</v>
      </c>
      <c r="F21" s="196">
        <v>5.5785300000000003E-5</v>
      </c>
      <c r="G21" s="66">
        <v>0</v>
      </c>
      <c r="H21" s="66">
        <v>0.67774299999999998</v>
      </c>
    </row>
    <row r="22" spans="1:8">
      <c r="A22" s="58" t="s">
        <v>319</v>
      </c>
      <c r="B22" s="66">
        <v>33.524099999999997</v>
      </c>
      <c r="C22" s="66">
        <v>9.0089799999999993</v>
      </c>
      <c r="D22" s="66">
        <v>0.26873200000000003</v>
      </c>
      <c r="E22" s="66">
        <v>0</v>
      </c>
      <c r="F22" s="66">
        <v>13.560700000000001</v>
      </c>
      <c r="G22" s="66">
        <v>0</v>
      </c>
      <c r="H22" s="66">
        <v>56.823900000000002</v>
      </c>
    </row>
    <row r="23" spans="1:8">
      <c r="A23" s="58" t="s">
        <v>320</v>
      </c>
      <c r="B23" s="66">
        <v>17.1404</v>
      </c>
      <c r="C23" s="66">
        <v>2.8903599999999998</v>
      </c>
      <c r="D23" s="66">
        <v>0.168628</v>
      </c>
      <c r="E23" s="66">
        <v>0</v>
      </c>
      <c r="F23" s="66">
        <v>8.9522300000000001</v>
      </c>
      <c r="G23" s="66">
        <v>0</v>
      </c>
      <c r="H23" s="66">
        <v>21.636700000000001</v>
      </c>
    </row>
    <row r="24" spans="1:8">
      <c r="A24" s="58" t="s">
        <v>321</v>
      </c>
      <c r="B24" s="66">
        <v>5.6295900000000003E-4</v>
      </c>
      <c r="C24" s="66">
        <v>5.6523600000000004E-3</v>
      </c>
      <c r="D24" s="66">
        <v>10.0405</v>
      </c>
      <c r="E24" s="66">
        <v>0</v>
      </c>
      <c r="F24" s="196">
        <v>5.7306899999999998E-5</v>
      </c>
      <c r="G24" s="66">
        <v>0</v>
      </c>
      <c r="H24" s="66">
        <v>3.2633700000000002E-2</v>
      </c>
    </row>
    <row r="25" spans="1:8">
      <c r="A25" s="58" t="s">
        <v>322</v>
      </c>
      <c r="B25" s="66">
        <v>5.96719E-2</v>
      </c>
      <c r="C25" s="66">
        <v>4.5819499999999999E-2</v>
      </c>
      <c r="D25" s="66">
        <v>0.76785700000000001</v>
      </c>
      <c r="E25" s="66">
        <v>0</v>
      </c>
      <c r="F25" s="66">
        <v>1.61437E-2</v>
      </c>
      <c r="G25" s="66">
        <v>0</v>
      </c>
      <c r="H25" s="66">
        <v>0.230049</v>
      </c>
    </row>
    <row r="26" spans="1:8">
      <c r="A26" s="58" t="s">
        <v>323</v>
      </c>
      <c r="B26" s="66">
        <v>1.37868E-4</v>
      </c>
      <c r="C26" s="66">
        <v>7.4871300000000003E-4</v>
      </c>
      <c r="D26" s="66">
        <v>5.4306599999999996</v>
      </c>
      <c r="E26" s="66">
        <v>0</v>
      </c>
      <c r="F26" s="66">
        <v>0</v>
      </c>
      <c r="G26" s="66">
        <v>0</v>
      </c>
      <c r="H26" s="66">
        <v>7.67463E-3</v>
      </c>
    </row>
    <row r="27" spans="1:8">
      <c r="A27" s="58" t="s">
        <v>324</v>
      </c>
      <c r="B27" s="196">
        <v>-3.2825599999999999E-6</v>
      </c>
      <c r="C27" s="66">
        <v>4.9904099999999998E-4</v>
      </c>
      <c r="D27" s="66">
        <v>-152.02799999999999</v>
      </c>
      <c r="E27" s="66">
        <v>0</v>
      </c>
      <c r="F27" s="66">
        <v>-4.4971100000000003E-3</v>
      </c>
      <c r="G27" s="66">
        <v>0</v>
      </c>
      <c r="H27" s="66">
        <v>3.6042499999999998E-3</v>
      </c>
    </row>
    <row r="28" spans="1:8">
      <c r="A28" s="58" t="s">
        <v>325</v>
      </c>
      <c r="B28" s="66">
        <v>6.9043000000000004E-3</v>
      </c>
      <c r="C28" s="66">
        <v>1.01166E-2</v>
      </c>
      <c r="D28" s="66">
        <v>1.4652700000000001</v>
      </c>
      <c r="E28" s="66">
        <v>0</v>
      </c>
      <c r="F28" s="196">
        <v>1.95312E-5</v>
      </c>
      <c r="G28" s="66">
        <v>0</v>
      </c>
      <c r="H28" s="66">
        <v>5.7773400000000003E-2</v>
      </c>
    </row>
    <row r="29" spans="1:8">
      <c r="A29" s="58" t="s">
        <v>326</v>
      </c>
      <c r="B29" s="66">
        <v>75.906700000000001</v>
      </c>
      <c r="C29" s="66">
        <v>11.2547</v>
      </c>
      <c r="D29" s="66">
        <v>0.14827000000000001</v>
      </c>
      <c r="E29" s="66">
        <v>0</v>
      </c>
      <c r="F29" s="66">
        <v>45.724899999999998</v>
      </c>
      <c r="G29" s="66">
        <v>0</v>
      </c>
      <c r="H29" s="66">
        <v>102.48399999999999</v>
      </c>
    </row>
    <row r="30" spans="1:8">
      <c r="A30" s="58" t="s">
        <v>327</v>
      </c>
      <c r="B30" s="66">
        <v>29.321400000000001</v>
      </c>
      <c r="C30" s="66">
        <v>6.9728899999999996</v>
      </c>
      <c r="D30" s="66">
        <v>0.23780799999999999</v>
      </c>
      <c r="E30" s="66">
        <v>0</v>
      </c>
      <c r="F30" s="66">
        <v>15.6656</v>
      </c>
      <c r="G30" s="66">
        <v>0</v>
      </c>
      <c r="H30" s="66">
        <v>41.215200000000003</v>
      </c>
    </row>
    <row r="31" spans="1:8">
      <c r="A31" s="58" t="s">
        <v>328</v>
      </c>
      <c r="B31" s="66">
        <v>119.598</v>
      </c>
      <c r="C31" s="66">
        <v>25.373100000000001</v>
      </c>
      <c r="D31" s="66">
        <v>0.21215300000000001</v>
      </c>
      <c r="E31" s="66">
        <v>0</v>
      </c>
      <c r="F31" s="66">
        <v>55.441899999999997</v>
      </c>
      <c r="G31" s="66">
        <v>0</v>
      </c>
      <c r="H31" s="66">
        <v>166.22499999999999</v>
      </c>
    </row>
    <row r="32" spans="1:8">
      <c r="A32" s="58" t="s">
        <v>329</v>
      </c>
      <c r="B32" s="66">
        <v>0.26087300000000002</v>
      </c>
      <c r="C32" s="66">
        <v>4.7574100000000001E-2</v>
      </c>
      <c r="D32" s="66">
        <v>0.182365</v>
      </c>
      <c r="E32" s="66">
        <v>0.15</v>
      </c>
      <c r="F32" s="66">
        <v>0.11516700000000001</v>
      </c>
      <c r="G32" s="66">
        <v>0.4</v>
      </c>
      <c r="H32" s="66">
        <v>0.45997399999999999</v>
      </c>
    </row>
    <row r="33" spans="1:8">
      <c r="A33" s="58" t="s">
        <v>330</v>
      </c>
      <c r="B33" s="66">
        <v>0.46383400000000002</v>
      </c>
      <c r="C33" s="66">
        <v>2.4997399999999999E-2</v>
      </c>
      <c r="D33" s="66">
        <v>5.3893000000000003E-2</v>
      </c>
      <c r="E33" s="66">
        <v>0</v>
      </c>
      <c r="F33" s="66">
        <v>0.39525900000000003</v>
      </c>
      <c r="G33" s="66">
        <v>0</v>
      </c>
      <c r="H33" s="66">
        <v>0.51712499999999995</v>
      </c>
    </row>
    <row r="34" spans="1:8">
      <c r="A34" s="58" t="s">
        <v>331</v>
      </c>
      <c r="B34" s="66">
        <v>0.211621</v>
      </c>
      <c r="C34" s="66">
        <v>3.4181499999999997E-2</v>
      </c>
      <c r="D34" s="66">
        <v>0.161522</v>
      </c>
      <c r="E34" s="66">
        <v>0.1</v>
      </c>
      <c r="F34" s="66">
        <v>0.143291</v>
      </c>
      <c r="G34" s="66">
        <v>0.25</v>
      </c>
      <c r="H34" s="66">
        <v>0.328011</v>
      </c>
    </row>
    <row r="35" spans="1:8">
      <c r="A35" s="58" t="s">
        <v>332</v>
      </c>
      <c r="B35" s="66">
        <v>7.73567E-2</v>
      </c>
      <c r="C35" s="66">
        <v>2.2767599999999999E-2</v>
      </c>
      <c r="D35" s="66">
        <v>0.29432000000000003</v>
      </c>
      <c r="E35" s="66">
        <v>0</v>
      </c>
      <c r="F35" s="66">
        <v>1.6196800000000001E-2</v>
      </c>
      <c r="G35" s="66">
        <v>0</v>
      </c>
      <c r="H35" s="66">
        <v>0.13350200000000001</v>
      </c>
    </row>
    <row r="36" spans="1:8">
      <c r="A36" s="58" t="s">
        <v>333</v>
      </c>
      <c r="B36" s="66">
        <v>0.18958</v>
      </c>
      <c r="C36" s="66">
        <v>8.9796299999999996E-2</v>
      </c>
      <c r="D36" s="66">
        <v>0.473659</v>
      </c>
      <c r="E36" s="66">
        <v>0</v>
      </c>
      <c r="F36" s="66">
        <v>3.4854900000000001E-2</v>
      </c>
      <c r="G36" s="66">
        <v>0</v>
      </c>
      <c r="H36" s="66">
        <v>0.48218299999999997</v>
      </c>
    </row>
    <row r="37" spans="1:8">
      <c r="A37" s="58" t="s">
        <v>334</v>
      </c>
      <c r="B37" s="66">
        <v>0.34181499999999998</v>
      </c>
      <c r="C37" s="66">
        <v>0.115285</v>
      </c>
      <c r="D37" s="66">
        <v>0.33727299999999999</v>
      </c>
      <c r="E37" s="66">
        <v>0.1</v>
      </c>
      <c r="F37" s="66">
        <v>2.44301E-2</v>
      </c>
      <c r="G37" s="66">
        <v>0.5</v>
      </c>
      <c r="H37" s="66">
        <v>0.48281600000000002</v>
      </c>
    </row>
    <row r="38" spans="1:8">
      <c r="A38" s="58" t="s">
        <v>335</v>
      </c>
      <c r="B38" s="66">
        <v>-9.2576400000000003</v>
      </c>
      <c r="C38" s="66">
        <v>35.104799999999997</v>
      </c>
      <c r="D38" s="66">
        <v>-3.7919800000000001</v>
      </c>
      <c r="E38" s="66">
        <v>0</v>
      </c>
      <c r="F38" s="66">
        <v>-82.333299999999994</v>
      </c>
      <c r="G38" s="66">
        <v>0</v>
      </c>
      <c r="H38" s="66">
        <v>298.71100000000001</v>
      </c>
    </row>
    <row r="39" spans="1:8">
      <c r="A39" s="58" t="s">
        <v>336</v>
      </c>
      <c r="B39" s="66">
        <v>-2.0714199999999998</v>
      </c>
      <c r="C39" s="66">
        <v>5.4945899999999996</v>
      </c>
      <c r="D39" s="66">
        <v>-2.6525699999999999</v>
      </c>
      <c r="E39" s="66">
        <v>0</v>
      </c>
      <c r="F39" s="66">
        <v>-9.8794299999999993</v>
      </c>
      <c r="G39" s="66">
        <v>0</v>
      </c>
      <c r="H39" s="66">
        <v>40.515799999999999</v>
      </c>
    </row>
    <row r="40" spans="1:8">
      <c r="A40" s="58" t="s">
        <v>337</v>
      </c>
      <c r="B40" s="66">
        <v>-0.72224600000000005</v>
      </c>
      <c r="C40" s="66">
        <v>0.36523299999999997</v>
      </c>
      <c r="D40" s="66">
        <v>-0.505691</v>
      </c>
      <c r="E40" s="66">
        <v>0</v>
      </c>
      <c r="F40" s="66">
        <v>-1.2956000000000001</v>
      </c>
      <c r="G40" s="66">
        <v>0</v>
      </c>
      <c r="H40" s="66">
        <v>0.53995700000000002</v>
      </c>
    </row>
    <row r="41" spans="1:8">
      <c r="A41" s="58" t="s">
        <v>338</v>
      </c>
      <c r="B41" s="66">
        <v>-9.5213099999999995E-2</v>
      </c>
      <c r="C41" s="66">
        <v>0.326511</v>
      </c>
      <c r="D41" s="66">
        <v>-3.4292600000000002</v>
      </c>
      <c r="E41" s="66">
        <v>0</v>
      </c>
      <c r="F41" s="66">
        <v>-0.894737</v>
      </c>
      <c r="G41" s="66">
        <v>0</v>
      </c>
      <c r="H41" s="66">
        <v>1</v>
      </c>
    </row>
    <row r="42" spans="1:8">
      <c r="A42" s="58" t="s">
        <v>339</v>
      </c>
      <c r="B42" s="66">
        <v>-1.3998399999999999E-2</v>
      </c>
      <c r="C42" s="66">
        <v>8.8443599999999997E-2</v>
      </c>
      <c r="D42" s="66">
        <v>-6.31813</v>
      </c>
      <c r="E42" s="66">
        <v>0</v>
      </c>
      <c r="F42" s="66">
        <v>-0.24646399999999999</v>
      </c>
      <c r="G42" s="66">
        <v>0</v>
      </c>
      <c r="H42" s="66">
        <v>0.44395299999999999</v>
      </c>
    </row>
    <row r="43" spans="1:8">
      <c r="A43" s="58" t="s">
        <v>340</v>
      </c>
      <c r="B43" s="66">
        <v>6.9920499999999997E-2</v>
      </c>
      <c r="C43" s="66">
        <v>3.4641199999999997E-2</v>
      </c>
      <c r="D43" s="66">
        <v>0.49543700000000002</v>
      </c>
      <c r="E43" s="66">
        <v>0</v>
      </c>
      <c r="F43" s="66">
        <v>-1.9812799999999998E-2</v>
      </c>
      <c r="G43" s="66">
        <v>0</v>
      </c>
      <c r="H43" s="66">
        <v>0.14718899999999999</v>
      </c>
    </row>
    <row r="44" spans="1:8">
      <c r="A44" s="58" t="s">
        <v>341</v>
      </c>
      <c r="B44" s="66">
        <v>-15.668799999999999</v>
      </c>
      <c r="C44" s="66">
        <v>9.9962800000000005</v>
      </c>
      <c r="D44" s="66">
        <v>-0.63797199999999998</v>
      </c>
      <c r="E44" s="66">
        <v>0</v>
      </c>
      <c r="F44" s="66">
        <v>-42.922699999999999</v>
      </c>
      <c r="G44" s="66">
        <v>0</v>
      </c>
      <c r="H44" s="66">
        <v>-4.1583600000000001</v>
      </c>
    </row>
    <row r="45" spans="1:8">
      <c r="A45" s="58" t="s">
        <v>342</v>
      </c>
      <c r="B45" s="66">
        <v>53.814399999999999</v>
      </c>
      <c r="C45" s="66">
        <v>7.5682600000000004</v>
      </c>
      <c r="D45" s="66">
        <v>0.14063600000000001</v>
      </c>
      <c r="E45" s="66">
        <v>0</v>
      </c>
      <c r="F45" s="66">
        <v>31.516200000000001</v>
      </c>
      <c r="G45" s="66">
        <v>0</v>
      </c>
      <c r="H45" s="66">
        <v>77.323499999999996</v>
      </c>
    </row>
    <row r="46" spans="1:8">
      <c r="A46" s="58" t="s">
        <v>343</v>
      </c>
      <c r="B46" s="66">
        <v>37.183999999999997</v>
      </c>
      <c r="C46" s="66">
        <v>7.1641000000000004</v>
      </c>
      <c r="D46" s="66">
        <v>0.192666</v>
      </c>
      <c r="E46" s="66">
        <v>0</v>
      </c>
      <c r="F46" s="66">
        <v>17.164300000000001</v>
      </c>
      <c r="G46" s="66">
        <v>0</v>
      </c>
      <c r="H46" s="66">
        <v>46.873600000000003</v>
      </c>
    </row>
    <row r="47" spans="1:8">
      <c r="A47" s="58" t="s">
        <v>344</v>
      </c>
      <c r="B47" s="66">
        <v>0.88441700000000001</v>
      </c>
      <c r="C47" s="66">
        <v>0.4854</v>
      </c>
      <c r="D47" s="66">
        <v>0.54883599999999999</v>
      </c>
      <c r="E47" s="66">
        <v>0</v>
      </c>
      <c r="F47" s="66">
        <v>0.20613300000000001</v>
      </c>
      <c r="G47" s="66">
        <v>0</v>
      </c>
      <c r="H47" s="66">
        <v>2.6630099999999999</v>
      </c>
    </row>
    <row r="48" spans="1:8">
      <c r="A48" s="58" t="s">
        <v>345</v>
      </c>
      <c r="B48" s="66">
        <v>1.1477599999999999</v>
      </c>
      <c r="C48" s="66">
        <v>0.16395199999999999</v>
      </c>
      <c r="D48" s="66">
        <v>0.142846</v>
      </c>
      <c r="E48" s="66">
        <v>0</v>
      </c>
      <c r="F48" s="66">
        <v>0.74478900000000003</v>
      </c>
      <c r="G48" s="66">
        <v>0</v>
      </c>
      <c r="H48" s="66">
        <v>1.3885700000000001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-4.8082000000000065</v>
      </c>
      <c r="C5" s="66">
        <f>'M2'!C5-'M1'!C5</f>
        <v>-5.0713400000000002</v>
      </c>
      <c r="D5" s="66">
        <f>'M2'!D5-'M1'!D5</f>
        <v>-9.7497999999999987</v>
      </c>
      <c r="E5" s="66">
        <f>'M2'!E5-'M1'!E5</f>
        <v>0</v>
      </c>
      <c r="F5" s="66">
        <f>'M2'!F5-'M1'!F5</f>
        <v>14.4711</v>
      </c>
      <c r="G5" s="66">
        <f>'M2'!G5-'M1'!G5</f>
        <v>0</v>
      </c>
      <c r="H5" s="66">
        <f>'M2'!H5-'M1'!H5</f>
        <v>-4.1223000000000027</v>
      </c>
    </row>
    <row r="6" spans="1:8">
      <c r="A6" s="66" t="s">
        <v>244</v>
      </c>
      <c r="B6" s="66">
        <f>'M2'!B6-'M1'!B6</f>
        <v>-1.4613999999999976</v>
      </c>
      <c r="C6" s="66">
        <f>'M2'!C6-'M1'!C6</f>
        <v>0.38100999999999985</v>
      </c>
      <c r="D6" s="66">
        <f>'M2'!D6-'M1'!D6</f>
        <v>1.3687100000000001</v>
      </c>
      <c r="E6" s="66">
        <f>'M2'!E6-'M1'!E6</f>
        <v>0</v>
      </c>
      <c r="F6" s="66">
        <f>'M2'!F6-'M1'!F6</f>
        <v>0.68590000000000373</v>
      </c>
      <c r="G6" s="66">
        <f>'M2'!G6-'M1'!G6</f>
        <v>0</v>
      </c>
      <c r="H6" s="66">
        <f>'M2'!H6-'M1'!H6</f>
        <v>3.2680999999999969</v>
      </c>
    </row>
    <row r="7" spans="1:8">
      <c r="A7" s="66" t="s">
        <v>245</v>
      </c>
      <c r="B7" s="66">
        <f>'M2'!B7-'M1'!B7</f>
        <v>4.0414999999999992</v>
      </c>
      <c r="C7" s="66">
        <f>'M2'!C7-'M1'!C7</f>
        <v>0.40433000000000074</v>
      </c>
      <c r="D7" s="66">
        <f>'M2'!D7-'M1'!D7</f>
        <v>-1.0631000000000022</v>
      </c>
      <c r="E7" s="66">
        <f>'M2'!E7-'M1'!E7</f>
        <v>0</v>
      </c>
      <c r="F7" s="66">
        <f>'M2'!F7-'M1'!F7</f>
        <v>5.1993000000000009</v>
      </c>
      <c r="G7" s="66">
        <f>'M2'!G7-'M1'!G7</f>
        <v>0</v>
      </c>
      <c r="H7" s="66">
        <f>'M2'!H7-'M1'!H7</f>
        <v>11.558999999999997</v>
      </c>
    </row>
    <row r="8" spans="1:8">
      <c r="A8" s="66" t="s">
        <v>246</v>
      </c>
      <c r="B8" s="66">
        <f>'M2'!B8-'M1'!B8</f>
        <v>0.28370000000000317</v>
      </c>
      <c r="C8" s="66">
        <f>'M2'!C8-'M1'!C8</f>
        <v>-3.0291699999999997</v>
      </c>
      <c r="D8" s="66">
        <f>'M2'!D8-'M1'!D8</f>
        <v>-8.6406400000000012</v>
      </c>
      <c r="E8" s="66">
        <f>'M2'!E8-'M1'!E8</f>
        <v>0</v>
      </c>
      <c r="F8" s="66">
        <f>'M2'!F8-'M1'!F8</f>
        <v>7.6425000000000018</v>
      </c>
      <c r="G8" s="66">
        <f>'M2'!G8-'M1'!G8</f>
        <v>0</v>
      </c>
      <c r="H8" s="66">
        <f>'M2'!H8-'M1'!H8</f>
        <v>-2.3547000000000011</v>
      </c>
    </row>
    <row r="9" spans="1:8">
      <c r="A9" s="66" t="s">
        <v>247</v>
      </c>
      <c r="B9" s="66">
        <f>'M2'!B9-'M1'!B9</f>
        <v>-2.6514999999999986</v>
      </c>
      <c r="C9" s="66">
        <f>'M2'!C9-'M1'!C9</f>
        <v>-1.6914200000000004</v>
      </c>
      <c r="D9" s="66">
        <f>'M2'!D9-'M1'!D9</f>
        <v>-2.2154699999999998</v>
      </c>
      <c r="E9" s="66">
        <f>'M2'!E9-'M1'!E9</f>
        <v>0</v>
      </c>
      <c r="F9" s="66">
        <f>'M2'!F9-'M1'!F9</f>
        <v>-0.31510000000000105</v>
      </c>
      <c r="G9" s="66">
        <f>'M2'!G9-'M1'!G9</f>
        <v>0</v>
      </c>
      <c r="H9" s="66">
        <f>'M2'!H9-'M1'!H9</f>
        <v>-7.0169999999999959</v>
      </c>
    </row>
    <row r="10" spans="1:8">
      <c r="A10" s="66" t="s">
        <v>248</v>
      </c>
      <c r="B10" s="66">
        <f>'M2'!B10-'M1'!B10</f>
        <v>-6.221100000000007</v>
      </c>
      <c r="C10" s="66">
        <f>'M2'!C10-'M1'!C10</f>
        <v>-2.9204599999999994</v>
      </c>
      <c r="D10" s="66">
        <f>'M2'!D10-'M1'!D10</f>
        <v>-4.1684200000000002</v>
      </c>
      <c r="E10" s="66">
        <f>'M2'!E10-'M1'!E10</f>
        <v>0</v>
      </c>
      <c r="F10" s="66">
        <f>'M2'!F10-'M1'!F10</f>
        <v>-4.7650999999999968</v>
      </c>
      <c r="G10" s="66">
        <f>'M2'!G10-'M1'!G10</f>
        <v>0</v>
      </c>
      <c r="H10" s="66">
        <f>'M2'!H10-'M1'!H10</f>
        <v>-12.525700000000001</v>
      </c>
    </row>
    <row r="11" spans="1:8">
      <c r="A11" s="66" t="s">
        <v>249</v>
      </c>
      <c r="B11" s="66">
        <f>'M2'!B11-'M1'!B11</f>
        <v>0.85100000000000264</v>
      </c>
      <c r="C11" s="66">
        <f>'M2'!C11-'M1'!C11</f>
        <v>-4.8547799999999999</v>
      </c>
      <c r="D11" s="66">
        <f>'M2'!D11-'M1'!D11</f>
        <v>-17.628800000000002</v>
      </c>
      <c r="E11" s="66">
        <f>'M2'!E11-'M1'!E11</f>
        <v>0</v>
      </c>
      <c r="F11" s="66">
        <f>'M2'!F11-'M1'!F11</f>
        <v>12.472600000000002</v>
      </c>
      <c r="G11" s="66">
        <f>'M2'!G11-'M1'!G11</f>
        <v>0</v>
      </c>
      <c r="H11" s="66">
        <f>'M2'!H11-'M1'!H11</f>
        <v>-1.9623999999999953</v>
      </c>
    </row>
    <row r="12" spans="1:8">
      <c r="A12" s="66" t="s">
        <v>250</v>
      </c>
      <c r="B12" s="66">
        <f>'M2'!B12-'M1'!B12</f>
        <v>-4.0516999999999967</v>
      </c>
      <c r="C12" s="66">
        <f>'M2'!C12-'M1'!C12</f>
        <v>-2.2267599999999996</v>
      </c>
      <c r="D12" s="66">
        <f>'M2'!D12-'M1'!D12</f>
        <v>-3.1535199999999999</v>
      </c>
      <c r="E12" s="66">
        <f>'M2'!E12-'M1'!E12</f>
        <v>0</v>
      </c>
      <c r="F12" s="66">
        <f>'M2'!F12-'M1'!F12</f>
        <v>-1.5662999999999982</v>
      </c>
      <c r="G12" s="66">
        <f>'M2'!G12-'M1'!G12</f>
        <v>0</v>
      </c>
      <c r="H12" s="66">
        <f>'M2'!H12-'M1'!H12</f>
        <v>-11.472800000000007</v>
      </c>
    </row>
    <row r="13" spans="1:8">
      <c r="A13" s="66" t="s">
        <v>251</v>
      </c>
      <c r="B13" s="66">
        <f>'M2'!B13-'M1'!B13</f>
        <v>-3.9544999999999995</v>
      </c>
      <c r="C13" s="66">
        <f>'M2'!C13-'M1'!C13</f>
        <v>-0.23062000000000005</v>
      </c>
      <c r="D13" s="66">
        <f>'M2'!D13-'M1'!D13</f>
        <v>1.3453999999999997</v>
      </c>
      <c r="E13" s="66">
        <f>'M2'!E13-'M1'!E13</f>
        <v>0</v>
      </c>
      <c r="F13" s="66">
        <f>'M2'!F13-'M1'!F13</f>
        <v>-2.8489000000000004</v>
      </c>
      <c r="G13" s="66">
        <f>'M2'!G13-'M1'!G13</f>
        <v>0</v>
      </c>
      <c r="H13" s="66">
        <f>'M2'!H13-'M1'!H13</f>
        <v>-4.1480999999999995</v>
      </c>
    </row>
    <row r="14" spans="1:8">
      <c r="A14" s="66" t="s">
        <v>252</v>
      </c>
      <c r="B14" s="66">
        <f>'M2'!B14-'M1'!B14</f>
        <v>-2.3062000000000005</v>
      </c>
      <c r="C14" s="66">
        <f>'M2'!C14-'M1'!C14</f>
        <v>1.7947000000000006</v>
      </c>
      <c r="D14" s="66">
        <f>'M2'!D14-'M1'!D14</f>
        <v>9.6567999999999969</v>
      </c>
      <c r="E14" s="66">
        <f>'M2'!E14-'M1'!E14</f>
        <v>0</v>
      </c>
      <c r="F14" s="66">
        <f>'M2'!F14-'M1'!F14</f>
        <v>0.29550999999999972</v>
      </c>
      <c r="G14" s="66">
        <f>'M2'!G14-'M1'!G14</f>
        <v>0</v>
      </c>
      <c r="H14" s="66">
        <f>'M2'!H14-'M1'!H14</f>
        <v>-12.482699999999994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-0.24836800000000003</v>
      </c>
      <c r="C18" s="66">
        <f>'M2'!C18-'M1'!C18</f>
        <v>8.0799899999999994E-2</v>
      </c>
      <c r="D18" s="66">
        <f>'M2'!D18-'M1'!D18</f>
        <v>0.22390599999999999</v>
      </c>
      <c r="E18" s="66">
        <f>'M2'!E18-'M1'!E18</f>
        <v>0</v>
      </c>
      <c r="F18" s="66">
        <f>'M2'!F18-'M1'!F18</f>
        <v>0.28006599999999998</v>
      </c>
      <c r="G18" s="66">
        <f>'M2'!G18-'M1'!G18</f>
        <v>0</v>
      </c>
      <c r="H18" s="66">
        <f>'M2'!H18-'M1'!H18</f>
        <v>0.441666</v>
      </c>
    </row>
    <row r="19" spans="1:8">
      <c r="A19" s="66" t="s">
        <v>256</v>
      </c>
      <c r="B19" s="66">
        <f>'M2'!B19-'M1'!B19</f>
        <v>-0.10225299999999998</v>
      </c>
      <c r="C19" s="66">
        <f>'M2'!C19-'M1'!C19</f>
        <v>4.8329999999999998E-2</v>
      </c>
      <c r="D19" s="66">
        <f>'M2'!D19-'M1'!D19</f>
        <v>0.113509</v>
      </c>
      <c r="E19" s="66">
        <f>'M2'!E19-'M1'!E19</f>
        <v>0</v>
      </c>
      <c r="F19" s="66">
        <f>'M2'!F19-'M1'!F19</f>
        <v>0.37745099999999998</v>
      </c>
      <c r="G19" s="66">
        <f>'M2'!G19-'M1'!G19</f>
        <v>0</v>
      </c>
      <c r="H19" s="66">
        <f>'M2'!H19-'M1'!H19</f>
        <v>0.474111</v>
      </c>
    </row>
    <row r="20" spans="1:8">
      <c r="A20" s="66" t="s">
        <v>63</v>
      </c>
      <c r="B20" s="66">
        <f>'M2'!B20-'M1'!B20</f>
        <v>1.3722000000000029E-5</v>
      </c>
      <c r="C20" s="66">
        <f>'M2'!C20-'M1'!C20</f>
        <v>-7.566399999999994E-4</v>
      </c>
      <c r="D20" s="66">
        <f>'M2'!D20-'M1'!D20</f>
        <v>-3.6050000000000004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-2.3318599999999995E-2</v>
      </c>
    </row>
    <row r="21" spans="1:8">
      <c r="A21" s="66" t="s">
        <v>64</v>
      </c>
      <c r="B21" s="66">
        <f>'M2'!B21-'M1'!B21</f>
        <v>-1.4903800000000002E-2</v>
      </c>
      <c r="C21" s="66">
        <f>'M2'!C21-'M1'!C21</f>
        <v>-1.6781900000000002E-2</v>
      </c>
      <c r="D21" s="66">
        <f>'M2'!D21-'M1'!D21</f>
        <v>0.53257000000000021</v>
      </c>
      <c r="E21" s="66">
        <f>'M2'!E21-'M1'!E21</f>
        <v>0</v>
      </c>
      <c r="F21" s="66">
        <f>'M2'!F21-'M1'!F21</f>
        <v>1.0523547000000002E-3</v>
      </c>
      <c r="G21" s="66">
        <f>'M2'!G21-'M1'!G21</f>
        <v>0</v>
      </c>
      <c r="H21" s="66">
        <f>'M2'!H21-'M1'!H21</f>
        <v>-0.220717</v>
      </c>
    </row>
    <row r="22" spans="1:8">
      <c r="A22" s="66" t="s">
        <v>65</v>
      </c>
      <c r="B22" s="66">
        <f>'M2'!B22-'M1'!B22</f>
        <v>-6.5157999999999952</v>
      </c>
      <c r="C22" s="66">
        <f>'M2'!C22-'M1'!C22</f>
        <v>1.8770199999999999</v>
      </c>
      <c r="D22" s="66">
        <f>'M2'!D22-'M1'!D22</f>
        <v>0.10767200000000002</v>
      </c>
      <c r="E22" s="66">
        <f>'M2'!E22-'M1'!E22</f>
        <v>0</v>
      </c>
      <c r="F22" s="66">
        <f>'M2'!F22-'M1'!F22</f>
        <v>-7.3396000000000008</v>
      </c>
      <c r="G22" s="66">
        <f>'M2'!G22-'M1'!G22</f>
        <v>0</v>
      </c>
      <c r="H22" s="66">
        <f>'M2'!H22-'M1'!H22</f>
        <v>-4.5745000000000005</v>
      </c>
    </row>
    <row r="23" spans="1:8">
      <c r="A23" s="66" t="s">
        <v>66</v>
      </c>
      <c r="B23" s="66">
        <f>'M2'!B23-'M1'!B23</f>
        <v>-0.40850000000000009</v>
      </c>
      <c r="C23" s="66">
        <f>'M2'!C23-'M1'!C23</f>
        <v>-1.4216899999999999</v>
      </c>
      <c r="D23" s="66">
        <f>'M2'!D23-'M1'!D23</f>
        <v>-7.9624999999999987E-2</v>
      </c>
      <c r="E23" s="66">
        <f>'M2'!E23-'M1'!E23</f>
        <v>0</v>
      </c>
      <c r="F23" s="66">
        <f>'M2'!F23-'M1'!F23</f>
        <v>4.7227700000000006</v>
      </c>
      <c r="G23" s="66">
        <f>'M2'!G23-'M1'!G23</f>
        <v>0</v>
      </c>
      <c r="H23" s="66">
        <f>'M2'!H23-'M1'!H23</f>
        <v>-0.76780000000000115</v>
      </c>
    </row>
    <row r="24" spans="1:8">
      <c r="A24" s="66" t="s">
        <v>67</v>
      </c>
      <c r="B24" s="66">
        <f>'M2'!B24-'M1'!B24</f>
        <v>1.7071000000000013E-5</v>
      </c>
      <c r="C24" s="66">
        <f>'M2'!C24-'M1'!C24</f>
        <v>-3.1048000000000013E-4</v>
      </c>
      <c r="D24" s="66">
        <f>'M2'!D24-'M1'!D24</f>
        <v>-0.85463000000000022</v>
      </c>
      <c r="E24" s="66">
        <f>'M2'!E24-'M1'!E24</f>
        <v>0</v>
      </c>
      <c r="F24" s="66">
        <f>'M2'!F24-'M1'!F24</f>
        <v>-1.0662500000000002E-5</v>
      </c>
      <c r="G24" s="66">
        <f>'M2'!G24-'M1'!G24</f>
        <v>0</v>
      </c>
      <c r="H24" s="66">
        <f>'M2'!H24-'M1'!H24</f>
        <v>-7.0998000000000033E-3</v>
      </c>
    </row>
    <row r="25" spans="1:8">
      <c r="A25" s="66" t="s">
        <v>68</v>
      </c>
      <c r="B25" s="66">
        <f>'M2'!B25-'M1'!B25</f>
        <v>8.0589999999999828E-4</v>
      </c>
      <c r="C25" s="66">
        <f>'M2'!C25-'M1'!C25</f>
        <v>-5.7461999999999999E-3</v>
      </c>
      <c r="D25" s="66">
        <f>'M2'!D25-'M1'!D25</f>
        <v>-0.106545</v>
      </c>
      <c r="E25" s="66">
        <f>'M2'!E25-'M1'!E25</f>
        <v>0</v>
      </c>
      <c r="F25" s="66">
        <f>'M2'!F25-'M1'!F25</f>
        <v>-1.0967000000000001E-2</v>
      </c>
      <c r="G25" s="66">
        <f>'M2'!G25-'M1'!G25</f>
        <v>0</v>
      </c>
      <c r="H25" s="66">
        <f>'M2'!H25-'M1'!H25</f>
        <v>1.5367999999999993E-2</v>
      </c>
    </row>
    <row r="26" spans="1:8">
      <c r="A26" s="66" t="s">
        <v>69</v>
      </c>
      <c r="B26" s="66">
        <f>'M2'!B26-'M1'!B26</f>
        <v>-6.5649999999999888E-6</v>
      </c>
      <c r="C26" s="66">
        <f>'M2'!C26-'M1'!C26</f>
        <v>-6.1183999999999935E-5</v>
      </c>
      <c r="D26" s="66">
        <f>'M2'!D26-'M1'!D26</f>
        <v>-0.18625000000000025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-3.1085799999999997E-3</v>
      </c>
    </row>
    <row r="27" spans="1:8">
      <c r="A27" s="66" t="s">
        <v>70</v>
      </c>
      <c r="B27" s="66">
        <f>'M2'!B27-'M1'!B27</f>
        <v>0</v>
      </c>
      <c r="C27" s="66">
        <f>'M2'!C27-'M1'!C27</f>
        <v>3.567500000000004E-5</v>
      </c>
      <c r="D27" s="66">
        <f>'M2'!D27-'M1'!D27</f>
        <v>-10.869</v>
      </c>
      <c r="E27" s="66">
        <f>'M2'!E27-'M1'!E27</f>
        <v>0</v>
      </c>
      <c r="F27" s="66">
        <f>'M2'!F27-'M1'!F27</f>
        <v>1.0799600000000005E-3</v>
      </c>
      <c r="G27" s="66">
        <f>'M2'!G27-'M1'!G27</f>
        <v>0</v>
      </c>
      <c r="H27" s="66">
        <f>'M2'!H27-'M1'!H27</f>
        <v>9.1910999999999989E-4</v>
      </c>
    </row>
    <row r="28" spans="1:8">
      <c r="A28" s="66" t="s">
        <v>71</v>
      </c>
      <c r="B28" s="66">
        <f>'M2'!B28-'M1'!B28</f>
        <v>-1.9889299999999999E-3</v>
      </c>
      <c r="C28" s="66">
        <f>'M2'!C28-'M1'!C28</f>
        <v>-8.7527999999999911E-4</v>
      </c>
      <c r="D28" s="66">
        <f>'M2'!D28-'M1'!D28</f>
        <v>0.26710999999999996</v>
      </c>
      <c r="E28" s="66">
        <f>'M2'!E28-'M1'!E28</f>
        <v>0</v>
      </c>
      <c r="F28" s="66">
        <f>'M2'!F28-'M1'!F28</f>
        <v>2.9622379999999997E-4</v>
      </c>
      <c r="G28" s="66">
        <f>'M2'!G28-'M1'!G28</f>
        <v>0</v>
      </c>
      <c r="H28" s="66">
        <f>'M2'!H28-'M1'!H28</f>
        <v>-1.0904900000000002E-2</v>
      </c>
    </row>
    <row r="29" spans="1:8">
      <c r="A29" s="66" t="s">
        <v>72</v>
      </c>
      <c r="B29" s="66">
        <f>'M2'!B29-'M1'!B29</f>
        <v>-6.9504000000000019</v>
      </c>
      <c r="C29" s="66">
        <f>'M2'!C29-'M1'!C29</f>
        <v>1.0691299999999995</v>
      </c>
      <c r="D29" s="66">
        <f>'M2'!D29-'M1'!D29</f>
        <v>2.6690999999999993E-2</v>
      </c>
      <c r="E29" s="66">
        <f>'M2'!E29-'M1'!E29</f>
        <v>0</v>
      </c>
      <c r="F29" s="66">
        <f>'M2'!F29-'M1'!F29</f>
        <v>-13.533500000000004</v>
      </c>
      <c r="G29" s="66">
        <f>'M2'!G29-'M1'!G29</f>
        <v>0</v>
      </c>
      <c r="H29" s="66">
        <f>'M2'!H29-'M1'!H29</f>
        <v>1.6839999999999975</v>
      </c>
    </row>
    <row r="30" spans="1:8">
      <c r="A30" s="66" t="s">
        <v>73</v>
      </c>
      <c r="B30" s="66">
        <f>'M2'!B30-'M1'!B30</f>
        <v>5.0289999999999999</v>
      </c>
      <c r="C30" s="66">
        <f>'M2'!C30-'M1'!C30</f>
        <v>-2.78796</v>
      </c>
      <c r="D30" s="66">
        <f>'M2'!D30-'M1'!D30</f>
        <v>-0.129244</v>
      </c>
      <c r="E30" s="66">
        <f>'M2'!E30-'M1'!E30</f>
        <v>0</v>
      </c>
      <c r="F30" s="66">
        <f>'M2'!F30-'M1'!F30</f>
        <v>7.8462000000000014</v>
      </c>
      <c r="G30" s="66">
        <f>'M2'!G30-'M1'!G30</f>
        <v>0</v>
      </c>
      <c r="H30" s="66">
        <f>'M2'!H30-'M1'!H30</f>
        <v>0.25550000000000495</v>
      </c>
    </row>
    <row r="31" spans="1:8">
      <c r="A31" s="66" t="s">
        <v>74</v>
      </c>
      <c r="B31" s="66">
        <f>'M2'!B31-'M1'!B31</f>
        <v>-14.13900000000001</v>
      </c>
      <c r="C31" s="66">
        <f>'M2'!C31-'M1'!C31</f>
        <v>-12.774999999999999</v>
      </c>
      <c r="D31" s="66">
        <f>'M2'!D31-'M1'!D31</f>
        <v>-8.0958000000000002E-2</v>
      </c>
      <c r="E31" s="66">
        <f>'M2'!E31-'M1'!E31</f>
        <v>0</v>
      </c>
      <c r="F31" s="66">
        <f>'M2'!F31-'M1'!F31</f>
        <v>22.267500000000005</v>
      </c>
      <c r="G31" s="66">
        <f>'M2'!G31-'M1'!G31</f>
        <v>0</v>
      </c>
      <c r="H31" s="66">
        <f>'M2'!H31-'M1'!H31</f>
        <v>-2.0509999999999877</v>
      </c>
    </row>
    <row r="32" spans="1:8">
      <c r="A32" s="66" t="s">
        <v>75</v>
      </c>
      <c r="B32" s="66">
        <f>'M2'!B32-'M1'!B32</f>
        <v>4.0414999999999979E-2</v>
      </c>
      <c r="C32" s="66">
        <f>'M2'!C32-'M1'!C32</f>
        <v>4.0432999999999997E-3</v>
      </c>
      <c r="D32" s="66">
        <f>'M2'!D32-'M1'!D32</f>
        <v>-1.0631000000000002E-2</v>
      </c>
      <c r="E32" s="66">
        <f>'M2'!E32-'M1'!E32</f>
        <v>0</v>
      </c>
      <c r="F32" s="66">
        <f>'M2'!F32-'M1'!F32</f>
        <v>5.1992999999999998E-2</v>
      </c>
      <c r="G32" s="66">
        <f>'M2'!G32-'M1'!G32</f>
        <v>0</v>
      </c>
      <c r="H32" s="66">
        <f>'M2'!H32-'M1'!H32</f>
        <v>0.11558999999999997</v>
      </c>
    </row>
    <row r="33" spans="1:8">
      <c r="A33" s="66" t="s">
        <v>76</v>
      </c>
      <c r="B33" s="66">
        <f>'M2'!B33-'M1'!B33</f>
        <v>1.7018000000000033E-2</v>
      </c>
      <c r="C33" s="66">
        <f>'M2'!C33-'M1'!C33</f>
        <v>-3.6062999999999998E-3</v>
      </c>
      <c r="D33" s="66">
        <f>'M2'!D33-'M1'!D33</f>
        <v>-9.4617000000000034E-3</v>
      </c>
      <c r="E33" s="66">
        <f>'M2'!E33-'M1'!E33</f>
        <v>0</v>
      </c>
      <c r="F33" s="66">
        <f>'M2'!F33-'M1'!F33</f>
        <v>5.1997999999999989E-2</v>
      </c>
      <c r="G33" s="66">
        <f>'M2'!G33-'M1'!G33</f>
        <v>0</v>
      </c>
      <c r="H33" s="66">
        <f>'M2'!H33-'M1'!H33</f>
        <v>1.6870999999999969E-2</v>
      </c>
    </row>
    <row r="34" spans="1:8">
      <c r="A34" s="66" t="s">
        <v>77</v>
      </c>
      <c r="B34" s="66">
        <f>'M2'!B34-'M1'!B34</f>
        <v>-3.9544999999999997E-2</v>
      </c>
      <c r="C34" s="66">
        <f>'M2'!C34-'M1'!C34</f>
        <v>-2.3062000000000013E-3</v>
      </c>
      <c r="D34" s="66">
        <f>'M2'!D34-'M1'!D34</f>
        <v>1.3454000000000008E-2</v>
      </c>
      <c r="E34" s="66">
        <f>'M2'!E34-'M1'!E34</f>
        <v>0</v>
      </c>
      <c r="F34" s="66">
        <f>'M2'!F34-'M1'!F34</f>
        <v>-2.8488999999999987E-2</v>
      </c>
      <c r="G34" s="66">
        <f>'M2'!G34-'M1'!G34</f>
        <v>0</v>
      </c>
      <c r="H34" s="66">
        <f>'M2'!H34-'M1'!H34</f>
        <v>-4.148099999999999E-2</v>
      </c>
    </row>
    <row r="35" spans="1:8">
      <c r="A35" s="66" t="s">
        <v>78</v>
      </c>
      <c r="B35" s="66">
        <f>'M2'!B35-'M1'!B35</f>
        <v>3.1256999999999951E-3</v>
      </c>
      <c r="C35" s="66">
        <f>'M2'!C35-'M1'!C35</f>
        <v>6.3960000000000058E-4</v>
      </c>
      <c r="D35" s="66">
        <f>'M2'!D35-'M1'!D35</f>
        <v>-3.5330000000000084E-3</v>
      </c>
      <c r="E35" s="66">
        <f>'M2'!E35-'M1'!E35</f>
        <v>0</v>
      </c>
      <c r="F35" s="66">
        <f>'M2'!F35-'M1'!F35</f>
        <v>-2.4825799999999999E-2</v>
      </c>
      <c r="G35" s="66">
        <f>'M2'!G35-'M1'!G35</f>
        <v>0</v>
      </c>
      <c r="H35" s="66">
        <f>'M2'!H35-'M1'!H35</f>
        <v>5.2870000000000139E-3</v>
      </c>
    </row>
    <row r="36" spans="1:8">
      <c r="A36" s="66" t="s">
        <v>79</v>
      </c>
      <c r="B36" s="66">
        <f>'M2'!B36-'M1'!B36</f>
        <v>-3.833700000000001E-2</v>
      </c>
      <c r="C36" s="66">
        <f>'M2'!C36-'M1'!C36</f>
        <v>1.5779999999999961E-4</v>
      </c>
      <c r="D36" s="66">
        <f>'M2'!D36-'M1'!D36</f>
        <v>9.2771000000000048E-2</v>
      </c>
      <c r="E36" s="66">
        <f>'M2'!E36-'M1'!E36</f>
        <v>0</v>
      </c>
      <c r="F36" s="66">
        <f>'M2'!F36-'M1'!F36</f>
        <v>-1.8591699999999996E-2</v>
      </c>
      <c r="G36" s="66">
        <f>'M2'!G36-'M1'!G36</f>
        <v>0</v>
      </c>
      <c r="H36" s="66">
        <f>'M2'!H36-'M1'!H36</f>
        <v>-3.712399999999999E-2</v>
      </c>
    </row>
    <row r="37" spans="1:8">
      <c r="A37" s="66" t="s">
        <v>80</v>
      </c>
      <c r="B37" s="66">
        <f>'M2'!B37-'M1'!B37</f>
        <v>-2.3062000000000027E-2</v>
      </c>
      <c r="C37" s="66">
        <f>'M2'!C37-'M1'!C37</f>
        <v>1.7946999999999991E-2</v>
      </c>
      <c r="D37" s="66">
        <f>'M2'!D37-'M1'!D37</f>
        <v>9.6567999999999987E-2</v>
      </c>
      <c r="E37" s="66">
        <f>'M2'!E37-'M1'!E37</f>
        <v>0</v>
      </c>
      <c r="F37" s="66">
        <f>'M2'!F37-'M1'!F37</f>
        <v>2.9550999999999987E-3</v>
      </c>
      <c r="G37" s="66">
        <f>'M2'!G37-'M1'!G37</f>
        <v>0</v>
      </c>
      <c r="H37" s="66">
        <f>'M2'!H37-'M1'!H37</f>
        <v>-0.12482700000000002</v>
      </c>
    </row>
    <row r="38" spans="1:8">
      <c r="A38" s="66" t="s">
        <v>81</v>
      </c>
      <c r="B38" s="66">
        <f>'M2'!B38-'M1'!B38</f>
        <v>6.2821099999999994</v>
      </c>
      <c r="C38" s="66">
        <f>'M2'!C38-'M1'!C38</f>
        <v>-5.4629000000000048</v>
      </c>
      <c r="D38" s="66">
        <f>'M2'!D38-'M1'!D38</f>
        <v>-2.6098599999999998</v>
      </c>
      <c r="E38" s="66">
        <f>'M2'!E38-'M1'!E38</f>
        <v>0</v>
      </c>
      <c r="F38" s="66">
        <f>'M2'!F38-'M1'!F38</f>
        <v>1.1657000000000011</v>
      </c>
      <c r="G38" s="66">
        <f>'M2'!G38-'M1'!G38</f>
        <v>0</v>
      </c>
      <c r="H38" s="66">
        <f>'M2'!H38-'M1'!H38</f>
        <v>-102.42500000000001</v>
      </c>
    </row>
    <row r="39" spans="1:8">
      <c r="A39" s="66" t="s">
        <v>82</v>
      </c>
      <c r="B39" s="66">
        <f>'M2'!B39-'M1'!B39</f>
        <v>0.11985000000000001</v>
      </c>
      <c r="C39" s="66">
        <f>'M2'!C39-'M1'!C39</f>
        <v>-4.0762999999999998</v>
      </c>
      <c r="D39" s="66">
        <f>'M2'!D39-'M1'!D39</f>
        <v>1.8439599999999998</v>
      </c>
      <c r="E39" s="66">
        <f>'M2'!E39-'M1'!E39</f>
        <v>0</v>
      </c>
      <c r="F39" s="66">
        <f>'M2'!F39-'M1'!F39</f>
        <v>1.6971399999999992</v>
      </c>
      <c r="G39" s="66">
        <f>'M2'!G39-'M1'!G39</f>
        <v>0</v>
      </c>
      <c r="H39" s="66">
        <f>'M2'!H39-'M1'!H39</f>
        <v>-31.44012</v>
      </c>
    </row>
    <row r="40" spans="1:8">
      <c r="A40" s="66" t="s">
        <v>83</v>
      </c>
      <c r="B40" s="66">
        <f>'M2'!B40-'M1'!B40</f>
        <v>2.8920999999999975E-2</v>
      </c>
      <c r="C40" s="66">
        <f>'M2'!C40-'M1'!C40</f>
        <v>6.8618000000000012E-2</v>
      </c>
      <c r="D40" s="66">
        <f>'M2'!D40-'M1'!D40</f>
        <v>-0.113402</v>
      </c>
      <c r="E40" s="66">
        <f>'M2'!E40-'M1'!E40</f>
        <v>0</v>
      </c>
      <c r="F40" s="66">
        <f>'M2'!F40-'M1'!F40</f>
        <v>1.0360000000000147E-2</v>
      </c>
      <c r="G40" s="66">
        <f>'M2'!G40-'M1'!G40</f>
        <v>0</v>
      </c>
      <c r="H40" s="66">
        <f>'M2'!H40-'M1'!H40</f>
        <v>0.59223840000000005</v>
      </c>
    </row>
    <row r="41" spans="1:8">
      <c r="A41" s="66" t="s">
        <v>84</v>
      </c>
      <c r="B41" s="66">
        <f>'M2'!B41-'M1'!B41</f>
        <v>1.9868399999999994E-2</v>
      </c>
      <c r="C41" s="66">
        <f>'M2'!C41-'M1'!C41</f>
        <v>8.4231999999999974E-2</v>
      </c>
      <c r="D41" s="66">
        <f>'M2'!D41-'M1'!D41</f>
        <v>-1.5505799999999996</v>
      </c>
      <c r="E41" s="66">
        <f>'M2'!E41-'M1'!E41</f>
        <v>0</v>
      </c>
      <c r="F41" s="66">
        <f>'M2'!F41-'M1'!F41</f>
        <v>0.17251499999999997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-2.9703000000000004E-3</v>
      </c>
      <c r="C42" s="66">
        <f>'M2'!C42-'M1'!C42</f>
        <v>-1.6786800000000004E-2</v>
      </c>
      <c r="D42" s="66">
        <f>'M2'!D42-'M1'!D42</f>
        <v>2.1930100000000001</v>
      </c>
      <c r="E42" s="66">
        <f>'M2'!E42-'M1'!E42</f>
        <v>0</v>
      </c>
      <c r="F42" s="66">
        <f>'M2'!F42-'M1'!F42</f>
        <v>-7.7072999999999975E-2</v>
      </c>
      <c r="G42" s="66">
        <f>'M2'!G42-'M1'!G42</f>
        <v>0</v>
      </c>
      <c r="H42" s="66">
        <f>'M2'!H42-'M1'!H42</f>
        <v>-0.202264</v>
      </c>
    </row>
    <row r="43" spans="1:8">
      <c r="A43" s="66" t="s">
        <v>86</v>
      </c>
      <c r="B43" s="66">
        <f>'M2'!B43-'M1'!B43</f>
        <v>3.2283199999999991E-2</v>
      </c>
      <c r="C43" s="66">
        <f>'M2'!C43-'M1'!C43</f>
        <v>-3.4528000000000024E-3</v>
      </c>
      <c r="D43" s="66">
        <f>'M2'!D43-'M1'!D43</f>
        <v>-0.28268799999999999</v>
      </c>
      <c r="E43" s="66">
        <f>'M2'!E43-'M1'!E43</f>
        <v>0</v>
      </c>
      <c r="F43" s="66">
        <f>'M2'!F43-'M1'!F43</f>
        <v>6.8506899999999996E-2</v>
      </c>
      <c r="G43" s="66">
        <f>'M2'!G43-'M1'!G43</f>
        <v>0</v>
      </c>
      <c r="H43" s="66">
        <f>'M2'!H43-'M1'!H43</f>
        <v>1.1588999999999988E-2</v>
      </c>
    </row>
    <row r="44" spans="1:8">
      <c r="A44" s="66" t="s">
        <v>87</v>
      </c>
      <c r="B44" s="66">
        <f>'M2'!B44-'M1'!B44</f>
        <v>3.992300000000002</v>
      </c>
      <c r="C44" s="66">
        <f>'M2'!C44-'M1'!C44</f>
        <v>-2.4367199999999993</v>
      </c>
      <c r="D44" s="66">
        <f>'M2'!D44-'M1'!D44</f>
        <v>7.2170000000000289E-3</v>
      </c>
      <c r="E44" s="66">
        <f>'M2'!E44-'M1'!E44</f>
        <v>0</v>
      </c>
      <c r="F44" s="66">
        <f>'M2'!F44-'M1'!F44</f>
        <v>0.40180000000000149</v>
      </c>
      <c r="G44" s="66">
        <f>'M2'!G44-'M1'!G44</f>
        <v>0</v>
      </c>
      <c r="H44" s="66">
        <f>'M2'!H44-'M1'!H44</f>
        <v>1.0672899999999998</v>
      </c>
    </row>
    <row r="45" spans="1:8">
      <c r="A45" s="66" t="s">
        <v>88</v>
      </c>
      <c r="B45" s="66">
        <f>'M2'!B45-'M1'!B45</f>
        <v>-3.8789999999999978</v>
      </c>
      <c r="C45" s="66">
        <f>'M2'!C45-'M1'!C45</f>
        <v>-6.6040000000000099E-2</v>
      </c>
      <c r="D45" s="66">
        <f>'M2'!D45-'M1'!D45</f>
        <v>8.6179999999999868E-3</v>
      </c>
      <c r="E45" s="66">
        <f>'M2'!E45-'M1'!E45</f>
        <v>0</v>
      </c>
      <c r="F45" s="66">
        <f>'M2'!F45-'M1'!F45</f>
        <v>-8.0232999999999954</v>
      </c>
      <c r="G45" s="66">
        <f>'M2'!G45-'M1'!G45</f>
        <v>0</v>
      </c>
      <c r="H45" s="66">
        <f>'M2'!H45-'M1'!H45</f>
        <v>-10.535799999999995</v>
      </c>
    </row>
    <row r="46" spans="1:8">
      <c r="A46" s="66" t="s">
        <v>89</v>
      </c>
      <c r="B46" s="66">
        <f>'M2'!B46-'M1'!B46</f>
        <v>-6.674199999999999</v>
      </c>
      <c r="C46" s="66">
        <f>'M2'!C46-'M1'!C46</f>
        <v>-4.9159100000000011</v>
      </c>
      <c r="D46" s="66">
        <f>'M2'!D46-'M1'!D46</f>
        <v>-9.9628000000000008E-2</v>
      </c>
      <c r="E46" s="66">
        <f>'M2'!E46-'M1'!E46</f>
        <v>0</v>
      </c>
      <c r="F46" s="66">
        <f>'M2'!F46-'M1'!F46</f>
        <v>11.916</v>
      </c>
      <c r="G46" s="66">
        <f>'M2'!G46-'M1'!G46</f>
        <v>0</v>
      </c>
      <c r="H46" s="66">
        <f>'M2'!H46-'M1'!H46</f>
        <v>-2.1422000000000025</v>
      </c>
    </row>
    <row r="47" spans="1:8">
      <c r="A47" s="66" t="s">
        <v>90</v>
      </c>
      <c r="B47" s="66">
        <f>'M2'!B47-'M1'!B47</f>
        <v>-2.9860000000000442E-3</v>
      </c>
      <c r="C47" s="66">
        <f>'M2'!C47-'M1'!C47</f>
        <v>2.5297999999999987E-2</v>
      </c>
      <c r="D47" s="66">
        <f>'M2'!D47-'M1'!D47</f>
        <v>3.0407999999999991E-2</v>
      </c>
      <c r="E47" s="66">
        <f>'M2'!E47-'M1'!E47</f>
        <v>0</v>
      </c>
      <c r="F47" s="66">
        <f>'M2'!F47-'M1'!F47</f>
        <v>-0.26349400000000001</v>
      </c>
      <c r="G47" s="66">
        <f>'M2'!G47-'M1'!G47</f>
        <v>0</v>
      </c>
      <c r="H47" s="66">
        <f>'M2'!H47-'M1'!H47</f>
        <v>0.31828999999999974</v>
      </c>
    </row>
    <row r="48" spans="1:8">
      <c r="A48" s="66" t="s">
        <v>91</v>
      </c>
      <c r="B48" s="66">
        <f>'M2'!B48-'M1'!B48</f>
        <v>0.11976999999999993</v>
      </c>
      <c r="C48" s="66">
        <f>'M2'!C48-'M1'!C48</f>
        <v>-0.1180522</v>
      </c>
      <c r="D48" s="66">
        <f>'M2'!D48-'M1'!D48</f>
        <v>-0.11643310000000001</v>
      </c>
      <c r="E48" s="66">
        <f>'M2'!E48-'M1'!E48</f>
        <v>0</v>
      </c>
      <c r="F48" s="66">
        <f>'M2'!F48-'M1'!F48</f>
        <v>0.32628099999999993</v>
      </c>
      <c r="G48" s="66">
        <f>'M2'!G48-'M1'!G48</f>
        <v>0</v>
      </c>
      <c r="H48" s="66">
        <f>'M2'!H48-'M1'!H48</f>
        <v>2.7190000000000047E-2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45.704300000000003</v>
      </c>
      <c r="C5" s="66">
        <v>10.303900000000001</v>
      </c>
      <c r="D5" s="66">
        <v>22.544599999999999</v>
      </c>
      <c r="E5" s="66">
        <v>20</v>
      </c>
      <c r="F5" s="66">
        <v>19.255600000000001</v>
      </c>
      <c r="G5" s="66">
        <v>50</v>
      </c>
      <c r="H5" s="66">
        <v>56.310600000000001</v>
      </c>
    </row>
    <row r="6" spans="1:8">
      <c r="A6" s="66" t="s">
        <v>303</v>
      </c>
      <c r="B6" s="66">
        <v>36.734699999999997</v>
      </c>
      <c r="C6" s="66">
        <v>2.55836</v>
      </c>
      <c r="D6" s="66">
        <v>6.9644300000000001</v>
      </c>
      <c r="E6" s="66">
        <v>20</v>
      </c>
      <c r="F6" s="66">
        <v>32.868699999999997</v>
      </c>
      <c r="G6" s="66">
        <v>40</v>
      </c>
      <c r="H6" s="66">
        <v>40.254600000000003</v>
      </c>
    </row>
    <row r="7" spans="1:8">
      <c r="A7" s="66" t="s">
        <v>304</v>
      </c>
      <c r="B7" s="66">
        <v>23.995000000000001</v>
      </c>
      <c r="C7" s="66">
        <v>4.1700999999999997</v>
      </c>
      <c r="D7" s="66">
        <v>17.379100000000001</v>
      </c>
      <c r="E7" s="66">
        <v>15</v>
      </c>
      <c r="F7" s="66">
        <v>11.5167</v>
      </c>
      <c r="G7" s="66">
        <v>40</v>
      </c>
      <c r="H7" s="66">
        <v>34.438400000000001</v>
      </c>
    </row>
    <row r="8" spans="1:8">
      <c r="A8" s="66" t="s">
        <v>305</v>
      </c>
      <c r="B8" s="66">
        <v>35.1708</v>
      </c>
      <c r="C8" s="66">
        <v>4.2544199999999996</v>
      </c>
      <c r="D8" s="66">
        <v>12.096500000000001</v>
      </c>
      <c r="E8" s="66">
        <v>20</v>
      </c>
      <c r="F8" s="66">
        <v>25.0305</v>
      </c>
      <c r="G8" s="66">
        <v>50</v>
      </c>
      <c r="H8" s="66">
        <v>40.029600000000002</v>
      </c>
    </row>
    <row r="9" spans="1:8">
      <c r="A9" s="66" t="s">
        <v>306</v>
      </c>
      <c r="B9" s="66">
        <v>70.472899999999996</v>
      </c>
      <c r="C9" s="66">
        <v>5.0195800000000004</v>
      </c>
      <c r="D9" s="66">
        <v>7.1227099999999997</v>
      </c>
      <c r="E9" s="66">
        <v>50</v>
      </c>
      <c r="F9" s="66">
        <v>61.6648</v>
      </c>
      <c r="G9" s="66">
        <v>100</v>
      </c>
      <c r="H9" s="66">
        <v>82.667000000000002</v>
      </c>
    </row>
    <row r="10" spans="1:8">
      <c r="A10" s="66" t="s">
        <v>307</v>
      </c>
      <c r="B10" s="66">
        <v>66.129000000000005</v>
      </c>
      <c r="C10" s="66">
        <v>4.4990699999999997</v>
      </c>
      <c r="D10" s="66">
        <v>6.8034800000000004</v>
      </c>
      <c r="E10" s="66">
        <v>40</v>
      </c>
      <c r="F10" s="66">
        <v>60.4011</v>
      </c>
      <c r="G10" s="66">
        <v>100</v>
      </c>
      <c r="H10" s="66">
        <v>75.747399999999999</v>
      </c>
    </row>
    <row r="11" spans="1:8">
      <c r="A11" s="66" t="s">
        <v>308</v>
      </c>
      <c r="B11" s="66">
        <v>28.107099999999999</v>
      </c>
      <c r="C11" s="66">
        <v>8.2627199999999998</v>
      </c>
      <c r="D11" s="66">
        <v>29.397300000000001</v>
      </c>
      <c r="E11" s="66">
        <v>10</v>
      </c>
      <c r="F11" s="66">
        <v>11.0268</v>
      </c>
      <c r="G11" s="66">
        <v>50</v>
      </c>
      <c r="H11" s="66">
        <v>36.970599999999997</v>
      </c>
    </row>
    <row r="12" spans="1:8">
      <c r="A12" s="66" t="s">
        <v>309</v>
      </c>
      <c r="B12" s="66">
        <v>67.556399999999996</v>
      </c>
      <c r="C12" s="66">
        <v>3.7370299999999999</v>
      </c>
      <c r="D12" s="66">
        <v>5.53172</v>
      </c>
      <c r="E12" s="66">
        <v>50</v>
      </c>
      <c r="F12" s="66">
        <v>61.966099999999997</v>
      </c>
      <c r="G12" s="66">
        <v>100</v>
      </c>
      <c r="H12" s="66">
        <v>78.813500000000005</v>
      </c>
    </row>
    <row r="13" spans="1:8">
      <c r="A13" s="66" t="s">
        <v>310</v>
      </c>
      <c r="B13" s="66">
        <v>23.5258</v>
      </c>
      <c r="C13" s="66">
        <v>2.93852</v>
      </c>
      <c r="D13" s="66">
        <v>12.4907</v>
      </c>
      <c r="E13" s="66">
        <v>10</v>
      </c>
      <c r="F13" s="66">
        <v>17.178000000000001</v>
      </c>
      <c r="G13" s="66">
        <v>25</v>
      </c>
      <c r="H13" s="66">
        <v>32.801099999999998</v>
      </c>
    </row>
    <row r="14" spans="1:8">
      <c r="A14" s="66" t="s">
        <v>311</v>
      </c>
      <c r="B14" s="66">
        <v>29.385200000000001</v>
      </c>
      <c r="C14" s="66">
        <v>10.452199999999999</v>
      </c>
      <c r="D14" s="66">
        <v>35.569600000000001</v>
      </c>
      <c r="E14" s="66">
        <v>10</v>
      </c>
      <c r="F14" s="66">
        <v>2.4430100000000001</v>
      </c>
      <c r="G14" s="66">
        <v>50</v>
      </c>
      <c r="H14" s="66">
        <v>48.281599999999997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0.60923400000000005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0.528034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3.1001599999999998E-4</v>
      </c>
      <c r="C20" s="66">
        <v>9.2718699999999998E-3</v>
      </c>
      <c r="D20" s="66">
        <v>29.907800000000002</v>
      </c>
      <c r="E20" s="66">
        <v>0</v>
      </c>
      <c r="F20" s="66">
        <v>0</v>
      </c>
      <c r="G20" s="66">
        <v>0</v>
      </c>
      <c r="H20" s="66">
        <v>9.2239000000000002E-2</v>
      </c>
    </row>
    <row r="21" spans="1:8">
      <c r="A21" s="66" t="s">
        <v>318</v>
      </c>
      <c r="B21" s="66">
        <v>4.5907900000000001E-2</v>
      </c>
      <c r="C21" s="66">
        <v>0.10255400000000001</v>
      </c>
      <c r="D21" s="66">
        <v>2.2339099999999998</v>
      </c>
      <c r="E21" s="66">
        <v>0</v>
      </c>
      <c r="F21" s="196">
        <v>5.5785300000000003E-5</v>
      </c>
      <c r="G21" s="66">
        <v>0</v>
      </c>
      <c r="H21" s="66">
        <v>0.67774299999999998</v>
      </c>
    </row>
    <row r="22" spans="1:8">
      <c r="A22" s="66" t="s">
        <v>319</v>
      </c>
      <c r="B22" s="66">
        <v>36.682899999999997</v>
      </c>
      <c r="C22" s="66">
        <v>7.7193100000000001</v>
      </c>
      <c r="D22" s="66">
        <v>0.21043300000000001</v>
      </c>
      <c r="E22" s="66">
        <v>0</v>
      </c>
      <c r="F22" s="66">
        <v>20.900300000000001</v>
      </c>
      <c r="G22" s="66">
        <v>0</v>
      </c>
      <c r="H22" s="66">
        <v>56.823900000000002</v>
      </c>
    </row>
    <row r="23" spans="1:8">
      <c r="A23" s="66" t="s">
        <v>320</v>
      </c>
      <c r="B23" s="66">
        <v>17.217600000000001</v>
      </c>
      <c r="C23" s="66">
        <v>3.5096400000000001</v>
      </c>
      <c r="D23" s="66">
        <v>0.20383999999999999</v>
      </c>
      <c r="E23" s="66">
        <v>0</v>
      </c>
      <c r="F23" s="66">
        <v>8.9522300000000001</v>
      </c>
      <c r="G23" s="66">
        <v>0</v>
      </c>
      <c r="H23" s="66">
        <v>21.636700000000001</v>
      </c>
    </row>
    <row r="24" spans="1:8">
      <c r="A24" s="66" t="s">
        <v>321</v>
      </c>
      <c r="B24" s="66">
        <v>5.5477900000000004E-4</v>
      </c>
      <c r="C24" s="66">
        <v>5.7929599999999998E-3</v>
      </c>
      <c r="D24" s="66">
        <v>10.4419</v>
      </c>
      <c r="E24" s="66">
        <v>0</v>
      </c>
      <c r="F24" s="196">
        <v>6.79694E-5</v>
      </c>
      <c r="G24" s="66">
        <v>0</v>
      </c>
      <c r="H24" s="66">
        <v>3.2633700000000002E-2</v>
      </c>
    </row>
    <row r="25" spans="1:8">
      <c r="A25" s="66" t="s">
        <v>322</v>
      </c>
      <c r="B25" s="66">
        <v>5.9298200000000002E-2</v>
      </c>
      <c r="C25" s="66">
        <v>4.8384299999999998E-2</v>
      </c>
      <c r="D25" s="66">
        <v>0.81594999999999995</v>
      </c>
      <c r="E25" s="66">
        <v>0</v>
      </c>
      <c r="F25" s="66">
        <v>2.7110700000000001E-2</v>
      </c>
      <c r="G25" s="66">
        <v>0</v>
      </c>
      <c r="H25" s="66">
        <v>0.21468100000000001</v>
      </c>
    </row>
    <row r="26" spans="1:8">
      <c r="A26" s="66" t="s">
        <v>323</v>
      </c>
      <c r="B26" s="66">
        <v>1.42791E-4</v>
      </c>
      <c r="C26" s="66">
        <v>7.7890399999999997E-4</v>
      </c>
      <c r="D26" s="66">
        <v>5.4548300000000003</v>
      </c>
      <c r="E26" s="66">
        <v>0</v>
      </c>
      <c r="F26" s="66">
        <v>0</v>
      </c>
      <c r="G26" s="66">
        <v>0</v>
      </c>
      <c r="H26" s="66">
        <v>7.67463E-3</v>
      </c>
    </row>
    <row r="27" spans="1:8">
      <c r="A27" s="66" t="s">
        <v>324</v>
      </c>
      <c r="B27" s="196">
        <v>-3.2825599999999999E-6</v>
      </c>
      <c r="C27" s="66">
        <v>4.8119599999999998E-4</v>
      </c>
      <c r="D27" s="66">
        <v>-146.59100000000001</v>
      </c>
      <c r="E27" s="66">
        <v>0</v>
      </c>
      <c r="F27" s="66">
        <v>-4.4971100000000003E-3</v>
      </c>
      <c r="G27" s="66">
        <v>0</v>
      </c>
      <c r="H27" s="66">
        <v>2.6851399999999999E-3</v>
      </c>
    </row>
    <row r="28" spans="1:8">
      <c r="A28" s="66" t="s">
        <v>325</v>
      </c>
      <c r="B28" s="66">
        <v>8.2389300000000002E-3</v>
      </c>
      <c r="C28" s="66">
        <v>1.05413E-2</v>
      </c>
      <c r="D28" s="66">
        <v>1.27945</v>
      </c>
      <c r="E28" s="66">
        <v>0</v>
      </c>
      <c r="F28" s="196">
        <v>1.95312E-5</v>
      </c>
      <c r="G28" s="66">
        <v>0</v>
      </c>
      <c r="H28" s="66">
        <v>5.7773400000000003E-2</v>
      </c>
    </row>
    <row r="29" spans="1:8">
      <c r="A29" s="66" t="s">
        <v>326</v>
      </c>
      <c r="B29" s="66">
        <v>79.652900000000002</v>
      </c>
      <c r="C29" s="66">
        <v>9.9860699999999998</v>
      </c>
      <c r="D29" s="66">
        <v>0.12537000000000001</v>
      </c>
      <c r="E29" s="66">
        <v>0</v>
      </c>
      <c r="F29" s="66">
        <v>59.258400000000002</v>
      </c>
      <c r="G29" s="66">
        <v>0</v>
      </c>
      <c r="H29" s="66">
        <v>100.8</v>
      </c>
    </row>
    <row r="30" spans="1:8">
      <c r="A30" s="66" t="s">
        <v>327</v>
      </c>
      <c r="B30" s="66">
        <v>27.586200000000002</v>
      </c>
      <c r="C30" s="66">
        <v>7.8296400000000004</v>
      </c>
      <c r="D30" s="66">
        <v>0.28382499999999999</v>
      </c>
      <c r="E30" s="66">
        <v>0</v>
      </c>
      <c r="F30" s="66">
        <v>15.6656</v>
      </c>
      <c r="G30" s="66">
        <v>0</v>
      </c>
      <c r="H30" s="66">
        <v>40.959699999999998</v>
      </c>
    </row>
    <row r="31" spans="1:8">
      <c r="A31" s="66" t="s">
        <v>328</v>
      </c>
      <c r="B31" s="66">
        <v>131.46</v>
      </c>
      <c r="C31" s="66">
        <v>30.468299999999999</v>
      </c>
      <c r="D31" s="66">
        <v>0.231769</v>
      </c>
      <c r="E31" s="66">
        <v>0</v>
      </c>
      <c r="F31" s="66">
        <v>55.441899999999997</v>
      </c>
      <c r="G31" s="66">
        <v>0</v>
      </c>
      <c r="H31" s="66">
        <v>159.345</v>
      </c>
    </row>
    <row r="32" spans="1:8">
      <c r="A32" s="66" t="s">
        <v>329</v>
      </c>
      <c r="B32" s="66">
        <v>0.23995</v>
      </c>
      <c r="C32" s="66">
        <v>4.1701000000000002E-2</v>
      </c>
      <c r="D32" s="66">
        <v>0.173791</v>
      </c>
      <c r="E32" s="66">
        <v>0.15</v>
      </c>
      <c r="F32" s="66">
        <v>0.11516700000000001</v>
      </c>
      <c r="G32" s="66">
        <v>0.4</v>
      </c>
      <c r="H32" s="66">
        <v>0.34438400000000002</v>
      </c>
    </row>
    <row r="33" spans="1:8">
      <c r="A33" s="66" t="s">
        <v>330</v>
      </c>
      <c r="B33" s="66">
        <v>0.45351999999999998</v>
      </c>
      <c r="C33" s="66">
        <v>2.2539E-2</v>
      </c>
      <c r="D33" s="66">
        <v>4.9697900000000003E-2</v>
      </c>
      <c r="E33" s="66">
        <v>0</v>
      </c>
      <c r="F33" s="66">
        <v>0.39525900000000003</v>
      </c>
      <c r="G33" s="66">
        <v>0</v>
      </c>
      <c r="H33" s="66">
        <v>0.50025399999999998</v>
      </c>
    </row>
    <row r="34" spans="1:8">
      <c r="A34" s="66" t="s">
        <v>331</v>
      </c>
      <c r="B34" s="66">
        <v>0.23525799999999999</v>
      </c>
      <c r="C34" s="66">
        <v>2.93852E-2</v>
      </c>
      <c r="D34" s="66">
        <v>0.124907</v>
      </c>
      <c r="E34" s="66">
        <v>0.1</v>
      </c>
      <c r="F34" s="66">
        <v>0.17177999999999999</v>
      </c>
      <c r="G34" s="66">
        <v>0.25</v>
      </c>
      <c r="H34" s="66">
        <v>0.328011</v>
      </c>
    </row>
    <row r="35" spans="1:8">
      <c r="A35" s="66" t="s">
        <v>332</v>
      </c>
      <c r="B35" s="66">
        <v>7.6225399999999999E-2</v>
      </c>
      <c r="C35" s="66">
        <v>2.2435699999999999E-2</v>
      </c>
      <c r="D35" s="66">
        <v>0.29433300000000001</v>
      </c>
      <c r="E35" s="66">
        <v>0</v>
      </c>
      <c r="F35" s="66">
        <v>4.1022599999999999E-2</v>
      </c>
      <c r="G35" s="66">
        <v>0</v>
      </c>
      <c r="H35" s="66">
        <v>0.128215</v>
      </c>
    </row>
    <row r="36" spans="1:8">
      <c r="A36" s="66" t="s">
        <v>333</v>
      </c>
      <c r="B36" s="66">
        <v>0.211315</v>
      </c>
      <c r="C36" s="66">
        <v>8.7583599999999998E-2</v>
      </c>
      <c r="D36" s="66">
        <v>0.41447000000000001</v>
      </c>
      <c r="E36" s="66">
        <v>0</v>
      </c>
      <c r="F36" s="66">
        <v>5.3446599999999997E-2</v>
      </c>
      <c r="G36" s="66">
        <v>0</v>
      </c>
      <c r="H36" s="66">
        <v>0.48218299999999997</v>
      </c>
    </row>
    <row r="37" spans="1:8">
      <c r="A37" s="66" t="s">
        <v>334</v>
      </c>
      <c r="B37" s="66">
        <v>0.293852</v>
      </c>
      <c r="C37" s="66">
        <v>0.104522</v>
      </c>
      <c r="D37" s="66">
        <v>0.35569600000000001</v>
      </c>
      <c r="E37" s="66">
        <v>0.1</v>
      </c>
      <c r="F37" s="66">
        <v>2.44301E-2</v>
      </c>
      <c r="G37" s="66">
        <v>0.5</v>
      </c>
      <c r="H37" s="66">
        <v>0.48281600000000002</v>
      </c>
    </row>
    <row r="38" spans="1:8">
      <c r="A38" s="66" t="s">
        <v>335</v>
      </c>
      <c r="B38" s="66">
        <v>-11.850899999999999</v>
      </c>
      <c r="C38" s="66">
        <v>37.722700000000003</v>
      </c>
      <c r="D38" s="66">
        <v>-3.1831</v>
      </c>
      <c r="E38" s="66">
        <v>0</v>
      </c>
      <c r="F38" s="66">
        <v>-82.333299999999994</v>
      </c>
      <c r="G38" s="66">
        <v>0</v>
      </c>
      <c r="H38" s="66">
        <v>298.71100000000001</v>
      </c>
    </row>
    <row r="39" spans="1:8">
      <c r="A39" s="66" t="s">
        <v>336</v>
      </c>
      <c r="B39" s="66">
        <v>-2.1118600000000001</v>
      </c>
      <c r="C39" s="66">
        <v>7.1030100000000003</v>
      </c>
      <c r="D39" s="66">
        <v>-3.3633899999999999</v>
      </c>
      <c r="E39" s="66">
        <v>0</v>
      </c>
      <c r="F39" s="66">
        <v>-9.8794299999999993</v>
      </c>
      <c r="G39" s="66">
        <v>0</v>
      </c>
      <c r="H39" s="66">
        <v>40.515799999999999</v>
      </c>
    </row>
    <row r="40" spans="1:8">
      <c r="A40" s="66" t="s">
        <v>337</v>
      </c>
      <c r="B40" s="66">
        <v>-0.74549900000000002</v>
      </c>
      <c r="C40" s="66">
        <v>0.32593699999999998</v>
      </c>
      <c r="D40" s="66">
        <v>-0.43720700000000001</v>
      </c>
      <c r="E40" s="66">
        <v>0</v>
      </c>
      <c r="F40" s="66">
        <v>-1.2956000000000001</v>
      </c>
      <c r="G40" s="66">
        <v>0</v>
      </c>
      <c r="H40" s="66">
        <v>-5.2281399999999999E-2</v>
      </c>
    </row>
    <row r="41" spans="1:8">
      <c r="A41" s="66" t="s">
        <v>338</v>
      </c>
      <c r="B41" s="66">
        <v>-0.10749499999999999</v>
      </c>
      <c r="C41" s="66">
        <v>0.279391</v>
      </c>
      <c r="D41" s="66">
        <v>-2.59911</v>
      </c>
      <c r="E41" s="66">
        <v>0</v>
      </c>
      <c r="F41" s="66">
        <v>-0.894737</v>
      </c>
      <c r="G41" s="66">
        <v>0</v>
      </c>
      <c r="H41" s="66">
        <v>1</v>
      </c>
    </row>
    <row r="42" spans="1:8">
      <c r="A42" s="66" t="s">
        <v>339</v>
      </c>
      <c r="B42" s="66">
        <v>-1.3998399999999999E-2</v>
      </c>
      <c r="C42" s="66">
        <v>9.6261700000000006E-2</v>
      </c>
      <c r="D42" s="66">
        <v>-6.8766400000000001</v>
      </c>
      <c r="E42" s="66">
        <v>0</v>
      </c>
      <c r="F42" s="66">
        <v>-0.16939100000000001</v>
      </c>
      <c r="G42" s="66">
        <v>0</v>
      </c>
      <c r="H42" s="66">
        <v>0.44395299999999999</v>
      </c>
    </row>
    <row r="43" spans="1:8">
      <c r="A43" s="66" t="s">
        <v>340</v>
      </c>
      <c r="B43" s="66">
        <v>4.9102100000000003E-2</v>
      </c>
      <c r="C43" s="66">
        <v>2.9740900000000001E-2</v>
      </c>
      <c r="D43" s="66">
        <v>0.60569600000000001</v>
      </c>
      <c r="E43" s="66">
        <v>0</v>
      </c>
      <c r="F43" s="66">
        <v>-1.9812799999999998E-2</v>
      </c>
      <c r="G43" s="66">
        <v>0</v>
      </c>
      <c r="H43" s="66">
        <v>0.1356</v>
      </c>
    </row>
    <row r="44" spans="1:8">
      <c r="A44" s="66" t="s">
        <v>341</v>
      </c>
      <c r="B44" s="66">
        <v>-18.182200000000002</v>
      </c>
      <c r="C44" s="66">
        <v>10.6312</v>
      </c>
      <c r="D44" s="66">
        <v>-0.58470500000000003</v>
      </c>
      <c r="E44" s="66">
        <v>0</v>
      </c>
      <c r="F44" s="66">
        <v>-42.922699999999999</v>
      </c>
      <c r="G44" s="66">
        <v>0</v>
      </c>
      <c r="H44" s="66">
        <v>-5.2256499999999999</v>
      </c>
    </row>
    <row r="45" spans="1:8">
      <c r="A45" s="66" t="s">
        <v>342</v>
      </c>
      <c r="B45" s="66">
        <v>55.2224</v>
      </c>
      <c r="C45" s="66">
        <v>7.2389000000000001</v>
      </c>
      <c r="D45" s="66">
        <v>0.13108600000000001</v>
      </c>
      <c r="E45" s="66">
        <v>0</v>
      </c>
      <c r="F45" s="66">
        <v>39.539499999999997</v>
      </c>
      <c r="G45" s="66">
        <v>0</v>
      </c>
      <c r="H45" s="66">
        <v>77.323499999999996</v>
      </c>
    </row>
    <row r="46" spans="1:8">
      <c r="A46" s="66" t="s">
        <v>343</v>
      </c>
      <c r="B46" s="66">
        <v>41.067900000000002</v>
      </c>
      <c r="C46" s="66">
        <v>9.1641100000000009</v>
      </c>
      <c r="D46" s="66">
        <v>0.22314500000000001</v>
      </c>
      <c r="E46" s="66">
        <v>0</v>
      </c>
      <c r="F46" s="66">
        <v>17.164300000000001</v>
      </c>
      <c r="G46" s="66">
        <v>0</v>
      </c>
      <c r="H46" s="66">
        <v>46.873600000000003</v>
      </c>
    </row>
    <row r="47" spans="1:8">
      <c r="A47" s="66" t="s">
        <v>344</v>
      </c>
      <c r="B47" s="66">
        <v>0.88708100000000001</v>
      </c>
      <c r="C47" s="66">
        <v>0.47105200000000003</v>
      </c>
      <c r="D47" s="66">
        <v>0.53101399999999999</v>
      </c>
      <c r="E47" s="66">
        <v>0</v>
      </c>
      <c r="F47" s="66">
        <v>0.46962700000000002</v>
      </c>
      <c r="G47" s="66">
        <v>0</v>
      </c>
      <c r="H47" s="66">
        <v>2.3447200000000001</v>
      </c>
    </row>
    <row r="48" spans="1:8">
      <c r="A48" s="66" t="s">
        <v>345</v>
      </c>
      <c r="B48" s="66">
        <v>1.07637</v>
      </c>
      <c r="C48" s="66">
        <v>0.190691</v>
      </c>
      <c r="D48" s="66">
        <v>0.17716100000000001</v>
      </c>
      <c r="E48" s="66">
        <v>0</v>
      </c>
      <c r="F48" s="66">
        <v>0.74478900000000003</v>
      </c>
      <c r="G48" s="66">
        <v>0</v>
      </c>
      <c r="H48" s="66">
        <v>1.36138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40.896099999999997</v>
      </c>
      <c r="C5" s="66">
        <v>5.2325600000000003</v>
      </c>
      <c r="D5" s="66">
        <v>12.7948</v>
      </c>
      <c r="E5" s="66">
        <v>20</v>
      </c>
      <c r="F5" s="66">
        <v>33.726700000000001</v>
      </c>
      <c r="G5" s="66">
        <v>50</v>
      </c>
      <c r="H5" s="66">
        <v>52.188299999999998</v>
      </c>
    </row>
    <row r="6" spans="1:8">
      <c r="A6" s="66" t="s">
        <v>303</v>
      </c>
      <c r="B6" s="66">
        <v>35.273299999999999</v>
      </c>
      <c r="C6" s="66">
        <v>2.9393699999999998</v>
      </c>
      <c r="D6" s="66">
        <v>8.3331400000000002</v>
      </c>
      <c r="E6" s="66">
        <v>20</v>
      </c>
      <c r="F6" s="66">
        <v>33.554600000000001</v>
      </c>
      <c r="G6" s="66">
        <v>40</v>
      </c>
      <c r="H6" s="66">
        <v>43.5227</v>
      </c>
    </row>
    <row r="7" spans="1:8">
      <c r="A7" s="66" t="s">
        <v>304</v>
      </c>
      <c r="B7" s="66">
        <v>28.0365</v>
      </c>
      <c r="C7" s="66">
        <v>4.5744300000000004</v>
      </c>
      <c r="D7" s="66">
        <v>16.315999999999999</v>
      </c>
      <c r="E7" s="66">
        <v>15</v>
      </c>
      <c r="F7" s="66">
        <v>16.716000000000001</v>
      </c>
      <c r="G7" s="66">
        <v>40</v>
      </c>
      <c r="H7" s="66">
        <v>45.997399999999999</v>
      </c>
    </row>
    <row r="8" spans="1:8">
      <c r="A8" s="66" t="s">
        <v>305</v>
      </c>
      <c r="B8" s="66">
        <v>35.454500000000003</v>
      </c>
      <c r="C8" s="66">
        <v>1.22525</v>
      </c>
      <c r="D8" s="66">
        <v>3.4558599999999999</v>
      </c>
      <c r="E8" s="66">
        <v>20</v>
      </c>
      <c r="F8" s="66">
        <v>32.673000000000002</v>
      </c>
      <c r="G8" s="66">
        <v>50</v>
      </c>
      <c r="H8" s="66">
        <v>37.674900000000001</v>
      </c>
    </row>
    <row r="9" spans="1:8">
      <c r="A9" s="66" t="s">
        <v>306</v>
      </c>
      <c r="B9" s="66">
        <v>67.821399999999997</v>
      </c>
      <c r="C9" s="66">
        <v>3.32816</v>
      </c>
      <c r="D9" s="66">
        <v>4.9072399999999998</v>
      </c>
      <c r="E9" s="66">
        <v>50</v>
      </c>
      <c r="F9" s="66">
        <v>61.349699999999999</v>
      </c>
      <c r="G9" s="66">
        <v>100</v>
      </c>
      <c r="H9" s="66">
        <v>75.650000000000006</v>
      </c>
    </row>
    <row r="10" spans="1:8">
      <c r="A10" s="66" t="s">
        <v>307</v>
      </c>
      <c r="B10" s="66">
        <v>59.907899999999998</v>
      </c>
      <c r="C10" s="66">
        <v>1.5786100000000001</v>
      </c>
      <c r="D10" s="66">
        <v>2.6350600000000002</v>
      </c>
      <c r="E10" s="66">
        <v>40</v>
      </c>
      <c r="F10" s="66">
        <v>55.636000000000003</v>
      </c>
      <c r="G10" s="66">
        <v>100</v>
      </c>
      <c r="H10" s="66">
        <v>63.221699999999998</v>
      </c>
    </row>
    <row r="11" spans="1:8">
      <c r="A11" s="66" t="s">
        <v>308</v>
      </c>
      <c r="B11" s="66">
        <v>28.958100000000002</v>
      </c>
      <c r="C11" s="66">
        <v>3.40794</v>
      </c>
      <c r="D11" s="66">
        <v>11.7685</v>
      </c>
      <c r="E11" s="66">
        <v>10</v>
      </c>
      <c r="F11" s="66">
        <v>23.499400000000001</v>
      </c>
      <c r="G11" s="66">
        <v>50</v>
      </c>
      <c r="H11" s="66">
        <v>35.008200000000002</v>
      </c>
    </row>
    <row r="12" spans="1:8">
      <c r="A12" s="66" t="s">
        <v>309</v>
      </c>
      <c r="B12" s="66">
        <v>63.5047</v>
      </c>
      <c r="C12" s="66">
        <v>1.51027</v>
      </c>
      <c r="D12" s="66">
        <v>2.3782000000000001</v>
      </c>
      <c r="E12" s="66">
        <v>50</v>
      </c>
      <c r="F12" s="66">
        <v>60.399799999999999</v>
      </c>
      <c r="G12" s="66">
        <v>100</v>
      </c>
      <c r="H12" s="66">
        <v>67.340699999999998</v>
      </c>
    </row>
    <row r="13" spans="1:8">
      <c r="A13" s="66" t="s">
        <v>310</v>
      </c>
      <c r="B13" s="66">
        <v>19.571300000000001</v>
      </c>
      <c r="C13" s="66">
        <v>2.7079</v>
      </c>
      <c r="D13" s="66">
        <v>13.8361</v>
      </c>
      <c r="E13" s="66">
        <v>10</v>
      </c>
      <c r="F13" s="66">
        <v>14.3291</v>
      </c>
      <c r="G13" s="66">
        <v>25</v>
      </c>
      <c r="H13" s="66">
        <v>28.652999999999999</v>
      </c>
    </row>
    <row r="14" spans="1:8">
      <c r="A14" s="66" t="s">
        <v>311</v>
      </c>
      <c r="B14" s="66">
        <v>27.079000000000001</v>
      </c>
      <c r="C14" s="66">
        <v>12.2469</v>
      </c>
      <c r="D14" s="66">
        <v>45.226399999999998</v>
      </c>
      <c r="E14" s="66">
        <v>10</v>
      </c>
      <c r="F14" s="66">
        <v>2.7385199999999998</v>
      </c>
      <c r="G14" s="66">
        <v>50</v>
      </c>
      <c r="H14" s="66">
        <v>35.798900000000003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0.36086600000000002</v>
      </c>
      <c r="C18" s="66">
        <v>8.0799899999999994E-2</v>
      </c>
      <c r="D18" s="66">
        <v>0.22390599999999999</v>
      </c>
      <c r="E18" s="66">
        <v>0</v>
      </c>
      <c r="F18" s="66">
        <v>0.28006599999999998</v>
      </c>
      <c r="G18" s="66">
        <v>0</v>
      </c>
      <c r="H18" s="66">
        <v>0.441666</v>
      </c>
    </row>
    <row r="19" spans="1:8">
      <c r="A19" s="66" t="s">
        <v>316</v>
      </c>
      <c r="B19" s="66">
        <v>0.42578100000000002</v>
      </c>
      <c r="C19" s="66">
        <v>4.8329999999999998E-2</v>
      </c>
      <c r="D19" s="66">
        <v>0.113509</v>
      </c>
      <c r="E19" s="66">
        <v>0</v>
      </c>
      <c r="F19" s="66">
        <v>0.37745099999999998</v>
      </c>
      <c r="G19" s="66">
        <v>0</v>
      </c>
      <c r="H19" s="66">
        <v>0.474111</v>
      </c>
    </row>
    <row r="20" spans="1:8">
      <c r="A20" s="66" t="s">
        <v>317</v>
      </c>
      <c r="B20" s="66">
        <v>3.2373800000000001E-4</v>
      </c>
      <c r="C20" s="66">
        <v>8.5152300000000004E-3</v>
      </c>
      <c r="D20" s="66">
        <v>26.302800000000001</v>
      </c>
      <c r="E20" s="66">
        <v>0</v>
      </c>
      <c r="F20" s="66">
        <v>0</v>
      </c>
      <c r="G20" s="66">
        <v>0</v>
      </c>
      <c r="H20" s="66">
        <v>6.8920400000000007E-2</v>
      </c>
    </row>
    <row r="21" spans="1:8">
      <c r="A21" s="66" t="s">
        <v>318</v>
      </c>
      <c r="B21" s="66">
        <v>3.10041E-2</v>
      </c>
      <c r="C21" s="66">
        <v>8.5772100000000004E-2</v>
      </c>
      <c r="D21" s="66">
        <v>2.7664800000000001</v>
      </c>
      <c r="E21" s="66">
        <v>0</v>
      </c>
      <c r="F21" s="66">
        <v>1.1081400000000001E-3</v>
      </c>
      <c r="G21" s="66">
        <v>0</v>
      </c>
      <c r="H21" s="66">
        <v>0.45702599999999999</v>
      </c>
    </row>
    <row r="22" spans="1:8">
      <c r="A22" s="66" t="s">
        <v>319</v>
      </c>
      <c r="B22" s="66">
        <v>30.167100000000001</v>
      </c>
      <c r="C22" s="66">
        <v>9.59633</v>
      </c>
      <c r="D22" s="66">
        <v>0.31810500000000003</v>
      </c>
      <c r="E22" s="66">
        <v>0</v>
      </c>
      <c r="F22" s="66">
        <v>13.560700000000001</v>
      </c>
      <c r="G22" s="66">
        <v>0</v>
      </c>
      <c r="H22" s="66">
        <v>52.249400000000001</v>
      </c>
    </row>
    <row r="23" spans="1:8">
      <c r="A23" s="66" t="s">
        <v>320</v>
      </c>
      <c r="B23" s="66">
        <v>16.809100000000001</v>
      </c>
      <c r="C23" s="66">
        <v>2.0879500000000002</v>
      </c>
      <c r="D23" s="66">
        <v>0.12421500000000001</v>
      </c>
      <c r="E23" s="66">
        <v>0</v>
      </c>
      <c r="F23" s="66">
        <v>13.675000000000001</v>
      </c>
      <c r="G23" s="66">
        <v>0</v>
      </c>
      <c r="H23" s="66">
        <v>20.8689</v>
      </c>
    </row>
    <row r="24" spans="1:8">
      <c r="A24" s="66" t="s">
        <v>347</v>
      </c>
      <c r="B24" s="66">
        <v>5.7185000000000005E-4</v>
      </c>
      <c r="C24" s="66">
        <v>5.4824799999999996E-3</v>
      </c>
      <c r="D24" s="66">
        <v>9.5872700000000002</v>
      </c>
      <c r="E24" s="66">
        <v>0</v>
      </c>
      <c r="F24" s="196">
        <v>5.7306899999999998E-5</v>
      </c>
      <c r="G24" s="66">
        <v>0</v>
      </c>
      <c r="H24" s="66">
        <v>2.5533899999999998E-2</v>
      </c>
    </row>
    <row r="25" spans="1:8">
      <c r="A25" s="66" t="s">
        <v>322</v>
      </c>
      <c r="B25" s="66">
        <v>6.0104100000000001E-2</v>
      </c>
      <c r="C25" s="66">
        <v>4.2638099999999998E-2</v>
      </c>
      <c r="D25" s="66">
        <v>0.70940499999999995</v>
      </c>
      <c r="E25" s="66">
        <v>0</v>
      </c>
      <c r="F25" s="66">
        <v>1.61437E-2</v>
      </c>
      <c r="G25" s="66">
        <v>0</v>
      </c>
      <c r="H25" s="66">
        <v>0.230049</v>
      </c>
    </row>
    <row r="26" spans="1:8">
      <c r="A26" s="66" t="s">
        <v>323</v>
      </c>
      <c r="B26" s="66">
        <v>1.3622600000000001E-4</v>
      </c>
      <c r="C26" s="66">
        <v>7.1772000000000003E-4</v>
      </c>
      <c r="D26" s="66">
        <v>5.26858</v>
      </c>
      <c r="E26" s="66">
        <v>0</v>
      </c>
      <c r="F26" s="66">
        <v>0</v>
      </c>
      <c r="G26" s="66">
        <v>0</v>
      </c>
      <c r="H26" s="66">
        <v>4.5660500000000003E-3</v>
      </c>
    </row>
    <row r="27" spans="1:8">
      <c r="A27" s="66" t="s">
        <v>324</v>
      </c>
      <c r="B27" s="196">
        <v>-3.2825599999999999E-6</v>
      </c>
      <c r="C27" s="66">
        <v>5.1687100000000002E-4</v>
      </c>
      <c r="D27" s="66">
        <v>-157.46</v>
      </c>
      <c r="E27" s="66">
        <v>0</v>
      </c>
      <c r="F27" s="66">
        <v>-3.4171499999999999E-3</v>
      </c>
      <c r="G27" s="66">
        <v>0</v>
      </c>
      <c r="H27" s="66">
        <v>3.6042499999999998E-3</v>
      </c>
    </row>
    <row r="28" spans="1:8">
      <c r="A28" s="66" t="s">
        <v>325</v>
      </c>
      <c r="B28" s="66">
        <v>6.2500000000000003E-3</v>
      </c>
      <c r="C28" s="66">
        <v>9.6660200000000009E-3</v>
      </c>
      <c r="D28" s="66">
        <v>1.5465599999999999</v>
      </c>
      <c r="E28" s="66">
        <v>0</v>
      </c>
      <c r="F28" s="66">
        <v>3.1575499999999997E-4</v>
      </c>
      <c r="G28" s="66">
        <v>0</v>
      </c>
      <c r="H28" s="66">
        <v>4.68685E-2</v>
      </c>
    </row>
    <row r="29" spans="1:8">
      <c r="A29" s="66" t="s">
        <v>326</v>
      </c>
      <c r="B29" s="66">
        <v>72.702500000000001</v>
      </c>
      <c r="C29" s="66">
        <v>11.055199999999999</v>
      </c>
      <c r="D29" s="66">
        <v>0.152061</v>
      </c>
      <c r="E29" s="66">
        <v>0</v>
      </c>
      <c r="F29" s="66">
        <v>45.724899999999998</v>
      </c>
      <c r="G29" s="66">
        <v>0</v>
      </c>
      <c r="H29" s="66">
        <v>102.48399999999999</v>
      </c>
    </row>
    <row r="30" spans="1:8">
      <c r="A30" s="66" t="s">
        <v>327</v>
      </c>
      <c r="B30" s="66">
        <v>32.615200000000002</v>
      </c>
      <c r="C30" s="66">
        <v>5.0416800000000004</v>
      </c>
      <c r="D30" s="66">
        <v>0.154581</v>
      </c>
      <c r="E30" s="66">
        <v>0</v>
      </c>
      <c r="F30" s="66">
        <v>23.511800000000001</v>
      </c>
      <c r="G30" s="66">
        <v>0</v>
      </c>
      <c r="H30" s="66">
        <v>41.215200000000003</v>
      </c>
    </row>
    <row r="31" spans="1:8">
      <c r="A31" s="66" t="s">
        <v>328</v>
      </c>
      <c r="B31" s="66">
        <v>117.321</v>
      </c>
      <c r="C31" s="66">
        <v>17.693300000000001</v>
      </c>
      <c r="D31" s="66">
        <v>0.150811</v>
      </c>
      <c r="E31" s="66">
        <v>0</v>
      </c>
      <c r="F31" s="66">
        <v>77.709400000000002</v>
      </c>
      <c r="G31" s="66">
        <v>0</v>
      </c>
      <c r="H31" s="66">
        <v>157.29400000000001</v>
      </c>
    </row>
    <row r="32" spans="1:8">
      <c r="A32" s="66" t="s">
        <v>329</v>
      </c>
      <c r="B32" s="66">
        <v>0.28036499999999998</v>
      </c>
      <c r="C32" s="66">
        <v>4.5744300000000002E-2</v>
      </c>
      <c r="D32" s="66">
        <v>0.16316</v>
      </c>
      <c r="E32" s="66">
        <v>0.15</v>
      </c>
      <c r="F32" s="66">
        <v>0.16716</v>
      </c>
      <c r="G32" s="66">
        <v>0.4</v>
      </c>
      <c r="H32" s="66">
        <v>0.45997399999999999</v>
      </c>
    </row>
    <row r="33" spans="1:8">
      <c r="A33" s="66" t="s">
        <v>330</v>
      </c>
      <c r="B33" s="66">
        <v>0.47053800000000001</v>
      </c>
      <c r="C33" s="66">
        <v>1.89327E-2</v>
      </c>
      <c r="D33" s="66">
        <v>4.02362E-2</v>
      </c>
      <c r="E33" s="66">
        <v>0</v>
      </c>
      <c r="F33" s="66">
        <v>0.44725700000000002</v>
      </c>
      <c r="G33" s="66">
        <v>0</v>
      </c>
      <c r="H33" s="66">
        <v>0.51712499999999995</v>
      </c>
    </row>
    <row r="34" spans="1:8">
      <c r="A34" s="66" t="s">
        <v>331</v>
      </c>
      <c r="B34" s="66">
        <v>0.195713</v>
      </c>
      <c r="C34" s="66">
        <v>2.7078999999999999E-2</v>
      </c>
      <c r="D34" s="66">
        <v>0.13836100000000001</v>
      </c>
      <c r="E34" s="66">
        <v>0.1</v>
      </c>
      <c r="F34" s="66">
        <v>0.143291</v>
      </c>
      <c r="G34" s="66">
        <v>0.25</v>
      </c>
      <c r="H34" s="66">
        <v>0.28653000000000001</v>
      </c>
    </row>
    <row r="35" spans="1:8">
      <c r="A35" s="66" t="s">
        <v>332</v>
      </c>
      <c r="B35" s="66">
        <v>7.9351099999999994E-2</v>
      </c>
      <c r="C35" s="66">
        <v>2.30753E-2</v>
      </c>
      <c r="D35" s="66">
        <v>0.2908</v>
      </c>
      <c r="E35" s="66">
        <v>0</v>
      </c>
      <c r="F35" s="66">
        <v>1.6196800000000001E-2</v>
      </c>
      <c r="G35" s="66">
        <v>0</v>
      </c>
      <c r="H35" s="66">
        <v>0.13350200000000001</v>
      </c>
    </row>
    <row r="36" spans="1:8">
      <c r="A36" s="66" t="s">
        <v>333</v>
      </c>
      <c r="B36" s="66">
        <v>0.17297799999999999</v>
      </c>
      <c r="C36" s="66">
        <v>8.7741399999999997E-2</v>
      </c>
      <c r="D36" s="66">
        <v>0.50724100000000005</v>
      </c>
      <c r="E36" s="66">
        <v>0</v>
      </c>
      <c r="F36" s="66">
        <v>3.4854900000000001E-2</v>
      </c>
      <c r="G36" s="66">
        <v>0</v>
      </c>
      <c r="H36" s="66">
        <v>0.44505899999999998</v>
      </c>
    </row>
    <row r="37" spans="1:8">
      <c r="A37" s="66" t="s">
        <v>334</v>
      </c>
      <c r="B37" s="66">
        <v>0.27078999999999998</v>
      </c>
      <c r="C37" s="66">
        <v>0.12246899999999999</v>
      </c>
      <c r="D37" s="66">
        <v>0.452264</v>
      </c>
      <c r="E37" s="66">
        <v>0.1</v>
      </c>
      <c r="F37" s="66">
        <v>2.7385199999999998E-2</v>
      </c>
      <c r="G37" s="66">
        <v>0.5</v>
      </c>
      <c r="H37" s="66">
        <v>0.357989</v>
      </c>
    </row>
    <row r="38" spans="1:8">
      <c r="A38" s="66" t="s">
        <v>335</v>
      </c>
      <c r="B38" s="66">
        <v>-5.5687899999999999</v>
      </c>
      <c r="C38" s="66">
        <v>32.259799999999998</v>
      </c>
      <c r="D38" s="66">
        <v>-5.7929599999999999</v>
      </c>
      <c r="E38" s="66">
        <v>0</v>
      </c>
      <c r="F38" s="66">
        <v>-81.167599999999993</v>
      </c>
      <c r="G38" s="66">
        <v>0</v>
      </c>
      <c r="H38" s="66">
        <v>196.286</v>
      </c>
    </row>
    <row r="39" spans="1:8">
      <c r="A39" s="66" t="s">
        <v>336</v>
      </c>
      <c r="B39" s="66">
        <v>-1.9920100000000001</v>
      </c>
      <c r="C39" s="66">
        <v>3.02671</v>
      </c>
      <c r="D39" s="66">
        <v>-1.5194300000000001</v>
      </c>
      <c r="E39" s="66">
        <v>0</v>
      </c>
      <c r="F39" s="66">
        <v>-8.1822900000000001</v>
      </c>
      <c r="G39" s="66">
        <v>0</v>
      </c>
      <c r="H39" s="66">
        <v>9.0756800000000002</v>
      </c>
    </row>
    <row r="40" spans="1:8">
      <c r="A40" s="66" t="s">
        <v>337</v>
      </c>
      <c r="B40" s="66">
        <v>-0.71657800000000005</v>
      </c>
      <c r="C40" s="66">
        <v>0.39455499999999999</v>
      </c>
      <c r="D40" s="66">
        <v>-0.55060900000000002</v>
      </c>
      <c r="E40" s="66">
        <v>0</v>
      </c>
      <c r="F40" s="66">
        <v>-1.2852399999999999</v>
      </c>
      <c r="G40" s="66">
        <v>0</v>
      </c>
      <c r="H40" s="66">
        <v>0.53995700000000002</v>
      </c>
    </row>
    <row r="41" spans="1:8">
      <c r="A41" s="66" t="s">
        <v>338</v>
      </c>
      <c r="B41" s="66">
        <v>-8.7626599999999999E-2</v>
      </c>
      <c r="C41" s="66">
        <v>0.36362299999999997</v>
      </c>
      <c r="D41" s="66">
        <v>-4.1496899999999997</v>
      </c>
      <c r="E41" s="66">
        <v>0</v>
      </c>
      <c r="F41" s="66">
        <v>-0.72222200000000003</v>
      </c>
      <c r="G41" s="66">
        <v>0</v>
      </c>
      <c r="H41" s="66">
        <v>1</v>
      </c>
    </row>
    <row r="42" spans="1:8">
      <c r="A42" s="66" t="s">
        <v>339</v>
      </c>
      <c r="B42" s="66">
        <v>-1.69687E-2</v>
      </c>
      <c r="C42" s="66">
        <v>7.9474900000000001E-2</v>
      </c>
      <c r="D42" s="66">
        <v>-4.68363</v>
      </c>
      <c r="E42" s="66">
        <v>0</v>
      </c>
      <c r="F42" s="66">
        <v>-0.24646399999999999</v>
      </c>
      <c r="G42" s="66">
        <v>0</v>
      </c>
      <c r="H42" s="66">
        <v>0.24168899999999999</v>
      </c>
    </row>
    <row r="43" spans="1:8">
      <c r="A43" s="66" t="s">
        <v>340</v>
      </c>
      <c r="B43" s="66">
        <v>8.1385299999999994E-2</v>
      </c>
      <c r="C43" s="66">
        <v>2.6288099999999998E-2</v>
      </c>
      <c r="D43" s="66">
        <v>0.32300800000000002</v>
      </c>
      <c r="E43" s="66">
        <v>0</v>
      </c>
      <c r="F43" s="66">
        <v>4.8694099999999997E-2</v>
      </c>
      <c r="G43" s="66">
        <v>0</v>
      </c>
      <c r="H43" s="66">
        <v>0.14718899999999999</v>
      </c>
    </row>
    <row r="44" spans="1:8">
      <c r="A44" s="66" t="s">
        <v>341</v>
      </c>
      <c r="B44" s="66">
        <v>-14.1899</v>
      </c>
      <c r="C44" s="66">
        <v>8.1944800000000004</v>
      </c>
      <c r="D44" s="66">
        <v>-0.577488</v>
      </c>
      <c r="E44" s="66">
        <v>0</v>
      </c>
      <c r="F44" s="66">
        <v>-42.520899999999997</v>
      </c>
      <c r="G44" s="66">
        <v>0</v>
      </c>
      <c r="H44" s="66">
        <v>-4.1583600000000001</v>
      </c>
    </row>
    <row r="45" spans="1:8">
      <c r="A45" s="66" t="s">
        <v>342</v>
      </c>
      <c r="B45" s="66">
        <v>51.343400000000003</v>
      </c>
      <c r="C45" s="66">
        <v>7.17286</v>
      </c>
      <c r="D45" s="66">
        <v>0.13970399999999999</v>
      </c>
      <c r="E45" s="66">
        <v>0</v>
      </c>
      <c r="F45" s="66">
        <v>31.516200000000001</v>
      </c>
      <c r="G45" s="66">
        <v>0</v>
      </c>
      <c r="H45" s="66">
        <v>66.787700000000001</v>
      </c>
    </row>
    <row r="46" spans="1:8">
      <c r="A46" s="66" t="s">
        <v>343</v>
      </c>
      <c r="B46" s="66">
        <v>34.393700000000003</v>
      </c>
      <c r="C46" s="66">
        <v>4.2481999999999998</v>
      </c>
      <c r="D46" s="66">
        <v>0.123517</v>
      </c>
      <c r="E46" s="66">
        <v>0</v>
      </c>
      <c r="F46" s="66">
        <v>29.080300000000001</v>
      </c>
      <c r="G46" s="66">
        <v>0</v>
      </c>
      <c r="H46" s="66">
        <v>44.731400000000001</v>
      </c>
    </row>
    <row r="47" spans="1:8">
      <c r="A47" s="66" t="s">
        <v>344</v>
      </c>
      <c r="B47" s="66">
        <v>0.88409499999999996</v>
      </c>
      <c r="C47" s="66">
        <v>0.49635000000000001</v>
      </c>
      <c r="D47" s="66">
        <v>0.56142199999999998</v>
      </c>
      <c r="E47" s="66">
        <v>0</v>
      </c>
      <c r="F47" s="66">
        <v>0.20613300000000001</v>
      </c>
      <c r="G47" s="66">
        <v>0</v>
      </c>
      <c r="H47" s="66">
        <v>2.6630099999999999</v>
      </c>
    </row>
    <row r="48" spans="1:8">
      <c r="A48" s="66" t="s">
        <v>345</v>
      </c>
      <c r="B48" s="66">
        <v>1.19614</v>
      </c>
      <c r="C48" s="66">
        <v>7.2638800000000003E-2</v>
      </c>
      <c r="D48" s="66">
        <v>6.0727900000000001E-2</v>
      </c>
      <c r="E48" s="66">
        <v>0</v>
      </c>
      <c r="F48" s="66">
        <v>1.07107</v>
      </c>
      <c r="G48" s="66">
        <v>0</v>
      </c>
      <c r="H48" s="66">
        <v>1.3885700000000001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348</v>
      </c>
      <c r="B1" s="60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101.80731899048793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1.9656438132978751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0.67191556809547115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8116</v>
      </c>
      <c r="B8" s="66">
        <v>8116</v>
      </c>
      <c r="D8">
        <f t="shared" si="0"/>
        <v>4.0387151352292802E-2</v>
      </c>
      <c r="E8">
        <f t="shared" si="0"/>
        <v>4.0387151352292802E-2</v>
      </c>
      <c r="G8">
        <f t="shared" ca="1" si="1"/>
        <v>6</v>
      </c>
      <c r="H8">
        <f t="shared" ca="1" si="2"/>
        <v>0.24232290811375681</v>
      </c>
      <c r="I8">
        <f t="shared" ca="1" si="3"/>
        <v>370.71537355293333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7233</v>
      </c>
      <c r="B10" s="66">
        <v>7233</v>
      </c>
      <c r="D10">
        <f t="shared" si="0"/>
        <v>3.5993132790923338E-2</v>
      </c>
      <c r="E10">
        <f t="shared" si="0"/>
        <v>3.5993132790923338E-2</v>
      </c>
      <c r="G10">
        <f t="shared" ca="1" si="1"/>
        <v>8</v>
      </c>
      <c r="H10">
        <f t="shared" ca="1" si="2"/>
        <v>0.2879450623273867</v>
      </c>
      <c r="I10">
        <f t="shared" ca="1" si="3"/>
        <v>316.73284130622665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13024</v>
      </c>
      <c r="B13" s="66">
        <v>13024</v>
      </c>
      <c r="D13">
        <f t="shared" si="0"/>
        <v>6.4810529720584209E-2</v>
      </c>
      <c r="E13">
        <f t="shared" si="0"/>
        <v>6.4810529720584209E-2</v>
      </c>
      <c r="G13">
        <f t="shared" ca="1" si="1"/>
        <v>11</v>
      </c>
      <c r="H13">
        <f t="shared" ca="1" si="2"/>
        <v>0.7129158269264263</v>
      </c>
      <c r="I13">
        <f t="shared" ca="1" si="3"/>
        <v>534.42563076060185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14838</v>
      </c>
      <c r="B15" s="66">
        <v>14838</v>
      </c>
      <c r="D15">
        <f t="shared" si="0"/>
        <v>7.3837426289467795E-2</v>
      </c>
      <c r="E15">
        <f t="shared" si="0"/>
        <v>7.3837426289467795E-2</v>
      </c>
      <c r="G15">
        <f t="shared" ca="1" si="1"/>
        <v>13</v>
      </c>
      <c r="H15">
        <f t="shared" ca="1" si="2"/>
        <v>0.9598865417630813</v>
      </c>
      <c r="I15">
        <f t="shared" ca="1" si="3"/>
        <v>582.33657649402653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14570</v>
      </c>
      <c r="B18" s="66">
        <v>14570</v>
      </c>
      <c r="D18">
        <f t="shared" si="0"/>
        <v>7.2503794381826775E-2</v>
      </c>
      <c r="E18">
        <f t="shared" si="0"/>
        <v>7.2503794381826775E-2</v>
      </c>
      <c r="G18">
        <f t="shared" ca="1" si="1"/>
        <v>16</v>
      </c>
      <c r="H18">
        <f t="shared" ca="1" si="2"/>
        <v>1.1600607101092284</v>
      </c>
      <c r="I18">
        <f t="shared" ca="1" si="3"/>
        <v>533.83789708305869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19479</v>
      </c>
      <c r="B21" s="66">
        <v>19479</v>
      </c>
      <c r="D21">
        <f t="shared" si="0"/>
        <v>9.6932148988579533E-2</v>
      </c>
      <c r="E21">
        <f t="shared" si="0"/>
        <v>9.6932148988579533E-2</v>
      </c>
      <c r="G21">
        <f t="shared" ca="1" si="1"/>
        <v>19</v>
      </c>
      <c r="H21">
        <f t="shared" ca="1" si="2"/>
        <v>1.8417108307830112</v>
      </c>
      <c r="I21">
        <f t="shared" ca="1" si="3"/>
        <v>664.66879368518335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18609</v>
      </c>
      <c r="B23" s="66">
        <v>18609</v>
      </c>
      <c r="D23">
        <f t="shared" si="0"/>
        <v>9.2602821527207585E-2</v>
      </c>
      <c r="E23">
        <f t="shared" si="0"/>
        <v>9.2602821527207585E-2</v>
      </c>
      <c r="G23">
        <f t="shared" ca="1" si="1"/>
        <v>21</v>
      </c>
      <c r="H23">
        <f t="shared" ca="1" si="2"/>
        <v>1.9446592520713593</v>
      </c>
      <c r="I23">
        <f t="shared" ca="1" si="3"/>
        <v>604.68001557775938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19228</v>
      </c>
      <c r="B26" s="66">
        <v>19228</v>
      </c>
      <c r="D26">
        <f t="shared" si="0"/>
        <v>9.5683113134781422E-2</v>
      </c>
      <c r="E26">
        <f t="shared" si="0"/>
        <v>9.5683113134781422E-2</v>
      </c>
      <c r="G26">
        <f t="shared" ca="1" si="1"/>
        <v>24</v>
      </c>
      <c r="H26">
        <f t="shared" ca="1" si="2"/>
        <v>2.2963947152347544</v>
      </c>
      <c r="I26">
        <f t="shared" ca="1" si="3"/>
        <v>579.26354690273195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21276</v>
      </c>
      <c r="B28" s="66">
        <v>21276</v>
      </c>
      <c r="D28">
        <f t="shared" si="0"/>
        <v>0.10587444950362021</v>
      </c>
      <c r="E28">
        <f t="shared" si="0"/>
        <v>0.10587444950362021</v>
      </c>
      <c r="G28">
        <f t="shared" ca="1" si="1"/>
        <v>26</v>
      </c>
      <c r="H28">
        <f t="shared" ca="1" si="2"/>
        <v>2.7527356870941255</v>
      </c>
      <c r="I28">
        <f t="shared" ca="1" si="3"/>
        <v>608.43395166128983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25683</v>
      </c>
      <c r="B31" s="66">
        <v>25683</v>
      </c>
      <c r="D31">
        <f t="shared" si="0"/>
        <v>0.12780473240277673</v>
      </c>
      <c r="E31">
        <f t="shared" si="0"/>
        <v>0.12780473240277673</v>
      </c>
      <c r="G31">
        <f t="shared" ca="1" si="1"/>
        <v>29</v>
      </c>
      <c r="H31">
        <f t="shared" ca="1" si="2"/>
        <v>3.7063372396805252</v>
      </c>
      <c r="I31">
        <f t="shared" ca="1" si="3"/>
        <v>677.48083429971155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27811</v>
      </c>
      <c r="B33" s="66">
        <v>27811</v>
      </c>
      <c r="D33">
        <f t="shared" si="0"/>
        <v>0.13839416784852329</v>
      </c>
      <c r="E33">
        <f t="shared" si="0"/>
        <v>0.13839416784852329</v>
      </c>
      <c r="G33">
        <f t="shared" ca="1" si="1"/>
        <v>31</v>
      </c>
      <c r="H33">
        <f t="shared" ca="1" si="2"/>
        <v>4.2902192033042219</v>
      </c>
      <c r="I33">
        <f t="shared" ca="1" si="3"/>
        <v>693.86357637035462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38110</v>
      </c>
      <c r="B36" s="66">
        <v>38110</v>
      </c>
      <c r="D36">
        <f t="shared" si="0"/>
        <v>0.18964444776193676</v>
      </c>
      <c r="E36">
        <f t="shared" si="0"/>
        <v>0.18964444776193676</v>
      </c>
      <c r="G36">
        <f t="shared" ca="1" si="1"/>
        <v>34</v>
      </c>
      <c r="H36">
        <f t="shared" ca="1" si="2"/>
        <v>6.4479112239058498</v>
      </c>
      <c r="I36">
        <f t="shared" ca="1" si="3"/>
        <v>871.95340701007888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45441</v>
      </c>
      <c r="B39" s="66">
        <v>45441</v>
      </c>
      <c r="D39">
        <f t="shared" si="0"/>
        <v>0.22612525192207211</v>
      </c>
      <c r="E39">
        <f t="shared" si="0"/>
        <v>0.22612525192207211</v>
      </c>
      <c r="G39">
        <f t="shared" ca="1" si="1"/>
        <v>37</v>
      </c>
      <c r="H39">
        <f t="shared" ca="1" si="2"/>
        <v>8.3666343211166687</v>
      </c>
      <c r="I39">
        <f t="shared" ca="1" si="3"/>
        <v>949.72347905424931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48750</v>
      </c>
      <c r="B41" s="66">
        <v>48750</v>
      </c>
      <c r="D41">
        <f t="shared" si="0"/>
        <v>0.24259162499066955</v>
      </c>
      <c r="E41">
        <f t="shared" si="0"/>
        <v>0.24259162499066955</v>
      </c>
      <c r="G41">
        <f t="shared" ca="1" si="1"/>
        <v>39</v>
      </c>
      <c r="H41">
        <f t="shared" ca="1" si="2"/>
        <v>9.4610733746361131</v>
      </c>
      <c r="I41">
        <f t="shared" ca="1" si="3"/>
        <v>956.9655733382059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52727</v>
      </c>
      <c r="B44" s="66">
        <v>52727</v>
      </c>
      <c r="D44">
        <f t="shared" si="0"/>
        <v>0.26238212535144684</v>
      </c>
      <c r="E44">
        <f t="shared" si="0"/>
        <v>0.26238212535144684</v>
      </c>
      <c r="G44">
        <f t="shared" ca="1" si="1"/>
        <v>42</v>
      </c>
      <c r="H44">
        <f t="shared" ca="1" si="2"/>
        <v>11.020049264760766</v>
      </c>
      <c r="I44">
        <f t="shared" ca="1" si="3"/>
        <v>938.51866612162041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55827</v>
      </c>
      <c r="B46" s="66">
        <v>55827</v>
      </c>
      <c r="D46">
        <f t="shared" si="0"/>
        <v>0.27780846458162273</v>
      </c>
      <c r="E46">
        <f t="shared" si="0"/>
        <v>0.27780846458162273</v>
      </c>
      <c r="G46">
        <f t="shared" ca="1" si="1"/>
        <v>44</v>
      </c>
      <c r="H46">
        <f t="shared" ca="1" si="2"/>
        <v>12.223572441591401</v>
      </c>
      <c r="I46">
        <f t="shared" ca="1" si="3"/>
        <v>928.34869257453295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70012</v>
      </c>
      <c r="B49" s="66">
        <v>70012</v>
      </c>
      <c r="D49">
        <f t="shared" si="0"/>
        <v>0.34839640715583092</v>
      </c>
      <c r="E49">
        <f t="shared" si="0"/>
        <v>0.34839640715583092</v>
      </c>
      <c r="G49">
        <f t="shared" ca="1" si="1"/>
        <v>47</v>
      </c>
      <c r="H49">
        <f t="shared" ca="1" si="2"/>
        <v>16.374631136324055</v>
      </c>
      <c r="I49">
        <f t="shared" ca="1" si="3"/>
        <v>1046.5278353429176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73020</v>
      </c>
      <c r="B51" s="66">
        <v>73020</v>
      </c>
      <c r="D51">
        <f t="shared" si="0"/>
        <v>0.3633649324475629</v>
      </c>
      <c r="E51">
        <f t="shared" si="0"/>
        <v>0.3633649324475629</v>
      </c>
      <c r="G51">
        <f t="shared" ca="1" si="1"/>
        <v>49</v>
      </c>
      <c r="H51">
        <f t="shared" ca="1" si="2"/>
        <v>17.804881689930582</v>
      </c>
      <c r="I51">
        <f t="shared" ca="1" si="3"/>
        <v>1013.2841521887437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71008</v>
      </c>
      <c r="B54" s="66">
        <v>71008</v>
      </c>
      <c r="D54">
        <f t="shared" si="0"/>
        <v>0.35335274066333261</v>
      </c>
      <c r="E54">
        <f t="shared" si="0"/>
        <v>0.35335274066333261</v>
      </c>
      <c r="G54">
        <f t="shared" ca="1" si="1"/>
        <v>52</v>
      </c>
      <c r="H54">
        <f t="shared" ca="1" si="2"/>
        <v>18.374342514493296</v>
      </c>
      <c r="I54">
        <f t="shared" ca="1" si="3"/>
        <v>876.58653394359806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70489</v>
      </c>
      <c r="B57" s="66">
        <v>70489</v>
      </c>
      <c r="D57">
        <f t="shared" si="0"/>
        <v>0.35077007290189344</v>
      </c>
      <c r="E57">
        <f t="shared" si="0"/>
        <v>0.35077007290189344</v>
      </c>
      <c r="G57">
        <f t="shared" ca="1" si="1"/>
        <v>55</v>
      </c>
      <c r="H57">
        <f t="shared" ca="1" si="2"/>
        <v>19.292354009604139</v>
      </c>
      <c r="I57">
        <f t="shared" ca="1" si="3"/>
        <v>768.51096093517071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71276</v>
      </c>
      <c r="B59" s="66">
        <v>71276</v>
      </c>
      <c r="D59">
        <f t="shared" si="0"/>
        <v>0.35468637257097357</v>
      </c>
      <c r="E59">
        <f t="shared" si="0"/>
        <v>0.35468637257097357</v>
      </c>
      <c r="G59">
        <f t="shared" ca="1" si="1"/>
        <v>57</v>
      </c>
      <c r="H59">
        <f t="shared" ca="1" si="2"/>
        <v>20.217123236545493</v>
      </c>
      <c r="I59">
        <f t="shared" ca="1" si="3"/>
        <v>712.10235298291138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79239</v>
      </c>
      <c r="B62" s="66">
        <v>79239</v>
      </c>
      <c r="D62">
        <f t="shared" si="0"/>
        <v>0.39431215943868031</v>
      </c>
      <c r="E62">
        <f t="shared" si="0"/>
        <v>0.39431215943868031</v>
      </c>
      <c r="G62">
        <f t="shared" ca="1" si="1"/>
        <v>60</v>
      </c>
      <c r="H62">
        <f t="shared" ca="1" si="2"/>
        <v>23.658729566320819</v>
      </c>
      <c r="I62">
        <f t="shared" ca="1" si="3"/>
        <v>689.19926541654002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78568</v>
      </c>
      <c r="B64" s="66">
        <v>78568</v>
      </c>
      <c r="D64">
        <f t="shared" si="0"/>
        <v>0.39097310343111641</v>
      </c>
      <c r="E64">
        <f t="shared" si="0"/>
        <v>0.39097310343111641</v>
      </c>
      <c r="G64">
        <f t="shared" ca="1" si="1"/>
        <v>62</v>
      </c>
      <c r="H64">
        <f t="shared" ca="1" si="2"/>
        <v>24.240332412729217</v>
      </c>
      <c r="I64">
        <f t="shared" ca="1" si="3"/>
        <v>619.54483336515875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89566</v>
      </c>
      <c r="B67" s="66">
        <v>89566</v>
      </c>
      <c r="D67">
        <f t="shared" ref="D67:E130" si="4">IFERROR( A67/MAX(A$2:A$257), 0 )</f>
        <v>0.44570177402901145</v>
      </c>
      <c r="E67">
        <f t="shared" si="4"/>
        <v>0.44570177402901145</v>
      </c>
      <c r="G67">
        <f t="shared" ref="G67:G130" ca="1" si="5">CELL("row",D67)-2</f>
        <v>65</v>
      </c>
      <c r="H67">
        <f t="shared" ref="H67:H130" ca="1" si="6">D67*G67</f>
        <v>28.970615311885744</v>
      </c>
      <c r="I67">
        <f t="shared" ref="I67:I130" ca="1" si="7">D67*((G67-$L$1)^2)</f>
        <v>603.82728394271294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93220</v>
      </c>
      <c r="B69" s="66">
        <v>93220</v>
      </c>
      <c r="D69">
        <f t="shared" si="4"/>
        <v>0.46388494936677366</v>
      </c>
      <c r="E69">
        <f t="shared" si="4"/>
        <v>0.46388494936677366</v>
      </c>
      <c r="G69">
        <f t="shared" ca="1" si="5"/>
        <v>67</v>
      </c>
      <c r="H69">
        <f t="shared" ca="1" si="6"/>
        <v>31.080291607573834</v>
      </c>
      <c r="I69">
        <f t="shared" ca="1" si="7"/>
        <v>562.01955772977192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102985</v>
      </c>
      <c r="B72" s="66">
        <v>102985</v>
      </c>
      <c r="D72">
        <f t="shared" si="4"/>
        <v>0.51247791794182773</v>
      </c>
      <c r="E72">
        <f t="shared" si="4"/>
        <v>0.51247791794182773</v>
      </c>
      <c r="G72">
        <f t="shared" ca="1" si="5"/>
        <v>70</v>
      </c>
      <c r="H72">
        <f t="shared" ca="1" si="6"/>
        <v>35.873454255927939</v>
      </c>
      <c r="I72">
        <f t="shared" ca="1" si="7"/>
        <v>518.47674940774255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112569</v>
      </c>
      <c r="B75" s="66">
        <v>112569</v>
      </c>
      <c r="D75">
        <f t="shared" si="4"/>
        <v>0.56017018735537805</v>
      </c>
      <c r="E75">
        <f t="shared" si="4"/>
        <v>0.56017018735537805</v>
      </c>
      <c r="G75">
        <f t="shared" ca="1" si="5"/>
        <v>73</v>
      </c>
      <c r="H75">
        <f t="shared" ca="1" si="6"/>
        <v>40.892423676942599</v>
      </c>
      <c r="I75">
        <f t="shared" ca="1" si="7"/>
        <v>464.86374331074711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117750</v>
      </c>
      <c r="B77" s="66">
        <v>117750</v>
      </c>
      <c r="D77">
        <f t="shared" si="4"/>
        <v>0.58595207882361722</v>
      </c>
      <c r="E77">
        <f t="shared" si="4"/>
        <v>0.58595207882361722</v>
      </c>
      <c r="G77">
        <f t="shared" ca="1" si="5"/>
        <v>75</v>
      </c>
      <c r="H77">
        <f t="shared" ca="1" si="6"/>
        <v>43.946405911771294</v>
      </c>
      <c r="I77">
        <f t="shared" ca="1" si="7"/>
        <v>421.08412024658736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129268</v>
      </c>
      <c r="B80" s="66">
        <v>129268</v>
      </c>
      <c r="D80">
        <f t="shared" si="4"/>
        <v>0.64326839342141273</v>
      </c>
      <c r="E80">
        <f t="shared" si="4"/>
        <v>0.64326839342141273</v>
      </c>
      <c r="G80">
        <f t="shared" ca="1" si="5"/>
        <v>78</v>
      </c>
      <c r="H80">
        <f t="shared" ca="1" si="6"/>
        <v>50.174934686870195</v>
      </c>
      <c r="I80">
        <f t="shared" ca="1" si="7"/>
        <v>364.59708761000849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132497</v>
      </c>
      <c r="B82" s="66">
        <v>132497</v>
      </c>
      <c r="D82">
        <f t="shared" si="4"/>
        <v>0.65933666741310248</v>
      </c>
      <c r="E82">
        <f t="shared" si="4"/>
        <v>0.65933666741310248</v>
      </c>
      <c r="G82">
        <f t="shared" ca="1" si="5"/>
        <v>80</v>
      </c>
      <c r="H82">
        <f t="shared" ca="1" si="6"/>
        <v>52.746933393048195</v>
      </c>
      <c r="I82">
        <f t="shared" ca="1" si="7"/>
        <v>313.55359273605529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140712</v>
      </c>
      <c r="B85" s="66">
        <v>140712</v>
      </c>
      <c r="D85">
        <f t="shared" si="4"/>
        <v>0.70021646637306856</v>
      </c>
      <c r="E85">
        <f t="shared" si="4"/>
        <v>0.70021646637306856</v>
      </c>
      <c r="G85">
        <f t="shared" ca="1" si="5"/>
        <v>83</v>
      </c>
      <c r="H85">
        <f t="shared" ca="1" si="6"/>
        <v>58.117966708964687</v>
      </c>
      <c r="I85">
        <f t="shared" ca="1" si="7"/>
        <v>247.67724078372669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156713</v>
      </c>
      <c r="B88" s="66">
        <v>156713</v>
      </c>
      <c r="D88">
        <f t="shared" si="4"/>
        <v>0.77984125799308301</v>
      </c>
      <c r="E88">
        <f t="shared" si="4"/>
        <v>0.77984125799308301</v>
      </c>
      <c r="G88">
        <f t="shared" ca="1" si="5"/>
        <v>86</v>
      </c>
      <c r="H88">
        <f t="shared" ca="1" si="6"/>
        <v>67.06634818740514</v>
      </c>
      <c r="I88">
        <f t="shared" ca="1" si="7"/>
        <v>194.85997518331411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166566</v>
      </c>
      <c r="B90" s="66">
        <v>166566</v>
      </c>
      <c r="D90">
        <f t="shared" si="4"/>
        <v>0.82887213555273564</v>
      </c>
      <c r="E90">
        <f t="shared" si="4"/>
        <v>0.82887213555273564</v>
      </c>
      <c r="G90">
        <f t="shared" ca="1" si="5"/>
        <v>88</v>
      </c>
      <c r="H90">
        <f t="shared" ca="1" si="6"/>
        <v>72.940747928640732</v>
      </c>
      <c r="I90">
        <f t="shared" ca="1" si="7"/>
        <v>158.01788949618467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170369</v>
      </c>
      <c r="B93" s="66">
        <v>170369</v>
      </c>
      <c r="D93">
        <f t="shared" si="4"/>
        <v>0.84779677042123858</v>
      </c>
      <c r="E93">
        <f t="shared" si="4"/>
        <v>0.84779677042123858</v>
      </c>
      <c r="G93">
        <f t="shared" ca="1" si="5"/>
        <v>91</v>
      </c>
      <c r="H93">
        <f t="shared" ca="1" si="6"/>
        <v>77.149506108332716</v>
      </c>
      <c r="I93">
        <f t="shared" ca="1" si="7"/>
        <v>99.021089072755643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176026</v>
      </c>
      <c r="B95" s="66">
        <v>176026</v>
      </c>
      <c r="D95">
        <f t="shared" si="4"/>
        <v>0.87594735139707891</v>
      </c>
      <c r="E95">
        <f t="shared" si="4"/>
        <v>0.87594735139707891</v>
      </c>
      <c r="G95">
        <f t="shared" ca="1" si="5"/>
        <v>93</v>
      </c>
      <c r="H95">
        <f t="shared" ca="1" si="6"/>
        <v>81.463103679928338</v>
      </c>
      <c r="I95">
        <f t="shared" ca="1" si="7"/>
        <v>67.946244300463505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186298</v>
      </c>
      <c r="B98" s="66">
        <v>186298</v>
      </c>
      <c r="D98">
        <f t="shared" si="4"/>
        <v>0.92706327287203605</v>
      </c>
      <c r="E98">
        <f t="shared" si="4"/>
        <v>0.92706327287203605</v>
      </c>
      <c r="G98">
        <f t="shared" ca="1" si="5"/>
        <v>96</v>
      </c>
      <c r="H98">
        <f t="shared" ca="1" si="6"/>
        <v>88.998074195715461</v>
      </c>
      <c r="I98">
        <f t="shared" ca="1" si="7"/>
        <v>31.265166100390001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186902</v>
      </c>
      <c r="B100" s="66">
        <v>186902</v>
      </c>
      <c r="D100">
        <f t="shared" si="4"/>
        <v>0.93006892090268967</v>
      </c>
      <c r="E100">
        <f t="shared" si="4"/>
        <v>0.93006892090268967</v>
      </c>
      <c r="G100">
        <f t="shared" ca="1" si="5"/>
        <v>98</v>
      </c>
      <c r="H100">
        <f t="shared" ca="1" si="6"/>
        <v>91.146754248463594</v>
      </c>
      <c r="I100">
        <f t="shared" ca="1" si="7"/>
        <v>13.481979497862563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187052</v>
      </c>
      <c r="B103" s="66">
        <v>187052</v>
      </c>
      <c r="D103">
        <f t="shared" si="4"/>
        <v>0.93081535667189175</v>
      </c>
      <c r="E103">
        <f t="shared" si="4"/>
        <v>0.93081535667189175</v>
      </c>
      <c r="G103">
        <f t="shared" ca="1" si="5"/>
        <v>101</v>
      </c>
      <c r="H103">
        <f t="shared" ca="1" si="6"/>
        <v>94.012351023861072</v>
      </c>
      <c r="I103">
        <f t="shared" ca="1" si="7"/>
        <v>0.6066718958213666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194031</v>
      </c>
      <c r="B106" s="66">
        <v>194031</v>
      </c>
      <c r="D106">
        <f t="shared" si="4"/>
        <v>0.96554452489363285</v>
      </c>
      <c r="E106">
        <f t="shared" si="4"/>
        <v>0.96554452489363285</v>
      </c>
      <c r="G106">
        <f t="shared" ca="1" si="5"/>
        <v>104</v>
      </c>
      <c r="H106">
        <f t="shared" ca="1" si="6"/>
        <v>100.41663058893782</v>
      </c>
      <c r="I106">
        <f t="shared" ca="1" si="7"/>
        <v>4.6421932531582684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197069</v>
      </c>
      <c r="B108" s="66">
        <v>197069</v>
      </c>
      <c r="D108">
        <f t="shared" si="4"/>
        <v>0.98066233733920527</v>
      </c>
      <c r="E108">
        <f t="shared" si="4"/>
        <v>0.98066233733920527</v>
      </c>
      <c r="G108">
        <f t="shared" ca="1" si="5"/>
        <v>106</v>
      </c>
      <c r="H108">
        <f t="shared" ca="1" si="6"/>
        <v>103.95020775795575</v>
      </c>
      <c r="I108">
        <f t="shared" ca="1" si="7"/>
        <v>17.238645512534358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198285</v>
      </c>
      <c r="B111" s="66">
        <v>198285</v>
      </c>
      <c r="D111">
        <f t="shared" si="4"/>
        <v>0.98671344330820332</v>
      </c>
      <c r="E111">
        <f t="shared" si="4"/>
        <v>0.98671344330820332</v>
      </c>
      <c r="G111">
        <f t="shared" ca="1" si="5"/>
        <v>109</v>
      </c>
      <c r="H111">
        <f t="shared" ca="1" si="6"/>
        <v>107.55176532059416</v>
      </c>
      <c r="I111">
        <f t="shared" ca="1" si="7"/>
        <v>51.047284610185052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200955</v>
      </c>
      <c r="B113" s="66">
        <v>200955</v>
      </c>
      <c r="D113">
        <f t="shared" si="4"/>
        <v>1</v>
      </c>
      <c r="E113">
        <f t="shared" si="4"/>
        <v>1</v>
      </c>
      <c r="G113">
        <f t="shared" ca="1" si="5"/>
        <v>111</v>
      </c>
      <c r="H113">
        <f t="shared" ca="1" si="6"/>
        <v>111</v>
      </c>
      <c r="I113">
        <f t="shared" ca="1" si="7"/>
        <v>84.505384142643877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190138</v>
      </c>
      <c r="B116" s="66">
        <v>190138</v>
      </c>
      <c r="D116">
        <f t="shared" si="4"/>
        <v>0.94617202856360871</v>
      </c>
      <c r="E116">
        <f t="shared" si="4"/>
        <v>0.94617202856360871</v>
      </c>
      <c r="G116">
        <f t="shared" ca="1" si="5"/>
        <v>114</v>
      </c>
      <c r="H116">
        <f t="shared" ca="1" si="6"/>
        <v>107.86361125625139</v>
      </c>
      <c r="I116">
        <f t="shared" ca="1" si="7"/>
        <v>140.65932482811405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192021</v>
      </c>
      <c r="B118" s="66">
        <v>192021</v>
      </c>
      <c r="D118">
        <f t="shared" si="4"/>
        <v>0.95554228558632526</v>
      </c>
      <c r="E118">
        <f t="shared" si="4"/>
        <v>0.95554228558632526</v>
      </c>
      <c r="G118">
        <f t="shared" ca="1" si="5"/>
        <v>116</v>
      </c>
      <c r="H118">
        <f t="shared" ca="1" si="6"/>
        <v>110.84290512801373</v>
      </c>
      <c r="I118">
        <f t="shared" ca="1" si="7"/>
        <v>192.4769792726222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180849</v>
      </c>
      <c r="B121" s="66">
        <v>180849</v>
      </c>
      <c r="D121">
        <f t="shared" si="4"/>
        <v>0.89994774949615586</v>
      </c>
      <c r="E121">
        <f t="shared" si="4"/>
        <v>0.89994774949615586</v>
      </c>
      <c r="G121">
        <f t="shared" ca="1" si="5"/>
        <v>119</v>
      </c>
      <c r="H121">
        <f t="shared" ca="1" si="6"/>
        <v>107.09378219004255</v>
      </c>
      <c r="I121">
        <f t="shared" ca="1" si="7"/>
        <v>266.01400762877751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182881</v>
      </c>
      <c r="B124" s="66">
        <v>182881</v>
      </c>
      <c r="D124">
        <f t="shared" si="4"/>
        <v>0.91005946604961308</v>
      </c>
      <c r="E124">
        <f t="shared" si="4"/>
        <v>0.91005946604961308</v>
      </c>
      <c r="G124">
        <f t="shared" ca="1" si="5"/>
        <v>122</v>
      </c>
      <c r="H124">
        <f t="shared" ca="1" si="6"/>
        <v>111.0272548580528</v>
      </c>
      <c r="I124">
        <f t="shared" ca="1" si="7"/>
        <v>371.07162032695652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171306</v>
      </c>
      <c r="B126" s="66">
        <v>171306</v>
      </c>
      <c r="D126">
        <f t="shared" si="4"/>
        <v>0.85245950585952079</v>
      </c>
      <c r="E126">
        <f t="shared" si="4"/>
        <v>0.85245950585952079</v>
      </c>
      <c r="G126">
        <f t="shared" ca="1" si="5"/>
        <v>124</v>
      </c>
      <c r="H126">
        <f t="shared" ca="1" si="6"/>
        <v>105.70497872658058</v>
      </c>
      <c r="I126">
        <f t="shared" ca="1" si="7"/>
        <v>419.84917058218059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162156</v>
      </c>
      <c r="B129" s="66">
        <v>162156</v>
      </c>
      <c r="D129">
        <f t="shared" si="4"/>
        <v>0.8069269239381951</v>
      </c>
      <c r="E129">
        <f t="shared" si="4"/>
        <v>0.8069269239381951</v>
      </c>
      <c r="G129">
        <f t="shared" ca="1" si="5"/>
        <v>127</v>
      </c>
      <c r="H129">
        <f t="shared" ca="1" si="6"/>
        <v>102.47971934015078</v>
      </c>
      <c r="I129">
        <f t="shared" ca="1" si="7"/>
        <v>512.13326012263747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146680</v>
      </c>
      <c r="B131" s="66">
        <v>146680</v>
      </c>
      <c r="D131">
        <f t="shared" ref="D131:E194" si="8">IFERROR( A131/MAX(A$2:A$257), 0 )</f>
        <v>0.72991465751038787</v>
      </c>
      <c r="E131">
        <f t="shared" si="8"/>
        <v>0.72991465751038787</v>
      </c>
      <c r="G131">
        <f t="shared" ref="G131:G194" ca="1" si="9">CELL("row",D131)-2</f>
        <v>129</v>
      </c>
      <c r="H131">
        <f t="shared" ref="H131:H194" ca="1" si="10">D131*G131</f>
        <v>94.158990818840039</v>
      </c>
      <c r="I131">
        <f t="shared" ref="I131:I194" ca="1" si="11">D131*((G131-$L$1)^2)</f>
        <v>539.72948154139635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135374</v>
      </c>
      <c r="B134" s="66">
        <v>135374</v>
      </c>
      <c r="D134">
        <f t="shared" si="8"/>
        <v>0.6736533054663979</v>
      </c>
      <c r="E134">
        <f t="shared" si="8"/>
        <v>0.6736533054663979</v>
      </c>
      <c r="G134">
        <f t="shared" ca="1" si="9"/>
        <v>132</v>
      </c>
      <c r="H134">
        <f t="shared" ca="1" si="10"/>
        <v>88.922236321564526</v>
      </c>
      <c r="I134">
        <f t="shared" ca="1" si="11"/>
        <v>614.10099689063293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127162</v>
      </c>
      <c r="B136" s="66">
        <v>127162</v>
      </c>
      <c r="D136">
        <f t="shared" si="8"/>
        <v>0.63278843522181583</v>
      </c>
      <c r="E136">
        <f t="shared" si="8"/>
        <v>0.63278843522181583</v>
      </c>
      <c r="G136">
        <f t="shared" ca="1" si="9"/>
        <v>134</v>
      </c>
      <c r="H136">
        <f t="shared" ca="1" si="10"/>
        <v>84.793650319723326</v>
      </c>
      <c r="I136">
        <f t="shared" ca="1" si="11"/>
        <v>655.80213468089516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117233</v>
      </c>
      <c r="B139" s="66">
        <v>117233</v>
      </c>
      <c r="D139">
        <f t="shared" si="8"/>
        <v>0.5833793635391008</v>
      </c>
      <c r="E139">
        <f t="shared" si="8"/>
        <v>0.5833793635391008</v>
      </c>
      <c r="G139">
        <f t="shared" ca="1" si="9"/>
        <v>137</v>
      </c>
      <c r="H139">
        <f t="shared" ca="1" si="10"/>
        <v>79.922972804856812</v>
      </c>
      <c r="I139">
        <f t="shared" ca="1" si="11"/>
        <v>722.52980758964566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104070</v>
      </c>
      <c r="B142" s="66">
        <v>104070</v>
      </c>
      <c r="D142">
        <f t="shared" si="8"/>
        <v>0.51787713667238933</v>
      </c>
      <c r="E142">
        <f t="shared" si="8"/>
        <v>0.51787713667238933</v>
      </c>
      <c r="G142">
        <f t="shared" ca="1" si="9"/>
        <v>140</v>
      </c>
      <c r="H142">
        <f t="shared" ca="1" si="10"/>
        <v>72.502799134134506</v>
      </c>
      <c r="I142">
        <f t="shared" ca="1" si="11"/>
        <v>755.41747884850031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99156</v>
      </c>
      <c r="B144" s="66">
        <v>99156</v>
      </c>
      <c r="D144">
        <f t="shared" si="8"/>
        <v>0.49342390087332982</v>
      </c>
      <c r="E144">
        <f t="shared" si="8"/>
        <v>0.49342390087332982</v>
      </c>
      <c r="G144">
        <f t="shared" ca="1" si="9"/>
        <v>142</v>
      </c>
      <c r="H144">
        <f t="shared" ca="1" si="10"/>
        <v>70.066193924012836</v>
      </c>
      <c r="I144">
        <f t="shared" ca="1" si="11"/>
        <v>797.10243346598531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90593</v>
      </c>
      <c r="B147" s="66">
        <v>90593</v>
      </c>
      <c r="D147">
        <f t="shared" si="8"/>
        <v>0.45081237092881493</v>
      </c>
      <c r="E147">
        <f t="shared" si="8"/>
        <v>0.45081237092881493</v>
      </c>
      <c r="G147">
        <f t="shared" ca="1" si="9"/>
        <v>145</v>
      </c>
      <c r="H147">
        <f t="shared" ca="1" si="10"/>
        <v>65.36779378467817</v>
      </c>
      <c r="I147">
        <f t="shared" ca="1" si="11"/>
        <v>841.03902720945473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83660</v>
      </c>
      <c r="B149" s="66">
        <v>83660</v>
      </c>
      <c r="D149">
        <f t="shared" si="8"/>
        <v>0.41631210967629567</v>
      </c>
      <c r="E149">
        <f t="shared" si="8"/>
        <v>0.41631210967629567</v>
      </c>
      <c r="G149">
        <f t="shared" ca="1" si="9"/>
        <v>147</v>
      </c>
      <c r="H149">
        <f t="shared" ca="1" si="10"/>
        <v>61.197880122415462</v>
      </c>
      <c r="I149">
        <f t="shared" ca="1" si="11"/>
        <v>850.26686746679479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76366</v>
      </c>
      <c r="B152" s="66">
        <v>76366</v>
      </c>
      <c r="D152">
        <f t="shared" si="8"/>
        <v>0.38001542633923019</v>
      </c>
      <c r="E152">
        <f t="shared" si="8"/>
        <v>0.38001542633923019</v>
      </c>
      <c r="G152">
        <f t="shared" ca="1" si="9"/>
        <v>150</v>
      </c>
      <c r="H152">
        <f t="shared" ca="1" si="10"/>
        <v>57.002313950884528</v>
      </c>
      <c r="I152">
        <f t="shared" ca="1" si="11"/>
        <v>882.59893930125781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65783</v>
      </c>
      <c r="B154" s="66">
        <v>65783</v>
      </c>
      <c r="D154">
        <f t="shared" si="8"/>
        <v>0.32735189470279413</v>
      </c>
      <c r="E154">
        <f t="shared" si="8"/>
        <v>0.32735189470279413</v>
      </c>
      <c r="G154">
        <f t="shared" ca="1" si="9"/>
        <v>152</v>
      </c>
      <c r="H154">
        <f t="shared" ca="1" si="10"/>
        <v>49.757487994824707</v>
      </c>
      <c r="I154">
        <f t="shared" ca="1" si="11"/>
        <v>824.69933936777682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60234</v>
      </c>
      <c r="B157" s="66">
        <v>60234</v>
      </c>
      <c r="D157">
        <f t="shared" si="8"/>
        <v>0.29973874748077928</v>
      </c>
      <c r="E157">
        <f t="shared" si="8"/>
        <v>0.29973874748077928</v>
      </c>
      <c r="G157">
        <f t="shared" ca="1" si="9"/>
        <v>155</v>
      </c>
      <c r="H157">
        <f t="shared" ca="1" si="10"/>
        <v>46.459505859520789</v>
      </c>
      <c r="I157">
        <f t="shared" ca="1" si="11"/>
        <v>848.09918999785839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55394</v>
      </c>
      <c r="B160" s="66">
        <v>55394</v>
      </c>
      <c r="D160">
        <f t="shared" si="8"/>
        <v>0.27565375332785946</v>
      </c>
      <c r="E160">
        <f t="shared" si="8"/>
        <v>0.27565375332785946</v>
      </c>
      <c r="G160">
        <f t="shared" ca="1" si="9"/>
        <v>158</v>
      </c>
      <c r="H160">
        <f t="shared" ca="1" si="10"/>
        <v>43.553293025801793</v>
      </c>
      <c r="I160">
        <f t="shared" ca="1" si="11"/>
        <v>870.40908761784146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52438</v>
      </c>
      <c r="B162" s="66">
        <v>52438</v>
      </c>
      <c r="D162">
        <f t="shared" si="8"/>
        <v>0.26094399243611754</v>
      </c>
      <c r="E162">
        <f t="shared" si="8"/>
        <v>0.26094399243611754</v>
      </c>
      <c r="G162">
        <f t="shared" ca="1" si="9"/>
        <v>160</v>
      </c>
      <c r="H162">
        <f t="shared" ca="1" si="10"/>
        <v>41.751038789778804</v>
      </c>
      <c r="I162">
        <f t="shared" ca="1" si="11"/>
        <v>883.65763677339601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45007</v>
      </c>
      <c r="B165" s="66">
        <v>45007</v>
      </c>
      <c r="D165">
        <f t="shared" si="8"/>
        <v>0.22396556442984747</v>
      </c>
      <c r="E165">
        <f t="shared" si="8"/>
        <v>0.22396556442984747</v>
      </c>
      <c r="G165">
        <f t="shared" ca="1" si="9"/>
        <v>163</v>
      </c>
      <c r="H165">
        <f t="shared" ca="1" si="10"/>
        <v>36.506387002065139</v>
      </c>
      <c r="I165">
        <f t="shared" ca="1" si="11"/>
        <v>838.64895733074263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33832</v>
      </c>
      <c r="B167" s="66">
        <v>33832</v>
      </c>
      <c r="D167">
        <f t="shared" si="8"/>
        <v>0.16835609962429399</v>
      </c>
      <c r="E167">
        <f t="shared" si="8"/>
        <v>0.16835609962429399</v>
      </c>
      <c r="G167">
        <f t="shared" ca="1" si="9"/>
        <v>165</v>
      </c>
      <c r="H167">
        <f t="shared" ca="1" si="10"/>
        <v>27.778756438008507</v>
      </c>
      <c r="I167">
        <f t="shared" ca="1" si="11"/>
        <v>672.2989267199406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31141</v>
      </c>
      <c r="B170" s="66">
        <v>31141</v>
      </c>
      <c r="D170">
        <f t="shared" si="8"/>
        <v>0.15496504192480903</v>
      </c>
      <c r="E170">
        <f t="shared" si="8"/>
        <v>0.15496504192480903</v>
      </c>
      <c r="G170">
        <f t="shared" ca="1" si="9"/>
        <v>168</v>
      </c>
      <c r="H170">
        <f t="shared" ca="1" si="10"/>
        <v>26.034127043367917</v>
      </c>
      <c r="I170">
        <f t="shared" ca="1" si="11"/>
        <v>678.974840186851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26207</v>
      </c>
      <c r="B173" s="66">
        <v>26207</v>
      </c>
      <c r="D173">
        <f t="shared" si="8"/>
        <v>0.13041228135652261</v>
      </c>
      <c r="E173">
        <f t="shared" si="8"/>
        <v>0.13041228135652261</v>
      </c>
      <c r="G173">
        <f t="shared" ca="1" si="9"/>
        <v>171</v>
      </c>
      <c r="H173">
        <f t="shared" ca="1" si="10"/>
        <v>22.300500111965366</v>
      </c>
      <c r="I173">
        <f t="shared" ca="1" si="11"/>
        <v>624.36537308442291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24608</v>
      </c>
      <c r="B175" s="66">
        <v>24608</v>
      </c>
      <c r="D175">
        <f t="shared" si="8"/>
        <v>0.12245527605682864</v>
      </c>
      <c r="E175">
        <f t="shared" si="8"/>
        <v>0.12245527605682864</v>
      </c>
      <c r="G175">
        <f t="shared" ca="1" si="9"/>
        <v>173</v>
      </c>
      <c r="H175">
        <f t="shared" ca="1" si="10"/>
        <v>21.184762757831354</v>
      </c>
      <c r="I175">
        <f t="shared" ca="1" si="11"/>
        <v>620.65205535547375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21550</v>
      </c>
      <c r="B178" s="66">
        <v>21550</v>
      </c>
      <c r="D178">
        <f t="shared" si="8"/>
        <v>0.10723793884202931</v>
      </c>
      <c r="E178">
        <f t="shared" si="8"/>
        <v>0.10723793884202931</v>
      </c>
      <c r="G178">
        <f t="shared" ca="1" si="9"/>
        <v>176</v>
      </c>
      <c r="H178">
        <f t="shared" ca="1" si="10"/>
        <v>18.87387723619716</v>
      </c>
      <c r="I178">
        <f t="shared" ca="1" si="11"/>
        <v>590.2970161300891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19740</v>
      </c>
      <c r="B180" s="66">
        <v>19740</v>
      </c>
      <c r="D180">
        <f t="shared" si="8"/>
        <v>9.8230947226991119E-2</v>
      </c>
      <c r="E180">
        <f t="shared" si="8"/>
        <v>9.8230947226991119E-2</v>
      </c>
      <c r="G180">
        <f t="shared" ca="1" si="9"/>
        <v>178</v>
      </c>
      <c r="H180">
        <f t="shared" ca="1" si="10"/>
        <v>17.48510860640442</v>
      </c>
      <c r="I180">
        <f t="shared" ca="1" si="11"/>
        <v>570.2625382901482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11971</v>
      </c>
      <c r="B183" s="66">
        <v>11971</v>
      </c>
      <c r="D183">
        <f t="shared" si="8"/>
        <v>5.9570550620785749E-2</v>
      </c>
      <c r="E183">
        <f t="shared" si="8"/>
        <v>5.9570550620785749E-2</v>
      </c>
      <c r="G183">
        <f t="shared" ca="1" si="9"/>
        <v>181</v>
      </c>
      <c r="H183">
        <f t="shared" ca="1" si="10"/>
        <v>10.782269662362221</v>
      </c>
      <c r="I183">
        <f t="shared" ca="1" si="11"/>
        <v>373.59556002415093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8911</v>
      </c>
      <c r="B185" s="66">
        <v>8911</v>
      </c>
      <c r="D185">
        <f t="shared" si="8"/>
        <v>4.4343260929063724E-2</v>
      </c>
      <c r="E185">
        <f t="shared" si="8"/>
        <v>4.4343260929063724E-2</v>
      </c>
      <c r="G185">
        <f t="shared" ca="1" si="9"/>
        <v>183</v>
      </c>
      <c r="H185">
        <f t="shared" ca="1" si="10"/>
        <v>8.1148167500186617</v>
      </c>
      <c r="I185">
        <f t="shared" ca="1" si="11"/>
        <v>292.32192613572613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4626</v>
      </c>
      <c r="B188" s="66">
        <v>4626</v>
      </c>
      <c r="D188">
        <f t="shared" si="8"/>
        <v>2.3020079122191537E-2</v>
      </c>
      <c r="E188">
        <f t="shared" si="8"/>
        <v>2.3020079122191537E-2</v>
      </c>
      <c r="G188">
        <f t="shared" ca="1" si="9"/>
        <v>186</v>
      </c>
      <c r="H188">
        <f t="shared" ca="1" si="10"/>
        <v>4.2817347167276258</v>
      </c>
      <c r="I188">
        <f t="shared" ca="1" si="11"/>
        <v>163.17570231914758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3495</v>
      </c>
      <c r="B191" s="66">
        <v>3495</v>
      </c>
      <c r="D191">
        <f t="shared" si="8"/>
        <v>1.7391953422408003E-2</v>
      </c>
      <c r="E191">
        <f t="shared" si="8"/>
        <v>1.7391953422408003E-2</v>
      </c>
      <c r="G191">
        <f t="shared" ca="1" si="9"/>
        <v>189</v>
      </c>
      <c r="H191">
        <f t="shared" ca="1" si="10"/>
        <v>3.2870791968351125</v>
      </c>
      <c r="I191">
        <f t="shared" ca="1" si="11"/>
        <v>132.22343239822206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3719</v>
      </c>
      <c r="B193" s="66">
        <v>3719</v>
      </c>
      <c r="D193">
        <f t="shared" si="8"/>
        <v>1.8506630837749744E-2</v>
      </c>
      <c r="E193">
        <f t="shared" si="8"/>
        <v>1.8506630837749744E-2</v>
      </c>
      <c r="G193">
        <f t="shared" ca="1" si="9"/>
        <v>191</v>
      </c>
      <c r="H193">
        <f t="shared" ca="1" si="10"/>
        <v>3.5347664900102012</v>
      </c>
      <c r="I193">
        <f t="shared" ca="1" si="11"/>
        <v>147.22643592608571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2071</v>
      </c>
      <c r="B196" s="66">
        <v>2071</v>
      </c>
      <c r="D196">
        <f t="shared" si="12"/>
        <v>1.0305789853449777E-2</v>
      </c>
      <c r="E196">
        <f t="shared" si="12"/>
        <v>1.0305789853449777E-2</v>
      </c>
      <c r="G196">
        <f t="shared" ca="1" si="13"/>
        <v>194</v>
      </c>
      <c r="H196">
        <f t="shared" ca="1" si="14"/>
        <v>1.9993232315692568</v>
      </c>
      <c r="I196">
        <f t="shared" ca="1" si="15"/>
        <v>87.593962250730428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1829</v>
      </c>
      <c r="B198" s="66">
        <v>1829</v>
      </c>
      <c r="D198">
        <f t="shared" si="12"/>
        <v>9.1015401458037874E-3</v>
      </c>
      <c r="E198">
        <f t="shared" si="12"/>
        <v>9.1015401458037874E-3</v>
      </c>
      <c r="G198">
        <f t="shared" ca="1" si="13"/>
        <v>196</v>
      </c>
      <c r="H198">
        <f t="shared" ca="1" si="14"/>
        <v>1.7839018685775423</v>
      </c>
      <c r="I198">
        <f t="shared" ca="1" si="15"/>
        <v>80.751241093202381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671</v>
      </c>
      <c r="B201" s="66">
        <v>671</v>
      </c>
      <c r="D201">
        <f t="shared" si="12"/>
        <v>3.3390560075638826E-3</v>
      </c>
      <c r="E201">
        <f t="shared" si="12"/>
        <v>3.3390560075638826E-3</v>
      </c>
      <c r="G201">
        <f t="shared" ca="1" si="13"/>
        <v>199</v>
      </c>
      <c r="H201">
        <f t="shared" ca="1" si="14"/>
        <v>0.66447214550521261</v>
      </c>
      <c r="I201">
        <f t="shared" ca="1" si="15"/>
        <v>31.542116241243324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357</v>
      </c>
      <c r="B203" s="66">
        <v>357</v>
      </c>
      <c r="D203">
        <f t="shared" si="12"/>
        <v>1.7765171307009033E-3</v>
      </c>
      <c r="E203">
        <f t="shared" si="12"/>
        <v>1.7765171307009033E-3</v>
      </c>
      <c r="G203">
        <f t="shared" ca="1" si="13"/>
        <v>201</v>
      </c>
      <c r="H203">
        <f t="shared" ca="1" si="14"/>
        <v>0.35707994327088155</v>
      </c>
      <c r="I203">
        <f t="shared" ca="1" si="15"/>
        <v>17.479485973527257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90</v>
      </c>
      <c r="B206" s="66">
        <v>90</v>
      </c>
      <c r="D206">
        <f t="shared" si="12"/>
        <v>4.4786146152123608E-4</v>
      </c>
      <c r="E206">
        <f t="shared" si="12"/>
        <v>4.4786146152123608E-4</v>
      </c>
      <c r="G206">
        <f t="shared" ca="1" si="13"/>
        <v>204</v>
      </c>
      <c r="H206">
        <f t="shared" ca="1" si="14"/>
        <v>9.1363738150332163E-2</v>
      </c>
      <c r="I206">
        <f t="shared" ca="1" si="15"/>
        <v>4.677171330258366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350</v>
      </c>
      <c r="B1" s="66" t="s">
        <v>351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101.86661900584555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1.9667887477630197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0.76301510836264252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4107</v>
      </c>
      <c r="B8" s="66">
        <v>4107</v>
      </c>
      <c r="D8">
        <f t="shared" si="0"/>
        <v>5.2430010340469533</v>
      </c>
      <c r="E8">
        <f t="shared" si="1"/>
        <v>5.2430010340469533</v>
      </c>
      <c r="G8">
        <f t="shared" ca="1" si="2"/>
        <v>6</v>
      </c>
      <c r="H8">
        <f t="shared" ca="1" si="3"/>
        <v>31.45800620428172</v>
      </c>
      <c r="I8">
        <f t="shared" ca="1" si="4"/>
        <v>48185.32200079949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4082</v>
      </c>
      <c r="B10" s="66">
        <v>4082</v>
      </c>
      <c r="D10">
        <f t="shared" si="0"/>
        <v>5.2110860046212961</v>
      </c>
      <c r="E10">
        <f t="shared" si="1"/>
        <v>5.2110860046212961</v>
      </c>
      <c r="G10">
        <f t="shared" ca="1" si="2"/>
        <v>8</v>
      </c>
      <c r="H10">
        <f t="shared" ca="1" si="3"/>
        <v>41.688688036970369</v>
      </c>
      <c r="I10">
        <f t="shared" ca="1" si="4"/>
        <v>45914.577396204055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9169</v>
      </c>
      <c r="B13" s="66">
        <v>9169</v>
      </c>
      <c r="D13">
        <f t="shared" si="0"/>
        <v>11.705156192154009</v>
      </c>
      <c r="E13">
        <f t="shared" si="1"/>
        <v>11.705156192154009</v>
      </c>
      <c r="G13">
        <f t="shared" ca="1" si="2"/>
        <v>11</v>
      </c>
      <c r="H13">
        <f t="shared" ca="1" si="3"/>
        <v>128.75671811369409</v>
      </c>
      <c r="I13">
        <f t="shared" ca="1" si="4"/>
        <v>96646.460010411916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12086</v>
      </c>
      <c r="B15" s="66">
        <v>12086</v>
      </c>
      <c r="D15">
        <f t="shared" si="0"/>
        <v>15.429001825539682</v>
      </c>
      <c r="E15">
        <f t="shared" si="1"/>
        <v>15.429001825539682</v>
      </c>
      <c r="G15">
        <f t="shared" ca="1" si="2"/>
        <v>13</v>
      </c>
      <c r="H15">
        <f t="shared" ca="1" si="3"/>
        <v>200.57702373201587</v>
      </c>
      <c r="I15">
        <f t="shared" ca="1" si="4"/>
        <v>121847.08541238673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10984</v>
      </c>
      <c r="B18" s="66">
        <v>10984</v>
      </c>
      <c r="D18">
        <f t="shared" si="0"/>
        <v>14.022187328456717</v>
      </c>
      <c r="E18">
        <f t="shared" si="1"/>
        <v>14.022187328456717</v>
      </c>
      <c r="G18">
        <f t="shared" ca="1" si="2"/>
        <v>16</v>
      </c>
      <c r="H18">
        <f t="shared" ca="1" si="3"/>
        <v>224.35499725530747</v>
      </c>
      <c r="I18">
        <f t="shared" ca="1" si="4"/>
        <v>103386.65649763634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16433</v>
      </c>
      <c r="B21" s="66">
        <v>16433</v>
      </c>
      <c r="D21">
        <f t="shared" si="0"/>
        <v>20.978387142072943</v>
      </c>
      <c r="E21">
        <f t="shared" si="1"/>
        <v>20.978387142072943</v>
      </c>
      <c r="G21">
        <f t="shared" ca="1" si="2"/>
        <v>19</v>
      </c>
      <c r="H21">
        <f t="shared" ca="1" si="3"/>
        <v>398.58935569938592</v>
      </c>
      <c r="I21">
        <f t="shared" ca="1" si="4"/>
        <v>144055.99462747955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14107</v>
      </c>
      <c r="B23" s="66">
        <v>14107</v>
      </c>
      <c r="D23">
        <f t="shared" si="0"/>
        <v>18.009012804309805</v>
      </c>
      <c r="E23">
        <f t="shared" si="1"/>
        <v>18.009012804309805</v>
      </c>
      <c r="G23">
        <f t="shared" ca="1" si="2"/>
        <v>21</v>
      </c>
      <c r="H23">
        <f t="shared" ca="1" si="3"/>
        <v>378.1892688905059</v>
      </c>
      <c r="I23">
        <f t="shared" ca="1" si="4"/>
        <v>117768.31967311585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13704</v>
      </c>
      <c r="B26" s="66">
        <v>13704</v>
      </c>
      <c r="D26">
        <f t="shared" si="0"/>
        <v>17.494542529968214</v>
      </c>
      <c r="E26">
        <f t="shared" si="1"/>
        <v>17.494542529968214</v>
      </c>
      <c r="G26">
        <f t="shared" ca="1" si="2"/>
        <v>24</v>
      </c>
      <c r="H26">
        <f t="shared" ca="1" si="3"/>
        <v>419.86902071923714</v>
      </c>
      <c r="I26">
        <f t="shared" ca="1" si="4"/>
        <v>106073.09143071536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13067</v>
      </c>
      <c r="B28" s="66">
        <v>13067</v>
      </c>
      <c r="D28">
        <f t="shared" si="0"/>
        <v>16.68134758020247</v>
      </c>
      <c r="E28">
        <f t="shared" si="1"/>
        <v>16.68134758020247</v>
      </c>
      <c r="G28">
        <f t="shared" ca="1" si="2"/>
        <v>26</v>
      </c>
      <c r="H28">
        <f t="shared" ca="1" si="3"/>
        <v>433.71503708526421</v>
      </c>
      <c r="I28">
        <f t="shared" ca="1" si="4"/>
        <v>96013.564234529462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15203</v>
      </c>
      <c r="B31" s="66">
        <v>15203</v>
      </c>
      <c r="D31">
        <f t="shared" si="0"/>
        <v>19.408167694330615</v>
      </c>
      <c r="E31">
        <f t="shared" si="1"/>
        <v>19.408167694330615</v>
      </c>
      <c r="G31">
        <f t="shared" ca="1" si="2"/>
        <v>29</v>
      </c>
      <c r="H31">
        <f t="shared" ca="1" si="3"/>
        <v>562.83686313558781</v>
      </c>
      <c r="I31">
        <f t="shared" ca="1" si="4"/>
        <v>103048.52354143263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16633</v>
      </c>
      <c r="B33" s="66">
        <v>16633</v>
      </c>
      <c r="D33">
        <f t="shared" si="0"/>
        <v>21.233707377478201</v>
      </c>
      <c r="E33">
        <f t="shared" si="1"/>
        <v>21.233707377478201</v>
      </c>
      <c r="G33">
        <f t="shared" ca="1" si="2"/>
        <v>31</v>
      </c>
      <c r="H33">
        <f t="shared" ca="1" si="3"/>
        <v>658.24492870182416</v>
      </c>
      <c r="I33">
        <f t="shared" ca="1" si="4"/>
        <v>106637.32808197575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21623</v>
      </c>
      <c r="B36" s="66">
        <v>21623</v>
      </c>
      <c r="D36">
        <f t="shared" si="0"/>
        <v>27.603947250839365</v>
      </c>
      <c r="E36">
        <f t="shared" si="1"/>
        <v>27.603947250839365</v>
      </c>
      <c r="G36">
        <f t="shared" ca="1" si="2"/>
        <v>34</v>
      </c>
      <c r="H36">
        <f t="shared" ca="1" si="3"/>
        <v>938.53420652853845</v>
      </c>
      <c r="I36">
        <f t="shared" ca="1" si="4"/>
        <v>127140.41267355882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28091</v>
      </c>
      <c r="B39" s="66">
        <v>28091</v>
      </c>
      <c r="D39">
        <f t="shared" si="0"/>
        <v>35.861003663845381</v>
      </c>
      <c r="E39">
        <f t="shared" si="1"/>
        <v>35.861003663845381</v>
      </c>
      <c r="G39">
        <f t="shared" ca="1" si="2"/>
        <v>37</v>
      </c>
      <c r="H39">
        <f t="shared" ca="1" si="3"/>
        <v>1326.8571355622792</v>
      </c>
      <c r="I39">
        <f t="shared" ca="1" si="4"/>
        <v>150891.56554295172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30249</v>
      </c>
      <c r="B41" s="66">
        <v>30249</v>
      </c>
      <c r="D41">
        <f t="shared" si="0"/>
        <v>38.615909003868104</v>
      </c>
      <c r="E41">
        <f t="shared" si="1"/>
        <v>38.615909003868104</v>
      </c>
      <c r="G41">
        <f t="shared" ca="1" si="2"/>
        <v>39</v>
      </c>
      <c r="H41">
        <f t="shared" ca="1" si="3"/>
        <v>1506.0204511508562</v>
      </c>
      <c r="I41">
        <f t="shared" ca="1" si="4"/>
        <v>152618.25066230778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30963</v>
      </c>
      <c r="B44" s="66">
        <v>30963</v>
      </c>
      <c r="D44">
        <f t="shared" si="0"/>
        <v>39.52740224426487</v>
      </c>
      <c r="E44">
        <f t="shared" si="1"/>
        <v>39.52740224426487</v>
      </c>
      <c r="G44">
        <f t="shared" ca="1" si="2"/>
        <v>42</v>
      </c>
      <c r="H44">
        <f t="shared" ca="1" si="3"/>
        <v>1660.1508942591245</v>
      </c>
      <c r="I44">
        <f t="shared" ca="1" si="4"/>
        <v>141666.68678627021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33374</v>
      </c>
      <c r="B46" s="66">
        <v>33374</v>
      </c>
      <c r="D46">
        <f t="shared" si="0"/>
        <v>42.605287682075243</v>
      </c>
      <c r="E46">
        <f t="shared" si="1"/>
        <v>42.605287682075243</v>
      </c>
      <c r="G46">
        <f t="shared" ca="1" si="2"/>
        <v>44</v>
      </c>
      <c r="H46">
        <f t="shared" ca="1" si="3"/>
        <v>1874.6326580113107</v>
      </c>
      <c r="I46">
        <f t="shared" ca="1" si="4"/>
        <v>142665.74839866511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44269</v>
      </c>
      <c r="B49" s="66">
        <v>44269</v>
      </c>
      <c r="D49">
        <f t="shared" si="0"/>
        <v>56.51385750577662</v>
      </c>
      <c r="E49">
        <f t="shared" si="1"/>
        <v>56.51385750577662</v>
      </c>
      <c r="G49">
        <f t="shared" ca="1" si="2"/>
        <v>47</v>
      </c>
      <c r="H49">
        <f t="shared" ca="1" si="3"/>
        <v>2656.1513027715014</v>
      </c>
      <c r="I49">
        <f t="shared" ca="1" si="4"/>
        <v>170126.25816943002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44659</v>
      </c>
      <c r="B51" s="66">
        <v>44659</v>
      </c>
      <c r="D51">
        <f t="shared" si="0"/>
        <v>57.011731964816875</v>
      </c>
      <c r="E51">
        <f t="shared" si="1"/>
        <v>57.011731964816875</v>
      </c>
      <c r="G51">
        <f t="shared" ca="1" si="2"/>
        <v>49</v>
      </c>
      <c r="H51">
        <f t="shared" ca="1" si="3"/>
        <v>2793.574866276027</v>
      </c>
      <c r="I51">
        <f t="shared" ca="1" si="4"/>
        <v>159340.91551807427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45800</v>
      </c>
      <c r="B54" s="66">
        <v>45800</v>
      </c>
      <c r="D54">
        <f t="shared" si="0"/>
        <v>58.46833390780386</v>
      </c>
      <c r="E54">
        <f t="shared" si="1"/>
        <v>58.46833390780386</v>
      </c>
      <c r="G54">
        <f t="shared" ca="1" si="2"/>
        <v>52</v>
      </c>
      <c r="H54">
        <f t="shared" ca="1" si="3"/>
        <v>3040.3533632058006</v>
      </c>
      <c r="I54">
        <f t="shared" ca="1" si="4"/>
        <v>145392.01849947835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42671</v>
      </c>
      <c r="B57" s="66">
        <v>42671</v>
      </c>
      <c r="D57">
        <f t="shared" si="0"/>
        <v>54.47384882488862</v>
      </c>
      <c r="E57">
        <f t="shared" si="1"/>
        <v>54.47384882488862</v>
      </c>
      <c r="G57">
        <f t="shared" ca="1" si="2"/>
        <v>55</v>
      </c>
      <c r="H57">
        <f t="shared" ca="1" si="3"/>
        <v>2996.0616853688739</v>
      </c>
      <c r="I57">
        <f t="shared" ca="1" si="4"/>
        <v>119650.71821612185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42742</v>
      </c>
      <c r="B59" s="66">
        <v>42742</v>
      </c>
      <c r="D59">
        <f t="shared" si="0"/>
        <v>54.564487508457482</v>
      </c>
      <c r="E59">
        <f t="shared" si="1"/>
        <v>54.564487508457482</v>
      </c>
      <c r="G59">
        <f t="shared" ca="1" si="2"/>
        <v>57</v>
      </c>
      <c r="H59">
        <f t="shared" ca="1" si="3"/>
        <v>3110.1757879820766</v>
      </c>
      <c r="I59">
        <f t="shared" ca="1" si="4"/>
        <v>109839.05003052749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50215</v>
      </c>
      <c r="B62" s="66">
        <v>50215</v>
      </c>
      <c r="D62">
        <f t="shared" si="0"/>
        <v>64.104528104374907</v>
      </c>
      <c r="E62">
        <f t="shared" si="1"/>
        <v>64.104528104374907</v>
      </c>
      <c r="G62">
        <f t="shared" ca="1" si="2"/>
        <v>60</v>
      </c>
      <c r="H62">
        <f t="shared" ca="1" si="3"/>
        <v>3846.2716862624943</v>
      </c>
      <c r="I62">
        <f t="shared" ca="1" si="4"/>
        <v>112363.30066923547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49762</v>
      </c>
      <c r="B64" s="66">
        <v>49762</v>
      </c>
      <c r="D64">
        <f t="shared" si="0"/>
        <v>63.526227771182008</v>
      </c>
      <c r="E64">
        <f t="shared" si="1"/>
        <v>63.526227771182008</v>
      </c>
      <c r="G64">
        <f t="shared" ca="1" si="2"/>
        <v>62</v>
      </c>
      <c r="H64">
        <f t="shared" ca="1" si="3"/>
        <v>3938.6261218132845</v>
      </c>
      <c r="I64">
        <f t="shared" ca="1" si="4"/>
        <v>100965.23928338561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57443</v>
      </c>
      <c r="B67" s="66">
        <v>57443</v>
      </c>
      <c r="D67">
        <f t="shared" ref="D67:D130" si="5">IFERROR( 100*A67/MAX(A$2:A$257), 0 )</f>
        <v>73.331801411920907</v>
      </c>
      <c r="E67">
        <f t="shared" ref="E67:E130" si="6">IFERROR( 100*B67/MAX(B$2:B$257), 0 )</f>
        <v>73.331801411920907</v>
      </c>
      <c r="G67">
        <f t="shared" ref="G67:G130" ca="1" si="7">CELL("row",D67)-2</f>
        <v>65</v>
      </c>
      <c r="H67">
        <f t="shared" ref="H67:H130" ca="1" si="8">D67*G67</f>
        <v>4766.5670917748594</v>
      </c>
      <c r="I67">
        <f t="shared" ref="I67:I130" ca="1" si="9">D67*((G67-$L$1)^2)</f>
        <v>99668.741666986272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57364</v>
      </c>
      <c r="B69" s="66">
        <v>57364</v>
      </c>
      <c r="D69">
        <f t="shared" si="5"/>
        <v>73.230949918935821</v>
      </c>
      <c r="E69">
        <f t="shared" si="6"/>
        <v>73.230949918935821</v>
      </c>
      <c r="G69">
        <f t="shared" ca="1" si="7"/>
        <v>67</v>
      </c>
      <c r="H69">
        <f t="shared" ca="1" si="8"/>
        <v>4906.4736445687004</v>
      </c>
      <c r="I69">
        <f t="shared" ca="1" si="9"/>
        <v>89025.48328193507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56044</v>
      </c>
      <c r="B72" s="66">
        <v>56044</v>
      </c>
      <c r="D72">
        <f t="shared" si="5"/>
        <v>71.545836365261124</v>
      </c>
      <c r="E72">
        <f t="shared" si="6"/>
        <v>71.545836365261124</v>
      </c>
      <c r="G72">
        <f t="shared" ca="1" si="7"/>
        <v>70</v>
      </c>
      <c r="H72">
        <f t="shared" ca="1" si="8"/>
        <v>5008.2085455682791</v>
      </c>
      <c r="I72">
        <f t="shared" ca="1" si="9"/>
        <v>72653.466567436641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57393</v>
      </c>
      <c r="B75" s="66">
        <v>57393</v>
      </c>
      <c r="D75">
        <f t="shared" si="5"/>
        <v>73.267971353069584</v>
      </c>
      <c r="E75">
        <f t="shared" si="6"/>
        <v>73.267971353069584</v>
      </c>
      <c r="G75">
        <f t="shared" ca="1" si="7"/>
        <v>73</v>
      </c>
      <c r="H75">
        <f t="shared" ca="1" si="8"/>
        <v>5348.5619087740797</v>
      </c>
      <c r="I75">
        <f t="shared" ca="1" si="9"/>
        <v>61052.859199206381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47508</v>
      </c>
      <c r="B77" s="66">
        <v>47508</v>
      </c>
      <c r="D77">
        <f t="shared" si="5"/>
        <v>60.64876871816476</v>
      </c>
      <c r="E77">
        <f t="shared" si="6"/>
        <v>60.64876871816476</v>
      </c>
      <c r="G77">
        <f t="shared" ca="1" si="7"/>
        <v>75</v>
      </c>
      <c r="H77">
        <f t="shared" ca="1" si="8"/>
        <v>4548.6576538623567</v>
      </c>
      <c r="I77">
        <f t="shared" ca="1" si="9"/>
        <v>43777.204141274247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52925</v>
      </c>
      <c r="B80" s="66">
        <v>52925</v>
      </c>
      <c r="D80">
        <f t="shared" si="5"/>
        <v>67.564117294116144</v>
      </c>
      <c r="E80">
        <f t="shared" si="6"/>
        <v>67.564117294116144</v>
      </c>
      <c r="G80">
        <f t="shared" ca="1" si="7"/>
        <v>78</v>
      </c>
      <c r="H80">
        <f t="shared" ca="1" si="8"/>
        <v>5270.001148941059</v>
      </c>
      <c r="I80">
        <f t="shared" ca="1" si="9"/>
        <v>38485.568641711929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47185</v>
      </c>
      <c r="B82" s="66">
        <v>47185</v>
      </c>
      <c r="D82">
        <f t="shared" si="5"/>
        <v>60.236426537985267</v>
      </c>
      <c r="E82">
        <f t="shared" si="6"/>
        <v>60.236426537985267</v>
      </c>
      <c r="G82">
        <f t="shared" ca="1" si="7"/>
        <v>80</v>
      </c>
      <c r="H82">
        <f t="shared" ca="1" si="8"/>
        <v>4818.9141230388213</v>
      </c>
      <c r="I82">
        <f t="shared" ca="1" si="9"/>
        <v>28801.988723843122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49041</v>
      </c>
      <c r="B85" s="66">
        <v>49041</v>
      </c>
      <c r="D85">
        <f t="shared" si="5"/>
        <v>62.60579832254605</v>
      </c>
      <c r="E85">
        <f t="shared" si="6"/>
        <v>62.60579832254605</v>
      </c>
      <c r="G85">
        <f t="shared" ca="1" si="7"/>
        <v>83</v>
      </c>
      <c r="H85">
        <f t="shared" ca="1" si="8"/>
        <v>5196.2812607713222</v>
      </c>
      <c r="I85">
        <f t="shared" ca="1" si="9"/>
        <v>22284.490884679606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53836</v>
      </c>
      <c r="B88" s="66">
        <v>53836</v>
      </c>
      <c r="D88">
        <f t="shared" si="5"/>
        <v>68.727100966387084</v>
      </c>
      <c r="E88">
        <f t="shared" si="6"/>
        <v>68.727100966387084</v>
      </c>
      <c r="G88">
        <f t="shared" ca="1" si="7"/>
        <v>86</v>
      </c>
      <c r="H88">
        <f t="shared" ca="1" si="8"/>
        <v>5910.5306831092894</v>
      </c>
      <c r="I88">
        <f t="shared" ca="1" si="9"/>
        <v>17302.020086498185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59976</v>
      </c>
      <c r="B90" s="66">
        <v>59976</v>
      </c>
      <c r="D90">
        <f t="shared" si="5"/>
        <v>76.565432193328476</v>
      </c>
      <c r="E90">
        <f t="shared" si="6"/>
        <v>76.565432193328476</v>
      </c>
      <c r="G90">
        <f t="shared" ca="1" si="7"/>
        <v>88</v>
      </c>
      <c r="H90">
        <f t="shared" ca="1" si="8"/>
        <v>6737.7580330129058</v>
      </c>
      <c r="I90">
        <f t="shared" ca="1" si="9"/>
        <v>14722.240389430945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60067</v>
      </c>
      <c r="B93" s="66">
        <v>60067</v>
      </c>
      <c r="D93">
        <f t="shared" si="5"/>
        <v>76.681602900437881</v>
      </c>
      <c r="E93">
        <f t="shared" si="6"/>
        <v>76.681602900437881</v>
      </c>
      <c r="G93">
        <f t="shared" ca="1" si="7"/>
        <v>91</v>
      </c>
      <c r="H93">
        <f t="shared" ca="1" si="8"/>
        <v>6978.0258639398471</v>
      </c>
      <c r="I93">
        <f t="shared" ca="1" si="9"/>
        <v>9054.825048791241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60405</v>
      </c>
      <c r="B95" s="66">
        <v>60405</v>
      </c>
      <c r="D95">
        <f t="shared" si="5"/>
        <v>77.113094098272754</v>
      </c>
      <c r="E95">
        <f t="shared" si="6"/>
        <v>77.113094098272754</v>
      </c>
      <c r="G95">
        <f t="shared" ca="1" si="7"/>
        <v>93</v>
      </c>
      <c r="H95">
        <f t="shared" ca="1" si="8"/>
        <v>7171.5177511393658</v>
      </c>
      <c r="I95">
        <f t="shared" ca="1" si="9"/>
        <v>6062.3949209020384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63263</v>
      </c>
      <c r="B98" s="66">
        <v>63263</v>
      </c>
      <c r="D98">
        <f t="shared" si="5"/>
        <v>80.761620262213881</v>
      </c>
      <c r="E98">
        <f t="shared" si="6"/>
        <v>80.761620262213881</v>
      </c>
      <c r="G98">
        <f t="shared" ca="1" si="7"/>
        <v>96</v>
      </c>
      <c r="H98">
        <f t="shared" ca="1" si="8"/>
        <v>7753.1155451725326</v>
      </c>
      <c r="I98">
        <f t="shared" ca="1" si="9"/>
        <v>2779.5903358040064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66363</v>
      </c>
      <c r="B100" s="66">
        <v>66363</v>
      </c>
      <c r="D100">
        <f t="shared" si="5"/>
        <v>84.719083910995366</v>
      </c>
      <c r="E100">
        <f t="shared" si="6"/>
        <v>84.719083910995366</v>
      </c>
      <c r="G100">
        <f t="shared" ca="1" si="7"/>
        <v>98</v>
      </c>
      <c r="H100">
        <f t="shared" ca="1" si="8"/>
        <v>8302.4702232775453</v>
      </c>
      <c r="I100">
        <f t="shared" ca="1" si="9"/>
        <v>1266.6132114700813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65912</v>
      </c>
      <c r="B103" s="66">
        <v>65912</v>
      </c>
      <c r="D103">
        <f t="shared" si="5"/>
        <v>84.143336780156517</v>
      </c>
      <c r="E103">
        <f t="shared" si="6"/>
        <v>84.143336780156517</v>
      </c>
      <c r="G103">
        <f t="shared" ca="1" si="7"/>
        <v>101</v>
      </c>
      <c r="H103">
        <f t="shared" ca="1" si="8"/>
        <v>8498.4770147958079</v>
      </c>
      <c r="I103">
        <f t="shared" ca="1" si="9"/>
        <v>63.194044115770325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71061</v>
      </c>
      <c r="B106" s="66">
        <v>71061</v>
      </c>
      <c r="D106">
        <f t="shared" si="5"/>
        <v>90.716556240664858</v>
      </c>
      <c r="E106">
        <f t="shared" si="6"/>
        <v>90.716556240664858</v>
      </c>
      <c r="G106">
        <f t="shared" ca="1" si="7"/>
        <v>104</v>
      </c>
      <c r="H106">
        <f t="shared" ca="1" si="8"/>
        <v>9434.5218490291445</v>
      </c>
      <c r="I106">
        <f t="shared" ca="1" si="9"/>
        <v>412.87957474374645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71513</v>
      </c>
      <c r="B108" s="66">
        <v>71513</v>
      </c>
      <c r="D108">
        <f t="shared" si="5"/>
        <v>91.293579972680732</v>
      </c>
      <c r="E108">
        <f t="shared" si="6"/>
        <v>91.293579972680732</v>
      </c>
      <c r="G108">
        <f t="shared" ca="1" si="7"/>
        <v>106</v>
      </c>
      <c r="H108">
        <f t="shared" ca="1" si="8"/>
        <v>9677.1194771041573</v>
      </c>
      <c r="I108">
        <f t="shared" ca="1" si="9"/>
        <v>1559.7360647014909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69474</v>
      </c>
      <c r="B111" s="66">
        <v>69474</v>
      </c>
      <c r="D111">
        <f t="shared" si="5"/>
        <v>88.690590172724143</v>
      </c>
      <c r="E111">
        <f t="shared" si="6"/>
        <v>88.690590172724143</v>
      </c>
      <c r="G111">
        <f t="shared" ca="1" si="7"/>
        <v>109</v>
      </c>
      <c r="H111">
        <f t="shared" ca="1" si="8"/>
        <v>9667.2743288269321</v>
      </c>
      <c r="I111">
        <f t="shared" ca="1" si="9"/>
        <v>4513.0317147370733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70940</v>
      </c>
      <c r="B113" s="66">
        <v>70940</v>
      </c>
      <c r="D113">
        <f t="shared" si="5"/>
        <v>90.562087498244679</v>
      </c>
      <c r="E113">
        <f t="shared" si="6"/>
        <v>90.562087498244679</v>
      </c>
      <c r="G113">
        <f t="shared" ca="1" si="7"/>
        <v>111</v>
      </c>
      <c r="H113">
        <f t="shared" ca="1" si="8"/>
        <v>10052.39171230516</v>
      </c>
      <c r="I113">
        <f t="shared" ca="1" si="9"/>
        <v>7554.5669339716851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70677</v>
      </c>
      <c r="B116" s="66">
        <v>70677</v>
      </c>
      <c r="D116">
        <f t="shared" si="5"/>
        <v>90.226341388686762</v>
      </c>
      <c r="E116">
        <f t="shared" si="6"/>
        <v>90.226341388686762</v>
      </c>
      <c r="G116">
        <f t="shared" ca="1" si="7"/>
        <v>114</v>
      </c>
      <c r="H116">
        <f t="shared" ca="1" si="8"/>
        <v>10285.802918310292</v>
      </c>
      <c r="I116">
        <f t="shared" ca="1" si="9"/>
        <v>13283.025829479366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74607</v>
      </c>
      <c r="B118" s="66">
        <v>74607</v>
      </c>
      <c r="D118">
        <f t="shared" si="5"/>
        <v>95.243384014400064</v>
      </c>
      <c r="E118">
        <f t="shared" si="6"/>
        <v>95.243384014400064</v>
      </c>
      <c r="G118">
        <f t="shared" ca="1" si="7"/>
        <v>116</v>
      </c>
      <c r="H118">
        <f t="shared" ca="1" si="8"/>
        <v>11048.232545670407</v>
      </c>
      <c r="I118">
        <f t="shared" ca="1" si="9"/>
        <v>19025.100096156639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74062</v>
      </c>
      <c r="B121" s="66">
        <v>74062</v>
      </c>
      <c r="D121">
        <f t="shared" si="5"/>
        <v>94.547636372920735</v>
      </c>
      <c r="E121">
        <f t="shared" si="6"/>
        <v>94.547636372920735</v>
      </c>
      <c r="G121">
        <f t="shared" ca="1" si="7"/>
        <v>119</v>
      </c>
      <c r="H121">
        <f t="shared" ca="1" si="8"/>
        <v>11251.168728377568</v>
      </c>
      <c r="I121">
        <f t="shared" ca="1" si="9"/>
        <v>27754.718123484548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76982</v>
      </c>
      <c r="B124" s="66">
        <v>76982</v>
      </c>
      <c r="D124">
        <f t="shared" si="5"/>
        <v>98.27531180983749</v>
      </c>
      <c r="E124">
        <f t="shared" si="6"/>
        <v>98.27531180983749</v>
      </c>
      <c r="G124">
        <f t="shared" ca="1" si="7"/>
        <v>122</v>
      </c>
      <c r="H124">
        <f t="shared" ca="1" si="8"/>
        <v>11989.588040800174</v>
      </c>
      <c r="I124">
        <f t="shared" ca="1" si="9"/>
        <v>39836.195441449236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75184</v>
      </c>
      <c r="B126" s="66">
        <v>75184</v>
      </c>
      <c r="D126">
        <f t="shared" si="5"/>
        <v>95.979982893544232</v>
      </c>
      <c r="E126">
        <f t="shared" si="6"/>
        <v>95.979982893544232</v>
      </c>
      <c r="G126">
        <f t="shared" ca="1" si="7"/>
        <v>124</v>
      </c>
      <c r="H126">
        <f t="shared" ca="1" si="8"/>
        <v>11901.517878799485</v>
      </c>
      <c r="I126">
        <f t="shared" ca="1" si="9"/>
        <v>47019.303095002833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78333</v>
      </c>
      <c r="B129" s="66">
        <v>78333</v>
      </c>
      <c r="D129">
        <f t="shared" si="5"/>
        <v>100</v>
      </c>
      <c r="E129">
        <f t="shared" si="6"/>
        <v>100</v>
      </c>
      <c r="G129">
        <f t="shared" ca="1" si="7"/>
        <v>127</v>
      </c>
      <c r="H129">
        <f t="shared" ca="1" si="8"/>
        <v>12700</v>
      </c>
      <c r="I129">
        <f t="shared" ca="1" si="9"/>
        <v>63168.684019732413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76111</v>
      </c>
      <c r="B131" s="66">
        <v>76111</v>
      </c>
      <c r="D131">
        <f t="shared" ref="D131:D194" si="10">IFERROR( 100*A131/MAX(A$2:A$257), 0 )</f>
        <v>97.163392184647591</v>
      </c>
      <c r="E131">
        <f t="shared" ref="E131:E194" si="11">IFERROR( 100*B131/MAX(B$2:B$257), 0 )</f>
        <v>97.163392184647591</v>
      </c>
      <c r="G131">
        <f t="shared" ref="G131:G194" ca="1" si="12">CELL("row",D131)-2</f>
        <v>129</v>
      </c>
      <c r="H131">
        <f t="shared" ref="H131:H194" ca="1" si="13">D131*G131</f>
        <v>12534.07759181954</v>
      </c>
      <c r="I131">
        <f t="shared" ref="I131:I194" ca="1" si="14">D131*((G131-$L$1)^2)</f>
        <v>71533.667978556783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71569</v>
      </c>
      <c r="B134" s="66">
        <v>71569</v>
      </c>
      <c r="D134">
        <f t="shared" si="10"/>
        <v>91.365069638594207</v>
      </c>
      <c r="E134">
        <f t="shared" si="11"/>
        <v>91.365069638594207</v>
      </c>
      <c r="G134">
        <f t="shared" ca="1" si="12"/>
        <v>132</v>
      </c>
      <c r="H134">
        <f t="shared" ca="1" si="13"/>
        <v>12060.189192294436</v>
      </c>
      <c r="I134">
        <f t="shared" ca="1" si="14"/>
        <v>82961.369933219321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69898</v>
      </c>
      <c r="B136" s="66">
        <v>69898</v>
      </c>
      <c r="D136">
        <f t="shared" si="10"/>
        <v>89.231869071783279</v>
      </c>
      <c r="E136">
        <f t="shared" si="11"/>
        <v>89.231869071783279</v>
      </c>
      <c r="G136">
        <f t="shared" ca="1" si="12"/>
        <v>134</v>
      </c>
      <c r="H136">
        <f t="shared" ca="1" si="13"/>
        <v>11957.070455618959</v>
      </c>
      <c r="I136">
        <f t="shared" ca="1" si="14"/>
        <v>92136.738874196395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65561</v>
      </c>
      <c r="B139" s="66">
        <v>65561</v>
      </c>
      <c r="D139">
        <f t="shared" si="10"/>
        <v>83.695249767020286</v>
      </c>
      <c r="E139">
        <f t="shared" si="11"/>
        <v>83.695249767020286</v>
      </c>
      <c r="G139">
        <f t="shared" ca="1" si="12"/>
        <v>137</v>
      </c>
      <c r="H139">
        <f t="shared" ca="1" si="13"/>
        <v>11466.249218081779</v>
      </c>
      <c r="I139">
        <f t="shared" ca="1" si="14"/>
        <v>103309.60483746565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58991</v>
      </c>
      <c r="B142" s="66">
        <v>58991</v>
      </c>
      <c r="D142">
        <f t="shared" si="10"/>
        <v>75.307980033957591</v>
      </c>
      <c r="E142">
        <f t="shared" si="11"/>
        <v>75.307980033957591</v>
      </c>
      <c r="G142">
        <f t="shared" ca="1" si="12"/>
        <v>140</v>
      </c>
      <c r="H142">
        <f t="shared" ca="1" si="13"/>
        <v>10543.117204754062</v>
      </c>
      <c r="I142">
        <f t="shared" ca="1" si="14"/>
        <v>109509.45658146712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57426</v>
      </c>
      <c r="B144" s="66">
        <v>57426</v>
      </c>
      <c r="D144">
        <f t="shared" si="10"/>
        <v>73.310099191911462</v>
      </c>
      <c r="E144">
        <f t="shared" si="11"/>
        <v>73.310099191911462</v>
      </c>
      <c r="G144">
        <f t="shared" ca="1" si="12"/>
        <v>142</v>
      </c>
      <c r="H144">
        <f t="shared" ca="1" si="13"/>
        <v>10410.034085251427</v>
      </c>
      <c r="I144">
        <f t="shared" ca="1" si="14"/>
        <v>118079.71684255799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51686</v>
      </c>
      <c r="B147" s="66">
        <v>51686</v>
      </c>
      <c r="D147">
        <f t="shared" si="10"/>
        <v>65.982408435780584</v>
      </c>
      <c r="E147">
        <f t="shared" si="11"/>
        <v>65.982408435780584</v>
      </c>
      <c r="G147">
        <f t="shared" ca="1" si="12"/>
        <v>145</v>
      </c>
      <c r="H147">
        <f t="shared" ca="1" si="13"/>
        <v>9567.449223188185</v>
      </c>
      <c r="I147">
        <f t="shared" ca="1" si="14"/>
        <v>122759.51579122223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47660</v>
      </c>
      <c r="B149" s="66">
        <v>47660</v>
      </c>
      <c r="D149">
        <f t="shared" si="10"/>
        <v>60.842812097072752</v>
      </c>
      <c r="E149">
        <f t="shared" si="11"/>
        <v>60.842812097072752</v>
      </c>
      <c r="G149">
        <f t="shared" ca="1" si="12"/>
        <v>147</v>
      </c>
      <c r="H149">
        <f t="shared" ca="1" si="13"/>
        <v>8943.8933782696949</v>
      </c>
      <c r="I149">
        <f t="shared" ca="1" si="14"/>
        <v>123938.15164880767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42321</v>
      </c>
      <c r="B152" s="66">
        <v>42321</v>
      </c>
      <c r="D152">
        <f t="shared" si="10"/>
        <v>54.027038412929414</v>
      </c>
      <c r="E152">
        <f t="shared" si="11"/>
        <v>54.027038412929414</v>
      </c>
      <c r="G152">
        <f t="shared" ca="1" si="12"/>
        <v>150</v>
      </c>
      <c r="H152">
        <f t="shared" ca="1" si="13"/>
        <v>8104.0557619394122</v>
      </c>
      <c r="I152">
        <f t="shared" ca="1" si="14"/>
        <v>125171.05095994924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39996</v>
      </c>
      <c r="B154" s="66">
        <v>39996</v>
      </c>
      <c r="D154">
        <f t="shared" si="10"/>
        <v>51.058940676343305</v>
      </c>
      <c r="E154">
        <f t="shared" si="11"/>
        <v>51.058940676343305</v>
      </c>
      <c r="G154">
        <f t="shared" ca="1" si="12"/>
        <v>152</v>
      </c>
      <c r="H154">
        <f t="shared" ca="1" si="13"/>
        <v>7760.9589828041826</v>
      </c>
      <c r="I154">
        <f t="shared" ca="1" si="14"/>
        <v>128329.28928119982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40052</v>
      </c>
      <c r="B157" s="66">
        <v>40052</v>
      </c>
      <c r="D157">
        <f t="shared" si="10"/>
        <v>51.130430342256773</v>
      </c>
      <c r="E157">
        <f t="shared" si="11"/>
        <v>51.130430342256773</v>
      </c>
      <c r="G157">
        <f t="shared" ca="1" si="12"/>
        <v>155</v>
      </c>
      <c r="H157">
        <f t="shared" ca="1" si="13"/>
        <v>7925.2167030497994</v>
      </c>
      <c r="I157">
        <f t="shared" ca="1" si="14"/>
        <v>144349.19019563167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37695</v>
      </c>
      <c r="B160" s="66">
        <v>37695</v>
      </c>
      <c r="D160">
        <f t="shared" si="10"/>
        <v>48.121481368005824</v>
      </c>
      <c r="E160">
        <f t="shared" si="11"/>
        <v>48.121481368005824</v>
      </c>
      <c r="G160">
        <f t="shared" ca="1" si="12"/>
        <v>158</v>
      </c>
      <c r="H160">
        <f t="shared" ca="1" si="13"/>
        <v>7603.1940561449201</v>
      </c>
      <c r="I160">
        <f t="shared" ca="1" si="14"/>
        <v>151628.6926695857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37139</v>
      </c>
      <c r="B162" s="66">
        <v>37139</v>
      </c>
      <c r="D162">
        <f t="shared" si="10"/>
        <v>47.411691113579209</v>
      </c>
      <c r="E162">
        <f t="shared" si="11"/>
        <v>47.411691113579209</v>
      </c>
      <c r="G162">
        <f t="shared" ca="1" si="12"/>
        <v>160</v>
      </c>
      <c r="H162">
        <f t="shared" ca="1" si="13"/>
        <v>7585.870578172673</v>
      </c>
      <c r="I162">
        <f t="shared" ca="1" si="14"/>
        <v>160227.33532872985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31623</v>
      </c>
      <c r="B165" s="66">
        <v>31623</v>
      </c>
      <c r="D165">
        <f t="shared" si="10"/>
        <v>40.369959021102218</v>
      </c>
      <c r="E165">
        <f t="shared" si="11"/>
        <v>40.369959021102218</v>
      </c>
      <c r="G165">
        <f t="shared" ca="1" si="12"/>
        <v>163</v>
      </c>
      <c r="H165">
        <f t="shared" ca="1" si="13"/>
        <v>6580.3033204396615</v>
      </c>
      <c r="I165">
        <f t="shared" ca="1" si="14"/>
        <v>150874.25512157904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23469</v>
      </c>
      <c r="B167" s="66">
        <v>23469</v>
      </c>
      <c r="D167">
        <f t="shared" si="10"/>
        <v>29.960553023629888</v>
      </c>
      <c r="E167">
        <f t="shared" si="11"/>
        <v>29.960553023629888</v>
      </c>
      <c r="G167">
        <f t="shared" ca="1" si="12"/>
        <v>165</v>
      </c>
      <c r="H167">
        <f t="shared" ca="1" si="13"/>
        <v>4943.4912488989312</v>
      </c>
      <c r="I167">
        <f t="shared" ca="1" si="14"/>
        <v>119417.48517550537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22515</v>
      </c>
      <c r="B170" s="66">
        <v>22515</v>
      </c>
      <c r="D170">
        <f t="shared" si="10"/>
        <v>28.742675500746813</v>
      </c>
      <c r="E170">
        <f t="shared" si="11"/>
        <v>28.742675500746813</v>
      </c>
      <c r="G170">
        <f t="shared" ca="1" si="12"/>
        <v>168</v>
      </c>
      <c r="H170">
        <f t="shared" ca="1" si="13"/>
        <v>4828.7694841254643</v>
      </c>
      <c r="I170">
        <f t="shared" ca="1" si="14"/>
        <v>125709.6577430719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18865</v>
      </c>
      <c r="B173" s="66">
        <v>18865</v>
      </c>
      <c r="D173">
        <f t="shared" si="10"/>
        <v>24.08308120460087</v>
      </c>
      <c r="E173">
        <f t="shared" si="11"/>
        <v>24.08308120460087</v>
      </c>
      <c r="G173">
        <f t="shared" ca="1" si="12"/>
        <v>171</v>
      </c>
      <c r="H173">
        <f t="shared" ca="1" si="13"/>
        <v>4118.2068859867486</v>
      </c>
      <c r="I173">
        <f t="shared" ca="1" si="14"/>
        <v>115103.26515815582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17765</v>
      </c>
      <c r="B175" s="66">
        <v>17765</v>
      </c>
      <c r="D175">
        <f t="shared" si="10"/>
        <v>22.678819909871958</v>
      </c>
      <c r="E175">
        <f t="shared" si="11"/>
        <v>22.678819909871958</v>
      </c>
      <c r="G175">
        <f t="shared" ca="1" si="12"/>
        <v>173</v>
      </c>
      <c r="H175">
        <f t="shared" ca="1" si="13"/>
        <v>3923.4358444078489</v>
      </c>
      <c r="I175">
        <f t="shared" ca="1" si="14"/>
        <v>114753.87377648197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16447</v>
      </c>
      <c r="B178" s="66">
        <v>16447</v>
      </c>
      <c r="D178">
        <f t="shared" si="10"/>
        <v>20.996259558551312</v>
      </c>
      <c r="E178">
        <f t="shared" si="11"/>
        <v>20.996259558551312</v>
      </c>
      <c r="G178">
        <f t="shared" ca="1" si="12"/>
        <v>176</v>
      </c>
      <c r="H178">
        <f t="shared" ca="1" si="13"/>
        <v>3695.3416823050311</v>
      </c>
      <c r="I178">
        <f t="shared" ca="1" si="14"/>
        <v>115390.36516843412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14375</v>
      </c>
      <c r="B180" s="66">
        <v>14375</v>
      </c>
      <c r="D180">
        <f t="shared" si="10"/>
        <v>18.351141919752848</v>
      </c>
      <c r="E180">
        <f t="shared" si="11"/>
        <v>18.351141919752848</v>
      </c>
      <c r="G180">
        <f t="shared" ca="1" si="12"/>
        <v>178</v>
      </c>
      <c r="H180">
        <f t="shared" ca="1" si="13"/>
        <v>3266.5032617160068</v>
      </c>
      <c r="I180">
        <f t="shared" ca="1" si="14"/>
        <v>106368.5716243671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7224</v>
      </c>
      <c r="B183" s="66">
        <v>7224</v>
      </c>
      <c r="D183">
        <f t="shared" si="10"/>
        <v>9.2221669028378841</v>
      </c>
      <c r="E183">
        <f t="shared" si="11"/>
        <v>9.2221669028378841</v>
      </c>
      <c r="G183">
        <f t="shared" ca="1" si="12"/>
        <v>181</v>
      </c>
      <c r="H183">
        <f t="shared" ca="1" si="13"/>
        <v>1669.2122094136571</v>
      </c>
      <c r="I183">
        <f t="shared" ca="1" si="14"/>
        <v>57750.05747025751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6006</v>
      </c>
      <c r="B185" s="66">
        <v>6006</v>
      </c>
      <c r="D185">
        <f t="shared" si="10"/>
        <v>7.6672666692198694</v>
      </c>
      <c r="E185">
        <f t="shared" si="11"/>
        <v>7.6672666692198694</v>
      </c>
      <c r="G185">
        <f t="shared" ca="1" si="12"/>
        <v>183</v>
      </c>
      <c r="H185">
        <f t="shared" ca="1" si="13"/>
        <v>1403.109800467236</v>
      </c>
      <c r="I185">
        <f t="shared" ca="1" si="14"/>
        <v>50470.745180607148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3244</v>
      </c>
      <c r="B188" s="66">
        <v>3244</v>
      </c>
      <c r="D188">
        <f t="shared" si="10"/>
        <v>4.141294218273269</v>
      </c>
      <c r="E188">
        <f t="shared" si="11"/>
        <v>4.141294218273269</v>
      </c>
      <c r="G188">
        <f t="shared" ca="1" si="12"/>
        <v>186</v>
      </c>
      <c r="H188">
        <f t="shared" ca="1" si="13"/>
        <v>770.28072459882799</v>
      </c>
      <c r="I188">
        <f t="shared" ca="1" si="14"/>
        <v>29313.843829694364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2593</v>
      </c>
      <c r="B191" s="66">
        <v>2593</v>
      </c>
      <c r="D191">
        <f t="shared" si="10"/>
        <v>3.3102268520291576</v>
      </c>
      <c r="E191">
        <f t="shared" si="11"/>
        <v>3.3102268520291576</v>
      </c>
      <c r="G191">
        <f t="shared" ca="1" si="12"/>
        <v>189</v>
      </c>
      <c r="H191">
        <f t="shared" ca="1" si="13"/>
        <v>625.6328750335108</v>
      </c>
      <c r="I191">
        <f t="shared" ca="1" si="14"/>
        <v>25131.990648186755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2997</v>
      </c>
      <c r="B193" s="66">
        <v>2997</v>
      </c>
      <c r="D193">
        <f t="shared" si="10"/>
        <v>3.825973727547777</v>
      </c>
      <c r="E193">
        <f t="shared" si="11"/>
        <v>3.825973727547777</v>
      </c>
      <c r="G193">
        <f t="shared" ca="1" si="12"/>
        <v>191</v>
      </c>
      <c r="H193">
        <f t="shared" ca="1" si="13"/>
        <v>730.76098196162536</v>
      </c>
      <c r="I193">
        <f t="shared" ca="1" si="14"/>
        <v>30396.441529783024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1901</v>
      </c>
      <c r="B196" s="66">
        <v>1901</v>
      </c>
      <c r="D196">
        <f t="shared" si="15"/>
        <v>2.4268188375269681</v>
      </c>
      <c r="E196">
        <f t="shared" si="16"/>
        <v>2.4268188375269681</v>
      </c>
      <c r="G196">
        <f t="shared" ca="1" si="17"/>
        <v>194</v>
      </c>
      <c r="H196">
        <f t="shared" ca="1" si="18"/>
        <v>470.80285448023182</v>
      </c>
      <c r="I196">
        <f t="shared" ca="1" si="19"/>
        <v>20600.197052813055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1571</v>
      </c>
      <c r="B198" s="66">
        <v>1571</v>
      </c>
      <c r="D198">
        <f t="shared" si="15"/>
        <v>2.005540449108294</v>
      </c>
      <c r="E198">
        <f t="shared" si="16"/>
        <v>2.005540449108294</v>
      </c>
      <c r="G198">
        <f t="shared" ca="1" si="17"/>
        <v>196</v>
      </c>
      <c r="H198">
        <f t="shared" ca="1" si="18"/>
        <v>393.0859280252256</v>
      </c>
      <c r="I198">
        <f t="shared" ca="1" si="19"/>
        <v>17771.281271904169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627</v>
      </c>
      <c r="B201" s="66">
        <v>627</v>
      </c>
      <c r="D201">
        <f t="shared" si="15"/>
        <v>0.80042893799548087</v>
      </c>
      <c r="E201">
        <f t="shared" si="16"/>
        <v>0.80042893799548087</v>
      </c>
      <c r="G201">
        <f t="shared" ca="1" si="17"/>
        <v>199</v>
      </c>
      <c r="H201">
        <f t="shared" ca="1" si="18"/>
        <v>159.2853586611007</v>
      </c>
      <c r="I201">
        <f t="shared" ca="1" si="19"/>
        <v>7551.961947077144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357</v>
      </c>
      <c r="B203" s="66">
        <v>357</v>
      </c>
      <c r="D203">
        <f t="shared" si="15"/>
        <v>0.4557466201983838</v>
      </c>
      <c r="E203">
        <f t="shared" si="16"/>
        <v>0.4557466201983838</v>
      </c>
      <c r="G203">
        <f t="shared" ca="1" si="17"/>
        <v>201</v>
      </c>
      <c r="H203">
        <f t="shared" ca="1" si="18"/>
        <v>91.605070659875139</v>
      </c>
      <c r="I203">
        <f t="shared" ca="1" si="19"/>
        <v>4478.816744102216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90</v>
      </c>
      <c r="B206" s="66">
        <v>90</v>
      </c>
      <c r="D206">
        <f t="shared" si="15"/>
        <v>0.11489410593236567</v>
      </c>
      <c r="E206">
        <f t="shared" si="16"/>
        <v>0.11489410593236567</v>
      </c>
      <c r="G206">
        <f t="shared" ca="1" si="17"/>
        <v>204</v>
      </c>
      <c r="H206">
        <f t="shared" ca="1" si="18"/>
        <v>23.438397610202596</v>
      </c>
      <c r="I206">
        <f t="shared" ca="1" si="19"/>
        <v>1198.4865589173655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350</v>
      </c>
      <c r="B1" s="66" t="s">
        <v>351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102.22635315119145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1.9737343112474801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0.58227811131672602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4065</v>
      </c>
      <c r="B8" s="66">
        <v>4065</v>
      </c>
      <c r="D8">
        <f t="shared" si="0"/>
        <v>3.0647787930878496</v>
      </c>
      <c r="E8">
        <f t="shared" si="1"/>
        <v>3.0647787930878496</v>
      </c>
      <c r="G8">
        <f t="shared" ca="1" si="2"/>
        <v>6</v>
      </c>
      <c r="H8">
        <f t="shared" ca="1" si="3"/>
        <v>18.388672758527097</v>
      </c>
      <c r="I8">
        <f t="shared" ca="1" si="4"/>
        <v>28378.353072138641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3151</v>
      </c>
      <c r="B10" s="66">
        <v>3151</v>
      </c>
      <c r="D10">
        <f t="shared" si="0"/>
        <v>2.3756747790946653</v>
      </c>
      <c r="E10">
        <f t="shared" si="1"/>
        <v>2.3756747790946653</v>
      </c>
      <c r="G10">
        <f t="shared" ca="1" si="2"/>
        <v>8</v>
      </c>
      <c r="H10">
        <f t="shared" ca="1" si="3"/>
        <v>19.005398232757322</v>
      </c>
      <c r="I10">
        <f t="shared" ca="1" si="4"/>
        <v>21092.679464378656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3924</v>
      </c>
      <c r="B13" s="66">
        <v>3924</v>
      </c>
      <c r="D13">
        <f t="shared" si="0"/>
        <v>2.9584728128110016</v>
      </c>
      <c r="E13">
        <f t="shared" si="1"/>
        <v>2.9584728128110016</v>
      </c>
      <c r="G13">
        <f t="shared" ca="1" si="2"/>
        <v>11</v>
      </c>
      <c r="H13">
        <f t="shared" ca="1" si="3"/>
        <v>32.543200940921018</v>
      </c>
      <c r="I13">
        <f t="shared" ca="1" si="4"/>
        <v>24621.142997647232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2791</v>
      </c>
      <c r="B15" s="66">
        <v>2791</v>
      </c>
      <c r="D15">
        <f t="shared" si="0"/>
        <v>2.1042552549835642</v>
      </c>
      <c r="E15">
        <f t="shared" si="1"/>
        <v>2.1042552549835642</v>
      </c>
      <c r="G15">
        <f t="shared" ca="1" si="2"/>
        <v>13</v>
      </c>
      <c r="H15">
        <f t="shared" ca="1" si="3"/>
        <v>27.355318314786334</v>
      </c>
      <c r="I15">
        <f t="shared" ca="1" si="4"/>
        <v>16752.695943621053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3670</v>
      </c>
      <c r="B18" s="66">
        <v>3670</v>
      </c>
      <c r="D18">
        <f t="shared" si="0"/>
        <v>2.766971259688169</v>
      </c>
      <c r="E18">
        <f t="shared" si="1"/>
        <v>2.766971259688169</v>
      </c>
      <c r="G18">
        <f t="shared" ca="1" si="2"/>
        <v>16</v>
      </c>
      <c r="H18">
        <f t="shared" ca="1" si="3"/>
        <v>44.271540155010705</v>
      </c>
      <c r="I18">
        <f t="shared" ca="1" si="4"/>
        <v>20572.386982687291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3283</v>
      </c>
      <c r="B21" s="66">
        <v>3283</v>
      </c>
      <c r="D21">
        <f t="shared" si="0"/>
        <v>2.4751952712687353</v>
      </c>
      <c r="E21">
        <f t="shared" si="1"/>
        <v>2.4751952712687353</v>
      </c>
      <c r="G21">
        <f t="shared" ca="1" si="2"/>
        <v>19</v>
      </c>
      <c r="H21">
        <f t="shared" ca="1" si="3"/>
        <v>47.028710154105973</v>
      </c>
      <c r="I21">
        <f t="shared" ca="1" si="4"/>
        <v>17144.751571665427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4557</v>
      </c>
      <c r="B23" s="66">
        <v>4557</v>
      </c>
      <c r="D23">
        <f t="shared" si="0"/>
        <v>3.4357188093730211</v>
      </c>
      <c r="E23">
        <f t="shared" si="1"/>
        <v>3.4357188093730211</v>
      </c>
      <c r="G23">
        <f t="shared" ca="1" si="2"/>
        <v>21</v>
      </c>
      <c r="H23">
        <f t="shared" ca="1" si="3"/>
        <v>72.150094996833445</v>
      </c>
      <c r="I23">
        <f t="shared" ca="1" si="4"/>
        <v>22667.912236138836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5596</v>
      </c>
      <c r="B26" s="66">
        <v>5596</v>
      </c>
      <c r="D26">
        <f t="shared" si="0"/>
        <v>4.2190657136825598</v>
      </c>
      <c r="E26">
        <f t="shared" si="1"/>
        <v>4.2190657136825598</v>
      </c>
      <c r="G26">
        <f t="shared" ca="1" si="2"/>
        <v>24</v>
      </c>
      <c r="H26">
        <f t="shared" ca="1" si="3"/>
        <v>101.25757712838143</v>
      </c>
      <c r="I26">
        <f t="shared" ca="1" si="4"/>
        <v>25817.991784859474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8224</v>
      </c>
      <c r="B28" s="66">
        <v>8224</v>
      </c>
      <c r="D28">
        <f t="shared" si="0"/>
        <v>6.2004282396935979</v>
      </c>
      <c r="E28">
        <f t="shared" si="1"/>
        <v>6.2004282396935979</v>
      </c>
      <c r="G28">
        <f t="shared" ca="1" si="2"/>
        <v>26</v>
      </c>
      <c r="H28">
        <f t="shared" ca="1" si="3"/>
        <v>161.21113423203354</v>
      </c>
      <c r="I28">
        <f t="shared" ca="1" si="4"/>
        <v>36027.321139615786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10566</v>
      </c>
      <c r="B31" s="66">
        <v>10566</v>
      </c>
      <c r="D31">
        <f t="shared" si="0"/>
        <v>7.9661630326608162</v>
      </c>
      <c r="E31">
        <f t="shared" si="1"/>
        <v>7.9661630326608162</v>
      </c>
      <c r="G31">
        <f t="shared" ca="1" si="2"/>
        <v>29</v>
      </c>
      <c r="H31">
        <f t="shared" ca="1" si="3"/>
        <v>231.01872794716365</v>
      </c>
      <c r="I31">
        <f t="shared" ca="1" si="4"/>
        <v>42715.3532047603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11221</v>
      </c>
      <c r="B33" s="66">
        <v>11221</v>
      </c>
      <c r="D33">
        <f t="shared" si="0"/>
        <v>8.4599957779185146</v>
      </c>
      <c r="E33">
        <f t="shared" si="1"/>
        <v>8.4599957779185146</v>
      </c>
      <c r="G33">
        <f t="shared" ca="1" si="2"/>
        <v>31</v>
      </c>
      <c r="H33">
        <f t="shared" ca="1" si="3"/>
        <v>262.25986911547398</v>
      </c>
      <c r="I33">
        <f t="shared" ca="1" si="4"/>
        <v>42919.194602590447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16556</v>
      </c>
      <c r="B36" s="66">
        <v>16556</v>
      </c>
      <c r="D36">
        <f t="shared" si="0"/>
        <v>12.482282336620525</v>
      </c>
      <c r="E36">
        <f t="shared" si="1"/>
        <v>12.482282336620525</v>
      </c>
      <c r="G36">
        <f t="shared" ca="1" si="2"/>
        <v>34</v>
      </c>
      <c r="H36">
        <f t="shared" ca="1" si="3"/>
        <v>424.39759944509785</v>
      </c>
      <c r="I36">
        <f t="shared" ca="1" si="4"/>
        <v>58102.967999588662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17581</v>
      </c>
      <c r="B39" s="66">
        <v>17581</v>
      </c>
      <c r="D39">
        <f t="shared" si="0"/>
        <v>13.255074037214632</v>
      </c>
      <c r="E39">
        <f t="shared" si="1"/>
        <v>13.255074037214632</v>
      </c>
      <c r="G39">
        <f t="shared" ca="1" si="2"/>
        <v>37</v>
      </c>
      <c r="H39">
        <f t="shared" ca="1" si="3"/>
        <v>490.43773937694135</v>
      </c>
      <c r="I39">
        <f t="shared" ca="1" si="4"/>
        <v>56393.409551966812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18775</v>
      </c>
      <c r="B41" s="66">
        <v>18775</v>
      </c>
      <c r="D41">
        <f t="shared" si="0"/>
        <v>14.15528212551645</v>
      </c>
      <c r="E41">
        <f t="shared" si="1"/>
        <v>14.15528212551645</v>
      </c>
      <c r="G41">
        <f t="shared" ca="1" si="2"/>
        <v>39</v>
      </c>
      <c r="H41">
        <f t="shared" ca="1" si="3"/>
        <v>552.05600289514155</v>
      </c>
      <c r="I41">
        <f t="shared" ca="1" si="4"/>
        <v>56586.755694762003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22074</v>
      </c>
      <c r="B44" s="66">
        <v>22074</v>
      </c>
      <c r="D44">
        <f t="shared" si="0"/>
        <v>16.642540486745681</v>
      </c>
      <c r="E44">
        <f t="shared" si="1"/>
        <v>16.642540486745681</v>
      </c>
      <c r="G44">
        <f t="shared" ca="1" si="2"/>
        <v>42</v>
      </c>
      <c r="H44">
        <f t="shared" ca="1" si="3"/>
        <v>698.98670044331857</v>
      </c>
      <c r="I44">
        <f t="shared" ca="1" si="4"/>
        <v>60366.049423273187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22715</v>
      </c>
      <c r="B46" s="66">
        <v>22715</v>
      </c>
      <c r="D46">
        <f t="shared" si="0"/>
        <v>17.125818028287945</v>
      </c>
      <c r="E46">
        <f t="shared" si="1"/>
        <v>17.125818028287945</v>
      </c>
      <c r="G46">
        <f t="shared" ca="1" si="2"/>
        <v>44</v>
      </c>
      <c r="H46">
        <f t="shared" ca="1" si="3"/>
        <v>753.53599324466961</v>
      </c>
      <c r="I46">
        <f t="shared" ca="1" si="4"/>
        <v>58061.801315057863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26285</v>
      </c>
      <c r="B49" s="66">
        <v>26285</v>
      </c>
      <c r="D49">
        <f t="shared" si="0"/>
        <v>19.817394975723033</v>
      </c>
      <c r="E49">
        <f t="shared" si="1"/>
        <v>19.817394975723033</v>
      </c>
      <c r="G49">
        <f t="shared" ca="1" si="2"/>
        <v>47</v>
      </c>
      <c r="H49">
        <f t="shared" ca="1" si="3"/>
        <v>931.41756385898259</v>
      </c>
      <c r="I49">
        <f t="shared" ca="1" si="4"/>
        <v>60442.065438765712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28732</v>
      </c>
      <c r="B51" s="66">
        <v>28732</v>
      </c>
      <c r="D51">
        <f t="shared" si="0"/>
        <v>21.662293796555989</v>
      </c>
      <c r="E51">
        <f t="shared" si="1"/>
        <v>21.662293796555989</v>
      </c>
      <c r="G51">
        <f t="shared" ca="1" si="2"/>
        <v>49</v>
      </c>
      <c r="H51">
        <f t="shared" ca="1" si="3"/>
        <v>1061.4523960312436</v>
      </c>
      <c r="I51">
        <f t="shared" ca="1" si="4"/>
        <v>61370.245975440528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25495</v>
      </c>
      <c r="B54" s="66">
        <v>25495</v>
      </c>
      <c r="D54">
        <f t="shared" si="0"/>
        <v>19.221779908923672</v>
      </c>
      <c r="E54">
        <f t="shared" si="1"/>
        <v>19.221779908923672</v>
      </c>
      <c r="G54">
        <f t="shared" ca="1" si="2"/>
        <v>52</v>
      </c>
      <c r="H54">
        <f t="shared" ca="1" si="3"/>
        <v>999.53255526403098</v>
      </c>
      <c r="I54">
        <f t="shared" ca="1" si="4"/>
        <v>48490.5256599903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28211</v>
      </c>
      <c r="B57" s="66">
        <v>28211</v>
      </c>
      <c r="D57">
        <f t="shared" si="0"/>
        <v>21.269489429717421</v>
      </c>
      <c r="E57">
        <f t="shared" si="1"/>
        <v>21.269489429717421</v>
      </c>
      <c r="G57">
        <f t="shared" ca="1" si="2"/>
        <v>55</v>
      </c>
      <c r="H57">
        <f t="shared" ca="1" si="3"/>
        <v>1169.8219186344581</v>
      </c>
      <c r="I57">
        <f t="shared" ca="1" si="4"/>
        <v>47437.947008393785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29236</v>
      </c>
      <c r="B59" s="66">
        <v>29236</v>
      </c>
      <c r="D59">
        <f t="shared" si="0"/>
        <v>22.04228113031153</v>
      </c>
      <c r="E59">
        <f t="shared" si="1"/>
        <v>22.04228113031153</v>
      </c>
      <c r="G59">
        <f t="shared" ca="1" si="2"/>
        <v>57</v>
      </c>
      <c r="H59">
        <f t="shared" ca="1" si="3"/>
        <v>1256.4100244277572</v>
      </c>
      <c r="I59">
        <f t="shared" ca="1" si="4"/>
        <v>45085.78922306186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29688</v>
      </c>
      <c r="B62" s="66">
        <v>29688</v>
      </c>
      <c r="D62">
        <f t="shared" si="0"/>
        <v>22.383063421695468</v>
      </c>
      <c r="E62">
        <f t="shared" si="1"/>
        <v>22.383063421695468</v>
      </c>
      <c r="G62">
        <f t="shared" ca="1" si="2"/>
        <v>60</v>
      </c>
      <c r="H62">
        <f t="shared" ca="1" si="3"/>
        <v>1342.9838053017281</v>
      </c>
      <c r="I62">
        <f t="shared" ca="1" si="4"/>
        <v>39910.454751752121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29467</v>
      </c>
      <c r="B64" s="66">
        <v>29467</v>
      </c>
      <c r="D64">
        <f t="shared" si="0"/>
        <v>22.216441991616154</v>
      </c>
      <c r="E64">
        <f t="shared" si="1"/>
        <v>22.216441991616154</v>
      </c>
      <c r="G64">
        <f t="shared" ca="1" si="2"/>
        <v>62</v>
      </c>
      <c r="H64">
        <f t="shared" ca="1" si="3"/>
        <v>1377.4194034802015</v>
      </c>
      <c r="I64">
        <f t="shared" ca="1" si="4"/>
        <v>35949.746394877751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32548</v>
      </c>
      <c r="B67" s="66">
        <v>32548</v>
      </c>
      <c r="D67">
        <f t="shared" ref="D67:D130" si="5">IFERROR(100*A67/MAX(A$2:A$257), 0 )</f>
        <v>24.539340752133658</v>
      </c>
      <c r="E67">
        <f t="shared" ref="E67:E130" si="6">IFERROR(100*B67/MAX(B$2:B$257), 0 )</f>
        <v>24.539340752133658</v>
      </c>
      <c r="G67">
        <f t="shared" ref="G67:G130" ca="1" si="7">CELL("row",D67)-2</f>
        <v>65</v>
      </c>
      <c r="H67">
        <f t="shared" ref="H67:H130" ca="1" si="8">D67*G67</f>
        <v>1595.0571488886878</v>
      </c>
      <c r="I67">
        <f t="shared" ref="I67:I130" ca="1" si="9">D67*((G67-$L$1)^2)</f>
        <v>34006.652007123761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36325</v>
      </c>
      <c r="B69" s="66">
        <v>36325</v>
      </c>
      <c r="D69">
        <f t="shared" si="5"/>
        <v>27.386983925932629</v>
      </c>
      <c r="E69">
        <f t="shared" si="6"/>
        <v>27.386983925932629</v>
      </c>
      <c r="G69">
        <f t="shared" ca="1" si="7"/>
        <v>67</v>
      </c>
      <c r="H69">
        <f t="shared" ca="1" si="8"/>
        <v>1834.9279230374862</v>
      </c>
      <c r="I69">
        <f t="shared" ca="1" si="9"/>
        <v>33984.397609831758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47485</v>
      </c>
      <c r="B72" s="66">
        <v>47485</v>
      </c>
      <c r="D72">
        <f t="shared" si="5"/>
        <v>35.800989173376763</v>
      </c>
      <c r="E72">
        <f t="shared" si="6"/>
        <v>35.800989173376763</v>
      </c>
      <c r="G72">
        <f t="shared" ca="1" si="7"/>
        <v>70</v>
      </c>
      <c r="H72">
        <f t="shared" ca="1" si="8"/>
        <v>2506.0692421363733</v>
      </c>
      <c r="I72">
        <f t="shared" ca="1" si="9"/>
        <v>37180.68187380553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55406</v>
      </c>
      <c r="B75" s="66">
        <v>55406</v>
      </c>
      <c r="D75">
        <f t="shared" si="5"/>
        <v>41.772972646943515</v>
      </c>
      <c r="E75">
        <f t="shared" si="6"/>
        <v>41.772972646943515</v>
      </c>
      <c r="G75">
        <f t="shared" ca="1" si="7"/>
        <v>73</v>
      </c>
      <c r="H75">
        <f t="shared" ca="1" si="8"/>
        <v>3049.4270032268764</v>
      </c>
      <c r="I75">
        <f t="shared" ca="1" si="9"/>
        <v>35681.626017232935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70503</v>
      </c>
      <c r="B77" s="66">
        <v>70503</v>
      </c>
      <c r="D77">
        <f t="shared" si="5"/>
        <v>53.15525196779155</v>
      </c>
      <c r="E77">
        <f t="shared" si="6"/>
        <v>53.15525196779155</v>
      </c>
      <c r="G77">
        <f t="shared" ca="1" si="7"/>
        <v>75</v>
      </c>
      <c r="H77">
        <f t="shared" ca="1" si="8"/>
        <v>3986.6438975843662</v>
      </c>
      <c r="I77">
        <f t="shared" ca="1" si="9"/>
        <v>39402.622508076165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76927</v>
      </c>
      <c r="B80" s="66">
        <v>76927</v>
      </c>
      <c r="D80">
        <f t="shared" si="5"/>
        <v>57.998582586929643</v>
      </c>
      <c r="E80">
        <f t="shared" si="6"/>
        <v>57.998582586929643</v>
      </c>
      <c r="G80">
        <f t="shared" ca="1" si="7"/>
        <v>78</v>
      </c>
      <c r="H80">
        <f t="shared" ca="1" si="8"/>
        <v>4523.8894417805122</v>
      </c>
      <c r="I80">
        <f t="shared" ca="1" si="9"/>
        <v>34040.306943687472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86238</v>
      </c>
      <c r="B82" s="66">
        <v>86238</v>
      </c>
      <c r="D82">
        <f t="shared" si="5"/>
        <v>65.018547000814252</v>
      </c>
      <c r="E82">
        <f t="shared" si="6"/>
        <v>65.018547000814252</v>
      </c>
      <c r="G82">
        <f t="shared" ca="1" si="7"/>
        <v>80</v>
      </c>
      <c r="H82">
        <f t="shared" ca="1" si="8"/>
        <v>5201.4837600651399</v>
      </c>
      <c r="I82">
        <f t="shared" ca="1" si="9"/>
        <v>32119.862754331138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92606</v>
      </c>
      <c r="B85" s="66">
        <v>92606</v>
      </c>
      <c r="D85">
        <f t="shared" si="5"/>
        <v>69.819656805090631</v>
      </c>
      <c r="E85">
        <f t="shared" si="6"/>
        <v>69.819656805090631</v>
      </c>
      <c r="G85">
        <f t="shared" ca="1" si="7"/>
        <v>83</v>
      </c>
      <c r="H85">
        <f t="shared" ca="1" si="8"/>
        <v>5795.0315148225227</v>
      </c>
      <c r="I85">
        <f t="shared" ca="1" si="9"/>
        <v>25809.021543704472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103956</v>
      </c>
      <c r="B88" s="66">
        <v>103956</v>
      </c>
      <c r="D88">
        <f t="shared" si="5"/>
        <v>78.37691124581562</v>
      </c>
      <c r="E88">
        <f t="shared" si="6"/>
        <v>78.37691124581562</v>
      </c>
      <c r="G88">
        <f t="shared" ca="1" si="7"/>
        <v>86</v>
      </c>
      <c r="H88">
        <f t="shared" ca="1" si="8"/>
        <v>6740.4143671401434</v>
      </c>
      <c r="I88">
        <f t="shared" ca="1" si="9"/>
        <v>20636.212525601604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108055</v>
      </c>
      <c r="B90" s="66">
        <v>108055</v>
      </c>
      <c r="D90">
        <f t="shared" si="5"/>
        <v>81.467324105069508</v>
      </c>
      <c r="E90">
        <f t="shared" si="6"/>
        <v>81.467324105069508</v>
      </c>
      <c r="G90">
        <f t="shared" ca="1" si="7"/>
        <v>88</v>
      </c>
      <c r="H90">
        <f t="shared" ca="1" si="8"/>
        <v>7169.1245212461163</v>
      </c>
      <c r="I90">
        <f t="shared" ca="1" si="9"/>
        <v>16488.100358816482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111393</v>
      </c>
      <c r="B93" s="66">
        <v>111393</v>
      </c>
      <c r="D93">
        <f t="shared" si="5"/>
        <v>83.983986248077443</v>
      </c>
      <c r="E93">
        <f t="shared" si="6"/>
        <v>83.983986248077443</v>
      </c>
      <c r="G93">
        <f t="shared" ca="1" si="7"/>
        <v>91</v>
      </c>
      <c r="H93">
        <f t="shared" ca="1" si="8"/>
        <v>7642.542748575047</v>
      </c>
      <c r="I93">
        <f t="shared" ca="1" si="9"/>
        <v>10584.586197072529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116740</v>
      </c>
      <c r="B95" s="66">
        <v>116740</v>
      </c>
      <c r="D95">
        <f t="shared" si="5"/>
        <v>88.015320124249826</v>
      </c>
      <c r="E95">
        <f t="shared" si="6"/>
        <v>88.015320124249826</v>
      </c>
      <c r="G95">
        <f t="shared" ca="1" si="7"/>
        <v>93</v>
      </c>
      <c r="H95">
        <f t="shared" ca="1" si="8"/>
        <v>8185.4247715552337</v>
      </c>
      <c r="I95">
        <f t="shared" ca="1" si="9"/>
        <v>7492.3562720575173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124220</v>
      </c>
      <c r="B98" s="66">
        <v>124220</v>
      </c>
      <c r="D98">
        <f t="shared" si="5"/>
        <v>93.654814680780476</v>
      </c>
      <c r="E98">
        <f t="shared" si="6"/>
        <v>93.654814680780476</v>
      </c>
      <c r="G98">
        <f t="shared" ca="1" si="7"/>
        <v>96</v>
      </c>
      <c r="H98">
        <f t="shared" ca="1" si="8"/>
        <v>8990.8622093549257</v>
      </c>
      <c r="I98">
        <f t="shared" ca="1" si="9"/>
        <v>3630.760552217756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122079</v>
      </c>
      <c r="B100" s="66">
        <v>122079</v>
      </c>
      <c r="D100">
        <f t="shared" si="5"/>
        <v>92.040622455441962</v>
      </c>
      <c r="E100">
        <f t="shared" si="6"/>
        <v>92.040622455441962</v>
      </c>
      <c r="G100">
        <f t="shared" ca="1" si="7"/>
        <v>98</v>
      </c>
      <c r="H100">
        <f t="shared" ca="1" si="8"/>
        <v>9019.9810006333119</v>
      </c>
      <c r="I100">
        <f t="shared" ca="1" si="9"/>
        <v>1644.0352089652915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122732</v>
      </c>
      <c r="B103" s="66">
        <v>122732</v>
      </c>
      <c r="D103">
        <f t="shared" si="5"/>
        <v>92.532947314454603</v>
      </c>
      <c r="E103">
        <f t="shared" si="6"/>
        <v>92.532947314454603</v>
      </c>
      <c r="G103">
        <f t="shared" ca="1" si="7"/>
        <v>101</v>
      </c>
      <c r="H103">
        <f t="shared" ca="1" si="8"/>
        <v>9345.8276787599152</v>
      </c>
      <c r="I103">
        <f t="shared" ca="1" si="9"/>
        <v>139.16419060963037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125042</v>
      </c>
      <c r="B106" s="66">
        <v>125042</v>
      </c>
      <c r="D106">
        <f t="shared" si="5"/>
        <v>94.274555927500828</v>
      </c>
      <c r="E106">
        <f t="shared" si="6"/>
        <v>94.274555927500828</v>
      </c>
      <c r="G106">
        <f t="shared" ca="1" si="7"/>
        <v>104</v>
      </c>
      <c r="H106">
        <f t="shared" ca="1" si="8"/>
        <v>9804.5538164600857</v>
      </c>
      <c r="I106">
        <f t="shared" ca="1" si="9"/>
        <v>296.57107995425383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128205</v>
      </c>
      <c r="B108" s="66">
        <v>128205</v>
      </c>
      <c r="D108">
        <f t="shared" si="5"/>
        <v>96.65927802406587</v>
      </c>
      <c r="E108">
        <f t="shared" si="6"/>
        <v>96.65927802406587</v>
      </c>
      <c r="G108">
        <f t="shared" ca="1" si="7"/>
        <v>106</v>
      </c>
      <c r="H108">
        <f t="shared" ca="1" si="8"/>
        <v>10245.883470550982</v>
      </c>
      <c r="I108">
        <f t="shared" ca="1" si="9"/>
        <v>1376.467801516565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131282</v>
      </c>
      <c r="B111" s="66">
        <v>131282</v>
      </c>
      <c r="D111">
        <f t="shared" si="5"/>
        <v>98.979161012093243</v>
      </c>
      <c r="E111">
        <f t="shared" si="6"/>
        <v>98.979161012093243</v>
      </c>
      <c r="G111">
        <f t="shared" ca="1" si="7"/>
        <v>109</v>
      </c>
      <c r="H111">
        <f t="shared" ca="1" si="8"/>
        <v>10788.728550318163</v>
      </c>
      <c r="I111">
        <f t="shared" ca="1" si="9"/>
        <v>4541.3907310845698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132636</v>
      </c>
      <c r="B113" s="66">
        <v>132636</v>
      </c>
      <c r="D113">
        <f t="shared" si="5"/>
        <v>100</v>
      </c>
      <c r="E113">
        <f t="shared" si="6"/>
        <v>100</v>
      </c>
      <c r="G113">
        <f t="shared" ca="1" si="7"/>
        <v>111</v>
      </c>
      <c r="H113">
        <f t="shared" ca="1" si="8"/>
        <v>11100</v>
      </c>
      <c r="I113">
        <f t="shared" ca="1" si="9"/>
        <v>7697.6879027608265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122051</v>
      </c>
      <c r="B116" s="66">
        <v>122051</v>
      </c>
      <c r="D116">
        <f t="shared" si="5"/>
        <v>92.019512048011094</v>
      </c>
      <c r="E116">
        <f t="shared" si="6"/>
        <v>92.019512048011094</v>
      </c>
      <c r="G116">
        <f t="shared" ca="1" si="7"/>
        <v>114</v>
      </c>
      <c r="H116">
        <f t="shared" ca="1" si="8"/>
        <v>10490.224373473266</v>
      </c>
      <c r="I116">
        <f t="shared" ca="1" si="9"/>
        <v>12755.630666984989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119669</v>
      </c>
      <c r="B118" s="66">
        <v>119669</v>
      </c>
      <c r="D118">
        <f t="shared" si="5"/>
        <v>90.223619530142642</v>
      </c>
      <c r="E118">
        <f t="shared" si="6"/>
        <v>90.223619530142642</v>
      </c>
      <c r="G118">
        <f t="shared" ca="1" si="7"/>
        <v>116</v>
      </c>
      <c r="H118">
        <f t="shared" ca="1" si="8"/>
        <v>10465.939865496546</v>
      </c>
      <c r="I118">
        <f t="shared" ca="1" si="9"/>
        <v>17116.624886045687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109009</v>
      </c>
      <c r="B121" s="66">
        <v>109009</v>
      </c>
      <c r="D121">
        <f t="shared" si="5"/>
        <v>82.186585843963925</v>
      </c>
      <c r="E121">
        <f t="shared" si="6"/>
        <v>82.186585843963925</v>
      </c>
      <c r="G121">
        <f t="shared" ca="1" si="7"/>
        <v>119</v>
      </c>
      <c r="H121">
        <f t="shared" ca="1" si="8"/>
        <v>9780.2037154317077</v>
      </c>
      <c r="I121">
        <f t="shared" ca="1" si="9"/>
        <v>23123.62564868429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108674</v>
      </c>
      <c r="B124" s="66">
        <v>108674</v>
      </c>
      <c r="D124">
        <f t="shared" si="5"/>
        <v>81.9340148979161</v>
      </c>
      <c r="E124">
        <f t="shared" si="6"/>
        <v>81.9340148979161</v>
      </c>
      <c r="G124">
        <f t="shared" ca="1" si="7"/>
        <v>122</v>
      </c>
      <c r="H124">
        <f t="shared" ca="1" si="8"/>
        <v>9995.9498175457647</v>
      </c>
      <c r="I124">
        <f t="shared" ca="1" si="9"/>
        <v>32035.963011316351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98588</v>
      </c>
      <c r="B126" s="66">
        <v>98588</v>
      </c>
      <c r="D126">
        <f t="shared" si="5"/>
        <v>74.329744564070083</v>
      </c>
      <c r="E126">
        <f t="shared" si="6"/>
        <v>74.329744564070083</v>
      </c>
      <c r="G126">
        <f t="shared" ca="1" si="7"/>
        <v>124</v>
      </c>
      <c r="H126">
        <f t="shared" ca="1" si="8"/>
        <v>9216.8883259446902</v>
      </c>
      <c r="I126">
        <f t="shared" ca="1" si="9"/>
        <v>35239.114745139042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86654</v>
      </c>
      <c r="B129" s="66">
        <v>86654</v>
      </c>
      <c r="D129">
        <f t="shared" si="5"/>
        <v>65.332187339787083</v>
      </c>
      <c r="E129">
        <f t="shared" si="6"/>
        <v>65.332187339787083</v>
      </c>
      <c r="G129">
        <f t="shared" ca="1" si="7"/>
        <v>127</v>
      </c>
      <c r="H129">
        <f t="shared" ca="1" si="8"/>
        <v>8297.1877921529594</v>
      </c>
      <c r="I129">
        <f t="shared" ca="1" si="9"/>
        <v>40096.557106993096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73521</v>
      </c>
      <c r="B131" s="66">
        <v>73521</v>
      </c>
      <c r="D131">
        <f t="shared" ref="D131:D194" si="10">IFERROR(100*A131/MAX(A$2:A$257), 0 )</f>
        <v>55.430652311589611</v>
      </c>
      <c r="E131">
        <f t="shared" ref="E131:E194" si="11">IFERROR(100*B131/MAX(B$2:B$257), 0 )</f>
        <v>55.430652311589611</v>
      </c>
      <c r="G131">
        <f t="shared" ref="G131:G194" ca="1" si="12">CELL("row",D131)-2</f>
        <v>129</v>
      </c>
      <c r="H131">
        <f t="shared" ref="H131:H194" ca="1" si="13">D131*G131</f>
        <v>7150.5541481950595</v>
      </c>
      <c r="I131">
        <f t="shared" ref="I131:I194" ca="1" si="14">D131*((G131-$L$1)^2)</f>
        <v>39734.252813680992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65808</v>
      </c>
      <c r="B134" s="66">
        <v>65808</v>
      </c>
      <c r="D134">
        <f t="shared" si="10"/>
        <v>49.615489007509275</v>
      </c>
      <c r="E134">
        <f t="shared" si="11"/>
        <v>49.615489007509275</v>
      </c>
      <c r="G134">
        <f t="shared" ca="1" si="12"/>
        <v>132</v>
      </c>
      <c r="H134">
        <f t="shared" ca="1" si="13"/>
        <v>6549.2445489912243</v>
      </c>
      <c r="I134">
        <f t="shared" ca="1" si="14"/>
        <v>43982.644856417086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59499</v>
      </c>
      <c r="B136" s="66">
        <v>59499</v>
      </c>
      <c r="D136">
        <f t="shared" si="10"/>
        <v>44.858861847462229</v>
      </c>
      <c r="E136">
        <f t="shared" si="11"/>
        <v>44.858861847462229</v>
      </c>
      <c r="G136">
        <f t="shared" ca="1" si="12"/>
        <v>134</v>
      </c>
      <c r="H136">
        <f t="shared" ca="1" si="13"/>
        <v>6011.0874875599384</v>
      </c>
      <c r="I136">
        <f t="shared" ca="1" si="14"/>
        <v>45287.920445955569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53998</v>
      </c>
      <c r="B139" s="66">
        <v>53998</v>
      </c>
      <c r="D139">
        <f t="shared" si="10"/>
        <v>40.711420730420095</v>
      </c>
      <c r="E139">
        <f t="shared" si="11"/>
        <v>40.711420730420095</v>
      </c>
      <c r="G139">
        <f t="shared" ca="1" si="12"/>
        <v>137</v>
      </c>
      <c r="H139">
        <f t="shared" ca="1" si="13"/>
        <v>5577.4646400675529</v>
      </c>
      <c r="I139">
        <f t="shared" ca="1" si="14"/>
        <v>49228.515188874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46950</v>
      </c>
      <c r="B142" s="66">
        <v>46950</v>
      </c>
      <c r="D142">
        <f t="shared" si="10"/>
        <v>35.397629602822761</v>
      </c>
      <c r="E142">
        <f t="shared" si="11"/>
        <v>35.397629602822761</v>
      </c>
      <c r="G142">
        <f t="shared" ca="1" si="12"/>
        <v>140</v>
      </c>
      <c r="H142">
        <f t="shared" ca="1" si="13"/>
        <v>4955.6681443951866</v>
      </c>
      <c r="I142">
        <f t="shared" ca="1" si="14"/>
        <v>50507.051030140217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43440</v>
      </c>
      <c r="B144" s="66">
        <v>43440</v>
      </c>
      <c r="D144">
        <f t="shared" si="10"/>
        <v>32.751289242739524</v>
      </c>
      <c r="E144">
        <f t="shared" si="11"/>
        <v>32.751289242739524</v>
      </c>
      <c r="G144">
        <f t="shared" ca="1" si="12"/>
        <v>142</v>
      </c>
      <c r="H144">
        <f t="shared" ca="1" si="13"/>
        <v>4650.6830724690126</v>
      </c>
      <c r="I144">
        <f t="shared" ca="1" si="14"/>
        <v>51810.672223165959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40535</v>
      </c>
      <c r="B147" s="66">
        <v>40535</v>
      </c>
      <c r="D147">
        <f t="shared" si="10"/>
        <v>30.561084471787449</v>
      </c>
      <c r="E147">
        <f t="shared" si="11"/>
        <v>30.561084471787449</v>
      </c>
      <c r="G147">
        <f t="shared" ca="1" si="12"/>
        <v>145</v>
      </c>
      <c r="H147">
        <f t="shared" ca="1" si="13"/>
        <v>4431.3572484091801</v>
      </c>
      <c r="I147">
        <f t="shared" ca="1" si="14"/>
        <v>55914.097599824345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37532</v>
      </c>
      <c r="B149" s="66">
        <v>37532</v>
      </c>
      <c r="D149">
        <f t="shared" si="10"/>
        <v>28.296993274827347</v>
      </c>
      <c r="E149">
        <f t="shared" si="11"/>
        <v>28.296993274827347</v>
      </c>
      <c r="G149">
        <f t="shared" ca="1" si="12"/>
        <v>147</v>
      </c>
      <c r="H149">
        <f t="shared" ca="1" si="13"/>
        <v>4159.6580113996197</v>
      </c>
      <c r="I149">
        <f t="shared" ca="1" si="14"/>
        <v>56726.400975441771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35428</v>
      </c>
      <c r="B152" s="66">
        <v>35428</v>
      </c>
      <c r="D152">
        <f t="shared" si="10"/>
        <v>26.710696945022466</v>
      </c>
      <c r="E152">
        <f t="shared" si="11"/>
        <v>26.710696945022466</v>
      </c>
      <c r="G152">
        <f t="shared" ca="1" si="12"/>
        <v>150</v>
      </c>
      <c r="H152">
        <f t="shared" ca="1" si="13"/>
        <v>4006.6045417533701</v>
      </c>
      <c r="I152">
        <f t="shared" ca="1" si="14"/>
        <v>60962.393463191045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27555</v>
      </c>
      <c r="B154" s="66">
        <v>27555</v>
      </c>
      <c r="D154">
        <f t="shared" si="10"/>
        <v>20.774902741337193</v>
      </c>
      <c r="E154">
        <f t="shared" si="11"/>
        <v>20.774902741337193</v>
      </c>
      <c r="G154">
        <f t="shared" ca="1" si="12"/>
        <v>152</v>
      </c>
      <c r="H154">
        <f t="shared" ca="1" si="13"/>
        <v>3157.7852166832536</v>
      </c>
      <c r="I154">
        <f t="shared" ca="1" si="14"/>
        <v>51468.074800926712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21695</v>
      </c>
      <c r="B157" s="66">
        <v>21695</v>
      </c>
      <c r="D157">
        <f t="shared" si="10"/>
        <v>16.356796043306492</v>
      </c>
      <c r="E157">
        <f t="shared" si="11"/>
        <v>16.356796043306492</v>
      </c>
      <c r="G157">
        <f t="shared" ca="1" si="12"/>
        <v>155</v>
      </c>
      <c r="H157">
        <f t="shared" ca="1" si="13"/>
        <v>2535.3033867125064</v>
      </c>
      <c r="I157">
        <f t="shared" ca="1" si="14"/>
        <v>45554.622431598727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19714</v>
      </c>
      <c r="B160" s="66">
        <v>19714</v>
      </c>
      <c r="D160">
        <f t="shared" si="10"/>
        <v>14.863234717572906</v>
      </c>
      <c r="E160">
        <f t="shared" si="11"/>
        <v>14.863234717572906</v>
      </c>
      <c r="G160">
        <f t="shared" ca="1" si="12"/>
        <v>158</v>
      </c>
      <c r="H160">
        <f t="shared" ca="1" si="13"/>
        <v>2348.3910853765192</v>
      </c>
      <c r="I160">
        <f t="shared" ca="1" si="14"/>
        <v>46235.059521568037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17157</v>
      </c>
      <c r="B162" s="66">
        <v>17157</v>
      </c>
      <c r="D162">
        <f t="shared" si="10"/>
        <v>12.935402153261558</v>
      </c>
      <c r="E162">
        <f t="shared" si="11"/>
        <v>12.935402153261558</v>
      </c>
      <c r="G162">
        <f t="shared" ca="1" si="12"/>
        <v>160</v>
      </c>
      <c r="H162">
        <f t="shared" ca="1" si="13"/>
        <v>2069.6643445218492</v>
      </c>
      <c r="I162">
        <f t="shared" ca="1" si="14"/>
        <v>43175.711190029477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14658</v>
      </c>
      <c r="B165" s="66">
        <v>14658</v>
      </c>
      <c r="D165">
        <f t="shared" si="10"/>
        <v>11.051298290056998</v>
      </c>
      <c r="E165">
        <f t="shared" si="11"/>
        <v>11.051298290056998</v>
      </c>
      <c r="G165">
        <f t="shared" ca="1" si="12"/>
        <v>163</v>
      </c>
      <c r="H165">
        <f t="shared" ca="1" si="13"/>
        <v>1801.3616212792906</v>
      </c>
      <c r="I165">
        <f t="shared" ca="1" si="14"/>
        <v>40817.264623337258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11771</v>
      </c>
      <c r="B167" s="66">
        <v>11771</v>
      </c>
      <c r="D167">
        <f t="shared" si="10"/>
        <v>8.8746644953104745</v>
      </c>
      <c r="E167">
        <f t="shared" si="11"/>
        <v>8.8746644953104745</v>
      </c>
      <c r="G167">
        <f t="shared" ca="1" si="12"/>
        <v>165</v>
      </c>
      <c r="H167">
        <f t="shared" ca="1" si="13"/>
        <v>1464.3196417262284</v>
      </c>
      <c r="I167">
        <f t="shared" ca="1" si="14"/>
        <v>34970.888239410968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10046</v>
      </c>
      <c r="B170" s="66">
        <v>10046</v>
      </c>
      <c r="D170">
        <f t="shared" si="10"/>
        <v>7.5741126089447812</v>
      </c>
      <c r="E170">
        <f t="shared" si="11"/>
        <v>7.5741126089447812</v>
      </c>
      <c r="G170">
        <f t="shared" ca="1" si="12"/>
        <v>168</v>
      </c>
      <c r="H170">
        <f t="shared" ca="1" si="13"/>
        <v>1272.4509183027233</v>
      </c>
      <c r="I170">
        <f t="shared" ca="1" si="14"/>
        <v>32766.918588036624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8190</v>
      </c>
      <c r="B173" s="66">
        <v>8190</v>
      </c>
      <c r="D173">
        <f t="shared" si="10"/>
        <v>6.1747941735275491</v>
      </c>
      <c r="E173">
        <f t="shared" si="11"/>
        <v>6.1747941735275491</v>
      </c>
      <c r="G173">
        <f t="shared" ca="1" si="12"/>
        <v>171</v>
      </c>
      <c r="H173">
        <f t="shared" ca="1" si="13"/>
        <v>1055.889803673211</v>
      </c>
      <c r="I173">
        <f t="shared" ca="1" si="14"/>
        <v>29205.631021928555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8358</v>
      </c>
      <c r="B175" s="66">
        <v>8358</v>
      </c>
      <c r="D175">
        <f t="shared" si="10"/>
        <v>6.3014566181127298</v>
      </c>
      <c r="E175">
        <f t="shared" si="11"/>
        <v>6.3014566181127298</v>
      </c>
      <c r="G175">
        <f t="shared" ca="1" si="12"/>
        <v>173</v>
      </c>
      <c r="H175">
        <f t="shared" ca="1" si="13"/>
        <v>1090.1519949335022</v>
      </c>
      <c r="I175">
        <f t="shared" ca="1" si="14"/>
        <v>31563.42332386618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6453</v>
      </c>
      <c r="B178" s="66">
        <v>6453</v>
      </c>
      <c r="D178">
        <f t="shared" si="10"/>
        <v>4.8651949696914869</v>
      </c>
      <c r="E178">
        <f t="shared" si="11"/>
        <v>4.8651949696914869</v>
      </c>
      <c r="G178">
        <f t="shared" ca="1" si="12"/>
        <v>176</v>
      </c>
      <c r="H178">
        <f t="shared" ca="1" si="13"/>
        <v>856.2743146657017</v>
      </c>
      <c r="I178">
        <f t="shared" ca="1" si="14"/>
        <v>26479.071598481682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5958</v>
      </c>
      <c r="B180" s="66">
        <v>5958</v>
      </c>
      <c r="D180">
        <f t="shared" si="10"/>
        <v>4.4919931240387223</v>
      </c>
      <c r="E180">
        <f t="shared" si="11"/>
        <v>4.4919931240387223</v>
      </c>
      <c r="G180">
        <f t="shared" ca="1" si="12"/>
        <v>178</v>
      </c>
      <c r="H180">
        <f t="shared" ca="1" si="13"/>
        <v>799.57477607889257</v>
      </c>
      <c r="I180">
        <f t="shared" ca="1" si="14"/>
        <v>25791.432361669133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5178</v>
      </c>
      <c r="B183" s="66">
        <v>5178</v>
      </c>
      <c r="D183">
        <f t="shared" si="10"/>
        <v>3.9039174884646703</v>
      </c>
      <c r="E183">
        <f t="shared" si="11"/>
        <v>3.9039174884646703</v>
      </c>
      <c r="G183">
        <f t="shared" ca="1" si="12"/>
        <v>181</v>
      </c>
      <c r="H183">
        <f t="shared" ca="1" si="13"/>
        <v>706.60906541210534</v>
      </c>
      <c r="I183">
        <f t="shared" ca="1" si="14"/>
        <v>24224.930149614927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3480</v>
      </c>
      <c r="B185" s="66">
        <v>3480</v>
      </c>
      <c r="D185">
        <f t="shared" si="10"/>
        <v>2.6237220664073102</v>
      </c>
      <c r="E185">
        <f t="shared" si="11"/>
        <v>2.6237220664073102</v>
      </c>
      <c r="G185">
        <f t="shared" ca="1" si="12"/>
        <v>183</v>
      </c>
      <c r="H185">
        <f t="shared" ca="1" si="13"/>
        <v>480.14113815253779</v>
      </c>
      <c r="I185">
        <f t="shared" ca="1" si="14"/>
        <v>17118.165089335489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1558</v>
      </c>
      <c r="B188" s="66">
        <v>1558</v>
      </c>
      <c r="D188">
        <f t="shared" si="10"/>
        <v>1.1746433849030429</v>
      </c>
      <c r="E188">
        <f t="shared" si="11"/>
        <v>1.1746433849030429</v>
      </c>
      <c r="G188">
        <f t="shared" ca="1" si="12"/>
        <v>186</v>
      </c>
      <c r="H188">
        <f t="shared" ca="1" si="13"/>
        <v>218.48366959196596</v>
      </c>
      <c r="I188">
        <f t="shared" ca="1" si="14"/>
        <v>8243.675356684138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1035</v>
      </c>
      <c r="B191" s="66">
        <v>1035</v>
      </c>
      <c r="D191">
        <f t="shared" si="10"/>
        <v>0.78033113181941549</v>
      </c>
      <c r="E191">
        <f t="shared" si="11"/>
        <v>0.78033113181941549</v>
      </c>
      <c r="G191">
        <f t="shared" ca="1" si="12"/>
        <v>189</v>
      </c>
      <c r="H191">
        <f t="shared" ca="1" si="13"/>
        <v>147.48258391386952</v>
      </c>
      <c r="I191">
        <f t="shared" ca="1" si="14"/>
        <v>5875.6326261363456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971</v>
      </c>
      <c r="B193" s="66">
        <v>971</v>
      </c>
      <c r="D193">
        <f t="shared" si="10"/>
        <v>0.73207877197744198</v>
      </c>
      <c r="E193">
        <f t="shared" si="11"/>
        <v>0.73207877197744198</v>
      </c>
      <c r="G193">
        <f t="shared" ca="1" si="12"/>
        <v>191</v>
      </c>
      <c r="H193">
        <f t="shared" ca="1" si="13"/>
        <v>139.8270454476914</v>
      </c>
      <c r="I193">
        <f t="shared" ca="1" si="14"/>
        <v>5769.3373774591391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399</v>
      </c>
      <c r="B196" s="66">
        <v>399</v>
      </c>
      <c r="D196">
        <f t="shared" si="15"/>
        <v>0.30082330588980366</v>
      </c>
      <c r="E196">
        <f t="shared" si="16"/>
        <v>0.30082330588980366</v>
      </c>
      <c r="G196">
        <f t="shared" ca="1" si="17"/>
        <v>194</v>
      </c>
      <c r="H196">
        <f t="shared" ca="1" si="18"/>
        <v>58.35972134262191</v>
      </c>
      <c r="I196">
        <f t="shared" ca="1" si="19"/>
        <v>2533.6548901625511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435</v>
      </c>
      <c r="B198" s="66">
        <v>435</v>
      </c>
      <c r="D198">
        <f t="shared" si="15"/>
        <v>0.32796525830091378</v>
      </c>
      <c r="E198">
        <f t="shared" si="16"/>
        <v>0.32796525830091378</v>
      </c>
      <c r="G198">
        <f t="shared" ca="1" si="17"/>
        <v>196</v>
      </c>
      <c r="H198">
        <f t="shared" ca="1" si="18"/>
        <v>64.281190626979097</v>
      </c>
      <c r="I198">
        <f t="shared" ca="1" si="19"/>
        <v>2883.9614635893736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44</v>
      </c>
      <c r="B201" s="66">
        <v>44</v>
      </c>
      <c r="D201">
        <f t="shared" si="15"/>
        <v>3.3173497391356797E-2</v>
      </c>
      <c r="E201">
        <f t="shared" si="16"/>
        <v>3.3173497391356797E-2</v>
      </c>
      <c r="G201">
        <f t="shared" ca="1" si="17"/>
        <v>199</v>
      </c>
      <c r="H201">
        <f t="shared" ca="1" si="18"/>
        <v>6.6015259808800026</v>
      </c>
      <c r="I201">
        <f t="shared" ca="1" si="19"/>
        <v>310.67440504417215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352</v>
      </c>
      <c r="B1" s="68" t="s">
        <v>353</v>
      </c>
      <c r="C1" s="32" t="s">
        <v>354</v>
      </c>
      <c r="D1" s="32" t="s">
        <v>355</v>
      </c>
      <c r="E1" s="32" t="s">
        <v>356</v>
      </c>
    </row>
    <row r="2" spans="1:5">
      <c r="A2" s="68">
        <v>0.249644</v>
      </c>
      <c r="B2" s="68">
        <v>0.50843400000000005</v>
      </c>
      <c r="C2" s="68">
        <v>0</v>
      </c>
      <c r="D2" s="68">
        <v>1</v>
      </c>
      <c r="E2" s="68" t="s">
        <v>357</v>
      </c>
    </row>
    <row r="3" spans="1:5">
      <c r="A3" s="68">
        <v>0.25545000000000001</v>
      </c>
      <c r="B3" s="68">
        <v>0.49811100000000003</v>
      </c>
      <c r="C3" s="68">
        <v>0.40865000000000001</v>
      </c>
      <c r="D3" s="89">
        <v>1</v>
      </c>
      <c r="E3" s="68" t="s">
        <v>358</v>
      </c>
    </row>
    <row r="4" spans="1:5">
      <c r="A4" s="68">
        <v>0.26159300000000002</v>
      </c>
      <c r="B4" s="68">
        <v>0.48622799999999999</v>
      </c>
      <c r="C4" s="68">
        <v>0.81341799999999997</v>
      </c>
      <c r="D4" s="89">
        <v>1</v>
      </c>
      <c r="E4" s="68" t="s">
        <v>359</v>
      </c>
    </row>
    <row r="5" spans="1:5">
      <c r="A5" s="89">
        <v>0.26804</v>
      </c>
      <c r="B5" s="89">
        <v>0.47459299999999999</v>
      </c>
      <c r="C5" s="89">
        <v>1.2194700000000001</v>
      </c>
      <c r="D5" s="89">
        <v>1</v>
      </c>
      <c r="E5" s="68" t="s">
        <v>360</v>
      </c>
    </row>
    <row r="6" spans="1:5">
      <c r="A6" s="68">
        <v>0.27461200000000002</v>
      </c>
      <c r="B6" s="68">
        <v>0.46316299999999999</v>
      </c>
      <c r="C6" s="68">
        <v>1.629</v>
      </c>
      <c r="D6" s="68">
        <v>1</v>
      </c>
      <c r="E6" s="68" t="s">
        <v>361</v>
      </c>
    </row>
    <row r="7" spans="1:5">
      <c r="A7" s="68">
        <v>0.28104699999999999</v>
      </c>
      <c r="B7" s="68">
        <v>0.45257599999999998</v>
      </c>
      <c r="C7" s="68">
        <v>2.0331999999999999</v>
      </c>
      <c r="D7" s="68">
        <v>1</v>
      </c>
      <c r="E7" s="68" t="s">
        <v>362</v>
      </c>
    </row>
    <row r="8" spans="1:5">
      <c r="A8" s="68">
        <v>0.287858</v>
      </c>
      <c r="B8" s="68">
        <v>0.44078899999999999</v>
      </c>
      <c r="C8" s="68">
        <v>2.4378700000000002</v>
      </c>
      <c r="D8" s="68">
        <v>1</v>
      </c>
      <c r="E8" s="68" t="s">
        <v>363</v>
      </c>
    </row>
    <row r="9" spans="1:5">
      <c r="A9" s="68">
        <v>0.29477700000000001</v>
      </c>
      <c r="B9" s="68">
        <v>0.42860599999999999</v>
      </c>
      <c r="C9" s="68">
        <v>2.8432300000000001</v>
      </c>
      <c r="D9" s="68">
        <v>1</v>
      </c>
      <c r="E9" s="68" t="s">
        <v>364</v>
      </c>
    </row>
    <row r="10" spans="1:5">
      <c r="A10" s="68">
        <v>0.30166100000000001</v>
      </c>
      <c r="B10" s="68">
        <v>0.41646699999999998</v>
      </c>
      <c r="C10" s="68">
        <v>3.2490000000000001</v>
      </c>
      <c r="D10" s="68">
        <v>1</v>
      </c>
      <c r="E10" s="68" t="s">
        <v>365</v>
      </c>
    </row>
    <row r="11" spans="1:5">
      <c r="A11" s="68">
        <v>0.30870199999999998</v>
      </c>
      <c r="B11" s="68">
        <v>0.40357999999999999</v>
      </c>
      <c r="C11" s="68">
        <v>3.6577500000000001</v>
      </c>
      <c r="D11" s="68">
        <v>1</v>
      </c>
      <c r="E11" s="68" t="s">
        <v>366</v>
      </c>
    </row>
    <row r="12" spans="1:5">
      <c r="A12" s="68">
        <v>0.31540600000000002</v>
      </c>
      <c r="B12" s="68">
        <v>0.39108500000000002</v>
      </c>
      <c r="C12" s="68">
        <v>4.0684100000000001</v>
      </c>
      <c r="D12" s="68">
        <v>1</v>
      </c>
      <c r="E12" s="68" t="s">
        <v>367</v>
      </c>
    </row>
    <row r="13" spans="1:5">
      <c r="A13" s="68">
        <v>0.321824</v>
      </c>
      <c r="B13" s="68">
        <v>0.380913</v>
      </c>
      <c r="C13" s="68">
        <v>4.4714299999999998</v>
      </c>
      <c r="D13" s="68">
        <v>1</v>
      </c>
      <c r="E13" s="68" t="s">
        <v>368</v>
      </c>
    </row>
    <row r="14" spans="1:5">
      <c r="A14" s="68">
        <v>0.32812400000000003</v>
      </c>
      <c r="B14" s="68">
        <v>0.37227300000000002</v>
      </c>
      <c r="C14" s="68">
        <v>4.8754499999999998</v>
      </c>
      <c r="D14" s="68">
        <v>1</v>
      </c>
      <c r="E14" s="68" t="s">
        <v>369</v>
      </c>
    </row>
    <row r="15" spans="1:5">
      <c r="A15" s="68">
        <v>0.33438400000000001</v>
      </c>
      <c r="B15" s="68">
        <v>0.36472399999999999</v>
      </c>
      <c r="C15" s="68">
        <v>5.2813100000000004</v>
      </c>
      <c r="D15" s="68">
        <v>1</v>
      </c>
      <c r="E15" s="68" t="s">
        <v>370</v>
      </c>
    </row>
    <row r="16" spans="1:5">
      <c r="A16" s="68">
        <v>0.34059499999999998</v>
      </c>
      <c r="B16" s="68">
        <v>0.35789900000000002</v>
      </c>
      <c r="C16" s="68">
        <v>5.6887999999999996</v>
      </c>
      <c r="D16" s="68">
        <v>1</v>
      </c>
      <c r="E16" s="68" t="s">
        <v>371</v>
      </c>
    </row>
    <row r="17" spans="1:5">
      <c r="A17" s="68">
        <v>0.34694700000000001</v>
      </c>
      <c r="B17" s="68">
        <v>0.35174299999999997</v>
      </c>
      <c r="C17" s="68">
        <v>6.0973800000000002</v>
      </c>
      <c r="D17" s="68">
        <v>1</v>
      </c>
      <c r="E17" s="68" t="s">
        <v>372</v>
      </c>
    </row>
    <row r="18" spans="1:5">
      <c r="A18" s="68">
        <v>0.35329100000000002</v>
      </c>
      <c r="B18" s="68">
        <v>0.34629599999999999</v>
      </c>
      <c r="C18" s="68">
        <v>6.5033500000000002</v>
      </c>
      <c r="D18" s="68">
        <v>1</v>
      </c>
      <c r="E18" s="68" t="s">
        <v>373</v>
      </c>
    </row>
    <row r="19" spans="1:5">
      <c r="A19" s="68">
        <v>0.35946400000000001</v>
      </c>
      <c r="B19" s="68">
        <v>0.34177800000000003</v>
      </c>
      <c r="C19" s="68">
        <v>6.9071899999999999</v>
      </c>
      <c r="D19" s="68">
        <v>1</v>
      </c>
      <c r="E19" s="68" t="s">
        <v>374</v>
      </c>
    </row>
    <row r="20" spans="1:5">
      <c r="A20" s="68">
        <v>0.36551299999999998</v>
      </c>
      <c r="B20" s="68">
        <v>0.33815400000000001</v>
      </c>
      <c r="C20" s="68">
        <v>7.3123399999999998</v>
      </c>
      <c r="D20" s="68">
        <v>1</v>
      </c>
      <c r="E20" s="68" t="s">
        <v>375</v>
      </c>
    </row>
    <row r="21" spans="1:5">
      <c r="A21" s="68">
        <v>0.37130000000000002</v>
      </c>
      <c r="B21" s="68">
        <v>0.336005</v>
      </c>
      <c r="C21" s="68">
        <v>7.7215299999999996</v>
      </c>
      <c r="D21" s="68">
        <v>1</v>
      </c>
      <c r="E21" s="68" t="s">
        <v>376</v>
      </c>
    </row>
    <row r="22" spans="1:5">
      <c r="A22" s="68">
        <v>0.37673400000000001</v>
      </c>
      <c r="B22" s="68">
        <v>0.33532699999999999</v>
      </c>
      <c r="C22" s="68">
        <v>8.1253600000000006</v>
      </c>
      <c r="D22" s="68">
        <v>1</v>
      </c>
      <c r="E22" s="68" t="s">
        <v>377</v>
      </c>
    </row>
    <row r="23" spans="1:5">
      <c r="A23" s="68">
        <v>0.38199100000000002</v>
      </c>
      <c r="B23" s="68">
        <v>0.33551399999999998</v>
      </c>
      <c r="C23" s="68">
        <v>8.5322899999999997</v>
      </c>
      <c r="D23" s="68">
        <v>1</v>
      </c>
      <c r="E23" s="68" t="s">
        <v>378</v>
      </c>
    </row>
    <row r="24" spans="1:5">
      <c r="A24" s="68">
        <v>0.38719799999999999</v>
      </c>
      <c r="B24" s="68">
        <v>0.33610000000000001</v>
      </c>
      <c r="C24" s="68">
        <v>8.9407399999999999</v>
      </c>
      <c r="D24" s="68">
        <v>1</v>
      </c>
      <c r="E24" s="68" t="s">
        <v>379</v>
      </c>
    </row>
    <row r="25" spans="1:5">
      <c r="A25" s="68">
        <v>0.39210699999999998</v>
      </c>
      <c r="B25" s="68">
        <v>0.33734900000000001</v>
      </c>
      <c r="C25" s="68">
        <v>9.3461700000000008</v>
      </c>
      <c r="D25" s="68">
        <v>1</v>
      </c>
      <c r="E25" s="68" t="s">
        <v>380</v>
      </c>
    </row>
    <row r="26" spans="1:5">
      <c r="A26" s="68">
        <v>0.39691500000000002</v>
      </c>
      <c r="B26" s="68">
        <v>0.33808100000000002</v>
      </c>
      <c r="C26" s="68">
        <v>9.7523099999999996</v>
      </c>
      <c r="D26" s="68">
        <v>1</v>
      </c>
      <c r="E26" s="68" t="s">
        <v>381</v>
      </c>
    </row>
    <row r="27" spans="1:5">
      <c r="A27" s="68">
        <v>0.40186899999999998</v>
      </c>
      <c r="B27" s="68">
        <v>0.33852599999999999</v>
      </c>
      <c r="C27" s="68">
        <v>10.157999999999999</v>
      </c>
      <c r="D27" s="68">
        <v>1</v>
      </c>
      <c r="E27" s="68" t="s">
        <v>382</v>
      </c>
    </row>
    <row r="28" spans="1:5">
      <c r="A28" s="68">
        <v>0.40652300000000002</v>
      </c>
      <c r="B28" s="68">
        <v>0.33870600000000001</v>
      </c>
      <c r="C28" s="68">
        <v>10.5639</v>
      </c>
      <c r="D28" s="68">
        <v>1</v>
      </c>
      <c r="E28" s="68" t="s">
        <v>383</v>
      </c>
    </row>
    <row r="29" spans="1:5">
      <c r="A29" s="68">
        <v>0.41055999999999998</v>
      </c>
      <c r="B29" s="68">
        <v>0.33934300000000001</v>
      </c>
      <c r="C29" s="68">
        <v>10.9718</v>
      </c>
      <c r="D29" s="68">
        <v>1</v>
      </c>
      <c r="E29" s="68" t="s">
        <v>384</v>
      </c>
    </row>
    <row r="30" spans="1:5">
      <c r="A30" s="68">
        <v>0.414711</v>
      </c>
      <c r="B30" s="68">
        <v>0.33940799999999999</v>
      </c>
      <c r="C30" s="68">
        <v>11.378399999999999</v>
      </c>
      <c r="D30" s="68">
        <v>1</v>
      </c>
      <c r="E30" s="68" t="s">
        <v>385</v>
      </c>
    </row>
    <row r="31" spans="1:5">
      <c r="A31" s="68">
        <v>0.41897499999999999</v>
      </c>
      <c r="B31" s="68">
        <v>0.33978999999999998</v>
      </c>
      <c r="C31" s="68">
        <v>11.7829</v>
      </c>
      <c r="D31" s="68">
        <v>1</v>
      </c>
      <c r="E31" s="68" t="s">
        <v>386</v>
      </c>
    </row>
    <row r="32" spans="1:5">
      <c r="A32" s="68">
        <v>0.42357600000000001</v>
      </c>
      <c r="B32" s="68">
        <v>0.33944400000000002</v>
      </c>
      <c r="C32" s="68">
        <v>12.1883</v>
      </c>
      <c r="D32" s="68">
        <v>1</v>
      </c>
      <c r="E32" s="68" t="s">
        <v>387</v>
      </c>
    </row>
    <row r="33" spans="1:5">
      <c r="A33" s="68">
        <v>0.428286</v>
      </c>
      <c r="B33" s="68">
        <v>0.337283</v>
      </c>
      <c r="C33" s="68">
        <v>12.595700000000001</v>
      </c>
      <c r="D33" s="68">
        <v>1</v>
      </c>
      <c r="E33" s="68" t="s">
        <v>388</v>
      </c>
    </row>
    <row r="34" spans="1:5">
      <c r="A34" s="68">
        <v>0.43310900000000002</v>
      </c>
      <c r="B34" s="68">
        <v>0.335034</v>
      </c>
      <c r="C34" s="68">
        <v>13.002599999999999</v>
      </c>
      <c r="D34" s="68">
        <v>1</v>
      </c>
      <c r="E34" s="68" t="s">
        <v>389</v>
      </c>
    </row>
    <row r="35" spans="1:5">
      <c r="A35" s="68">
        <v>0.43761800000000001</v>
      </c>
      <c r="B35" s="68">
        <v>0.33236500000000002</v>
      </c>
      <c r="C35" s="68">
        <v>13.409000000000001</v>
      </c>
      <c r="D35" s="68">
        <v>1</v>
      </c>
      <c r="E35" s="68" t="s">
        <v>390</v>
      </c>
    </row>
    <row r="36" spans="1:5">
      <c r="A36" s="68">
        <v>0.44198599999999999</v>
      </c>
      <c r="B36" s="68">
        <v>0.329928</v>
      </c>
      <c r="C36" s="68">
        <v>13.814399999999999</v>
      </c>
      <c r="D36" s="68">
        <v>1</v>
      </c>
      <c r="E36" s="68" t="s">
        <v>391</v>
      </c>
    </row>
    <row r="37" spans="1:5">
      <c r="A37" s="68">
        <v>0.44611200000000001</v>
      </c>
      <c r="B37" s="68">
        <v>0.32926800000000001</v>
      </c>
      <c r="C37" s="68">
        <v>14.220800000000001</v>
      </c>
      <c r="D37" s="68">
        <v>1</v>
      </c>
      <c r="E37" s="68" t="s">
        <v>392</v>
      </c>
    </row>
    <row r="38" spans="1:5">
      <c r="A38" s="68">
        <v>0.44997300000000001</v>
      </c>
      <c r="B38" s="68">
        <v>0.32916899999999999</v>
      </c>
      <c r="C38" s="68">
        <v>14.6234</v>
      </c>
      <c r="D38" s="68">
        <v>1</v>
      </c>
      <c r="E38" s="68" t="s">
        <v>393</v>
      </c>
    </row>
    <row r="39" spans="1:5">
      <c r="A39" s="68">
        <v>0.45355899999999999</v>
      </c>
      <c r="B39" s="68">
        <v>0.328816</v>
      </c>
      <c r="C39" s="68">
        <v>15.031700000000001</v>
      </c>
      <c r="D39" s="68">
        <v>1</v>
      </c>
      <c r="E39" s="68" t="s">
        <v>394</v>
      </c>
    </row>
    <row r="40" spans="1:5">
      <c r="A40" s="68">
        <v>0.45702999999999999</v>
      </c>
      <c r="B40" s="68">
        <v>0.32879000000000003</v>
      </c>
      <c r="C40" s="68">
        <v>15.437799999999999</v>
      </c>
      <c r="D40" s="68">
        <v>1</v>
      </c>
      <c r="E40" s="68" t="s">
        <v>395</v>
      </c>
    </row>
    <row r="41" spans="1:5">
      <c r="A41" s="68">
        <v>0.46052700000000002</v>
      </c>
      <c r="B41" s="68">
        <v>0.32884200000000002</v>
      </c>
      <c r="C41" s="68">
        <v>15.8452</v>
      </c>
      <c r="D41" s="68">
        <v>1</v>
      </c>
      <c r="E41" s="68" t="s">
        <v>396</v>
      </c>
    </row>
    <row r="42" spans="1:5">
      <c r="A42" s="68">
        <v>0.46384799999999998</v>
      </c>
      <c r="B42" s="68">
        <v>0.328598</v>
      </c>
      <c r="C42" s="68">
        <v>16.250900000000001</v>
      </c>
      <c r="D42" s="68">
        <v>1</v>
      </c>
      <c r="E42" s="68" t="s">
        <v>397</v>
      </c>
    </row>
    <row r="43" spans="1:5">
      <c r="A43" s="68">
        <v>0.46668399999999999</v>
      </c>
      <c r="B43" s="68">
        <v>0.32850299999999999</v>
      </c>
      <c r="C43" s="68">
        <v>16.6557</v>
      </c>
      <c r="D43" s="68">
        <v>1</v>
      </c>
      <c r="E43" s="68" t="s">
        <v>398</v>
      </c>
    </row>
    <row r="44" spans="1:5">
      <c r="A44" s="68">
        <v>0.46901799999999999</v>
      </c>
      <c r="B44" s="68">
        <v>0.328986</v>
      </c>
      <c r="C44" s="68">
        <v>17.064900000000002</v>
      </c>
      <c r="D44" s="68">
        <v>1</v>
      </c>
      <c r="E44" s="68" t="s">
        <v>399</v>
      </c>
    </row>
    <row r="45" spans="1:5">
      <c r="A45" s="68">
        <v>0.47134999999999999</v>
      </c>
      <c r="B45" s="68">
        <v>0.329152</v>
      </c>
      <c r="C45" s="68">
        <v>17.471499999999999</v>
      </c>
      <c r="D45" s="68">
        <v>1</v>
      </c>
      <c r="E45" s="68" t="s">
        <v>400</v>
      </c>
    </row>
    <row r="46" spans="1:5">
      <c r="A46" s="68">
        <v>0.47344999999999998</v>
      </c>
      <c r="B46" s="68">
        <v>0.32952700000000001</v>
      </c>
      <c r="C46" s="68">
        <v>17.875900000000001</v>
      </c>
      <c r="D46" s="68">
        <v>1</v>
      </c>
      <c r="E46" s="68" t="s">
        <v>401</v>
      </c>
    </row>
    <row r="47" spans="1:5">
      <c r="A47" s="68">
        <v>0.47559299999999999</v>
      </c>
      <c r="B47" s="68">
        <v>0.33022699999999999</v>
      </c>
      <c r="C47" s="68">
        <v>18.281700000000001</v>
      </c>
      <c r="D47" s="68">
        <v>1</v>
      </c>
      <c r="E47" s="68" t="s">
        <v>402</v>
      </c>
    </row>
    <row r="48" spans="1:5">
      <c r="A48" s="68">
        <v>0.477935</v>
      </c>
      <c r="B48" s="68">
        <v>0.33084799999999998</v>
      </c>
      <c r="C48" s="68">
        <v>18.6889</v>
      </c>
      <c r="D48" s="68">
        <v>1</v>
      </c>
      <c r="E48" s="68" t="s">
        <v>403</v>
      </c>
    </row>
    <row r="49" spans="1:5">
      <c r="A49" s="68">
        <v>0.479856</v>
      </c>
      <c r="B49" s="68">
        <v>0.33166499999999999</v>
      </c>
      <c r="C49" s="68">
        <v>19.093299999999999</v>
      </c>
      <c r="D49" s="68">
        <v>1</v>
      </c>
      <c r="E49" s="68" t="s">
        <v>404</v>
      </c>
    </row>
    <row r="50" spans="1:5">
      <c r="A50" s="68">
        <v>0.48142800000000002</v>
      </c>
      <c r="B50" s="68">
        <v>0.33230300000000002</v>
      </c>
      <c r="C50" s="68">
        <v>19.502500000000001</v>
      </c>
      <c r="D50" s="68">
        <v>1</v>
      </c>
      <c r="E50" s="68" t="s">
        <v>405</v>
      </c>
    </row>
    <row r="51" spans="1:5">
      <c r="A51" s="68">
        <v>0.482709</v>
      </c>
      <c r="B51" s="68">
        <v>0.33313900000000002</v>
      </c>
      <c r="C51" s="68">
        <v>19.908799999999999</v>
      </c>
      <c r="D51" s="68">
        <v>1</v>
      </c>
      <c r="E51" s="68" t="s">
        <v>406</v>
      </c>
    </row>
    <row r="52" spans="1:5">
      <c r="A52" s="68">
        <v>0.48391899999999999</v>
      </c>
      <c r="B52" s="68">
        <v>0.33347700000000002</v>
      </c>
      <c r="C52" s="68">
        <v>20.315000000000001</v>
      </c>
      <c r="D52" s="68">
        <v>1</v>
      </c>
      <c r="E52" s="68" t="s">
        <v>407</v>
      </c>
    </row>
    <row r="53" spans="1:5">
      <c r="A53" s="68">
        <v>0.48506700000000003</v>
      </c>
      <c r="B53" s="68">
        <v>0.33449200000000001</v>
      </c>
      <c r="C53" s="68">
        <v>20.721900000000002</v>
      </c>
      <c r="D53" s="68">
        <v>1</v>
      </c>
      <c r="E53" s="68" t="s">
        <v>408</v>
      </c>
    </row>
    <row r="54" spans="1:5">
      <c r="A54" s="68">
        <v>0.48591600000000001</v>
      </c>
      <c r="B54" s="68">
        <v>0.33625699999999997</v>
      </c>
      <c r="C54" s="68">
        <v>21.125900000000001</v>
      </c>
      <c r="D54" s="68">
        <v>1</v>
      </c>
      <c r="E54" s="68" t="s">
        <v>409</v>
      </c>
    </row>
    <row r="55" spans="1:5">
      <c r="A55" s="68">
        <v>0.48610300000000001</v>
      </c>
      <c r="B55" s="68">
        <v>0.33806000000000003</v>
      </c>
      <c r="C55" s="68">
        <v>21.534300000000002</v>
      </c>
      <c r="D55" s="68">
        <v>1</v>
      </c>
      <c r="E55" s="68" t="s">
        <v>410</v>
      </c>
    </row>
    <row r="56" spans="1:5">
      <c r="A56" s="68">
        <v>0.48574899999999999</v>
      </c>
      <c r="B56" s="68">
        <v>0.33910000000000001</v>
      </c>
      <c r="C56" s="68">
        <v>21.939900000000002</v>
      </c>
      <c r="D56" s="68">
        <v>1</v>
      </c>
      <c r="E56" s="68" t="s">
        <v>411</v>
      </c>
    </row>
    <row r="57" spans="1:5">
      <c r="A57" s="68">
        <v>0.484649</v>
      </c>
      <c r="B57" s="68">
        <v>0.33914299999999997</v>
      </c>
      <c r="C57" s="68">
        <v>22.3446</v>
      </c>
      <c r="D57" s="68">
        <v>1</v>
      </c>
      <c r="E57" s="68" t="s">
        <v>412</v>
      </c>
    </row>
    <row r="58" spans="1:5">
      <c r="A58" s="68">
        <v>0.48302499999999998</v>
      </c>
      <c r="B58" s="68">
        <v>0.33904899999999999</v>
      </c>
      <c r="C58" s="68">
        <v>22.748799999999999</v>
      </c>
      <c r="D58" s="68">
        <v>1</v>
      </c>
      <c r="E58" s="68" t="s">
        <v>413</v>
      </c>
    </row>
    <row r="59" spans="1:5">
      <c r="A59" s="68">
        <v>0.48100100000000001</v>
      </c>
      <c r="B59" s="68">
        <v>0.33876699999999998</v>
      </c>
      <c r="C59" s="68">
        <v>23.158000000000001</v>
      </c>
      <c r="D59" s="68">
        <v>1</v>
      </c>
      <c r="E59" s="68" t="s">
        <v>414</v>
      </c>
    </row>
    <row r="60" spans="1:5">
      <c r="A60" s="68">
        <v>0.47889900000000002</v>
      </c>
      <c r="B60" s="68">
        <v>0.33924300000000002</v>
      </c>
      <c r="C60" s="68">
        <v>23.562799999999999</v>
      </c>
      <c r="D60" s="68">
        <v>1</v>
      </c>
      <c r="E60" s="68" t="s">
        <v>415</v>
      </c>
    </row>
    <row r="61" spans="1:5">
      <c r="A61" s="68">
        <v>0.47658899999999998</v>
      </c>
      <c r="B61" s="68">
        <v>0.339943</v>
      </c>
      <c r="C61" s="68">
        <v>23.973700000000001</v>
      </c>
      <c r="D61" s="68">
        <v>1</v>
      </c>
      <c r="E61" s="68" t="s">
        <v>416</v>
      </c>
    </row>
    <row r="62" spans="1:5">
      <c r="A62" s="68">
        <v>0.47425899999999999</v>
      </c>
      <c r="B62" s="68">
        <v>0.34020699999999998</v>
      </c>
      <c r="C62" s="68">
        <v>24.376300000000001</v>
      </c>
      <c r="D62" s="68">
        <v>1</v>
      </c>
      <c r="E62" s="68" t="s">
        <v>417</v>
      </c>
    </row>
    <row r="63" spans="1:5">
      <c r="A63" s="68">
        <v>0.47211199999999998</v>
      </c>
      <c r="B63" s="68">
        <v>0.34098400000000001</v>
      </c>
      <c r="C63" s="68">
        <v>24.783000000000001</v>
      </c>
      <c r="D63" s="68">
        <v>1</v>
      </c>
      <c r="E63" s="68" t="s">
        <v>418</v>
      </c>
    </row>
    <row r="64" spans="1:5">
      <c r="A64" s="68">
        <v>0.46987200000000001</v>
      </c>
      <c r="B64" s="68">
        <v>0.34202100000000002</v>
      </c>
      <c r="C64" s="68">
        <v>25.188400000000001</v>
      </c>
      <c r="D64" s="68">
        <v>1</v>
      </c>
      <c r="E64" s="68" t="s">
        <v>419</v>
      </c>
    </row>
    <row r="65" spans="1:5">
      <c r="A65" s="68">
        <v>0.46767700000000001</v>
      </c>
      <c r="B65" s="68">
        <v>0.34337200000000001</v>
      </c>
      <c r="C65" s="68">
        <v>25.596800000000002</v>
      </c>
      <c r="D65" s="68">
        <v>1</v>
      </c>
      <c r="E65" s="68" t="s">
        <v>420</v>
      </c>
    </row>
    <row r="66" spans="1:5">
      <c r="A66" s="68">
        <v>0.465447</v>
      </c>
      <c r="B66" s="68">
        <v>0.34550599999999998</v>
      </c>
      <c r="C66" s="68">
        <v>26.0046</v>
      </c>
      <c r="D66" s="68">
        <v>1</v>
      </c>
      <c r="E66" s="68" t="s">
        <v>421</v>
      </c>
    </row>
    <row r="67" spans="1:5">
      <c r="A67" s="68">
        <v>0.46323300000000001</v>
      </c>
      <c r="B67" s="68">
        <v>0.34826200000000002</v>
      </c>
      <c r="C67" s="68">
        <v>26.408200000000001</v>
      </c>
      <c r="D67" s="68">
        <v>1</v>
      </c>
      <c r="E67" s="68" t="s">
        <v>422</v>
      </c>
    </row>
    <row r="68" spans="1:5">
      <c r="A68" s="68">
        <v>0.46132499999999999</v>
      </c>
      <c r="B68" s="68">
        <v>0.35163899999999998</v>
      </c>
      <c r="C68" s="68">
        <v>26.8124</v>
      </c>
      <c r="D68" s="68">
        <v>1</v>
      </c>
      <c r="E68" s="68" t="s">
        <v>423</v>
      </c>
    </row>
    <row r="69" spans="1:5">
      <c r="A69" s="68">
        <v>0.459845</v>
      </c>
      <c r="B69" s="68">
        <v>0.35465600000000003</v>
      </c>
      <c r="C69" s="68">
        <v>27.219899999999999</v>
      </c>
      <c r="D69" s="68">
        <v>1</v>
      </c>
      <c r="E69" s="68" t="s">
        <v>424</v>
      </c>
    </row>
    <row r="70" spans="1:5">
      <c r="A70" s="68">
        <v>0.45823599999999998</v>
      </c>
      <c r="B70" s="68">
        <v>0.358205</v>
      </c>
      <c r="C70" s="68">
        <v>27.627500000000001</v>
      </c>
      <c r="D70" s="68">
        <v>1</v>
      </c>
      <c r="E70" s="68" t="s">
        <v>425</v>
      </c>
    </row>
    <row r="71" spans="1:5">
      <c r="A71" s="68">
        <v>0.45692300000000002</v>
      </c>
      <c r="B71" s="68">
        <v>0.36162899999999998</v>
      </c>
      <c r="C71" s="68">
        <v>28.033300000000001</v>
      </c>
      <c r="D71" s="68">
        <v>1</v>
      </c>
      <c r="E71" s="68" t="s">
        <v>426</v>
      </c>
    </row>
    <row r="72" spans="1:5">
      <c r="A72" s="68">
        <v>0.45552199999999998</v>
      </c>
      <c r="B72" s="68">
        <v>0.36516500000000002</v>
      </c>
      <c r="C72" s="68">
        <v>28.437799999999999</v>
      </c>
      <c r="D72" s="68">
        <v>1</v>
      </c>
      <c r="E72" s="68" t="s">
        <v>427</v>
      </c>
    </row>
    <row r="73" spans="1:5">
      <c r="A73" s="68">
        <v>0.453486</v>
      </c>
      <c r="B73" s="68">
        <v>0.36999100000000001</v>
      </c>
      <c r="C73" s="68">
        <v>28.8447</v>
      </c>
      <c r="D73" s="68">
        <v>1</v>
      </c>
      <c r="E73" s="68" t="s">
        <v>428</v>
      </c>
    </row>
    <row r="74" spans="1:5">
      <c r="A74" s="68">
        <v>0.45139699999999999</v>
      </c>
      <c r="B74" s="68">
        <v>0.37491600000000003</v>
      </c>
      <c r="C74" s="68">
        <v>29.252099999999999</v>
      </c>
      <c r="D74" s="68">
        <v>1</v>
      </c>
      <c r="E74" s="68" t="s">
        <v>429</v>
      </c>
    </row>
    <row r="75" spans="1:5">
      <c r="A75" s="68">
        <v>0.44982299999999997</v>
      </c>
      <c r="B75" s="68">
        <v>0.37992700000000001</v>
      </c>
      <c r="C75" s="68">
        <v>29.658300000000001</v>
      </c>
      <c r="D75" s="68">
        <v>1</v>
      </c>
      <c r="E75" s="68" t="s">
        <v>430</v>
      </c>
    </row>
    <row r="76" spans="1:5">
      <c r="A76" s="68">
        <v>0.44805099999999998</v>
      </c>
      <c r="B76" s="68">
        <v>0.38453199999999998</v>
      </c>
      <c r="C76" s="68">
        <v>30.065200000000001</v>
      </c>
      <c r="D76" s="68">
        <v>2</v>
      </c>
      <c r="E76" s="68" t="s">
        <v>431</v>
      </c>
    </row>
    <row r="77" spans="1:5">
      <c r="A77" s="68">
        <v>0.44594699999999998</v>
      </c>
      <c r="B77" s="68">
        <v>0.38990599999999997</v>
      </c>
      <c r="C77" s="68">
        <v>30.5031</v>
      </c>
      <c r="D77" s="68">
        <v>2</v>
      </c>
      <c r="E77" s="68" t="s">
        <v>432</v>
      </c>
    </row>
    <row r="78" spans="1:5">
      <c r="A78" s="68">
        <v>0.44363200000000003</v>
      </c>
      <c r="B78" s="68">
        <v>0.39557900000000001</v>
      </c>
      <c r="C78" s="68">
        <v>30.908100000000001</v>
      </c>
      <c r="D78" s="68">
        <v>2</v>
      </c>
      <c r="E78" s="68" t="s">
        <v>433</v>
      </c>
    </row>
    <row r="79" spans="1:5">
      <c r="A79" s="68">
        <v>0.44153599999999998</v>
      </c>
      <c r="B79" s="68">
        <v>0.40018199999999998</v>
      </c>
      <c r="C79" s="68">
        <v>31.3142</v>
      </c>
      <c r="D79" s="68">
        <v>2</v>
      </c>
      <c r="E79" s="68" t="s">
        <v>434</v>
      </c>
    </row>
    <row r="80" spans="1:5">
      <c r="A80" s="68">
        <v>0.43966899999999998</v>
      </c>
      <c r="B80" s="68">
        <v>0.404142</v>
      </c>
      <c r="C80" s="68">
        <v>31.718299999999999</v>
      </c>
      <c r="D80" s="68">
        <v>2</v>
      </c>
      <c r="E80" s="68" t="s">
        <v>435</v>
      </c>
    </row>
    <row r="81" spans="1:5">
      <c r="A81" s="68">
        <v>0.43782300000000002</v>
      </c>
      <c r="B81" s="68">
        <v>0.407138</v>
      </c>
      <c r="C81" s="68">
        <v>32.125500000000002</v>
      </c>
      <c r="D81" s="68">
        <v>2</v>
      </c>
      <c r="E81" s="68" t="s">
        <v>436</v>
      </c>
    </row>
    <row r="82" spans="1:5">
      <c r="A82" s="68">
        <v>0.43628099999999997</v>
      </c>
      <c r="B82" s="68">
        <v>0.40982099999999999</v>
      </c>
      <c r="C82" s="68">
        <v>32.531500000000001</v>
      </c>
      <c r="D82" s="68">
        <v>2</v>
      </c>
      <c r="E82" s="68" t="s">
        <v>437</v>
      </c>
    </row>
    <row r="83" spans="1:5">
      <c r="A83" s="68">
        <v>0.43499900000000002</v>
      </c>
      <c r="B83" s="68">
        <v>0.41288000000000002</v>
      </c>
      <c r="C83" s="68">
        <v>32.939599999999999</v>
      </c>
      <c r="D83" s="68">
        <v>2</v>
      </c>
      <c r="E83" s="68" t="s">
        <v>438</v>
      </c>
    </row>
    <row r="84" spans="1:5">
      <c r="A84" s="68">
        <v>0.43387900000000001</v>
      </c>
      <c r="B84" s="68">
        <v>0.41573300000000002</v>
      </c>
      <c r="C84" s="68">
        <v>33.345100000000002</v>
      </c>
      <c r="D84" s="68">
        <v>2</v>
      </c>
      <c r="E84" s="68" t="s">
        <v>439</v>
      </c>
    </row>
    <row r="85" spans="1:5">
      <c r="A85" s="68">
        <v>0.43274400000000002</v>
      </c>
      <c r="B85" s="68">
        <v>0.41864200000000001</v>
      </c>
      <c r="C85" s="68">
        <v>33.750799999999998</v>
      </c>
      <c r="D85" s="68">
        <v>2</v>
      </c>
      <c r="E85" s="68" t="s">
        <v>440</v>
      </c>
    </row>
    <row r="86" spans="1:5">
      <c r="A86" s="68">
        <v>0.43141000000000002</v>
      </c>
      <c r="B86" s="68">
        <v>0.42103699999999999</v>
      </c>
      <c r="C86" s="68">
        <v>34.156199999999998</v>
      </c>
      <c r="D86" s="68">
        <v>2</v>
      </c>
      <c r="E86" s="68" t="s">
        <v>441</v>
      </c>
    </row>
    <row r="87" spans="1:5">
      <c r="A87" s="68">
        <v>0.43015799999999998</v>
      </c>
      <c r="B87" s="68">
        <v>0.42300100000000002</v>
      </c>
      <c r="C87" s="68">
        <v>34.562100000000001</v>
      </c>
      <c r="D87" s="68">
        <v>2</v>
      </c>
      <c r="E87" s="68" t="s">
        <v>442</v>
      </c>
    </row>
    <row r="88" spans="1:5">
      <c r="A88" s="68">
        <v>0.428811</v>
      </c>
      <c r="B88" s="68">
        <v>0.42468899999999998</v>
      </c>
      <c r="C88" s="68">
        <v>34.968600000000002</v>
      </c>
      <c r="D88" s="68">
        <v>2</v>
      </c>
      <c r="E88" s="68" t="s">
        <v>443</v>
      </c>
    </row>
    <row r="89" spans="1:5">
      <c r="A89" s="68">
        <v>0.42734800000000001</v>
      </c>
      <c r="B89" s="68">
        <v>0.42661100000000002</v>
      </c>
      <c r="C89" s="68">
        <v>35.376300000000001</v>
      </c>
      <c r="D89" s="68">
        <v>2</v>
      </c>
      <c r="E89" s="68" t="s">
        <v>444</v>
      </c>
    </row>
    <row r="90" spans="1:5">
      <c r="A90" s="68">
        <v>0.42551499999999998</v>
      </c>
      <c r="B90" s="68">
        <v>0.42873499999999998</v>
      </c>
      <c r="C90" s="68">
        <v>35.784700000000001</v>
      </c>
      <c r="D90" s="68">
        <v>2</v>
      </c>
      <c r="E90" s="68" t="s">
        <v>445</v>
      </c>
    </row>
    <row r="91" spans="1:5">
      <c r="A91" s="68">
        <v>0.423288</v>
      </c>
      <c r="B91" s="68">
        <v>0.43116399999999999</v>
      </c>
      <c r="C91" s="68">
        <v>36.188099999999999</v>
      </c>
      <c r="D91" s="68">
        <v>2</v>
      </c>
      <c r="E91" s="68" t="s">
        <v>446</v>
      </c>
    </row>
    <row r="92" spans="1:5">
      <c r="A92" s="68">
        <v>0.42089900000000002</v>
      </c>
      <c r="B92" s="68">
        <v>0.43431199999999998</v>
      </c>
      <c r="C92" s="68">
        <v>36.5961</v>
      </c>
      <c r="D92" s="68">
        <v>2</v>
      </c>
      <c r="E92" s="68" t="s">
        <v>447</v>
      </c>
    </row>
    <row r="93" spans="1:5">
      <c r="A93" s="68">
        <v>0.41837200000000002</v>
      </c>
      <c r="B93" s="68">
        <v>0.43756499999999998</v>
      </c>
      <c r="C93" s="68">
        <v>37.000799999999998</v>
      </c>
      <c r="D93" s="68">
        <v>2</v>
      </c>
      <c r="E93" s="68" t="s">
        <v>448</v>
      </c>
    </row>
    <row r="94" spans="1:5">
      <c r="A94" s="68">
        <v>0.41547000000000001</v>
      </c>
      <c r="B94" s="68">
        <v>0.44150400000000001</v>
      </c>
      <c r="C94" s="68">
        <v>37.410499999999999</v>
      </c>
      <c r="D94" s="68">
        <v>2</v>
      </c>
      <c r="E94" s="68" t="s">
        <v>449</v>
      </c>
    </row>
    <row r="95" spans="1:5">
      <c r="A95" s="68">
        <v>0.41238900000000001</v>
      </c>
      <c r="B95" s="68">
        <v>0.44599100000000003</v>
      </c>
      <c r="C95" s="68">
        <v>37.815800000000003</v>
      </c>
      <c r="D95" s="68">
        <v>2</v>
      </c>
      <c r="E95" s="68" t="s">
        <v>450</v>
      </c>
    </row>
    <row r="96" spans="1:5">
      <c r="A96" s="68">
        <v>0.40893800000000002</v>
      </c>
      <c r="B96" s="68">
        <v>0.451293</v>
      </c>
      <c r="C96" s="68">
        <v>38.2241</v>
      </c>
      <c r="D96" s="68">
        <v>2</v>
      </c>
      <c r="E96" s="68" t="s">
        <v>451</v>
      </c>
    </row>
    <row r="97" spans="1:5">
      <c r="A97" s="68">
        <v>0.40546700000000002</v>
      </c>
      <c r="B97" s="68">
        <v>0.45680999999999999</v>
      </c>
      <c r="C97" s="68">
        <v>38.626399999999997</v>
      </c>
      <c r="D97" s="68">
        <v>2</v>
      </c>
      <c r="E97" s="68" t="s">
        <v>452</v>
      </c>
    </row>
    <row r="98" spans="1:5">
      <c r="A98" s="68">
        <v>0.40226800000000001</v>
      </c>
      <c r="B98" s="68">
        <v>0.46118100000000001</v>
      </c>
      <c r="C98" s="68">
        <v>39.032899999999998</v>
      </c>
      <c r="D98" s="68">
        <v>2</v>
      </c>
      <c r="E98" s="68" t="s">
        <v>453</v>
      </c>
    </row>
    <row r="99" spans="1:5">
      <c r="A99" s="68">
        <v>0.39930700000000002</v>
      </c>
      <c r="B99" s="68">
        <v>0.46506799999999998</v>
      </c>
      <c r="C99" s="68">
        <v>39.4422</v>
      </c>
      <c r="D99" s="68">
        <v>2</v>
      </c>
      <c r="E99" s="68" t="s">
        <v>454</v>
      </c>
    </row>
    <row r="100" spans="1:5">
      <c r="A100" s="68">
        <v>0.39591500000000002</v>
      </c>
      <c r="B100" s="68">
        <v>0.47009600000000001</v>
      </c>
      <c r="C100" s="68">
        <v>39.844799999999999</v>
      </c>
      <c r="D100" s="68">
        <v>2</v>
      </c>
      <c r="E100" s="68" t="s">
        <v>455</v>
      </c>
    </row>
    <row r="101" spans="1:5">
      <c r="A101" s="68">
        <v>0.39247700000000002</v>
      </c>
      <c r="B101" s="68">
        <v>0.47439300000000001</v>
      </c>
      <c r="C101" s="68">
        <v>40.251800000000003</v>
      </c>
      <c r="D101" s="68">
        <v>2</v>
      </c>
      <c r="E101" s="68" t="s">
        <v>456</v>
      </c>
    </row>
    <row r="102" spans="1:5">
      <c r="A102" s="68">
        <v>0.388818</v>
      </c>
      <c r="B102" s="68">
        <v>0.47834399999999999</v>
      </c>
      <c r="C102" s="68">
        <v>40.657600000000002</v>
      </c>
      <c r="D102" s="68">
        <v>2</v>
      </c>
      <c r="E102" s="68" t="s">
        <v>457</v>
      </c>
    </row>
    <row r="103" spans="1:5">
      <c r="A103" s="68">
        <v>0.38532499999999997</v>
      </c>
      <c r="B103" s="68">
        <v>0.48244500000000001</v>
      </c>
      <c r="C103" s="68">
        <v>41.066200000000002</v>
      </c>
      <c r="D103" s="68">
        <v>2</v>
      </c>
      <c r="E103" s="68" t="s">
        <v>458</v>
      </c>
    </row>
    <row r="104" spans="1:5">
      <c r="A104" s="68">
        <v>0.38202399999999997</v>
      </c>
      <c r="B104" s="68">
        <v>0.48640499999999998</v>
      </c>
      <c r="C104" s="68">
        <v>41.472099999999998</v>
      </c>
      <c r="D104" s="68">
        <v>2</v>
      </c>
      <c r="E104" s="68" t="s">
        <v>459</v>
      </c>
    </row>
    <row r="105" spans="1:5">
      <c r="A105" s="68">
        <v>0.37899100000000002</v>
      </c>
      <c r="B105" s="68">
        <v>0.48956300000000003</v>
      </c>
      <c r="C105" s="68">
        <v>41.878700000000002</v>
      </c>
      <c r="D105" s="68">
        <v>2</v>
      </c>
      <c r="E105" s="68" t="s">
        <v>460</v>
      </c>
    </row>
    <row r="106" spans="1:5">
      <c r="A106" s="68">
        <v>0.37635800000000003</v>
      </c>
      <c r="B106" s="68">
        <v>0.49203999999999998</v>
      </c>
      <c r="C106" s="68">
        <v>42.283099999999997</v>
      </c>
      <c r="D106" s="68">
        <v>2</v>
      </c>
      <c r="E106" s="68" t="s">
        <v>461</v>
      </c>
    </row>
    <row r="107" spans="1:5">
      <c r="A107" s="68">
        <v>0.37373000000000001</v>
      </c>
      <c r="B107" s="68">
        <v>0.49433300000000002</v>
      </c>
      <c r="C107" s="68">
        <v>42.688800000000001</v>
      </c>
      <c r="D107" s="68">
        <v>2</v>
      </c>
      <c r="E107" s="68" t="s">
        <v>462</v>
      </c>
    </row>
    <row r="108" spans="1:5">
      <c r="A108" s="68">
        <v>0.37085000000000001</v>
      </c>
      <c r="B108" s="68">
        <v>0.49677199999999999</v>
      </c>
      <c r="C108" s="68">
        <v>43.094700000000003</v>
      </c>
      <c r="D108" s="68">
        <v>2</v>
      </c>
      <c r="E108" s="68" t="s">
        <v>463</v>
      </c>
    </row>
    <row r="109" spans="1:5">
      <c r="A109" s="68">
        <v>0.36780499999999999</v>
      </c>
      <c r="B109" s="68">
        <v>0.49942399999999998</v>
      </c>
      <c r="C109" s="68">
        <v>43.503599999999999</v>
      </c>
      <c r="D109" s="68">
        <v>2</v>
      </c>
      <c r="E109" s="68" t="s">
        <v>464</v>
      </c>
    </row>
    <row r="110" spans="1:5">
      <c r="A110" s="68">
        <v>0.36493599999999998</v>
      </c>
      <c r="B110" s="68">
        <v>0.50165300000000002</v>
      </c>
      <c r="C110" s="68">
        <v>43.909199999999998</v>
      </c>
      <c r="D110" s="68">
        <v>2</v>
      </c>
      <c r="E110" s="68" t="s">
        <v>465</v>
      </c>
    </row>
    <row r="111" spans="1:5">
      <c r="A111" s="68">
        <v>0.36258400000000002</v>
      </c>
      <c r="B111" s="68">
        <v>0.50337699999999996</v>
      </c>
      <c r="C111" s="68">
        <v>44.314500000000002</v>
      </c>
      <c r="D111" s="68">
        <v>2</v>
      </c>
      <c r="E111" s="68" t="s">
        <v>466</v>
      </c>
    </row>
    <row r="112" spans="1:5">
      <c r="A112" s="68">
        <v>0.360481</v>
      </c>
      <c r="B112" s="68">
        <v>0.50583</v>
      </c>
      <c r="C112" s="68">
        <v>44.717799999999997</v>
      </c>
      <c r="D112" s="68">
        <v>2</v>
      </c>
      <c r="E112" s="68" t="s">
        <v>467</v>
      </c>
    </row>
    <row r="113" spans="1:5">
      <c r="A113" s="68">
        <v>0.35856900000000003</v>
      </c>
      <c r="B113" s="68">
        <v>0.50852600000000003</v>
      </c>
      <c r="C113" s="68">
        <v>45.124699999999997</v>
      </c>
      <c r="D113" s="68">
        <v>2</v>
      </c>
      <c r="E113" s="68" t="s">
        <v>468</v>
      </c>
    </row>
    <row r="114" spans="1:5">
      <c r="A114" s="68">
        <v>0.35681299999999999</v>
      </c>
      <c r="B114" s="68">
        <v>0.51032699999999998</v>
      </c>
      <c r="C114" s="68">
        <v>45.533299999999997</v>
      </c>
      <c r="D114" s="68">
        <v>2</v>
      </c>
      <c r="E114" s="68" t="s">
        <v>469</v>
      </c>
    </row>
    <row r="115" spans="1:5">
      <c r="A115" s="68">
        <v>0.355041</v>
      </c>
      <c r="B115" s="68">
        <v>0.51173400000000002</v>
      </c>
      <c r="C115" s="68">
        <v>45.9392</v>
      </c>
      <c r="D115" s="68">
        <v>2</v>
      </c>
      <c r="E115" s="68" t="s">
        <v>470</v>
      </c>
    </row>
    <row r="116" spans="1:5">
      <c r="A116" s="68">
        <v>0.35320699999999999</v>
      </c>
      <c r="B116" s="68">
        <v>0.51285899999999995</v>
      </c>
      <c r="C116" s="68">
        <v>46.343200000000003</v>
      </c>
      <c r="D116" s="68">
        <v>2</v>
      </c>
      <c r="E116" s="68" t="s">
        <v>471</v>
      </c>
    </row>
    <row r="117" spans="1:5">
      <c r="A117" s="68">
        <v>0.35137800000000002</v>
      </c>
      <c r="B117" s="68">
        <v>0.514741</v>
      </c>
      <c r="C117" s="68">
        <v>46.749499999999998</v>
      </c>
      <c r="D117" s="68">
        <v>2</v>
      </c>
      <c r="E117" s="68" t="s">
        <v>472</v>
      </c>
    </row>
    <row r="118" spans="1:5">
      <c r="A118" s="68">
        <v>0.34954099999999999</v>
      </c>
      <c r="B118" s="68">
        <v>0.51724599999999998</v>
      </c>
      <c r="C118" s="68">
        <v>47.1586</v>
      </c>
      <c r="D118" s="68">
        <v>2</v>
      </c>
      <c r="E118" s="68" t="s">
        <v>473</v>
      </c>
    </row>
    <row r="119" spans="1:5">
      <c r="A119" s="68">
        <v>0.34804499999999999</v>
      </c>
      <c r="B119" s="68">
        <v>0.51904099999999997</v>
      </c>
      <c r="C119" s="68">
        <v>47.563800000000001</v>
      </c>
      <c r="D119" s="68">
        <v>2</v>
      </c>
      <c r="E119" s="68" t="s">
        <v>474</v>
      </c>
    </row>
    <row r="120" spans="1:5">
      <c r="A120" s="68">
        <v>0.34662599999999999</v>
      </c>
      <c r="B120" s="68">
        <v>0.52094200000000002</v>
      </c>
      <c r="C120" s="68">
        <v>47.972099999999998</v>
      </c>
      <c r="D120" s="68">
        <v>2</v>
      </c>
      <c r="E120" s="68" t="s">
        <v>475</v>
      </c>
    </row>
    <row r="121" spans="1:5">
      <c r="A121" s="68">
        <v>0.34526600000000002</v>
      </c>
      <c r="B121" s="68">
        <v>0.52257500000000001</v>
      </c>
      <c r="C121" s="68">
        <v>48.375799999999998</v>
      </c>
      <c r="D121" s="68">
        <v>2</v>
      </c>
      <c r="E121" s="68" t="s">
        <v>476</v>
      </c>
    </row>
    <row r="122" spans="1:5">
      <c r="A122" s="68">
        <v>0.34401799999999999</v>
      </c>
      <c r="B122" s="68">
        <v>0.52431300000000003</v>
      </c>
      <c r="C122" s="68">
        <v>48.784300000000002</v>
      </c>
      <c r="D122" s="68">
        <v>2</v>
      </c>
      <c r="E122" s="68" t="s">
        <v>477</v>
      </c>
    </row>
    <row r="123" spans="1:5">
      <c r="A123" s="68">
        <v>0.34296700000000002</v>
      </c>
      <c r="B123" s="68">
        <v>0.52607599999999999</v>
      </c>
      <c r="C123" s="68">
        <v>49.187600000000003</v>
      </c>
      <c r="D123" s="68">
        <v>2</v>
      </c>
      <c r="E123" s="68" t="s">
        <v>478</v>
      </c>
    </row>
    <row r="124" spans="1:5">
      <c r="A124" s="68">
        <v>0.341945</v>
      </c>
      <c r="B124" s="68">
        <v>0.52754100000000004</v>
      </c>
      <c r="C124" s="68">
        <v>49.5944</v>
      </c>
      <c r="D124" s="68">
        <v>2</v>
      </c>
      <c r="E124" s="68" t="s">
        <v>479</v>
      </c>
    </row>
    <row r="125" spans="1:5">
      <c r="A125" s="68">
        <v>0.34118100000000001</v>
      </c>
      <c r="B125" s="68">
        <v>0.528281</v>
      </c>
      <c r="C125" s="68">
        <v>50.005200000000002</v>
      </c>
      <c r="D125" s="68">
        <v>2</v>
      </c>
      <c r="E125" s="68" t="s">
        <v>480</v>
      </c>
    </row>
    <row r="126" spans="1:5">
      <c r="A126" s="68">
        <v>0.34081499999999998</v>
      </c>
      <c r="B126" s="68">
        <v>0.52779799999999999</v>
      </c>
      <c r="C126" s="68">
        <v>50.409300000000002</v>
      </c>
      <c r="D126" s="68">
        <v>2</v>
      </c>
      <c r="E126" s="68" t="s">
        <v>481</v>
      </c>
    </row>
    <row r="127" spans="1:5">
      <c r="A127" s="68">
        <v>0.34084199999999998</v>
      </c>
      <c r="B127" s="68">
        <v>0.52727800000000002</v>
      </c>
      <c r="C127" s="68">
        <v>50.811500000000002</v>
      </c>
      <c r="D127" s="68">
        <v>2</v>
      </c>
      <c r="E127" s="68" t="s">
        <v>482</v>
      </c>
    </row>
    <row r="128" spans="1:5">
      <c r="A128" s="68">
        <v>0.340723</v>
      </c>
      <c r="B128" s="68">
        <v>0.52714799999999995</v>
      </c>
      <c r="C128" s="68">
        <v>51.222000000000001</v>
      </c>
      <c r="D128" s="68">
        <v>2</v>
      </c>
      <c r="E128" s="68" t="s">
        <v>483</v>
      </c>
    </row>
    <row r="129" spans="1:5">
      <c r="A129" s="68">
        <v>0.34057799999999999</v>
      </c>
      <c r="B129" s="68">
        <v>0.52707300000000001</v>
      </c>
      <c r="C129" s="68">
        <v>51.6282</v>
      </c>
      <c r="D129" s="68">
        <v>2</v>
      </c>
      <c r="E129" s="68" t="s">
        <v>484</v>
      </c>
    </row>
    <row r="130" spans="1:5">
      <c r="A130" s="68">
        <v>0.340472</v>
      </c>
      <c r="B130" s="68">
        <v>0.526756</v>
      </c>
      <c r="C130" s="68">
        <v>52.0364</v>
      </c>
      <c r="D130" s="68">
        <v>2</v>
      </c>
      <c r="E130" s="68" t="s">
        <v>485</v>
      </c>
    </row>
    <row r="131" spans="1:5">
      <c r="A131" s="68">
        <v>0.34038499999999999</v>
      </c>
      <c r="B131" s="68">
        <v>0.52646000000000004</v>
      </c>
      <c r="C131" s="68">
        <v>52.443800000000003</v>
      </c>
      <c r="D131" s="68">
        <v>2</v>
      </c>
      <c r="E131" s="68" t="s">
        <v>486</v>
      </c>
    </row>
    <row r="132" spans="1:5">
      <c r="A132" s="68">
        <v>0.34049800000000002</v>
      </c>
      <c r="B132" s="68">
        <v>0.52618699999999996</v>
      </c>
      <c r="C132" s="68">
        <v>52.8444</v>
      </c>
      <c r="D132" s="68">
        <v>2</v>
      </c>
      <c r="E132" s="68" t="s">
        <v>487</v>
      </c>
    </row>
    <row r="133" spans="1:5">
      <c r="A133" s="68">
        <v>0.34088400000000002</v>
      </c>
      <c r="B133" s="68">
        <v>0.52608699999999997</v>
      </c>
      <c r="C133" s="68">
        <v>53.253700000000002</v>
      </c>
      <c r="D133" s="68">
        <v>2</v>
      </c>
      <c r="E133" s="68" t="s">
        <v>488</v>
      </c>
    </row>
    <row r="134" spans="1:5">
      <c r="A134" s="68">
        <v>0.34141300000000002</v>
      </c>
      <c r="B134" s="68">
        <v>0.52644199999999997</v>
      </c>
      <c r="C134" s="68">
        <v>53.656599999999997</v>
      </c>
      <c r="D134" s="68">
        <v>2</v>
      </c>
      <c r="E134" s="68" t="s">
        <v>489</v>
      </c>
    </row>
    <row r="135" spans="1:5">
      <c r="A135" s="68">
        <v>0.34192299999999998</v>
      </c>
      <c r="B135" s="68">
        <v>0.52728799999999998</v>
      </c>
      <c r="C135" s="68">
        <v>54.066499999999998</v>
      </c>
      <c r="D135" s="68">
        <v>2</v>
      </c>
      <c r="E135" s="68" t="s">
        <v>490</v>
      </c>
    </row>
    <row r="136" spans="1:5">
      <c r="A136" s="68">
        <v>0.34210800000000002</v>
      </c>
      <c r="B136" s="68">
        <v>0.528914</v>
      </c>
      <c r="C136" s="68">
        <v>54.470199999999998</v>
      </c>
      <c r="D136" s="68">
        <v>2</v>
      </c>
      <c r="E136" s="68" t="s">
        <v>491</v>
      </c>
    </row>
    <row r="137" spans="1:5">
      <c r="A137" s="68">
        <v>0.341692</v>
      </c>
      <c r="B137" s="68">
        <v>0.53099600000000002</v>
      </c>
      <c r="C137" s="68">
        <v>54.875799999999998</v>
      </c>
      <c r="D137" s="68">
        <v>2</v>
      </c>
      <c r="E137" s="68" t="s">
        <v>492</v>
      </c>
    </row>
    <row r="138" spans="1:5">
      <c r="A138" s="68">
        <v>0.34083999999999998</v>
      </c>
      <c r="B138" s="68">
        <v>0.53400400000000003</v>
      </c>
      <c r="C138" s="68">
        <v>55.284999999999997</v>
      </c>
      <c r="D138" s="68">
        <v>2</v>
      </c>
      <c r="E138" s="68" t="s">
        <v>493</v>
      </c>
    </row>
    <row r="139" spans="1:5">
      <c r="A139" s="68">
        <v>0.34006500000000001</v>
      </c>
      <c r="B139" s="68">
        <v>0.53757600000000005</v>
      </c>
      <c r="C139" s="68">
        <v>55.6892</v>
      </c>
      <c r="D139" s="68">
        <v>2</v>
      </c>
      <c r="E139" s="68" t="s">
        <v>494</v>
      </c>
    </row>
    <row r="140" spans="1:5">
      <c r="A140" s="68">
        <v>0.34001700000000001</v>
      </c>
      <c r="B140" s="68">
        <v>0.54035200000000005</v>
      </c>
      <c r="C140" s="68">
        <v>56.097999999999999</v>
      </c>
      <c r="D140" s="68">
        <v>2</v>
      </c>
      <c r="E140" s="68" t="s">
        <v>495</v>
      </c>
    </row>
    <row r="141" spans="1:5">
      <c r="A141" s="68">
        <v>0.34077200000000002</v>
      </c>
      <c r="B141" s="68">
        <v>0.542041</v>
      </c>
      <c r="C141" s="68">
        <v>56.502600000000001</v>
      </c>
      <c r="D141" s="68">
        <v>2</v>
      </c>
      <c r="E141" s="68" t="s">
        <v>496</v>
      </c>
    </row>
    <row r="142" spans="1:5">
      <c r="A142" s="68">
        <v>0.34117999999999998</v>
      </c>
      <c r="B142" s="68">
        <v>0.54347900000000005</v>
      </c>
      <c r="C142" s="68">
        <v>56.907299999999999</v>
      </c>
      <c r="D142" s="68">
        <v>2</v>
      </c>
      <c r="E142" s="68" t="s">
        <v>497</v>
      </c>
    </row>
    <row r="143" spans="1:5">
      <c r="A143" s="68">
        <v>0.34151799999999999</v>
      </c>
      <c r="B143" s="68">
        <v>0.544601</v>
      </c>
      <c r="C143" s="68">
        <v>57.310499999999998</v>
      </c>
      <c r="D143" s="68">
        <v>2</v>
      </c>
      <c r="E143" s="68" t="s">
        <v>498</v>
      </c>
    </row>
    <row r="144" spans="1:5">
      <c r="A144" s="68">
        <v>0.34156199999999998</v>
      </c>
      <c r="B144" s="68">
        <v>0.54642800000000002</v>
      </c>
      <c r="C144" s="68">
        <v>57.720799999999997</v>
      </c>
      <c r="D144" s="68">
        <v>2</v>
      </c>
      <c r="E144" s="68" t="s">
        <v>499</v>
      </c>
    </row>
    <row r="145" spans="1:5">
      <c r="A145" s="68">
        <v>0.34148299999999998</v>
      </c>
      <c r="B145" s="68">
        <v>0.54809300000000005</v>
      </c>
      <c r="C145" s="68">
        <v>58.123699999999999</v>
      </c>
      <c r="D145" s="68">
        <v>2</v>
      </c>
      <c r="E145" s="68" t="s">
        <v>500</v>
      </c>
    </row>
    <row r="146" spans="1:5">
      <c r="A146" s="68">
        <v>0.34213300000000002</v>
      </c>
      <c r="B146" s="68">
        <v>0.54939700000000002</v>
      </c>
      <c r="C146" s="68">
        <v>58.535499999999999</v>
      </c>
      <c r="D146" s="68">
        <v>2</v>
      </c>
      <c r="E146" s="68" t="s">
        <v>501</v>
      </c>
    </row>
    <row r="147" spans="1:5">
      <c r="A147" s="68">
        <v>0.34246300000000002</v>
      </c>
      <c r="B147" s="68">
        <v>0.55116600000000004</v>
      </c>
      <c r="C147" s="68">
        <v>58.941099999999999</v>
      </c>
      <c r="D147" s="68">
        <v>2</v>
      </c>
      <c r="E147" s="68" t="s">
        <v>502</v>
      </c>
    </row>
    <row r="148" spans="1:5">
      <c r="A148" s="68">
        <v>0.34208300000000003</v>
      </c>
      <c r="B148" s="68">
        <v>0.55155399999999999</v>
      </c>
      <c r="C148" s="68">
        <v>59.3506</v>
      </c>
      <c r="D148" s="68">
        <v>2</v>
      </c>
      <c r="E148" s="68" t="s">
        <v>503</v>
      </c>
    </row>
    <row r="149" spans="1:5">
      <c r="A149" s="68">
        <v>0.342588</v>
      </c>
      <c r="B149" s="68">
        <v>0.55059800000000003</v>
      </c>
      <c r="C149" s="68">
        <v>59.755899999999997</v>
      </c>
      <c r="D149" s="68">
        <v>2</v>
      </c>
      <c r="E149" s="68" t="s">
        <v>504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505</v>
      </c>
      <c r="B1" s="66" t="s">
        <v>506</v>
      </c>
      <c r="C1" s="66" t="s">
        <v>508</v>
      </c>
      <c r="D1" s="66" t="s">
        <v>509</v>
      </c>
      <c r="E1" s="66" t="s">
        <v>510</v>
      </c>
      <c r="F1" s="66" t="s">
        <v>511</v>
      </c>
      <c r="G1" s="66" t="s">
        <v>512</v>
      </c>
      <c r="H1" s="66" t="s">
        <v>513</v>
      </c>
      <c r="I1" s="66" t="s">
        <v>514</v>
      </c>
      <c r="J1" s="66" t="s">
        <v>515</v>
      </c>
      <c r="K1" s="66" t="s">
        <v>516</v>
      </c>
      <c r="L1" s="66" t="s">
        <v>517</v>
      </c>
      <c r="M1" s="66" t="s">
        <v>518</v>
      </c>
      <c r="N1" s="66"/>
    </row>
    <row r="2" spans="1:14">
      <c r="A2" s="75">
        <v>43621.389837962961</v>
      </c>
      <c r="B2" s="66" t="s">
        <v>507</v>
      </c>
      <c r="C2" s="66"/>
      <c r="D2" s="66"/>
      <c r="E2" s="66">
        <v>4.9234099999999996</v>
      </c>
      <c r="F2" s="66">
        <v>1.9726300000000001</v>
      </c>
      <c r="G2" s="66">
        <v>0.58392999999999995</v>
      </c>
      <c r="H2" s="66">
        <v>0</v>
      </c>
      <c r="I2" s="66">
        <v>132636</v>
      </c>
      <c r="J2" s="66">
        <v>111</v>
      </c>
      <c r="K2" s="66">
        <v>111</v>
      </c>
      <c r="L2" s="66">
        <v>0</v>
      </c>
      <c r="M2" s="66" t="s">
        <v>519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2019-06-05T01:22:37Z</cp:lastPrinted>
  <dcterms:created xsi:type="dcterms:W3CDTF">2010-10-29T12:53:05Z</dcterms:created>
  <dcterms:modified xsi:type="dcterms:W3CDTF">2019-06-05T01:22:50Z</dcterms:modified>
</cp:coreProperties>
</file>