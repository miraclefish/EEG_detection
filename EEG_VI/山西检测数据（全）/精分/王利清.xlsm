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<sst xmlns="http://schemas.openxmlformats.org/spreadsheetml/2006/main" count="701" uniqueCount="519">
  <si>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</si>
  <si>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</si>
  <si>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</si>
  <si>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</si>
  <si>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</si>
  <si>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</si>
  <si>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</si>
  <si>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</si>
  <si>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</si>
  <si>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</si>
  <si>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</si>
  <si>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</si>
  <si>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</si>
  <si>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</si>
  <si>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</si>
  <si>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</si>
  <si>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</si>
  <si>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</si>
  <si>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</si>
  <si>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</si>
  <si>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</si>
  <si>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</si>
  <si>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</si>
  <si>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</si>
  <si>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</si>
  <si>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</si>
  <si>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</si>
  <si>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</si>
  <si>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</si>
  <si>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</si>
  <si>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</si>
  <si>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</si>
  <si>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</si>
  <si>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</si>
  <si>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</si>
  <si>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</si>
  <si>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</si>
  <si>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</si>
  <si>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</si>
  <si>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</si>
  <si>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</si>
  <si>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</si>
  <si>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</si>
  <si>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</si>
  <si>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</si>
  <si>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</si>
  <si>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</si>
  <si>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</si>
  <si>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</si>
  <si>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</si>
  <si>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</si>
  <si>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</si>
  <si>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</si>
  <si>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</si>
  <si>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</si>
  <si>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</si>
  <si>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</si>
  <si>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</si>
  <si>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</si>
  <si>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</si>
  <si>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</si>
  <si>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</si>
  <si>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</si>
  <si>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</si>
  <si>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</si>
  <si>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</si>
  <si>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</si>
  <si>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</si>
  <si>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</si>
  <si>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</si>
  <si>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</si>
  <si>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</si>
  <si>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</si>
  <si>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</si>
  <si>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</si>
  <si>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</si>
  <si>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</si>
  <si>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</si>
  <si>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</si>
  <si>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</si>
  <si>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</si>
  <si>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</si>
  <si>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</si>
  <si>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</si>
  <si>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</si>
  <si>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</si>
  <si>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</si>
  <si>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</si>
  <si>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</si>
  <si>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</si>
  <si>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</si>
  <si>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</si>
  <si>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</si>
  <si>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</si>
  <si>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</si>
  <si>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</si>
  <si>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</si>
  <si>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</si>
  <si>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</si>
  <si>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</si>
  <si>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</si>
  <si>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</si>
  <si>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</si>
  <si>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</si>
  <si>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</si>
  <si>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</si>
  <si>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</si>
  <si>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</si>
  <si>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</si>
  <si>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</si>
  <si>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</si>
  <si>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</si>
  <si>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</si>
  <si>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</si>
  <si>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</si>
  <si>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</si>
  <si>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</si>
  <si>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</si>
  <si>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</si>
  <si>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</si>
  <si>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</si>
  <si>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</si>
  <si>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</si>
  <si>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</si>
  <si>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</si>
  <si>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</si>
  <si>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</si>
  <si>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</si>
  <si>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</si>
  <si>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</si>
  <si>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</si>
  <si>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</si>
  <si>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</si>
  <si>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</si>
  <si>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</si>
  <si>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</si>
  <si>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</si>
  <si>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</si>
  <si>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</si>
  <si>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</si>
  <si>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</si>
  <si>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</si>
  <si>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</si>
  <si>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</si>
  <si>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</si>
  <si>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</si>
  <si>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</si>
  <si>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</si>
  <si>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</si>
  <si>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</si>
  <si>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</si>
  <si>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</si>
  <si>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</si>
  <si>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</si>
  <si>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</si>
  <si>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</si>
  <si>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</si>
  <si>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</si>
  <si>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</si>
  <si>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</si>
  <si>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</si>
  <si>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</si>
  <si>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</si>
  <si>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</si>
  <si>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</si>
  <si>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</si>
  <si>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</si>
  <si>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</si>
  <si>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</si>
  <si>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</si>
  <si>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</si>
  <si>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</si>
  <si>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</si>
  <si>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</si>
  <si>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</si>
  <si>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</si>
  <si>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</si>
  <si>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</si>
  <si>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</si>
  <si>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</si>
  <si>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</si>
  <si>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</si>
  <si>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</si>
  <si>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</si>
  <si>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</si>
  <si>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</si>
  <si>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</si>
  <si>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</si>
  <si>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</si>
  <si>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</si>
  <si>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</si>
  <si>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</si>
  <si>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</si>
  <si>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</si>
  <si>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</si>
  <si>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</si>
  <si>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</si>
  <si>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</si>
  <si>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</si>
  <si>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</si>
  <si>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</si>
  <si>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</si>
  <si>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</si>
  <si>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</si>
  <si>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</si>
  <si>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</si>
  <si>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</si>
  <si>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</si>
  <si>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</si>
  <si>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</si>
  <si>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</si>
  <si>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</si>
  <si>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</si>
  <si>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</si>
  <si>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</si>
  <si>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</si>
  <si>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</si>
  <si>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</si>
  <si>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</si>
  <si>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</si>
  <si>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</si>
  <si>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</si>
  <si>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</si>
  <si>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</si>
  <si>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</si>
  <si>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</si>
  <si>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</si>
  <si>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</si>
  <si>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</si>
  <si>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</si>
  <si>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</si>
  <si>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</si>
  <si>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</si>
  <si>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</si>
  <si>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</si>
  <si>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</si>
  <si>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</si>
  <si>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</si>
  <si>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</si>
  <si>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</si>
  <si>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</si>
  <si>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</si>
  <si>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</si>
  <si>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</si>
  <si>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</si>
  <si>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</si>
  <si>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</si>
  <si>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</si>
  <si>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</si>
  <si>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</si>
  <si>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</si>
  <si>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</si>
  <si>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</si>
  <si>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</si>
  <si>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</si>
  <si>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</si>
  <si>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</si>
  <si>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</si>
  <si>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</si>
  <si>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</si>
  <si>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</si>
  <si>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</si>
  <si>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</si>
  <si>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</si>
  <si>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</si>
  <si>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</si>
  <si>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</si>
  <si>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</si>
  <si>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</si>
  <si>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</si>
  <si>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</si>
  <si>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</si>
  <si>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</si>
  <si>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</si>
  <si>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</si>
  <si>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</si>
  <si>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</si>
  <si>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</si>
  <si>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</si>
  <si>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</si>
  <si>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</si>
  <si>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</si>
  <si>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</si>
  <si>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</si>
  <si>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</si>
  <si>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</si>
  <si>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</si>
  <si>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</si>
  <si>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</si>
  <si>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</si>
  <si>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</si>
  <si>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</si>
  <si>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</si>
  <si>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</si>
  <si>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</si>
  <si>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</si>
  <si>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</si>
  <si>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</si>
  <si>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</si>
  <si>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</si>
  <si>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</si>
  <si>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</si>
  <si>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</si>
  <si>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</si>
  <si>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</si>
  <si>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</si>
  <si>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</si>
  <si>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</si>
  <si>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</si>
  <si>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</si>
  <si>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</si>
  <si>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</si>
  <si>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</si>
  <si>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</si>
  <si>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</si>
  <si>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</si>
  <si>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</si>
  <si>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</si>
  <si>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</si>
  <si>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</si>
  <si>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</si>
  <si>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</si>
  <si>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</si>
  <si>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</si>
  <si>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</si>
  <si>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</si>
  <si>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</si>
  <si>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</si>
  <si>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</si>
  <si>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</si>
  <si>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</si>
  <si>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</si>
  <si>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</si>
  <si>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</si>
  <si>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</si>
  <si>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</si>
  <si>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</si>
  <si>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</si>
  <si>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</si>
  <si>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</si>
  <si>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</si>
  <si>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</si>
  <si>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</si>
  <si>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</si>
  <si>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</si>
  <si>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</si>
  <si>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</si>
  <si>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</si>
  <si>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</si>
  <si>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</si>
  <si>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</si>
  <si>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</si>
  <si>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</si>
  <si>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</si>
  <si>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</si>
  <si>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</si>
  <si>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</si>
  <si>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</si>
  <si>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[0.373672]</t>
  </si>
  <si>
    <t>1 [0.779574]</t>
  </si>
  <si>
    <t>1 [1.187528]</t>
  </si>
  <si>
    <t>1 [1.595425]</t>
  </si>
  <si>
    <t>1 [1.998330]</t>
  </si>
  <si>
    <t>1 [2.403707]</t>
  </si>
  <si>
    <t>1 [2.811156]</t>
  </si>
  <si>
    <t>1 [3.219381]</t>
  </si>
  <si>
    <t>1 [3.623966]</t>
  </si>
  <si>
    <t>1 [4.029033]</t>
  </si>
  <si>
    <t>1 [4.437378]</t>
  </si>
  <si>
    <t>1 [4.841753]</t>
  </si>
  <si>
    <t>1 [5.246639]</t>
  </si>
  <si>
    <t>1 [5.655623]</t>
  </si>
  <si>
    <t>1 [6.058475]</t>
  </si>
  <si>
    <t>1 [6.469799]</t>
  </si>
  <si>
    <t>1 [6.875371]</t>
  </si>
  <si>
    <t>1 [7.283158]</t>
  </si>
  <si>
    <t>1 [7.691118]</t>
  </si>
  <si>
    <t>1 [8.092075]</t>
  </si>
  <si>
    <t>1 [8.501261]</t>
  </si>
  <si>
    <t>1 [8.908920]</t>
  </si>
  <si>
    <t>1 [9.314016]</t>
  </si>
  <si>
    <t>1 [9.714787]</t>
  </si>
  <si>
    <t>1 [10.124609]</t>
  </si>
  <si>
    <t>1 [10.529597]</t>
  </si>
  <si>
    <t>1 [10.938507]</t>
  </si>
  <si>
    <t>1 [11.346357]</t>
  </si>
  <si>
    <t>1 [11.751309]</t>
  </si>
  <si>
    <t>1 [12.156186]</t>
  </si>
  <si>
    <t>1 [12.564209]</t>
  </si>
  <si>
    <t>1 [12.967085]</t>
  </si>
  <si>
    <t>1 [13.372901]</t>
  </si>
  <si>
    <t>1 [13.784827]</t>
  </si>
  <si>
    <t>1 [14.186932]</t>
  </si>
  <si>
    <t>1 [14.589676]</t>
  </si>
  <si>
    <t>1 [14.997144]</t>
  </si>
  <si>
    <t>1 [15.407445]</t>
  </si>
  <si>
    <t>1 [15.814455]</t>
  </si>
  <si>
    <t>1 [16.219672]</t>
  </si>
  <si>
    <t>1 [16.623192]</t>
  </si>
  <si>
    <t>1 [17.030290]</t>
  </si>
  <si>
    <t>1 [17.436380]</t>
  </si>
  <si>
    <t>1 [17.843981]</t>
  </si>
  <si>
    <t>1 [18.248941]</t>
  </si>
  <si>
    <t>1 [18.655806]</t>
  </si>
  <si>
    <t>1 [19.061200]</t>
  </si>
  <si>
    <t>1 [19.470715]</t>
  </si>
  <si>
    <t>1 [19.875552]</t>
  </si>
  <si>
    <t>1 [20.279512]</t>
  </si>
  <si>
    <t>1 [20.685380]</t>
  </si>
  <si>
    <t>1 [21.095464]</t>
  </si>
  <si>
    <t>1 [21.497190]</t>
  </si>
  <si>
    <t>1 [21.906237]</t>
  </si>
  <si>
    <t>1 [22.313699]</t>
  </si>
  <si>
    <t>1 [22.716991]</t>
  </si>
  <si>
    <t>1 [23.122297]</t>
  </si>
  <si>
    <t>1 [23.532841]</t>
  </si>
  <si>
    <t>1 [23.937873]</t>
  </si>
  <si>
    <t>1 [24.343710]</t>
  </si>
  <si>
    <t>1 [24.744549]</t>
  </si>
  <si>
    <t>1 [25.154750]</t>
  </si>
  <si>
    <t>1 [25.559335]</t>
  </si>
  <si>
    <t>1 [25.969614]</t>
  </si>
  <si>
    <t>1 [26.375254]</t>
  </si>
  <si>
    <t>1 [26.781089]</t>
  </si>
  <si>
    <t>1 [27.186731]</t>
  </si>
  <si>
    <t>1 [27.593925]</t>
  </si>
  <si>
    <t>1 [27.998849]</t>
  </si>
  <si>
    <t>1 [28.405736]</t>
  </si>
  <si>
    <t>1 [28.811696]</t>
  </si>
  <si>
    <t>1 [29.214643]</t>
  </si>
  <si>
    <t>1 [29.622617]</t>
  </si>
  <si>
    <t>2 [30.036498]</t>
  </si>
  <si>
    <t>2 [30.704600]</t>
  </si>
  <si>
    <t>2 [31.047820]</t>
  </si>
  <si>
    <t>2 [31.419848]</t>
  </si>
  <si>
    <t>2 [31.792665]</t>
  </si>
  <si>
    <t>2 [32.167748]</t>
  </si>
  <si>
    <t>2 [32.579634]</t>
  </si>
  <si>
    <t>2 [32.983478]</t>
  </si>
  <si>
    <t>2 [33.386653]</t>
  </si>
  <si>
    <t>2 [33.796527]</t>
  </si>
  <si>
    <t>2 [34.201316]</t>
  </si>
  <si>
    <t>2 [34.610216]</t>
  </si>
  <si>
    <t>2 [35.016134]</t>
  </si>
  <si>
    <t>2 [35.419241]</t>
  </si>
  <si>
    <t>2 [35.828105]</t>
  </si>
  <si>
    <t>2 [36.234871]</t>
  </si>
  <si>
    <t>2 [36.640766]</t>
  </si>
  <si>
    <t>2 [37.046641]</t>
  </si>
  <si>
    <t>2 [37.451565]</t>
  </si>
  <si>
    <t>2 [37.855520]</t>
  </si>
  <si>
    <t>2 [38.263372]</t>
  </si>
  <si>
    <t>2 [38.671281]</t>
  </si>
  <si>
    <t>2 [39.078318]</t>
  </si>
  <si>
    <t>2 [39.485072]</t>
  </si>
  <si>
    <t>2 [39.889095]</t>
  </si>
  <si>
    <t>2 [40.294995]</t>
  </si>
  <si>
    <t>2 [40.704898]</t>
  </si>
  <si>
    <t>2 [41.109866]</t>
  </si>
  <si>
    <t>2 [41.514742]</t>
  </si>
  <si>
    <t>2 [41.920147]</t>
  </si>
  <si>
    <t>2 [42.325663]</t>
  </si>
  <si>
    <t>2 [42.728144]</t>
  </si>
  <si>
    <t>2 [43.139303]</t>
  </si>
  <si>
    <t>2 [43.546338]</t>
  </si>
  <si>
    <t>2 [43.951234]</t>
  </si>
  <si>
    <t>2 [44.356264]</t>
  </si>
  <si>
    <t>2 [44.767086]</t>
  </si>
  <si>
    <t>2 [45.172958]</t>
  </si>
  <si>
    <t>2 [45.577945]</t>
  </si>
  <si>
    <t>2 [45.982811]</t>
  </si>
  <si>
    <t>2 [46.386947]</t>
  </si>
  <si>
    <t>2 [46.795592]</t>
  </si>
  <si>
    <t>2 [47.203682]</t>
  </si>
  <si>
    <t>2 [47.608368]</t>
  </si>
  <si>
    <t>2 [48.013287]</t>
  </si>
  <si>
    <t>2 [48.421483]</t>
  </si>
  <si>
    <t>2 [48.828314]</t>
  </si>
  <si>
    <t>2 [49.235034]</t>
  </si>
  <si>
    <t>2 [49.641951]</t>
  </si>
  <si>
    <t>2 [50.045894]</t>
  </si>
  <si>
    <t>2 [50.450058]</t>
  </si>
  <si>
    <t>2 [50.855499]</t>
  </si>
  <si>
    <t>2 [51.264692]</t>
  </si>
  <si>
    <t>2 [51.670522]</t>
  </si>
  <si>
    <t>2 [52.075521]</t>
  </si>
  <si>
    <t>2 [52.479452]</t>
  </si>
  <si>
    <t>2 [52.892287]</t>
  </si>
  <si>
    <t>2 [53.297270]</t>
  </si>
  <si>
    <t>2 [53.703313]</t>
  </si>
  <si>
    <t>2 [54.109076]</t>
  </si>
  <si>
    <t>2 [54.514342]</t>
  </si>
  <si>
    <t>2 [54.922913]</t>
  </si>
  <si>
    <t>2 [55.328839]</t>
  </si>
  <si>
    <t>2 [55.733778]</t>
  </si>
  <si>
    <t>2 [56.136903]</t>
  </si>
  <si>
    <t>2 [56.542621]</t>
  </si>
  <si>
    <t>2 [56.956449]</t>
  </si>
  <si>
    <t>2 [57.360395]</t>
  </si>
  <si>
    <t>2 [57.767305]</t>
  </si>
  <si>
    <t>2 [58.172245]</t>
  </si>
  <si>
    <t>2 [58.577135]</t>
  </si>
  <si>
    <t>2 [58.983996]</t>
  </si>
  <si>
    <t>2 [59.388982]</t>
  </si>
  <si>
    <t>2 [59.798874]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</si>
  <si>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</si>
  <si>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</si>
  <si>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</si>
  <si>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</si>
  <si>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</si>
  <si>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</si>
  <si>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</si>
  <si>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</si>
  <si>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</si>
  <si>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</si>
  <si>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</si>
  <si>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</si>
  <si>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</si>
  <si>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王利清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</si>
</sst>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30.603899999999999</c:v>
                </c:pt>
                <c:pt idx="1">
                  <c:v>40.713900000000002</c:v>
                </c:pt>
                <c:pt idx="2">
                  <c:v>29.77</c:v>
                </c:pt>
                <c:pt idx="3">
                  <c:v>34.331499999999998</c:v>
                </c:pt>
                <c:pt idx="4">
                  <c:v>65.146799999999999</c:v>
                </c:pt>
                <c:pt idx="5">
                  <c:v>64.112499999999997</c:v>
                </c:pt>
                <c:pt idx="6">
                  <c:v>11.103999999999999</c:v>
                </c:pt>
                <c:pt idx="7">
                  <c:v>64.256399999999999</c:v>
                </c:pt>
                <c:pt idx="8">
                  <c:v>18.822500000000002</c:v>
                </c:pt>
                <c:pt idx="9">
                  <c:v>27.4162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0.47309119376745018</c:v>
                </c:pt>
                <c:pt idx="1">
                  <c:v>0.31309633576900203</c:v>
                </c:pt>
                <c:pt idx="2">
                  <c:v>0.21381247046354776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22473</c:v>
                </c:pt>
                <c:pt idx="7">
                  <c:v>0</c:v>
                </c:pt>
                <c:pt idx="8">
                  <c:v>39690</c:v>
                </c:pt>
                <c:pt idx="9">
                  <c:v>0</c:v>
                </c:pt>
                <c:pt idx="10">
                  <c:v>0</c:v>
                </c:pt>
                <c:pt idx="11">
                  <c:v>46347</c:v>
                </c:pt>
                <c:pt idx="12">
                  <c:v>0</c:v>
                </c:pt>
                <c:pt idx="13">
                  <c:v>54073</c:v>
                </c:pt>
                <c:pt idx="14">
                  <c:v>0</c:v>
                </c:pt>
                <c:pt idx="15">
                  <c:v>0</c:v>
                </c:pt>
                <c:pt idx="16">
                  <c:v>72467</c:v>
                </c:pt>
                <c:pt idx="17">
                  <c:v>0</c:v>
                </c:pt>
                <c:pt idx="18">
                  <c:v>0</c:v>
                </c:pt>
                <c:pt idx="19">
                  <c:v>95140</c:v>
                </c:pt>
                <c:pt idx="20">
                  <c:v>0</c:v>
                </c:pt>
                <c:pt idx="21">
                  <c:v>104679</c:v>
                </c:pt>
                <c:pt idx="22">
                  <c:v>0</c:v>
                </c:pt>
                <c:pt idx="23">
                  <c:v>0</c:v>
                </c:pt>
                <c:pt idx="24">
                  <c:v>109201</c:v>
                </c:pt>
                <c:pt idx="25">
                  <c:v>0</c:v>
                </c:pt>
                <c:pt idx="26">
                  <c:v>119057</c:v>
                </c:pt>
                <c:pt idx="27">
                  <c:v>0</c:v>
                </c:pt>
                <c:pt idx="28">
                  <c:v>0</c:v>
                </c:pt>
                <c:pt idx="29">
                  <c:v>124668</c:v>
                </c:pt>
                <c:pt idx="30">
                  <c:v>0</c:v>
                </c:pt>
                <c:pt idx="31">
                  <c:v>121595</c:v>
                </c:pt>
                <c:pt idx="32">
                  <c:v>0</c:v>
                </c:pt>
                <c:pt idx="33">
                  <c:v>0</c:v>
                </c:pt>
                <c:pt idx="34">
                  <c:v>121384</c:v>
                </c:pt>
                <c:pt idx="35">
                  <c:v>0</c:v>
                </c:pt>
                <c:pt idx="36">
                  <c:v>0</c:v>
                </c:pt>
                <c:pt idx="37">
                  <c:v>117784</c:v>
                </c:pt>
                <c:pt idx="38">
                  <c:v>0</c:v>
                </c:pt>
                <c:pt idx="39">
                  <c:v>125851</c:v>
                </c:pt>
                <c:pt idx="40">
                  <c:v>0</c:v>
                </c:pt>
                <c:pt idx="41">
                  <c:v>0</c:v>
                </c:pt>
                <c:pt idx="42">
                  <c:v>113454</c:v>
                </c:pt>
                <c:pt idx="43">
                  <c:v>0</c:v>
                </c:pt>
                <c:pt idx="44">
                  <c:v>116410</c:v>
                </c:pt>
                <c:pt idx="45">
                  <c:v>0</c:v>
                </c:pt>
                <c:pt idx="46">
                  <c:v>0</c:v>
                </c:pt>
                <c:pt idx="47">
                  <c:v>127181</c:v>
                </c:pt>
                <c:pt idx="48">
                  <c:v>0</c:v>
                </c:pt>
                <c:pt idx="49">
                  <c:v>132578</c:v>
                </c:pt>
                <c:pt idx="50">
                  <c:v>0</c:v>
                </c:pt>
                <c:pt idx="51">
                  <c:v>0</c:v>
                </c:pt>
                <c:pt idx="52">
                  <c:v>140387</c:v>
                </c:pt>
                <c:pt idx="53">
                  <c:v>0</c:v>
                </c:pt>
                <c:pt idx="54">
                  <c:v>0</c:v>
                </c:pt>
                <c:pt idx="55">
                  <c:v>142536</c:v>
                </c:pt>
                <c:pt idx="56">
                  <c:v>0</c:v>
                </c:pt>
                <c:pt idx="57">
                  <c:v>133488</c:v>
                </c:pt>
                <c:pt idx="58">
                  <c:v>0</c:v>
                </c:pt>
                <c:pt idx="59">
                  <c:v>0</c:v>
                </c:pt>
                <c:pt idx="60">
                  <c:v>133246</c:v>
                </c:pt>
                <c:pt idx="61">
                  <c:v>0</c:v>
                </c:pt>
                <c:pt idx="62">
                  <c:v>124192</c:v>
                </c:pt>
                <c:pt idx="63">
                  <c:v>0</c:v>
                </c:pt>
                <c:pt idx="64">
                  <c:v>0</c:v>
                </c:pt>
                <c:pt idx="65">
                  <c:v>117087</c:v>
                </c:pt>
                <c:pt idx="66">
                  <c:v>0</c:v>
                </c:pt>
                <c:pt idx="67">
                  <c:v>113796</c:v>
                </c:pt>
                <c:pt idx="68">
                  <c:v>0</c:v>
                </c:pt>
                <c:pt idx="69">
                  <c:v>0</c:v>
                </c:pt>
                <c:pt idx="70">
                  <c:v>99868</c:v>
                </c:pt>
                <c:pt idx="71">
                  <c:v>0</c:v>
                </c:pt>
                <c:pt idx="72">
                  <c:v>0</c:v>
                </c:pt>
                <c:pt idx="73">
                  <c:v>98082</c:v>
                </c:pt>
                <c:pt idx="74">
                  <c:v>0</c:v>
                </c:pt>
                <c:pt idx="75">
                  <c:v>92884</c:v>
                </c:pt>
                <c:pt idx="76">
                  <c:v>0</c:v>
                </c:pt>
                <c:pt idx="77">
                  <c:v>0</c:v>
                </c:pt>
                <c:pt idx="78">
                  <c:v>77900</c:v>
                </c:pt>
                <c:pt idx="79">
                  <c:v>0</c:v>
                </c:pt>
                <c:pt idx="80">
                  <c:v>67686</c:v>
                </c:pt>
                <c:pt idx="81">
                  <c:v>0</c:v>
                </c:pt>
                <c:pt idx="82">
                  <c:v>0</c:v>
                </c:pt>
                <c:pt idx="83">
                  <c:v>70884</c:v>
                </c:pt>
                <c:pt idx="84">
                  <c:v>0</c:v>
                </c:pt>
                <c:pt idx="85">
                  <c:v>0</c:v>
                </c:pt>
                <c:pt idx="86">
                  <c:v>63403</c:v>
                </c:pt>
                <c:pt idx="87">
                  <c:v>0</c:v>
                </c:pt>
                <c:pt idx="88">
                  <c:v>60818</c:v>
                </c:pt>
                <c:pt idx="89">
                  <c:v>0</c:v>
                </c:pt>
                <c:pt idx="90">
                  <c:v>0</c:v>
                </c:pt>
                <c:pt idx="91">
                  <c:v>56372</c:v>
                </c:pt>
                <c:pt idx="92">
                  <c:v>0</c:v>
                </c:pt>
                <c:pt idx="93">
                  <c:v>53214</c:v>
                </c:pt>
                <c:pt idx="94">
                  <c:v>0</c:v>
                </c:pt>
                <c:pt idx="95">
                  <c:v>0</c:v>
                </c:pt>
                <c:pt idx="96">
                  <c:v>44656</c:v>
                </c:pt>
                <c:pt idx="97">
                  <c:v>0</c:v>
                </c:pt>
                <c:pt idx="98">
                  <c:v>38888</c:v>
                </c:pt>
                <c:pt idx="99">
                  <c:v>0</c:v>
                </c:pt>
                <c:pt idx="100">
                  <c:v>0</c:v>
                </c:pt>
                <c:pt idx="101">
                  <c:v>30863</c:v>
                </c:pt>
                <c:pt idx="102">
                  <c:v>0</c:v>
                </c:pt>
                <c:pt idx="103">
                  <c:v>0</c:v>
                </c:pt>
                <c:pt idx="104">
                  <c:v>23903</c:v>
                </c:pt>
                <c:pt idx="105">
                  <c:v>0</c:v>
                </c:pt>
                <c:pt idx="106">
                  <c:v>18876</c:v>
                </c:pt>
                <c:pt idx="107">
                  <c:v>0</c:v>
                </c:pt>
                <c:pt idx="108">
                  <c:v>0</c:v>
                </c:pt>
                <c:pt idx="109">
                  <c:v>15519</c:v>
                </c:pt>
                <c:pt idx="110">
                  <c:v>0</c:v>
                </c:pt>
                <c:pt idx="111">
                  <c:v>12938</c:v>
                </c:pt>
                <c:pt idx="112">
                  <c:v>0</c:v>
                </c:pt>
                <c:pt idx="113">
                  <c:v>0</c:v>
                </c:pt>
                <c:pt idx="114">
                  <c:v>10834</c:v>
                </c:pt>
                <c:pt idx="115">
                  <c:v>0</c:v>
                </c:pt>
                <c:pt idx="116">
                  <c:v>7074</c:v>
                </c:pt>
                <c:pt idx="117">
                  <c:v>0</c:v>
                </c:pt>
                <c:pt idx="118">
                  <c:v>0</c:v>
                </c:pt>
                <c:pt idx="119">
                  <c:v>5703</c:v>
                </c:pt>
                <c:pt idx="120">
                  <c:v>0</c:v>
                </c:pt>
                <c:pt idx="121">
                  <c:v>0</c:v>
                </c:pt>
                <c:pt idx="122">
                  <c:v>8543</c:v>
                </c:pt>
                <c:pt idx="123">
                  <c:v>0</c:v>
                </c:pt>
                <c:pt idx="124">
                  <c:v>6725</c:v>
                </c:pt>
                <c:pt idx="125">
                  <c:v>0</c:v>
                </c:pt>
                <c:pt idx="126">
                  <c:v>0</c:v>
                </c:pt>
                <c:pt idx="127">
                  <c:v>5588</c:v>
                </c:pt>
                <c:pt idx="128">
                  <c:v>0</c:v>
                </c:pt>
                <c:pt idx="129">
                  <c:v>4463</c:v>
                </c:pt>
                <c:pt idx="130">
                  <c:v>0</c:v>
                </c:pt>
                <c:pt idx="131">
                  <c:v>0</c:v>
                </c:pt>
                <c:pt idx="132">
                  <c:v>4561</c:v>
                </c:pt>
                <c:pt idx="133">
                  <c:v>0</c:v>
                </c:pt>
                <c:pt idx="134">
                  <c:v>3268</c:v>
                </c:pt>
                <c:pt idx="135">
                  <c:v>0</c:v>
                </c:pt>
                <c:pt idx="136">
                  <c:v>0</c:v>
                </c:pt>
                <c:pt idx="137">
                  <c:v>2752</c:v>
                </c:pt>
                <c:pt idx="138">
                  <c:v>0</c:v>
                </c:pt>
                <c:pt idx="139">
                  <c:v>0</c:v>
                </c:pt>
                <c:pt idx="140">
                  <c:v>1372</c:v>
                </c:pt>
                <c:pt idx="141">
                  <c:v>0</c:v>
                </c:pt>
                <c:pt idx="142">
                  <c:v>452</c:v>
                </c:pt>
                <c:pt idx="143">
                  <c:v>0</c:v>
                </c:pt>
                <c:pt idx="144">
                  <c:v>0</c:v>
                </c:pt>
                <c:pt idx="145">
                  <c:v>179</c:v>
                </c:pt>
                <c:pt idx="146">
                  <c:v>0</c:v>
                </c:pt>
                <c:pt idx="147">
                  <c:v>277</c:v>
                </c:pt>
                <c:pt idx="148">
                  <c:v>0</c:v>
                </c:pt>
                <c:pt idx="149">
                  <c:v>0</c:v>
                </c:pt>
                <c:pt idx="150">
                  <c:v>379</c:v>
                </c:pt>
                <c:pt idx="151">
                  <c:v>0</c:v>
                </c:pt>
                <c:pt idx="152">
                  <c:v>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  <c:pt idx="74">
                  <c:v>2.3676300000000001</c:v>
                </c:pt>
                <c:pt idx="75">
                  <c:v>2.35677</c:v>
                </c:pt>
                <c:pt idx="76">
                  <c:v>2.3466100000000001</c:v>
                </c:pt>
                <c:pt idx="77">
                  <c:v>2.3359800000000002</c:v>
                </c:pt>
                <c:pt idx="78">
                  <c:v>2.3271800000000002</c:v>
                </c:pt>
                <c:pt idx="79">
                  <c:v>2.3167399999999998</c:v>
                </c:pt>
                <c:pt idx="80">
                  <c:v>2.3046500000000001</c:v>
                </c:pt>
                <c:pt idx="81">
                  <c:v>2.2936300000000003</c:v>
                </c:pt>
                <c:pt idx="82">
                  <c:v>2.28403</c:v>
                </c:pt>
                <c:pt idx="83">
                  <c:v>2.2739799999999999</c:v>
                </c:pt>
                <c:pt idx="84">
                  <c:v>2.2638199999999999</c:v>
                </c:pt>
                <c:pt idx="85">
                  <c:v>2.24953</c:v>
                </c:pt>
                <c:pt idx="86">
                  <c:v>2.2372000000000001</c:v>
                </c:pt>
                <c:pt idx="87">
                  <c:v>2.2242700000000002</c:v>
                </c:pt>
                <c:pt idx="88">
                  <c:v>2.2101500000000001</c:v>
                </c:pt>
                <c:pt idx="89">
                  <c:v>2.1935500000000001</c:v>
                </c:pt>
                <c:pt idx="90">
                  <c:v>2.18005</c:v>
                </c:pt>
                <c:pt idx="91">
                  <c:v>2.1675800000000001</c:v>
                </c:pt>
                <c:pt idx="92">
                  <c:v>2.1557900000000001</c:v>
                </c:pt>
                <c:pt idx="93">
                  <c:v>2.1454599999999999</c:v>
                </c:pt>
                <c:pt idx="94">
                  <c:v>2.13686</c:v>
                </c:pt>
                <c:pt idx="95">
                  <c:v>2.1282799999999997</c:v>
                </c:pt>
                <c:pt idx="96">
                  <c:v>2.1190600000000002</c:v>
                </c:pt>
                <c:pt idx="97">
                  <c:v>2.1121500000000002</c:v>
                </c:pt>
                <c:pt idx="98">
                  <c:v>2.1069900000000001</c:v>
                </c:pt>
                <c:pt idx="99">
                  <c:v>2.1021799999999997</c:v>
                </c:pt>
                <c:pt idx="100">
                  <c:v>2.0964399999999999</c:v>
                </c:pt>
                <c:pt idx="101">
                  <c:v>2.0891799999999998</c:v>
                </c:pt>
                <c:pt idx="102">
                  <c:v>2.0830199999999999</c:v>
                </c:pt>
                <c:pt idx="103">
                  <c:v>2.07612</c:v>
                </c:pt>
                <c:pt idx="104">
                  <c:v>2.07456</c:v>
                </c:pt>
                <c:pt idx="105">
                  <c:v>2.0758899999999998</c:v>
                </c:pt>
                <c:pt idx="106">
                  <c:v>2.0796299999999999</c:v>
                </c:pt>
                <c:pt idx="107">
                  <c:v>2.0839099999999999</c:v>
                </c:pt>
                <c:pt idx="108">
                  <c:v>2.0891899999999999</c:v>
                </c:pt>
                <c:pt idx="109">
                  <c:v>2.0947199999999997</c:v>
                </c:pt>
                <c:pt idx="110">
                  <c:v>2.1025</c:v>
                </c:pt>
                <c:pt idx="111">
                  <c:v>2.1078099999999997</c:v>
                </c:pt>
                <c:pt idx="112">
                  <c:v>2.1114800000000002</c:v>
                </c:pt>
                <c:pt idx="113">
                  <c:v>2.1126</c:v>
                </c:pt>
                <c:pt idx="114">
                  <c:v>2.1130299999999997</c:v>
                </c:pt>
                <c:pt idx="115">
                  <c:v>2.1132900000000001</c:v>
                </c:pt>
                <c:pt idx="116">
                  <c:v>2.11321</c:v>
                </c:pt>
                <c:pt idx="117">
                  <c:v>2.1122700000000001</c:v>
                </c:pt>
                <c:pt idx="118">
                  <c:v>2.1109100000000001</c:v>
                </c:pt>
                <c:pt idx="119">
                  <c:v>2.1086399999999998</c:v>
                </c:pt>
                <c:pt idx="120">
                  <c:v>2.1057999999999999</c:v>
                </c:pt>
                <c:pt idx="121">
                  <c:v>2.10202</c:v>
                </c:pt>
                <c:pt idx="122">
                  <c:v>2.0973999999999999</c:v>
                </c:pt>
                <c:pt idx="123">
                  <c:v>2.09239</c:v>
                </c:pt>
                <c:pt idx="124">
                  <c:v>2.0918999999999999</c:v>
                </c:pt>
                <c:pt idx="125">
                  <c:v>2.0917300000000001</c:v>
                </c:pt>
                <c:pt idx="126">
                  <c:v>2.0929099999999998</c:v>
                </c:pt>
                <c:pt idx="127">
                  <c:v>2.0921699999999999</c:v>
                </c:pt>
                <c:pt idx="128">
                  <c:v>2.09104</c:v>
                </c:pt>
                <c:pt idx="129">
                  <c:v>2.08813</c:v>
                </c:pt>
                <c:pt idx="130">
                  <c:v>2.0838200000000002</c:v>
                </c:pt>
                <c:pt idx="131">
                  <c:v>2.0789399999999998</c:v>
                </c:pt>
                <c:pt idx="132">
                  <c:v>2.0738400000000001</c:v>
                </c:pt>
                <c:pt idx="133">
                  <c:v>2.0678199999999998</c:v>
                </c:pt>
                <c:pt idx="134">
                  <c:v>2.0630299999999999</c:v>
                </c:pt>
                <c:pt idx="135">
                  <c:v>2.0564499999999999</c:v>
                </c:pt>
                <c:pt idx="136">
                  <c:v>2.04928</c:v>
                </c:pt>
                <c:pt idx="137">
                  <c:v>2.0420500000000001</c:v>
                </c:pt>
                <c:pt idx="138">
                  <c:v>2.0369999999999999</c:v>
                </c:pt>
                <c:pt idx="139">
                  <c:v>2.0312900000000003</c:v>
                </c:pt>
                <c:pt idx="140">
                  <c:v>2.02372</c:v>
                </c:pt>
                <c:pt idx="141">
                  <c:v>2.0143200000000001</c:v>
                </c:pt>
                <c:pt idx="142">
                  <c:v>2.0063300000000002</c:v>
                </c:pt>
                <c:pt idx="143">
                  <c:v>1.99702</c:v>
                </c:pt>
                <c:pt idx="144">
                  <c:v>1.9864100000000002</c:v>
                </c:pt>
                <c:pt idx="145">
                  <c:v>1.9799600000000002</c:v>
                </c:pt>
                <c:pt idx="146">
                  <c:v>1.9762599999999999</c:v>
                </c:pt>
                <c:pt idx="147">
                  <c:v>1.9746600000000001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  <c:pt idx="74">
                  <c:v>48.364000000000004</c:v>
                </c:pt>
                <c:pt idx="75">
                  <c:v>48.485299999999995</c:v>
                </c:pt>
                <c:pt idx="76">
                  <c:v>48.686299999999996</c:v>
                </c:pt>
                <c:pt idx="77">
                  <c:v>48.935299999999998</c:v>
                </c:pt>
                <c:pt idx="78">
                  <c:v>49.168599999999998</c:v>
                </c:pt>
                <c:pt idx="79">
                  <c:v>49.374499999999998</c:v>
                </c:pt>
                <c:pt idx="80">
                  <c:v>49.597700000000003</c:v>
                </c:pt>
                <c:pt idx="81">
                  <c:v>49.786999999999999</c:v>
                </c:pt>
                <c:pt idx="82">
                  <c:v>49.953299999999999</c:v>
                </c:pt>
                <c:pt idx="83">
                  <c:v>50.128599999999999</c:v>
                </c:pt>
                <c:pt idx="84">
                  <c:v>50.270099999999992</c:v>
                </c:pt>
                <c:pt idx="85">
                  <c:v>50.456299999999999</c:v>
                </c:pt>
                <c:pt idx="86">
                  <c:v>50.607500000000002</c:v>
                </c:pt>
                <c:pt idx="87">
                  <c:v>50.775400000000005</c:v>
                </c:pt>
                <c:pt idx="88">
                  <c:v>50.986600000000003</c:v>
                </c:pt>
                <c:pt idx="89">
                  <c:v>51.237900000000003</c:v>
                </c:pt>
                <c:pt idx="90">
                  <c:v>51.354100000000003</c:v>
                </c:pt>
                <c:pt idx="91">
                  <c:v>51.4221</c:v>
                </c:pt>
                <c:pt idx="92">
                  <c:v>51.472200000000001</c:v>
                </c:pt>
                <c:pt idx="93">
                  <c:v>51.525699999999993</c:v>
                </c:pt>
                <c:pt idx="94">
                  <c:v>51.560300000000005</c:v>
                </c:pt>
                <c:pt idx="95">
                  <c:v>51.563499999999998</c:v>
                </c:pt>
                <c:pt idx="96">
                  <c:v>51.586299999999994</c:v>
                </c:pt>
                <c:pt idx="97">
                  <c:v>51.558099999999996</c:v>
                </c:pt>
                <c:pt idx="98">
                  <c:v>51.471900000000005</c:v>
                </c:pt>
                <c:pt idx="99">
                  <c:v>51.351300000000002</c:v>
                </c:pt>
                <c:pt idx="100">
                  <c:v>51.234999999999999</c:v>
                </c:pt>
                <c:pt idx="101">
                  <c:v>51.144199999999998</c:v>
                </c:pt>
                <c:pt idx="102">
                  <c:v>50.984300000000005</c:v>
                </c:pt>
                <c:pt idx="103">
                  <c:v>50.8613</c:v>
                </c:pt>
                <c:pt idx="104">
                  <c:v>50.632600000000004</c:v>
                </c:pt>
                <c:pt idx="105">
                  <c:v>50.362399999999994</c:v>
                </c:pt>
                <c:pt idx="106">
                  <c:v>50.052199999999999</c:v>
                </c:pt>
                <c:pt idx="107">
                  <c:v>49.765999999999998</c:v>
                </c:pt>
                <c:pt idx="108">
                  <c:v>49.478999999999999</c:v>
                </c:pt>
                <c:pt idx="109">
                  <c:v>49.203400000000002</c:v>
                </c:pt>
                <c:pt idx="110">
                  <c:v>48.9071</c:v>
                </c:pt>
                <c:pt idx="111">
                  <c:v>48.632199999999997</c:v>
                </c:pt>
                <c:pt idx="112">
                  <c:v>48.394300000000001</c:v>
                </c:pt>
                <c:pt idx="113">
                  <c:v>48.236000000000004</c:v>
                </c:pt>
                <c:pt idx="114">
                  <c:v>48.083999999999996</c:v>
                </c:pt>
                <c:pt idx="115">
                  <c:v>47.950900000000004</c:v>
                </c:pt>
                <c:pt idx="116">
                  <c:v>47.830500000000001</c:v>
                </c:pt>
                <c:pt idx="117">
                  <c:v>47.793600000000005</c:v>
                </c:pt>
                <c:pt idx="118">
                  <c:v>47.841499999999996</c:v>
                </c:pt>
                <c:pt idx="119">
                  <c:v>47.911099999999998</c:v>
                </c:pt>
                <c:pt idx="120">
                  <c:v>47.985699999999994</c:v>
                </c:pt>
                <c:pt idx="121">
                  <c:v>48.107199999999999</c:v>
                </c:pt>
                <c:pt idx="122">
                  <c:v>48.294800000000002</c:v>
                </c:pt>
                <c:pt idx="123">
                  <c:v>48.506799999999998</c:v>
                </c:pt>
                <c:pt idx="124">
                  <c:v>48.517400000000002</c:v>
                </c:pt>
                <c:pt idx="125">
                  <c:v>48.5381</c:v>
                </c:pt>
                <c:pt idx="126">
                  <c:v>48.554199999999994</c:v>
                </c:pt>
                <c:pt idx="127">
                  <c:v>48.666599999999995</c:v>
                </c:pt>
                <c:pt idx="128">
                  <c:v>48.776000000000003</c:v>
                </c:pt>
                <c:pt idx="129">
                  <c:v>48.928100000000001</c:v>
                </c:pt>
                <c:pt idx="130">
                  <c:v>49.109499999999997</c:v>
                </c:pt>
                <c:pt idx="131">
                  <c:v>49.308099999999996</c:v>
                </c:pt>
                <c:pt idx="132">
                  <c:v>49.505500000000005</c:v>
                </c:pt>
                <c:pt idx="133">
                  <c:v>49.723199999999999</c:v>
                </c:pt>
                <c:pt idx="134">
                  <c:v>49.931899999999999</c:v>
                </c:pt>
                <c:pt idx="135">
                  <c:v>50.204999999999998</c:v>
                </c:pt>
                <c:pt idx="136">
                  <c:v>50.557900000000004</c:v>
                </c:pt>
                <c:pt idx="137">
                  <c:v>50.9529</c:v>
                </c:pt>
                <c:pt idx="138">
                  <c:v>51.254599999999996</c:v>
                </c:pt>
                <c:pt idx="139">
                  <c:v>51.615299999999998</c:v>
                </c:pt>
                <c:pt idx="140">
                  <c:v>52.090800000000002</c:v>
                </c:pt>
                <c:pt idx="141">
                  <c:v>52.731700000000004</c:v>
                </c:pt>
                <c:pt idx="142">
                  <c:v>53.242599999999996</c:v>
                </c:pt>
                <c:pt idx="143">
                  <c:v>53.640100000000004</c:v>
                </c:pt>
                <c:pt idx="144">
                  <c:v>54.048200000000001</c:v>
                </c:pt>
                <c:pt idx="145">
                  <c:v>54.571999999999996</c:v>
                </c:pt>
                <c:pt idx="146">
                  <c:v>55.006600000000006</c:v>
                </c:pt>
                <c:pt idx="147">
                  <c:v>55.020100000000006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2.3766100000000003</c:v>
                </c:pt>
                <c:pt idx="1">
                  <c:v>2.3676300000000001</c:v>
                </c:pt>
                <c:pt idx="2">
                  <c:v>2.35677</c:v>
                </c:pt>
                <c:pt idx="3">
                  <c:v>2.3466100000000001</c:v>
                </c:pt>
                <c:pt idx="4">
                  <c:v>2.3359800000000002</c:v>
                </c:pt>
                <c:pt idx="5">
                  <c:v>2.3271800000000002</c:v>
                </c:pt>
                <c:pt idx="6">
                  <c:v>2.3167399999999998</c:v>
                </c:pt>
                <c:pt idx="7">
                  <c:v>2.3046500000000001</c:v>
                </c:pt>
                <c:pt idx="8">
                  <c:v>2.2936300000000003</c:v>
                </c:pt>
                <c:pt idx="9">
                  <c:v>2.28403</c:v>
                </c:pt>
                <c:pt idx="10">
                  <c:v>2.2739799999999999</c:v>
                </c:pt>
                <c:pt idx="11">
                  <c:v>2.2638199999999999</c:v>
                </c:pt>
                <c:pt idx="12">
                  <c:v>2.24953</c:v>
                </c:pt>
                <c:pt idx="13">
                  <c:v>2.2372000000000001</c:v>
                </c:pt>
                <c:pt idx="14">
                  <c:v>2.2242700000000002</c:v>
                </c:pt>
                <c:pt idx="15">
                  <c:v>2.2101500000000001</c:v>
                </c:pt>
                <c:pt idx="16">
                  <c:v>2.1935500000000001</c:v>
                </c:pt>
                <c:pt idx="17">
                  <c:v>2.18005</c:v>
                </c:pt>
                <c:pt idx="18">
                  <c:v>2.1675800000000001</c:v>
                </c:pt>
                <c:pt idx="19">
                  <c:v>2.1557900000000001</c:v>
                </c:pt>
                <c:pt idx="20">
                  <c:v>2.1454599999999999</c:v>
                </c:pt>
                <c:pt idx="21">
                  <c:v>2.13686</c:v>
                </c:pt>
                <c:pt idx="22">
                  <c:v>2.1282799999999997</c:v>
                </c:pt>
                <c:pt idx="23">
                  <c:v>2.1190600000000002</c:v>
                </c:pt>
                <c:pt idx="24">
                  <c:v>2.1121500000000002</c:v>
                </c:pt>
                <c:pt idx="25">
                  <c:v>2.1069900000000001</c:v>
                </c:pt>
                <c:pt idx="26">
                  <c:v>2.1021799999999997</c:v>
                </c:pt>
                <c:pt idx="27">
                  <c:v>2.0964399999999999</c:v>
                </c:pt>
                <c:pt idx="28">
                  <c:v>2.0891799999999998</c:v>
                </c:pt>
                <c:pt idx="29">
                  <c:v>2.0830199999999999</c:v>
                </c:pt>
                <c:pt idx="30">
                  <c:v>2.07612</c:v>
                </c:pt>
                <c:pt idx="31">
                  <c:v>2.07456</c:v>
                </c:pt>
                <c:pt idx="32">
                  <c:v>2.0758899999999998</c:v>
                </c:pt>
                <c:pt idx="33">
                  <c:v>2.0796299999999999</c:v>
                </c:pt>
                <c:pt idx="34">
                  <c:v>2.0839099999999999</c:v>
                </c:pt>
                <c:pt idx="35">
                  <c:v>2.0891899999999999</c:v>
                </c:pt>
                <c:pt idx="36">
                  <c:v>2.0947199999999997</c:v>
                </c:pt>
                <c:pt idx="37">
                  <c:v>2.1025</c:v>
                </c:pt>
                <c:pt idx="38">
                  <c:v>2.1078099999999997</c:v>
                </c:pt>
                <c:pt idx="39">
                  <c:v>2.1114800000000002</c:v>
                </c:pt>
                <c:pt idx="40">
                  <c:v>2.1126</c:v>
                </c:pt>
                <c:pt idx="41">
                  <c:v>2.1130299999999997</c:v>
                </c:pt>
                <c:pt idx="42">
                  <c:v>2.1132900000000001</c:v>
                </c:pt>
                <c:pt idx="43">
                  <c:v>2.11321</c:v>
                </c:pt>
                <c:pt idx="44">
                  <c:v>2.1122700000000001</c:v>
                </c:pt>
                <c:pt idx="45">
                  <c:v>2.1109100000000001</c:v>
                </c:pt>
                <c:pt idx="46">
                  <c:v>2.1086399999999998</c:v>
                </c:pt>
                <c:pt idx="47">
                  <c:v>2.1057999999999999</c:v>
                </c:pt>
                <c:pt idx="48">
                  <c:v>2.10202</c:v>
                </c:pt>
                <c:pt idx="49">
                  <c:v>2.0973999999999999</c:v>
                </c:pt>
                <c:pt idx="50">
                  <c:v>2.09239</c:v>
                </c:pt>
                <c:pt idx="51">
                  <c:v>2.0918999999999999</c:v>
                </c:pt>
                <c:pt idx="52">
                  <c:v>2.0917300000000001</c:v>
                </c:pt>
                <c:pt idx="53">
                  <c:v>2.0929099999999998</c:v>
                </c:pt>
                <c:pt idx="54">
                  <c:v>2.0921699999999999</c:v>
                </c:pt>
                <c:pt idx="55">
                  <c:v>2.09104</c:v>
                </c:pt>
                <c:pt idx="56">
                  <c:v>2.08813</c:v>
                </c:pt>
                <c:pt idx="57">
                  <c:v>2.0838200000000002</c:v>
                </c:pt>
                <c:pt idx="58">
                  <c:v>2.0789399999999998</c:v>
                </c:pt>
                <c:pt idx="59">
                  <c:v>2.0738400000000001</c:v>
                </c:pt>
                <c:pt idx="60">
                  <c:v>2.0678199999999998</c:v>
                </c:pt>
                <c:pt idx="61">
                  <c:v>2.0630299999999999</c:v>
                </c:pt>
                <c:pt idx="62">
                  <c:v>2.0564499999999999</c:v>
                </c:pt>
                <c:pt idx="63">
                  <c:v>2.04928</c:v>
                </c:pt>
                <c:pt idx="64">
                  <c:v>2.0420500000000001</c:v>
                </c:pt>
                <c:pt idx="65">
                  <c:v>2.0369999999999999</c:v>
                </c:pt>
                <c:pt idx="66">
                  <c:v>2.0312900000000003</c:v>
                </c:pt>
                <c:pt idx="67">
                  <c:v>2.02372</c:v>
                </c:pt>
                <c:pt idx="68">
                  <c:v>2.0143200000000001</c:v>
                </c:pt>
                <c:pt idx="69">
                  <c:v>2.0063300000000002</c:v>
                </c:pt>
                <c:pt idx="70">
                  <c:v>1.99702</c:v>
                </c:pt>
                <c:pt idx="71">
                  <c:v>1.9864100000000002</c:v>
                </c:pt>
                <c:pt idx="72">
                  <c:v>1.9799600000000002</c:v>
                </c:pt>
                <c:pt idx="73">
                  <c:v>1.9762599999999999</c:v>
                </c:pt>
                <c:pt idx="74">
                  <c:v>1.9746600000000001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48.338000000000001</c:v>
                </c:pt>
                <c:pt idx="1">
                  <c:v>48.364000000000004</c:v>
                </c:pt>
                <c:pt idx="2">
                  <c:v>48.485299999999995</c:v>
                </c:pt>
                <c:pt idx="3">
                  <c:v>48.686299999999996</c:v>
                </c:pt>
                <c:pt idx="4">
                  <c:v>48.935299999999998</c:v>
                </c:pt>
                <c:pt idx="5">
                  <c:v>49.168599999999998</c:v>
                </c:pt>
                <c:pt idx="6">
                  <c:v>49.374499999999998</c:v>
                </c:pt>
                <c:pt idx="7">
                  <c:v>49.597700000000003</c:v>
                </c:pt>
                <c:pt idx="8">
                  <c:v>49.786999999999999</c:v>
                </c:pt>
                <c:pt idx="9">
                  <c:v>49.953299999999999</c:v>
                </c:pt>
                <c:pt idx="10">
                  <c:v>50.128599999999999</c:v>
                </c:pt>
                <c:pt idx="11">
                  <c:v>50.270099999999992</c:v>
                </c:pt>
                <c:pt idx="12">
                  <c:v>50.456299999999999</c:v>
                </c:pt>
                <c:pt idx="13">
                  <c:v>50.607500000000002</c:v>
                </c:pt>
                <c:pt idx="14">
                  <c:v>50.775400000000005</c:v>
                </c:pt>
                <c:pt idx="15">
                  <c:v>50.986600000000003</c:v>
                </c:pt>
                <c:pt idx="16">
                  <c:v>51.237900000000003</c:v>
                </c:pt>
                <c:pt idx="17">
                  <c:v>51.354100000000003</c:v>
                </c:pt>
                <c:pt idx="18">
                  <c:v>51.4221</c:v>
                </c:pt>
                <c:pt idx="19">
                  <c:v>51.472200000000001</c:v>
                </c:pt>
                <c:pt idx="20">
                  <c:v>51.525699999999993</c:v>
                </c:pt>
                <c:pt idx="21">
                  <c:v>51.560300000000005</c:v>
                </c:pt>
                <c:pt idx="22">
                  <c:v>51.563499999999998</c:v>
                </c:pt>
                <c:pt idx="23">
                  <c:v>51.586299999999994</c:v>
                </c:pt>
                <c:pt idx="24">
                  <c:v>51.558099999999996</c:v>
                </c:pt>
                <c:pt idx="25">
                  <c:v>51.471900000000005</c:v>
                </c:pt>
                <c:pt idx="26">
                  <c:v>51.351300000000002</c:v>
                </c:pt>
                <c:pt idx="27">
                  <c:v>51.234999999999999</c:v>
                </c:pt>
                <c:pt idx="28">
                  <c:v>51.144199999999998</c:v>
                </c:pt>
                <c:pt idx="29">
                  <c:v>50.984300000000005</c:v>
                </c:pt>
                <c:pt idx="30">
                  <c:v>50.8613</c:v>
                </c:pt>
                <c:pt idx="31">
                  <c:v>50.632600000000004</c:v>
                </c:pt>
                <c:pt idx="32">
                  <c:v>50.362399999999994</c:v>
                </c:pt>
                <c:pt idx="33">
                  <c:v>50.052199999999999</c:v>
                </c:pt>
                <c:pt idx="34">
                  <c:v>49.765999999999998</c:v>
                </c:pt>
                <c:pt idx="35">
                  <c:v>49.478999999999999</c:v>
                </c:pt>
                <c:pt idx="36">
                  <c:v>49.203400000000002</c:v>
                </c:pt>
                <c:pt idx="37">
                  <c:v>48.9071</c:v>
                </c:pt>
                <c:pt idx="38">
                  <c:v>48.632199999999997</c:v>
                </c:pt>
                <c:pt idx="39">
                  <c:v>48.394300000000001</c:v>
                </c:pt>
                <c:pt idx="40">
                  <c:v>48.236000000000004</c:v>
                </c:pt>
                <c:pt idx="41">
                  <c:v>48.083999999999996</c:v>
                </c:pt>
                <c:pt idx="42">
                  <c:v>47.950900000000004</c:v>
                </c:pt>
                <c:pt idx="43">
                  <c:v>47.830500000000001</c:v>
                </c:pt>
                <c:pt idx="44">
                  <c:v>47.793600000000005</c:v>
                </c:pt>
                <c:pt idx="45">
                  <c:v>47.841499999999996</c:v>
                </c:pt>
                <c:pt idx="46">
                  <c:v>47.911099999999998</c:v>
                </c:pt>
                <c:pt idx="47">
                  <c:v>47.985699999999994</c:v>
                </c:pt>
                <c:pt idx="48">
                  <c:v>48.107199999999999</c:v>
                </c:pt>
                <c:pt idx="49">
                  <c:v>48.294800000000002</c:v>
                </c:pt>
                <c:pt idx="50">
                  <c:v>48.506799999999998</c:v>
                </c:pt>
                <c:pt idx="51">
                  <c:v>48.517400000000002</c:v>
                </c:pt>
                <c:pt idx="52">
                  <c:v>48.5381</c:v>
                </c:pt>
                <c:pt idx="53">
                  <c:v>48.554199999999994</c:v>
                </c:pt>
                <c:pt idx="54">
                  <c:v>48.666599999999995</c:v>
                </c:pt>
                <c:pt idx="55">
                  <c:v>48.776000000000003</c:v>
                </c:pt>
                <c:pt idx="56">
                  <c:v>48.928100000000001</c:v>
                </c:pt>
                <c:pt idx="57">
                  <c:v>49.109499999999997</c:v>
                </c:pt>
                <c:pt idx="58">
                  <c:v>49.308099999999996</c:v>
                </c:pt>
                <c:pt idx="59">
                  <c:v>49.505500000000005</c:v>
                </c:pt>
                <c:pt idx="60">
                  <c:v>49.723199999999999</c:v>
                </c:pt>
                <c:pt idx="61">
                  <c:v>49.931899999999999</c:v>
                </c:pt>
                <c:pt idx="62">
                  <c:v>50.204999999999998</c:v>
                </c:pt>
                <c:pt idx="63">
                  <c:v>50.557900000000004</c:v>
                </c:pt>
                <c:pt idx="64">
                  <c:v>50.9529</c:v>
                </c:pt>
                <c:pt idx="65">
                  <c:v>51.254599999999996</c:v>
                </c:pt>
                <c:pt idx="66">
                  <c:v>51.615299999999998</c:v>
                </c:pt>
                <c:pt idx="67">
                  <c:v>52.090800000000002</c:v>
                </c:pt>
                <c:pt idx="68">
                  <c:v>52.731700000000004</c:v>
                </c:pt>
                <c:pt idx="69">
                  <c:v>53.242599999999996</c:v>
                </c:pt>
                <c:pt idx="70">
                  <c:v>53.640100000000004</c:v>
                </c:pt>
                <c:pt idx="71">
                  <c:v>54.048200000000001</c:v>
                </c:pt>
                <c:pt idx="72">
                  <c:v>54.571999999999996</c:v>
                </c:pt>
                <c:pt idx="73">
                  <c:v>55.006600000000006</c:v>
                </c:pt>
                <c:pt idx="74">
                  <c:v>55.020100000000006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1.35111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2.1101882432432428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52.262258108108142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2.1267055405405406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50.194221621621629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2.1267055405405406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50.194221621621629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0.23970161056281111</c:v>
                </c:pt>
                <c:pt idx="1">
                  <c:v>0.3080620044934852</c:v>
                </c:pt>
                <c:pt idx="2">
                  <c:v>0.45223638494370366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  <c:pt idx="74">
                  <c:v>30.0365</c:v>
                </c:pt>
                <c:pt idx="75">
                  <c:v>30.704599999999999</c:v>
                </c:pt>
                <c:pt idx="76">
                  <c:v>31.047799999999999</c:v>
                </c:pt>
                <c:pt idx="77">
                  <c:v>31.419799999999999</c:v>
                </c:pt>
                <c:pt idx="78">
                  <c:v>31.7927</c:v>
                </c:pt>
                <c:pt idx="79">
                  <c:v>32.167700000000004</c:v>
                </c:pt>
                <c:pt idx="80">
                  <c:v>32.579599999999999</c:v>
                </c:pt>
                <c:pt idx="81">
                  <c:v>32.983499999999999</c:v>
                </c:pt>
                <c:pt idx="82">
                  <c:v>33.386699999999998</c:v>
                </c:pt>
                <c:pt idx="83">
                  <c:v>33.796500000000002</c:v>
                </c:pt>
                <c:pt idx="84">
                  <c:v>34.201300000000003</c:v>
                </c:pt>
                <c:pt idx="85">
                  <c:v>34.610199999999999</c:v>
                </c:pt>
                <c:pt idx="86">
                  <c:v>35.016100000000002</c:v>
                </c:pt>
                <c:pt idx="87">
                  <c:v>35.419199999999996</c:v>
                </c:pt>
                <c:pt idx="88">
                  <c:v>35.828099999999999</c:v>
                </c:pt>
                <c:pt idx="89">
                  <c:v>36.234900000000003</c:v>
                </c:pt>
                <c:pt idx="90">
                  <c:v>36.640799999999999</c:v>
                </c:pt>
                <c:pt idx="91">
                  <c:v>37.046599999999998</c:v>
                </c:pt>
                <c:pt idx="92">
                  <c:v>37.451599999999999</c:v>
                </c:pt>
                <c:pt idx="93">
                  <c:v>37.855499999999999</c:v>
                </c:pt>
                <c:pt idx="94">
                  <c:v>38.263399999999997</c:v>
                </c:pt>
                <c:pt idx="95">
                  <c:v>38.671300000000002</c:v>
                </c:pt>
                <c:pt idx="96">
                  <c:v>39.078299999999999</c:v>
                </c:pt>
                <c:pt idx="97">
                  <c:v>39.485100000000003</c:v>
                </c:pt>
                <c:pt idx="98">
                  <c:v>39.889099999999999</c:v>
                </c:pt>
                <c:pt idx="99">
                  <c:v>40.295000000000002</c:v>
                </c:pt>
                <c:pt idx="100">
                  <c:v>40.704900000000002</c:v>
                </c:pt>
                <c:pt idx="101">
                  <c:v>41.109900000000003</c:v>
                </c:pt>
                <c:pt idx="102">
                  <c:v>41.514699999999998</c:v>
                </c:pt>
                <c:pt idx="103">
                  <c:v>41.920099999999998</c:v>
                </c:pt>
                <c:pt idx="104">
                  <c:v>42.325699999999998</c:v>
                </c:pt>
                <c:pt idx="105">
                  <c:v>42.728099999999998</c:v>
                </c:pt>
                <c:pt idx="106">
                  <c:v>43.139299999999999</c:v>
                </c:pt>
                <c:pt idx="107">
                  <c:v>43.546300000000002</c:v>
                </c:pt>
                <c:pt idx="108">
                  <c:v>43.9512</c:v>
                </c:pt>
                <c:pt idx="109">
                  <c:v>44.356299999999997</c:v>
                </c:pt>
                <c:pt idx="110">
                  <c:v>44.767099999999999</c:v>
                </c:pt>
                <c:pt idx="111">
                  <c:v>45.173000000000002</c:v>
                </c:pt>
                <c:pt idx="112">
                  <c:v>45.5779</c:v>
                </c:pt>
                <c:pt idx="113">
                  <c:v>45.982799999999997</c:v>
                </c:pt>
                <c:pt idx="114">
                  <c:v>46.386899999999997</c:v>
                </c:pt>
                <c:pt idx="115">
                  <c:v>46.7956</c:v>
                </c:pt>
                <c:pt idx="116">
                  <c:v>47.203699999999998</c:v>
                </c:pt>
                <c:pt idx="117">
                  <c:v>47.608400000000003</c:v>
                </c:pt>
                <c:pt idx="118">
                  <c:v>48.013300000000001</c:v>
                </c:pt>
                <c:pt idx="119">
                  <c:v>48.421500000000002</c:v>
                </c:pt>
                <c:pt idx="120">
                  <c:v>48.828299999999999</c:v>
                </c:pt>
                <c:pt idx="121">
                  <c:v>49.234999999999999</c:v>
                </c:pt>
                <c:pt idx="122">
                  <c:v>49.642000000000003</c:v>
                </c:pt>
                <c:pt idx="123">
                  <c:v>50.045900000000003</c:v>
                </c:pt>
                <c:pt idx="124">
                  <c:v>50.450099999999999</c:v>
                </c:pt>
                <c:pt idx="125">
                  <c:v>50.855499999999999</c:v>
                </c:pt>
                <c:pt idx="126">
                  <c:v>51.264699999999998</c:v>
                </c:pt>
                <c:pt idx="127">
                  <c:v>51.670499999999997</c:v>
                </c:pt>
                <c:pt idx="128">
                  <c:v>52.075499999999998</c:v>
                </c:pt>
                <c:pt idx="129">
                  <c:v>52.479500000000002</c:v>
                </c:pt>
                <c:pt idx="130">
                  <c:v>52.892299999999999</c:v>
                </c:pt>
                <c:pt idx="131">
                  <c:v>53.2973</c:v>
                </c:pt>
                <c:pt idx="132">
                  <c:v>53.703299999999999</c:v>
                </c:pt>
                <c:pt idx="133">
                  <c:v>54.109099999999998</c:v>
                </c:pt>
                <c:pt idx="134">
                  <c:v>54.514299999999999</c:v>
                </c:pt>
                <c:pt idx="135">
                  <c:v>54.922899999999998</c:v>
                </c:pt>
                <c:pt idx="136">
                  <c:v>55.328800000000001</c:v>
                </c:pt>
                <c:pt idx="137">
                  <c:v>55.733800000000002</c:v>
                </c:pt>
                <c:pt idx="138">
                  <c:v>56.136899999999997</c:v>
                </c:pt>
                <c:pt idx="139">
                  <c:v>56.5426</c:v>
                </c:pt>
                <c:pt idx="140">
                  <c:v>56.956400000000002</c:v>
                </c:pt>
                <c:pt idx="141">
                  <c:v>57.360399999999998</c:v>
                </c:pt>
                <c:pt idx="142">
                  <c:v>57.767299999999999</c:v>
                </c:pt>
                <c:pt idx="143">
                  <c:v>58.172199999999997</c:v>
                </c:pt>
                <c:pt idx="144">
                  <c:v>58.577100000000002</c:v>
                </c:pt>
                <c:pt idx="145">
                  <c:v>58.984000000000002</c:v>
                </c:pt>
                <c:pt idx="146">
                  <c:v>59.389000000000003</c:v>
                </c:pt>
                <c:pt idx="147">
                  <c:v>59.798900000000003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  <c:pt idx="74">
                  <c:v>2.3676300000000001</c:v>
                </c:pt>
                <c:pt idx="75">
                  <c:v>2.35677</c:v>
                </c:pt>
                <c:pt idx="76">
                  <c:v>2.3466100000000001</c:v>
                </c:pt>
                <c:pt idx="77">
                  <c:v>2.3359800000000002</c:v>
                </c:pt>
                <c:pt idx="78">
                  <c:v>2.3271800000000002</c:v>
                </c:pt>
                <c:pt idx="79">
                  <c:v>2.3167399999999998</c:v>
                </c:pt>
                <c:pt idx="80">
                  <c:v>2.3046500000000001</c:v>
                </c:pt>
                <c:pt idx="81">
                  <c:v>2.2936300000000003</c:v>
                </c:pt>
                <c:pt idx="82">
                  <c:v>2.28403</c:v>
                </c:pt>
                <c:pt idx="83">
                  <c:v>2.2739799999999999</c:v>
                </c:pt>
                <c:pt idx="84">
                  <c:v>2.2638199999999999</c:v>
                </c:pt>
                <c:pt idx="85">
                  <c:v>2.24953</c:v>
                </c:pt>
                <c:pt idx="86">
                  <c:v>2.2372000000000001</c:v>
                </c:pt>
                <c:pt idx="87">
                  <c:v>2.2242700000000002</c:v>
                </c:pt>
                <c:pt idx="88">
                  <c:v>2.2101500000000001</c:v>
                </c:pt>
                <c:pt idx="89">
                  <c:v>2.1935500000000001</c:v>
                </c:pt>
                <c:pt idx="90">
                  <c:v>2.18005</c:v>
                </c:pt>
                <c:pt idx="91">
                  <c:v>2.1675800000000001</c:v>
                </c:pt>
                <c:pt idx="92">
                  <c:v>2.1557900000000001</c:v>
                </c:pt>
                <c:pt idx="93">
                  <c:v>2.1454599999999999</c:v>
                </c:pt>
                <c:pt idx="94">
                  <c:v>2.13686</c:v>
                </c:pt>
                <c:pt idx="95">
                  <c:v>2.1282799999999997</c:v>
                </c:pt>
                <c:pt idx="96">
                  <c:v>2.1190600000000002</c:v>
                </c:pt>
                <c:pt idx="97">
                  <c:v>2.1121500000000002</c:v>
                </c:pt>
                <c:pt idx="98">
                  <c:v>2.1069900000000001</c:v>
                </c:pt>
                <c:pt idx="99">
                  <c:v>2.1021799999999997</c:v>
                </c:pt>
                <c:pt idx="100">
                  <c:v>2.0964399999999999</c:v>
                </c:pt>
                <c:pt idx="101">
                  <c:v>2.0891799999999998</c:v>
                </c:pt>
                <c:pt idx="102">
                  <c:v>2.0830199999999999</c:v>
                </c:pt>
                <c:pt idx="103">
                  <c:v>2.07612</c:v>
                </c:pt>
                <c:pt idx="104">
                  <c:v>2.07456</c:v>
                </c:pt>
                <c:pt idx="105">
                  <c:v>2.0758899999999998</c:v>
                </c:pt>
                <c:pt idx="106">
                  <c:v>2.0796299999999999</c:v>
                </c:pt>
                <c:pt idx="107">
                  <c:v>2.0839099999999999</c:v>
                </c:pt>
                <c:pt idx="108">
                  <c:v>2.0891899999999999</c:v>
                </c:pt>
                <c:pt idx="109">
                  <c:v>2.0947199999999997</c:v>
                </c:pt>
                <c:pt idx="110">
                  <c:v>2.1025</c:v>
                </c:pt>
                <c:pt idx="111">
                  <c:v>2.1078099999999997</c:v>
                </c:pt>
                <c:pt idx="112">
                  <c:v>2.1114800000000002</c:v>
                </c:pt>
                <c:pt idx="113">
                  <c:v>2.1126</c:v>
                </c:pt>
                <c:pt idx="114">
                  <c:v>2.1130299999999997</c:v>
                </c:pt>
                <c:pt idx="115">
                  <c:v>2.1132900000000001</c:v>
                </c:pt>
                <c:pt idx="116">
                  <c:v>2.11321</c:v>
                </c:pt>
                <c:pt idx="117">
                  <c:v>2.1122700000000001</c:v>
                </c:pt>
                <c:pt idx="118">
                  <c:v>2.1109100000000001</c:v>
                </c:pt>
                <c:pt idx="119">
                  <c:v>2.1086399999999998</c:v>
                </c:pt>
                <c:pt idx="120">
                  <c:v>2.1057999999999999</c:v>
                </c:pt>
                <c:pt idx="121">
                  <c:v>2.10202</c:v>
                </c:pt>
                <c:pt idx="122">
                  <c:v>2.0973999999999999</c:v>
                </c:pt>
                <c:pt idx="123">
                  <c:v>2.09239</c:v>
                </c:pt>
                <c:pt idx="124">
                  <c:v>2.0918999999999999</c:v>
                </c:pt>
                <c:pt idx="125">
                  <c:v>2.0917300000000001</c:v>
                </c:pt>
                <c:pt idx="126">
                  <c:v>2.0929099999999998</c:v>
                </c:pt>
                <c:pt idx="127">
                  <c:v>2.0921699999999999</c:v>
                </c:pt>
                <c:pt idx="128">
                  <c:v>2.09104</c:v>
                </c:pt>
                <c:pt idx="129">
                  <c:v>2.08813</c:v>
                </c:pt>
                <c:pt idx="130">
                  <c:v>2.0838200000000002</c:v>
                </c:pt>
                <c:pt idx="131">
                  <c:v>2.0789399999999998</c:v>
                </c:pt>
                <c:pt idx="132">
                  <c:v>2.0738400000000001</c:v>
                </c:pt>
                <c:pt idx="133">
                  <c:v>2.0678199999999998</c:v>
                </c:pt>
                <c:pt idx="134">
                  <c:v>2.0630299999999999</c:v>
                </c:pt>
                <c:pt idx="135">
                  <c:v>2.0564499999999999</c:v>
                </c:pt>
                <c:pt idx="136">
                  <c:v>2.04928</c:v>
                </c:pt>
                <c:pt idx="137">
                  <c:v>2.0420500000000001</c:v>
                </c:pt>
                <c:pt idx="138">
                  <c:v>2.0369999999999999</c:v>
                </c:pt>
                <c:pt idx="139">
                  <c:v>2.0312900000000003</c:v>
                </c:pt>
                <c:pt idx="140">
                  <c:v>2.02372</c:v>
                </c:pt>
                <c:pt idx="141">
                  <c:v>2.0143200000000001</c:v>
                </c:pt>
                <c:pt idx="142">
                  <c:v>2.0063300000000002</c:v>
                </c:pt>
                <c:pt idx="143">
                  <c:v>1.99702</c:v>
                </c:pt>
                <c:pt idx="144">
                  <c:v>1.9864100000000002</c:v>
                </c:pt>
                <c:pt idx="145">
                  <c:v>1.9799600000000002</c:v>
                </c:pt>
                <c:pt idx="146">
                  <c:v>1.9762599999999999</c:v>
                </c:pt>
                <c:pt idx="147">
                  <c:v>1.9746600000000001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29.622599999999998</c:v>
                </c:pt>
                <c:pt idx="1">
                  <c:v>30.0365</c:v>
                </c:pt>
                <c:pt idx="2">
                  <c:v>30.704599999999999</c:v>
                </c:pt>
                <c:pt idx="3">
                  <c:v>31.047799999999999</c:v>
                </c:pt>
                <c:pt idx="4">
                  <c:v>31.419799999999999</c:v>
                </c:pt>
                <c:pt idx="5">
                  <c:v>31.7927</c:v>
                </c:pt>
                <c:pt idx="6">
                  <c:v>32.167700000000004</c:v>
                </c:pt>
                <c:pt idx="7">
                  <c:v>32.579599999999999</c:v>
                </c:pt>
                <c:pt idx="8">
                  <c:v>32.983499999999999</c:v>
                </c:pt>
                <c:pt idx="9">
                  <c:v>33.386699999999998</c:v>
                </c:pt>
                <c:pt idx="10">
                  <c:v>33.796500000000002</c:v>
                </c:pt>
                <c:pt idx="11">
                  <c:v>34.201300000000003</c:v>
                </c:pt>
                <c:pt idx="12">
                  <c:v>34.610199999999999</c:v>
                </c:pt>
                <c:pt idx="13">
                  <c:v>35.016100000000002</c:v>
                </c:pt>
                <c:pt idx="14">
                  <c:v>35.419199999999996</c:v>
                </c:pt>
                <c:pt idx="15">
                  <c:v>35.828099999999999</c:v>
                </c:pt>
                <c:pt idx="16">
                  <c:v>36.234900000000003</c:v>
                </c:pt>
                <c:pt idx="17">
                  <c:v>36.640799999999999</c:v>
                </c:pt>
                <c:pt idx="18">
                  <c:v>37.046599999999998</c:v>
                </c:pt>
                <c:pt idx="19">
                  <c:v>37.451599999999999</c:v>
                </c:pt>
                <c:pt idx="20">
                  <c:v>37.855499999999999</c:v>
                </c:pt>
                <c:pt idx="21">
                  <c:v>38.263399999999997</c:v>
                </c:pt>
                <c:pt idx="22">
                  <c:v>38.671300000000002</c:v>
                </c:pt>
                <c:pt idx="23">
                  <c:v>39.078299999999999</c:v>
                </c:pt>
                <c:pt idx="24">
                  <c:v>39.485100000000003</c:v>
                </c:pt>
                <c:pt idx="25">
                  <c:v>39.889099999999999</c:v>
                </c:pt>
                <c:pt idx="26">
                  <c:v>40.295000000000002</c:v>
                </c:pt>
                <c:pt idx="27">
                  <c:v>40.704900000000002</c:v>
                </c:pt>
                <c:pt idx="28">
                  <c:v>41.109900000000003</c:v>
                </c:pt>
                <c:pt idx="29">
                  <c:v>41.514699999999998</c:v>
                </c:pt>
                <c:pt idx="30">
                  <c:v>41.920099999999998</c:v>
                </c:pt>
                <c:pt idx="31">
                  <c:v>42.325699999999998</c:v>
                </c:pt>
                <c:pt idx="32">
                  <c:v>42.728099999999998</c:v>
                </c:pt>
                <c:pt idx="33">
                  <c:v>43.139299999999999</c:v>
                </c:pt>
                <c:pt idx="34">
                  <c:v>43.546300000000002</c:v>
                </c:pt>
                <c:pt idx="35">
                  <c:v>43.9512</c:v>
                </c:pt>
                <c:pt idx="36">
                  <c:v>44.356299999999997</c:v>
                </c:pt>
                <c:pt idx="37">
                  <c:v>44.767099999999999</c:v>
                </c:pt>
                <c:pt idx="38">
                  <c:v>45.173000000000002</c:v>
                </c:pt>
                <c:pt idx="39">
                  <c:v>45.5779</c:v>
                </c:pt>
                <c:pt idx="40">
                  <c:v>45.982799999999997</c:v>
                </c:pt>
                <c:pt idx="41">
                  <c:v>46.386899999999997</c:v>
                </c:pt>
                <c:pt idx="42">
                  <c:v>46.7956</c:v>
                </c:pt>
                <c:pt idx="43">
                  <c:v>47.203699999999998</c:v>
                </c:pt>
                <c:pt idx="44">
                  <c:v>47.608400000000003</c:v>
                </c:pt>
                <c:pt idx="45">
                  <c:v>48.013300000000001</c:v>
                </c:pt>
                <c:pt idx="46">
                  <c:v>48.421500000000002</c:v>
                </c:pt>
                <c:pt idx="47">
                  <c:v>48.828299999999999</c:v>
                </c:pt>
                <c:pt idx="48">
                  <c:v>49.234999999999999</c:v>
                </c:pt>
                <c:pt idx="49">
                  <c:v>49.642000000000003</c:v>
                </c:pt>
                <c:pt idx="50">
                  <c:v>50.045900000000003</c:v>
                </c:pt>
                <c:pt idx="51">
                  <c:v>50.450099999999999</c:v>
                </c:pt>
                <c:pt idx="52">
                  <c:v>50.855499999999999</c:v>
                </c:pt>
                <c:pt idx="53">
                  <c:v>51.264699999999998</c:v>
                </c:pt>
                <c:pt idx="54">
                  <c:v>51.670499999999997</c:v>
                </c:pt>
                <c:pt idx="55">
                  <c:v>52.075499999999998</c:v>
                </c:pt>
                <c:pt idx="56">
                  <c:v>52.479500000000002</c:v>
                </c:pt>
                <c:pt idx="57">
                  <c:v>52.892299999999999</c:v>
                </c:pt>
                <c:pt idx="58">
                  <c:v>53.2973</c:v>
                </c:pt>
                <c:pt idx="59">
                  <c:v>53.703299999999999</c:v>
                </c:pt>
                <c:pt idx="60">
                  <c:v>54.109099999999998</c:v>
                </c:pt>
                <c:pt idx="61">
                  <c:v>54.514299999999999</c:v>
                </c:pt>
                <c:pt idx="62">
                  <c:v>54.922899999999998</c:v>
                </c:pt>
                <c:pt idx="63">
                  <c:v>55.328800000000001</c:v>
                </c:pt>
                <c:pt idx="64">
                  <c:v>55.733800000000002</c:v>
                </c:pt>
                <c:pt idx="65">
                  <c:v>56.136899999999997</c:v>
                </c:pt>
                <c:pt idx="66">
                  <c:v>56.5426</c:v>
                </c:pt>
                <c:pt idx="67">
                  <c:v>56.956400000000002</c:v>
                </c:pt>
                <c:pt idx="68">
                  <c:v>57.360399999999998</c:v>
                </c:pt>
                <c:pt idx="69">
                  <c:v>57.767299999999999</c:v>
                </c:pt>
                <c:pt idx="70">
                  <c:v>58.172199999999997</c:v>
                </c:pt>
                <c:pt idx="71">
                  <c:v>58.577100000000002</c:v>
                </c:pt>
                <c:pt idx="72">
                  <c:v>58.984000000000002</c:v>
                </c:pt>
                <c:pt idx="73">
                  <c:v>59.389000000000003</c:v>
                </c:pt>
                <c:pt idx="74">
                  <c:v>59.798900000000003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2.3766100000000003</c:v>
                </c:pt>
                <c:pt idx="1">
                  <c:v>2.3676300000000001</c:v>
                </c:pt>
                <c:pt idx="2">
                  <c:v>2.35677</c:v>
                </c:pt>
                <c:pt idx="3">
                  <c:v>2.3466100000000001</c:v>
                </c:pt>
                <c:pt idx="4">
                  <c:v>2.3359800000000002</c:v>
                </c:pt>
                <c:pt idx="5">
                  <c:v>2.3271800000000002</c:v>
                </c:pt>
                <c:pt idx="6">
                  <c:v>2.3167399999999998</c:v>
                </c:pt>
                <c:pt idx="7">
                  <c:v>2.3046500000000001</c:v>
                </c:pt>
                <c:pt idx="8">
                  <c:v>2.2936300000000003</c:v>
                </c:pt>
                <c:pt idx="9">
                  <c:v>2.28403</c:v>
                </c:pt>
                <c:pt idx="10">
                  <c:v>2.2739799999999999</c:v>
                </c:pt>
                <c:pt idx="11">
                  <c:v>2.2638199999999999</c:v>
                </c:pt>
                <c:pt idx="12">
                  <c:v>2.24953</c:v>
                </c:pt>
                <c:pt idx="13">
                  <c:v>2.2372000000000001</c:v>
                </c:pt>
                <c:pt idx="14">
                  <c:v>2.2242700000000002</c:v>
                </c:pt>
                <c:pt idx="15">
                  <c:v>2.2101500000000001</c:v>
                </c:pt>
                <c:pt idx="16">
                  <c:v>2.1935500000000001</c:v>
                </c:pt>
                <c:pt idx="17">
                  <c:v>2.18005</c:v>
                </c:pt>
                <c:pt idx="18">
                  <c:v>2.1675800000000001</c:v>
                </c:pt>
                <c:pt idx="19">
                  <c:v>2.1557900000000001</c:v>
                </c:pt>
                <c:pt idx="20">
                  <c:v>2.1454599999999999</c:v>
                </c:pt>
                <c:pt idx="21">
                  <c:v>2.13686</c:v>
                </c:pt>
                <c:pt idx="22">
                  <c:v>2.1282799999999997</c:v>
                </c:pt>
                <c:pt idx="23">
                  <c:v>2.1190600000000002</c:v>
                </c:pt>
                <c:pt idx="24">
                  <c:v>2.1121500000000002</c:v>
                </c:pt>
                <c:pt idx="25">
                  <c:v>2.1069900000000001</c:v>
                </c:pt>
                <c:pt idx="26">
                  <c:v>2.1021799999999997</c:v>
                </c:pt>
                <c:pt idx="27">
                  <c:v>2.0964399999999999</c:v>
                </c:pt>
                <c:pt idx="28">
                  <c:v>2.0891799999999998</c:v>
                </c:pt>
                <c:pt idx="29">
                  <c:v>2.0830199999999999</c:v>
                </c:pt>
                <c:pt idx="30">
                  <c:v>2.07612</c:v>
                </c:pt>
                <c:pt idx="31">
                  <c:v>2.07456</c:v>
                </c:pt>
                <c:pt idx="32">
                  <c:v>2.0758899999999998</c:v>
                </c:pt>
                <c:pt idx="33">
                  <c:v>2.0796299999999999</c:v>
                </c:pt>
                <c:pt idx="34">
                  <c:v>2.0839099999999999</c:v>
                </c:pt>
                <c:pt idx="35">
                  <c:v>2.0891899999999999</c:v>
                </c:pt>
                <c:pt idx="36">
                  <c:v>2.0947199999999997</c:v>
                </c:pt>
                <c:pt idx="37">
                  <c:v>2.1025</c:v>
                </c:pt>
                <c:pt idx="38">
                  <c:v>2.1078099999999997</c:v>
                </c:pt>
                <c:pt idx="39">
                  <c:v>2.1114800000000002</c:v>
                </c:pt>
                <c:pt idx="40">
                  <c:v>2.1126</c:v>
                </c:pt>
                <c:pt idx="41">
                  <c:v>2.1130299999999997</c:v>
                </c:pt>
                <c:pt idx="42">
                  <c:v>2.1132900000000001</c:v>
                </c:pt>
                <c:pt idx="43">
                  <c:v>2.11321</c:v>
                </c:pt>
                <c:pt idx="44">
                  <c:v>2.1122700000000001</c:v>
                </c:pt>
                <c:pt idx="45">
                  <c:v>2.1109100000000001</c:v>
                </c:pt>
                <c:pt idx="46">
                  <c:v>2.1086399999999998</c:v>
                </c:pt>
                <c:pt idx="47">
                  <c:v>2.1057999999999999</c:v>
                </c:pt>
                <c:pt idx="48">
                  <c:v>2.10202</c:v>
                </c:pt>
                <c:pt idx="49">
                  <c:v>2.0973999999999999</c:v>
                </c:pt>
                <c:pt idx="50">
                  <c:v>2.09239</c:v>
                </c:pt>
                <c:pt idx="51">
                  <c:v>2.0918999999999999</c:v>
                </c:pt>
                <c:pt idx="52">
                  <c:v>2.0917300000000001</c:v>
                </c:pt>
                <c:pt idx="53">
                  <c:v>2.0929099999999998</c:v>
                </c:pt>
                <c:pt idx="54">
                  <c:v>2.0921699999999999</c:v>
                </c:pt>
                <c:pt idx="55">
                  <c:v>2.09104</c:v>
                </c:pt>
                <c:pt idx="56">
                  <c:v>2.08813</c:v>
                </c:pt>
                <c:pt idx="57">
                  <c:v>2.0838200000000002</c:v>
                </c:pt>
                <c:pt idx="58">
                  <c:v>2.0789399999999998</c:v>
                </c:pt>
                <c:pt idx="59">
                  <c:v>2.0738400000000001</c:v>
                </c:pt>
                <c:pt idx="60">
                  <c:v>2.0678199999999998</c:v>
                </c:pt>
                <c:pt idx="61">
                  <c:v>2.0630299999999999</c:v>
                </c:pt>
                <c:pt idx="62">
                  <c:v>2.0564499999999999</c:v>
                </c:pt>
                <c:pt idx="63">
                  <c:v>2.04928</c:v>
                </c:pt>
                <c:pt idx="64">
                  <c:v>2.0420500000000001</c:v>
                </c:pt>
                <c:pt idx="65">
                  <c:v>2.0369999999999999</c:v>
                </c:pt>
                <c:pt idx="66">
                  <c:v>2.0312900000000003</c:v>
                </c:pt>
                <c:pt idx="67">
                  <c:v>2.02372</c:v>
                </c:pt>
                <c:pt idx="68">
                  <c:v>2.0143200000000001</c:v>
                </c:pt>
                <c:pt idx="69">
                  <c:v>2.0063300000000002</c:v>
                </c:pt>
                <c:pt idx="70">
                  <c:v>1.99702</c:v>
                </c:pt>
                <c:pt idx="71">
                  <c:v>1.9864100000000002</c:v>
                </c:pt>
                <c:pt idx="72">
                  <c:v>1.9799600000000002</c:v>
                </c:pt>
                <c:pt idx="73">
                  <c:v>1.9762599999999999</c:v>
                </c:pt>
                <c:pt idx="74">
                  <c:v>1.9746600000000001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14.949725000000001</c:v>
                </c:pt>
                <c:pt idx="1">
                  <c:v>44.849175000000002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2.1101882432432428</c:v>
                </c:pt>
                <c:pt idx="1">
                  <c:v>2.1267055405405406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  <c:pt idx="74">
                  <c:v>30.0365</c:v>
                </c:pt>
                <c:pt idx="75">
                  <c:v>30.704599999999999</c:v>
                </c:pt>
                <c:pt idx="76">
                  <c:v>31.047799999999999</c:v>
                </c:pt>
                <c:pt idx="77">
                  <c:v>31.419799999999999</c:v>
                </c:pt>
                <c:pt idx="78">
                  <c:v>31.7927</c:v>
                </c:pt>
                <c:pt idx="79">
                  <c:v>32.167700000000004</c:v>
                </c:pt>
                <c:pt idx="80">
                  <c:v>32.579599999999999</c:v>
                </c:pt>
                <c:pt idx="81">
                  <c:v>32.983499999999999</c:v>
                </c:pt>
                <c:pt idx="82">
                  <c:v>33.386699999999998</c:v>
                </c:pt>
                <c:pt idx="83">
                  <c:v>33.796500000000002</c:v>
                </c:pt>
                <c:pt idx="84">
                  <c:v>34.201300000000003</c:v>
                </c:pt>
                <c:pt idx="85">
                  <c:v>34.610199999999999</c:v>
                </c:pt>
                <c:pt idx="86">
                  <c:v>35.016100000000002</c:v>
                </c:pt>
                <c:pt idx="87">
                  <c:v>35.419199999999996</c:v>
                </c:pt>
                <c:pt idx="88">
                  <c:v>35.828099999999999</c:v>
                </c:pt>
                <c:pt idx="89">
                  <c:v>36.234900000000003</c:v>
                </c:pt>
                <c:pt idx="90">
                  <c:v>36.640799999999999</c:v>
                </c:pt>
                <c:pt idx="91">
                  <c:v>37.046599999999998</c:v>
                </c:pt>
                <c:pt idx="92">
                  <c:v>37.451599999999999</c:v>
                </c:pt>
                <c:pt idx="93">
                  <c:v>37.855499999999999</c:v>
                </c:pt>
                <c:pt idx="94">
                  <c:v>38.263399999999997</c:v>
                </c:pt>
                <c:pt idx="95">
                  <c:v>38.671300000000002</c:v>
                </c:pt>
                <c:pt idx="96">
                  <c:v>39.078299999999999</c:v>
                </c:pt>
                <c:pt idx="97">
                  <c:v>39.485100000000003</c:v>
                </c:pt>
                <c:pt idx="98">
                  <c:v>39.889099999999999</c:v>
                </c:pt>
                <c:pt idx="99">
                  <c:v>40.295000000000002</c:v>
                </c:pt>
                <c:pt idx="100">
                  <c:v>40.704900000000002</c:v>
                </c:pt>
                <c:pt idx="101">
                  <c:v>41.109900000000003</c:v>
                </c:pt>
                <c:pt idx="102">
                  <c:v>41.514699999999998</c:v>
                </c:pt>
                <c:pt idx="103">
                  <c:v>41.920099999999998</c:v>
                </c:pt>
                <c:pt idx="104">
                  <c:v>42.325699999999998</c:v>
                </c:pt>
                <c:pt idx="105">
                  <c:v>42.728099999999998</c:v>
                </c:pt>
                <c:pt idx="106">
                  <c:v>43.139299999999999</c:v>
                </c:pt>
                <c:pt idx="107">
                  <c:v>43.546300000000002</c:v>
                </c:pt>
                <c:pt idx="108">
                  <c:v>43.9512</c:v>
                </c:pt>
                <c:pt idx="109">
                  <c:v>44.356299999999997</c:v>
                </c:pt>
                <c:pt idx="110">
                  <c:v>44.767099999999999</c:v>
                </c:pt>
                <c:pt idx="111">
                  <c:v>45.173000000000002</c:v>
                </c:pt>
                <c:pt idx="112">
                  <c:v>45.5779</c:v>
                </c:pt>
                <c:pt idx="113">
                  <c:v>45.982799999999997</c:v>
                </c:pt>
                <c:pt idx="114">
                  <c:v>46.386899999999997</c:v>
                </c:pt>
                <c:pt idx="115">
                  <c:v>46.7956</c:v>
                </c:pt>
                <c:pt idx="116">
                  <c:v>47.203699999999998</c:v>
                </c:pt>
                <c:pt idx="117">
                  <c:v>47.608400000000003</c:v>
                </c:pt>
                <c:pt idx="118">
                  <c:v>48.013300000000001</c:v>
                </c:pt>
                <c:pt idx="119">
                  <c:v>48.421500000000002</c:v>
                </c:pt>
                <c:pt idx="120">
                  <c:v>48.828299999999999</c:v>
                </c:pt>
                <c:pt idx="121">
                  <c:v>49.234999999999999</c:v>
                </c:pt>
                <c:pt idx="122">
                  <c:v>49.642000000000003</c:v>
                </c:pt>
                <c:pt idx="123">
                  <c:v>50.045900000000003</c:v>
                </c:pt>
                <c:pt idx="124">
                  <c:v>50.450099999999999</c:v>
                </c:pt>
                <c:pt idx="125">
                  <c:v>50.855499999999999</c:v>
                </c:pt>
                <c:pt idx="126">
                  <c:v>51.264699999999998</c:v>
                </c:pt>
                <c:pt idx="127">
                  <c:v>51.670499999999997</c:v>
                </c:pt>
                <c:pt idx="128">
                  <c:v>52.075499999999998</c:v>
                </c:pt>
                <c:pt idx="129">
                  <c:v>52.479500000000002</c:v>
                </c:pt>
                <c:pt idx="130">
                  <c:v>52.892299999999999</c:v>
                </c:pt>
                <c:pt idx="131">
                  <c:v>53.2973</c:v>
                </c:pt>
                <c:pt idx="132">
                  <c:v>53.703299999999999</c:v>
                </c:pt>
                <c:pt idx="133">
                  <c:v>54.109099999999998</c:v>
                </c:pt>
                <c:pt idx="134">
                  <c:v>54.514299999999999</c:v>
                </c:pt>
                <c:pt idx="135">
                  <c:v>54.922899999999998</c:v>
                </c:pt>
                <c:pt idx="136">
                  <c:v>55.328800000000001</c:v>
                </c:pt>
                <c:pt idx="137">
                  <c:v>55.733800000000002</c:v>
                </c:pt>
                <c:pt idx="138">
                  <c:v>56.136899999999997</c:v>
                </c:pt>
                <c:pt idx="139">
                  <c:v>56.5426</c:v>
                </c:pt>
                <c:pt idx="140">
                  <c:v>56.956400000000002</c:v>
                </c:pt>
                <c:pt idx="141">
                  <c:v>57.360399999999998</c:v>
                </c:pt>
                <c:pt idx="142">
                  <c:v>57.767299999999999</c:v>
                </c:pt>
                <c:pt idx="143">
                  <c:v>58.172199999999997</c:v>
                </c:pt>
                <c:pt idx="144">
                  <c:v>58.577100000000002</c:v>
                </c:pt>
                <c:pt idx="145">
                  <c:v>58.984000000000002</c:v>
                </c:pt>
                <c:pt idx="146">
                  <c:v>59.389000000000003</c:v>
                </c:pt>
                <c:pt idx="147">
                  <c:v>59.798900000000003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  <c:pt idx="74">
                  <c:v>48.364000000000004</c:v>
                </c:pt>
                <c:pt idx="75">
                  <c:v>48.485299999999995</c:v>
                </c:pt>
                <c:pt idx="76">
                  <c:v>48.686299999999996</c:v>
                </c:pt>
                <c:pt idx="77">
                  <c:v>48.935299999999998</c:v>
                </c:pt>
                <c:pt idx="78">
                  <c:v>49.168599999999998</c:v>
                </c:pt>
                <c:pt idx="79">
                  <c:v>49.374499999999998</c:v>
                </c:pt>
                <c:pt idx="80">
                  <c:v>49.597700000000003</c:v>
                </c:pt>
                <c:pt idx="81">
                  <c:v>49.786999999999999</c:v>
                </c:pt>
                <c:pt idx="82">
                  <c:v>49.953299999999999</c:v>
                </c:pt>
                <c:pt idx="83">
                  <c:v>50.128599999999999</c:v>
                </c:pt>
                <c:pt idx="84">
                  <c:v>50.270099999999992</c:v>
                </c:pt>
                <c:pt idx="85">
                  <c:v>50.456299999999999</c:v>
                </c:pt>
                <c:pt idx="86">
                  <c:v>50.607500000000002</c:v>
                </c:pt>
                <c:pt idx="87">
                  <c:v>50.775400000000005</c:v>
                </c:pt>
                <c:pt idx="88">
                  <c:v>50.986600000000003</c:v>
                </c:pt>
                <c:pt idx="89">
                  <c:v>51.237900000000003</c:v>
                </c:pt>
                <c:pt idx="90">
                  <c:v>51.354100000000003</c:v>
                </c:pt>
                <c:pt idx="91">
                  <c:v>51.4221</c:v>
                </c:pt>
                <c:pt idx="92">
                  <c:v>51.472200000000001</c:v>
                </c:pt>
                <c:pt idx="93">
                  <c:v>51.525699999999993</c:v>
                </c:pt>
                <c:pt idx="94">
                  <c:v>51.560300000000005</c:v>
                </c:pt>
                <c:pt idx="95">
                  <c:v>51.563499999999998</c:v>
                </c:pt>
                <c:pt idx="96">
                  <c:v>51.586299999999994</c:v>
                </c:pt>
                <c:pt idx="97">
                  <c:v>51.558099999999996</c:v>
                </c:pt>
                <c:pt idx="98">
                  <c:v>51.471900000000005</c:v>
                </c:pt>
                <c:pt idx="99">
                  <c:v>51.351300000000002</c:v>
                </c:pt>
                <c:pt idx="100">
                  <c:v>51.234999999999999</c:v>
                </c:pt>
                <c:pt idx="101">
                  <c:v>51.144199999999998</c:v>
                </c:pt>
                <c:pt idx="102">
                  <c:v>50.984300000000005</c:v>
                </c:pt>
                <c:pt idx="103">
                  <c:v>50.8613</c:v>
                </c:pt>
                <c:pt idx="104">
                  <c:v>50.632600000000004</c:v>
                </c:pt>
                <c:pt idx="105">
                  <c:v>50.362399999999994</c:v>
                </c:pt>
                <c:pt idx="106">
                  <c:v>50.052199999999999</c:v>
                </c:pt>
                <c:pt idx="107">
                  <c:v>49.765999999999998</c:v>
                </c:pt>
                <c:pt idx="108">
                  <c:v>49.478999999999999</c:v>
                </c:pt>
                <c:pt idx="109">
                  <c:v>49.203400000000002</c:v>
                </c:pt>
                <c:pt idx="110">
                  <c:v>48.9071</c:v>
                </c:pt>
                <c:pt idx="111">
                  <c:v>48.632199999999997</c:v>
                </c:pt>
                <c:pt idx="112">
                  <c:v>48.394300000000001</c:v>
                </c:pt>
                <c:pt idx="113">
                  <c:v>48.236000000000004</c:v>
                </c:pt>
                <c:pt idx="114">
                  <c:v>48.083999999999996</c:v>
                </c:pt>
                <c:pt idx="115">
                  <c:v>47.950900000000004</c:v>
                </c:pt>
                <c:pt idx="116">
                  <c:v>47.830500000000001</c:v>
                </c:pt>
                <c:pt idx="117">
                  <c:v>47.793600000000005</c:v>
                </c:pt>
                <c:pt idx="118">
                  <c:v>47.841499999999996</c:v>
                </c:pt>
                <c:pt idx="119">
                  <c:v>47.911099999999998</c:v>
                </c:pt>
                <c:pt idx="120">
                  <c:v>47.985699999999994</c:v>
                </c:pt>
                <c:pt idx="121">
                  <c:v>48.107199999999999</c:v>
                </c:pt>
                <c:pt idx="122">
                  <c:v>48.294800000000002</c:v>
                </c:pt>
                <c:pt idx="123">
                  <c:v>48.506799999999998</c:v>
                </c:pt>
                <c:pt idx="124">
                  <c:v>48.517400000000002</c:v>
                </c:pt>
                <c:pt idx="125">
                  <c:v>48.5381</c:v>
                </c:pt>
                <c:pt idx="126">
                  <c:v>48.554199999999994</c:v>
                </c:pt>
                <c:pt idx="127">
                  <c:v>48.666599999999995</c:v>
                </c:pt>
                <c:pt idx="128">
                  <c:v>48.776000000000003</c:v>
                </c:pt>
                <c:pt idx="129">
                  <c:v>48.928100000000001</c:v>
                </c:pt>
                <c:pt idx="130">
                  <c:v>49.109499999999997</c:v>
                </c:pt>
                <c:pt idx="131">
                  <c:v>49.308099999999996</c:v>
                </c:pt>
                <c:pt idx="132">
                  <c:v>49.505500000000005</c:v>
                </c:pt>
                <c:pt idx="133">
                  <c:v>49.723199999999999</c:v>
                </c:pt>
                <c:pt idx="134">
                  <c:v>49.931899999999999</c:v>
                </c:pt>
                <c:pt idx="135">
                  <c:v>50.204999999999998</c:v>
                </c:pt>
                <c:pt idx="136">
                  <c:v>50.557900000000004</c:v>
                </c:pt>
                <c:pt idx="137">
                  <c:v>50.9529</c:v>
                </c:pt>
                <c:pt idx="138">
                  <c:v>51.254599999999996</c:v>
                </c:pt>
                <c:pt idx="139">
                  <c:v>51.615299999999998</c:v>
                </c:pt>
                <c:pt idx="140">
                  <c:v>52.090800000000002</c:v>
                </c:pt>
                <c:pt idx="141">
                  <c:v>52.731700000000004</c:v>
                </c:pt>
                <c:pt idx="142">
                  <c:v>53.242599999999996</c:v>
                </c:pt>
                <c:pt idx="143">
                  <c:v>53.640100000000004</c:v>
                </c:pt>
                <c:pt idx="144">
                  <c:v>54.048200000000001</c:v>
                </c:pt>
                <c:pt idx="145">
                  <c:v>54.571999999999996</c:v>
                </c:pt>
                <c:pt idx="146">
                  <c:v>55.006600000000006</c:v>
                </c:pt>
                <c:pt idx="147">
                  <c:v>55.020100000000006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29.622599999999998</c:v>
                </c:pt>
                <c:pt idx="1">
                  <c:v>30.0365</c:v>
                </c:pt>
                <c:pt idx="2">
                  <c:v>30.704599999999999</c:v>
                </c:pt>
                <c:pt idx="3">
                  <c:v>31.047799999999999</c:v>
                </c:pt>
                <c:pt idx="4">
                  <c:v>31.419799999999999</c:v>
                </c:pt>
                <c:pt idx="5">
                  <c:v>31.7927</c:v>
                </c:pt>
                <c:pt idx="6">
                  <c:v>32.167700000000004</c:v>
                </c:pt>
                <c:pt idx="7">
                  <c:v>32.579599999999999</c:v>
                </c:pt>
                <c:pt idx="8">
                  <c:v>32.983499999999999</c:v>
                </c:pt>
                <c:pt idx="9">
                  <c:v>33.386699999999998</c:v>
                </c:pt>
                <c:pt idx="10">
                  <c:v>33.796500000000002</c:v>
                </c:pt>
                <c:pt idx="11">
                  <c:v>34.201300000000003</c:v>
                </c:pt>
                <c:pt idx="12">
                  <c:v>34.610199999999999</c:v>
                </c:pt>
                <c:pt idx="13">
                  <c:v>35.016100000000002</c:v>
                </c:pt>
                <c:pt idx="14">
                  <c:v>35.419199999999996</c:v>
                </c:pt>
                <c:pt idx="15">
                  <c:v>35.828099999999999</c:v>
                </c:pt>
                <c:pt idx="16">
                  <c:v>36.234900000000003</c:v>
                </c:pt>
                <c:pt idx="17">
                  <c:v>36.640799999999999</c:v>
                </c:pt>
                <c:pt idx="18">
                  <c:v>37.046599999999998</c:v>
                </c:pt>
                <c:pt idx="19">
                  <c:v>37.451599999999999</c:v>
                </c:pt>
                <c:pt idx="20">
                  <c:v>37.855499999999999</c:v>
                </c:pt>
                <c:pt idx="21">
                  <c:v>38.263399999999997</c:v>
                </c:pt>
                <c:pt idx="22">
                  <c:v>38.671300000000002</c:v>
                </c:pt>
                <c:pt idx="23">
                  <c:v>39.078299999999999</c:v>
                </c:pt>
                <c:pt idx="24">
                  <c:v>39.485100000000003</c:v>
                </c:pt>
                <c:pt idx="25">
                  <c:v>39.889099999999999</c:v>
                </c:pt>
                <c:pt idx="26">
                  <c:v>40.295000000000002</c:v>
                </c:pt>
                <c:pt idx="27">
                  <c:v>40.704900000000002</c:v>
                </c:pt>
                <c:pt idx="28">
                  <c:v>41.109900000000003</c:v>
                </c:pt>
                <c:pt idx="29">
                  <c:v>41.514699999999998</c:v>
                </c:pt>
                <c:pt idx="30">
                  <c:v>41.920099999999998</c:v>
                </c:pt>
                <c:pt idx="31">
                  <c:v>42.325699999999998</c:v>
                </c:pt>
                <c:pt idx="32">
                  <c:v>42.728099999999998</c:v>
                </c:pt>
                <c:pt idx="33">
                  <c:v>43.139299999999999</c:v>
                </c:pt>
                <c:pt idx="34">
                  <c:v>43.546300000000002</c:v>
                </c:pt>
                <c:pt idx="35">
                  <c:v>43.9512</c:v>
                </c:pt>
                <c:pt idx="36">
                  <c:v>44.356299999999997</c:v>
                </c:pt>
                <c:pt idx="37">
                  <c:v>44.767099999999999</c:v>
                </c:pt>
                <c:pt idx="38">
                  <c:v>45.173000000000002</c:v>
                </c:pt>
                <c:pt idx="39">
                  <c:v>45.5779</c:v>
                </c:pt>
                <c:pt idx="40">
                  <c:v>45.982799999999997</c:v>
                </c:pt>
                <c:pt idx="41">
                  <c:v>46.386899999999997</c:v>
                </c:pt>
                <c:pt idx="42">
                  <c:v>46.7956</c:v>
                </c:pt>
                <c:pt idx="43">
                  <c:v>47.203699999999998</c:v>
                </c:pt>
                <c:pt idx="44">
                  <c:v>47.608400000000003</c:v>
                </c:pt>
                <c:pt idx="45">
                  <c:v>48.013300000000001</c:v>
                </c:pt>
                <c:pt idx="46">
                  <c:v>48.421500000000002</c:v>
                </c:pt>
                <c:pt idx="47">
                  <c:v>48.828299999999999</c:v>
                </c:pt>
                <c:pt idx="48">
                  <c:v>49.234999999999999</c:v>
                </c:pt>
                <c:pt idx="49">
                  <c:v>49.642000000000003</c:v>
                </c:pt>
                <c:pt idx="50">
                  <c:v>50.045900000000003</c:v>
                </c:pt>
                <c:pt idx="51">
                  <c:v>50.450099999999999</c:v>
                </c:pt>
                <c:pt idx="52">
                  <c:v>50.855499999999999</c:v>
                </c:pt>
                <c:pt idx="53">
                  <c:v>51.264699999999998</c:v>
                </c:pt>
                <c:pt idx="54">
                  <c:v>51.670499999999997</c:v>
                </c:pt>
                <c:pt idx="55">
                  <c:v>52.075499999999998</c:v>
                </c:pt>
                <c:pt idx="56">
                  <c:v>52.479500000000002</c:v>
                </c:pt>
                <c:pt idx="57">
                  <c:v>52.892299999999999</c:v>
                </c:pt>
                <c:pt idx="58">
                  <c:v>53.2973</c:v>
                </c:pt>
                <c:pt idx="59">
                  <c:v>53.703299999999999</c:v>
                </c:pt>
                <c:pt idx="60">
                  <c:v>54.109099999999998</c:v>
                </c:pt>
                <c:pt idx="61">
                  <c:v>54.514299999999999</c:v>
                </c:pt>
                <c:pt idx="62">
                  <c:v>54.922899999999998</c:v>
                </c:pt>
                <c:pt idx="63">
                  <c:v>55.328800000000001</c:v>
                </c:pt>
                <c:pt idx="64">
                  <c:v>55.733800000000002</c:v>
                </c:pt>
                <c:pt idx="65">
                  <c:v>56.136899999999997</c:v>
                </c:pt>
                <c:pt idx="66">
                  <c:v>56.5426</c:v>
                </c:pt>
                <c:pt idx="67">
                  <c:v>56.956400000000002</c:v>
                </c:pt>
                <c:pt idx="68">
                  <c:v>57.360399999999998</c:v>
                </c:pt>
                <c:pt idx="69">
                  <c:v>57.767299999999999</c:v>
                </c:pt>
                <c:pt idx="70">
                  <c:v>58.172199999999997</c:v>
                </c:pt>
                <c:pt idx="71">
                  <c:v>58.577100000000002</c:v>
                </c:pt>
                <c:pt idx="72">
                  <c:v>58.984000000000002</c:v>
                </c:pt>
                <c:pt idx="73">
                  <c:v>59.389000000000003</c:v>
                </c:pt>
                <c:pt idx="74">
                  <c:v>59.798900000000003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48.338000000000001</c:v>
                </c:pt>
                <c:pt idx="1">
                  <c:v>48.364000000000004</c:v>
                </c:pt>
                <c:pt idx="2">
                  <c:v>48.485299999999995</c:v>
                </c:pt>
                <c:pt idx="3">
                  <c:v>48.686299999999996</c:v>
                </c:pt>
                <c:pt idx="4">
                  <c:v>48.935299999999998</c:v>
                </c:pt>
                <c:pt idx="5">
                  <c:v>49.168599999999998</c:v>
                </c:pt>
                <c:pt idx="6">
                  <c:v>49.374499999999998</c:v>
                </c:pt>
                <c:pt idx="7">
                  <c:v>49.597700000000003</c:v>
                </c:pt>
                <c:pt idx="8">
                  <c:v>49.786999999999999</c:v>
                </c:pt>
                <c:pt idx="9">
                  <c:v>49.953299999999999</c:v>
                </c:pt>
                <c:pt idx="10">
                  <c:v>50.128599999999999</c:v>
                </c:pt>
                <c:pt idx="11">
                  <c:v>50.270099999999992</c:v>
                </c:pt>
                <c:pt idx="12">
                  <c:v>50.456299999999999</c:v>
                </c:pt>
                <c:pt idx="13">
                  <c:v>50.607500000000002</c:v>
                </c:pt>
                <c:pt idx="14">
                  <c:v>50.775400000000005</c:v>
                </c:pt>
                <c:pt idx="15">
                  <c:v>50.986600000000003</c:v>
                </c:pt>
                <c:pt idx="16">
                  <c:v>51.237900000000003</c:v>
                </c:pt>
                <c:pt idx="17">
                  <c:v>51.354100000000003</c:v>
                </c:pt>
                <c:pt idx="18">
                  <c:v>51.4221</c:v>
                </c:pt>
                <c:pt idx="19">
                  <c:v>51.472200000000001</c:v>
                </c:pt>
                <c:pt idx="20">
                  <c:v>51.525699999999993</c:v>
                </c:pt>
                <c:pt idx="21">
                  <c:v>51.560300000000005</c:v>
                </c:pt>
                <c:pt idx="22">
                  <c:v>51.563499999999998</c:v>
                </c:pt>
                <c:pt idx="23">
                  <c:v>51.586299999999994</c:v>
                </c:pt>
                <c:pt idx="24">
                  <c:v>51.558099999999996</c:v>
                </c:pt>
                <c:pt idx="25">
                  <c:v>51.471900000000005</c:v>
                </c:pt>
                <c:pt idx="26">
                  <c:v>51.351300000000002</c:v>
                </c:pt>
                <c:pt idx="27">
                  <c:v>51.234999999999999</c:v>
                </c:pt>
                <c:pt idx="28">
                  <c:v>51.144199999999998</c:v>
                </c:pt>
                <c:pt idx="29">
                  <c:v>50.984300000000005</c:v>
                </c:pt>
                <c:pt idx="30">
                  <c:v>50.8613</c:v>
                </c:pt>
                <c:pt idx="31">
                  <c:v>50.632600000000004</c:v>
                </c:pt>
                <c:pt idx="32">
                  <c:v>50.362399999999994</c:v>
                </c:pt>
                <c:pt idx="33">
                  <c:v>50.052199999999999</c:v>
                </c:pt>
                <c:pt idx="34">
                  <c:v>49.765999999999998</c:v>
                </c:pt>
                <c:pt idx="35">
                  <c:v>49.478999999999999</c:v>
                </c:pt>
                <c:pt idx="36">
                  <c:v>49.203400000000002</c:v>
                </c:pt>
                <c:pt idx="37">
                  <c:v>48.9071</c:v>
                </c:pt>
                <c:pt idx="38">
                  <c:v>48.632199999999997</c:v>
                </c:pt>
                <c:pt idx="39">
                  <c:v>48.394300000000001</c:v>
                </c:pt>
                <c:pt idx="40">
                  <c:v>48.236000000000004</c:v>
                </c:pt>
                <c:pt idx="41">
                  <c:v>48.083999999999996</c:v>
                </c:pt>
                <c:pt idx="42">
                  <c:v>47.950900000000004</c:v>
                </c:pt>
                <c:pt idx="43">
                  <c:v>47.830500000000001</c:v>
                </c:pt>
                <c:pt idx="44">
                  <c:v>47.793600000000005</c:v>
                </c:pt>
                <c:pt idx="45">
                  <c:v>47.841499999999996</c:v>
                </c:pt>
                <c:pt idx="46">
                  <c:v>47.911099999999998</c:v>
                </c:pt>
                <c:pt idx="47">
                  <c:v>47.985699999999994</c:v>
                </c:pt>
                <c:pt idx="48">
                  <c:v>48.107199999999999</c:v>
                </c:pt>
                <c:pt idx="49">
                  <c:v>48.294800000000002</c:v>
                </c:pt>
                <c:pt idx="50">
                  <c:v>48.506799999999998</c:v>
                </c:pt>
                <c:pt idx="51">
                  <c:v>48.517400000000002</c:v>
                </c:pt>
                <c:pt idx="52">
                  <c:v>48.5381</c:v>
                </c:pt>
                <c:pt idx="53">
                  <c:v>48.554199999999994</c:v>
                </c:pt>
                <c:pt idx="54">
                  <c:v>48.666599999999995</c:v>
                </c:pt>
                <c:pt idx="55">
                  <c:v>48.776000000000003</c:v>
                </c:pt>
                <c:pt idx="56">
                  <c:v>48.928100000000001</c:v>
                </c:pt>
                <c:pt idx="57">
                  <c:v>49.109499999999997</c:v>
                </c:pt>
                <c:pt idx="58">
                  <c:v>49.308099999999996</c:v>
                </c:pt>
                <c:pt idx="59">
                  <c:v>49.505500000000005</c:v>
                </c:pt>
                <c:pt idx="60">
                  <c:v>49.723199999999999</c:v>
                </c:pt>
                <c:pt idx="61">
                  <c:v>49.931899999999999</c:v>
                </c:pt>
                <c:pt idx="62">
                  <c:v>50.204999999999998</c:v>
                </c:pt>
                <c:pt idx="63">
                  <c:v>50.557900000000004</c:v>
                </c:pt>
                <c:pt idx="64">
                  <c:v>50.9529</c:v>
                </c:pt>
                <c:pt idx="65">
                  <c:v>51.254599999999996</c:v>
                </c:pt>
                <c:pt idx="66">
                  <c:v>51.615299999999998</c:v>
                </c:pt>
                <c:pt idx="67">
                  <c:v>52.090800000000002</c:v>
                </c:pt>
                <c:pt idx="68">
                  <c:v>52.731700000000004</c:v>
                </c:pt>
                <c:pt idx="69">
                  <c:v>53.242599999999996</c:v>
                </c:pt>
                <c:pt idx="70">
                  <c:v>53.640100000000004</c:v>
                </c:pt>
                <c:pt idx="71">
                  <c:v>54.048200000000001</c:v>
                </c:pt>
                <c:pt idx="72">
                  <c:v>54.571999999999996</c:v>
                </c:pt>
                <c:pt idx="73">
                  <c:v>55.006600000000006</c:v>
                </c:pt>
                <c:pt idx="74">
                  <c:v>55.020100000000006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14.949725000000001</c:v>
                </c:pt>
                <c:pt idx="1">
                  <c:v>44.849175000000002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52.262258108108142</c:v>
                </c:pt>
                <c:pt idx="1">
                  <c:v>50.194221621621629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26.6998</c:v>
                </c:pt>
                <c:pt idx="1">
                  <c:v>36.385800000000003</c:v>
                </c:pt>
                <c:pt idx="2">
                  <c:v>28.235199999999999</c:v>
                </c:pt>
                <c:pt idx="3">
                  <c:v>30.4422</c:v>
                </c:pt>
                <c:pt idx="4">
                  <c:v>66.964699999999993</c:v>
                </c:pt>
                <c:pt idx="5">
                  <c:v>74.876000000000005</c:v>
                </c:pt>
                <c:pt idx="6">
                  <c:v>11.148400000000001</c:v>
                </c:pt>
                <c:pt idx="7">
                  <c:v>70.295500000000004</c:v>
                </c:pt>
                <c:pt idx="8">
                  <c:v>18.069400000000002</c:v>
                </c:pt>
                <c:pt idx="9">
                  <c:v>23.442900000000002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31.1463</c:v>
                </c:pt>
                <c:pt idx="1">
                  <c:v>41.910499999999999</c:v>
                </c:pt>
                <c:pt idx="2">
                  <c:v>29.933199999999999</c:v>
                </c:pt>
                <c:pt idx="3">
                  <c:v>34.764099999999999</c:v>
                </c:pt>
                <c:pt idx="4">
                  <c:v>63.814799999999998</c:v>
                </c:pt>
                <c:pt idx="5">
                  <c:v>61.664700000000003</c:v>
                </c:pt>
                <c:pt idx="6">
                  <c:v>11.034599999999999</c:v>
                </c:pt>
                <c:pt idx="7">
                  <c:v>62.247199999999999</c:v>
                </c:pt>
                <c:pt idx="8">
                  <c:v>20.203199999999999</c:v>
                </c:pt>
                <c:pt idx="9">
                  <c:v>28.8188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0.5216050002779905</c:v>
                </c:pt>
                <c:pt idx="1">
                  <c:v>0.28444500717402343</c:v>
                </c:pt>
                <c:pt idx="2">
                  <c:v>0.19394999254798609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9002</c:v>
                </c:pt>
                <c:pt idx="7">
                  <c:v>0</c:v>
                </c:pt>
                <c:pt idx="8">
                  <c:v>19534</c:v>
                </c:pt>
                <c:pt idx="9">
                  <c:v>0</c:v>
                </c:pt>
                <c:pt idx="10">
                  <c:v>0</c:v>
                </c:pt>
                <c:pt idx="11">
                  <c:v>24977</c:v>
                </c:pt>
                <c:pt idx="12">
                  <c:v>0</c:v>
                </c:pt>
                <c:pt idx="13">
                  <c:v>26448</c:v>
                </c:pt>
                <c:pt idx="14">
                  <c:v>0</c:v>
                </c:pt>
                <c:pt idx="15">
                  <c:v>0</c:v>
                </c:pt>
                <c:pt idx="16">
                  <c:v>34907</c:v>
                </c:pt>
                <c:pt idx="17">
                  <c:v>0</c:v>
                </c:pt>
                <c:pt idx="18">
                  <c:v>0</c:v>
                </c:pt>
                <c:pt idx="19">
                  <c:v>54231</c:v>
                </c:pt>
                <c:pt idx="20">
                  <c:v>0</c:v>
                </c:pt>
                <c:pt idx="21">
                  <c:v>67415</c:v>
                </c:pt>
                <c:pt idx="22">
                  <c:v>0</c:v>
                </c:pt>
                <c:pt idx="23">
                  <c:v>0</c:v>
                </c:pt>
                <c:pt idx="24">
                  <c:v>68796</c:v>
                </c:pt>
                <c:pt idx="25">
                  <c:v>0</c:v>
                </c:pt>
                <c:pt idx="26">
                  <c:v>78067</c:v>
                </c:pt>
                <c:pt idx="27">
                  <c:v>0</c:v>
                </c:pt>
                <c:pt idx="28">
                  <c:v>0</c:v>
                </c:pt>
                <c:pt idx="29">
                  <c:v>84568</c:v>
                </c:pt>
                <c:pt idx="30">
                  <c:v>0</c:v>
                </c:pt>
                <c:pt idx="31">
                  <c:v>77582</c:v>
                </c:pt>
                <c:pt idx="32">
                  <c:v>0</c:v>
                </c:pt>
                <c:pt idx="33">
                  <c:v>0</c:v>
                </c:pt>
                <c:pt idx="34">
                  <c:v>78644</c:v>
                </c:pt>
                <c:pt idx="35">
                  <c:v>0</c:v>
                </c:pt>
                <c:pt idx="36">
                  <c:v>0</c:v>
                </c:pt>
                <c:pt idx="37">
                  <c:v>75047</c:v>
                </c:pt>
                <c:pt idx="38">
                  <c:v>0</c:v>
                </c:pt>
                <c:pt idx="39">
                  <c:v>81398</c:v>
                </c:pt>
                <c:pt idx="40">
                  <c:v>0</c:v>
                </c:pt>
                <c:pt idx="41">
                  <c:v>0</c:v>
                </c:pt>
                <c:pt idx="42">
                  <c:v>62582</c:v>
                </c:pt>
                <c:pt idx="43">
                  <c:v>0</c:v>
                </c:pt>
                <c:pt idx="44">
                  <c:v>59906</c:v>
                </c:pt>
                <c:pt idx="45">
                  <c:v>0</c:v>
                </c:pt>
                <c:pt idx="46">
                  <c:v>0</c:v>
                </c:pt>
                <c:pt idx="47">
                  <c:v>61072</c:v>
                </c:pt>
                <c:pt idx="48">
                  <c:v>0</c:v>
                </c:pt>
                <c:pt idx="49">
                  <c:v>65129</c:v>
                </c:pt>
                <c:pt idx="50">
                  <c:v>0</c:v>
                </c:pt>
                <c:pt idx="51">
                  <c:v>0</c:v>
                </c:pt>
                <c:pt idx="52">
                  <c:v>66406</c:v>
                </c:pt>
                <c:pt idx="53">
                  <c:v>0</c:v>
                </c:pt>
                <c:pt idx="54">
                  <c:v>0</c:v>
                </c:pt>
                <c:pt idx="55">
                  <c:v>65521</c:v>
                </c:pt>
                <c:pt idx="56">
                  <c:v>0</c:v>
                </c:pt>
                <c:pt idx="57">
                  <c:v>61337</c:v>
                </c:pt>
                <c:pt idx="58">
                  <c:v>0</c:v>
                </c:pt>
                <c:pt idx="59">
                  <c:v>0</c:v>
                </c:pt>
                <c:pt idx="60">
                  <c:v>53897</c:v>
                </c:pt>
                <c:pt idx="61">
                  <c:v>0</c:v>
                </c:pt>
                <c:pt idx="62">
                  <c:v>48703</c:v>
                </c:pt>
                <c:pt idx="63">
                  <c:v>0</c:v>
                </c:pt>
                <c:pt idx="64">
                  <c:v>0</c:v>
                </c:pt>
                <c:pt idx="65">
                  <c:v>43512</c:v>
                </c:pt>
                <c:pt idx="66">
                  <c:v>0</c:v>
                </c:pt>
                <c:pt idx="67">
                  <c:v>46150</c:v>
                </c:pt>
                <c:pt idx="68">
                  <c:v>0</c:v>
                </c:pt>
                <c:pt idx="69">
                  <c:v>0</c:v>
                </c:pt>
                <c:pt idx="70">
                  <c:v>41392</c:v>
                </c:pt>
                <c:pt idx="71">
                  <c:v>0</c:v>
                </c:pt>
                <c:pt idx="72">
                  <c:v>0</c:v>
                </c:pt>
                <c:pt idx="73">
                  <c:v>40681</c:v>
                </c:pt>
                <c:pt idx="74">
                  <c:v>0</c:v>
                </c:pt>
                <c:pt idx="75">
                  <c:v>46210</c:v>
                </c:pt>
                <c:pt idx="76">
                  <c:v>0</c:v>
                </c:pt>
                <c:pt idx="77">
                  <c:v>0</c:v>
                </c:pt>
                <c:pt idx="78">
                  <c:v>34951</c:v>
                </c:pt>
                <c:pt idx="79">
                  <c:v>0</c:v>
                </c:pt>
                <c:pt idx="80">
                  <c:v>29343</c:v>
                </c:pt>
                <c:pt idx="81">
                  <c:v>0</c:v>
                </c:pt>
                <c:pt idx="82">
                  <c:v>0</c:v>
                </c:pt>
                <c:pt idx="83">
                  <c:v>34001</c:v>
                </c:pt>
                <c:pt idx="84">
                  <c:v>0</c:v>
                </c:pt>
                <c:pt idx="85">
                  <c:v>0</c:v>
                </c:pt>
                <c:pt idx="86">
                  <c:v>30641</c:v>
                </c:pt>
                <c:pt idx="87">
                  <c:v>0</c:v>
                </c:pt>
                <c:pt idx="88">
                  <c:v>27579</c:v>
                </c:pt>
                <c:pt idx="89">
                  <c:v>0</c:v>
                </c:pt>
                <c:pt idx="90">
                  <c:v>0</c:v>
                </c:pt>
                <c:pt idx="91">
                  <c:v>27574</c:v>
                </c:pt>
                <c:pt idx="92">
                  <c:v>0</c:v>
                </c:pt>
                <c:pt idx="93">
                  <c:v>26371</c:v>
                </c:pt>
                <c:pt idx="94">
                  <c:v>0</c:v>
                </c:pt>
                <c:pt idx="95">
                  <c:v>0</c:v>
                </c:pt>
                <c:pt idx="96">
                  <c:v>23090</c:v>
                </c:pt>
                <c:pt idx="97">
                  <c:v>0</c:v>
                </c:pt>
                <c:pt idx="98">
                  <c:v>24005</c:v>
                </c:pt>
                <c:pt idx="99">
                  <c:v>0</c:v>
                </c:pt>
                <c:pt idx="100">
                  <c:v>0</c:v>
                </c:pt>
                <c:pt idx="101">
                  <c:v>17755</c:v>
                </c:pt>
                <c:pt idx="102">
                  <c:v>0</c:v>
                </c:pt>
                <c:pt idx="103">
                  <c:v>0</c:v>
                </c:pt>
                <c:pt idx="104">
                  <c:v>13704</c:v>
                </c:pt>
                <c:pt idx="105">
                  <c:v>0</c:v>
                </c:pt>
                <c:pt idx="106">
                  <c:v>11173</c:v>
                </c:pt>
                <c:pt idx="107">
                  <c:v>0</c:v>
                </c:pt>
                <c:pt idx="108">
                  <c:v>0</c:v>
                </c:pt>
                <c:pt idx="109">
                  <c:v>9348</c:v>
                </c:pt>
                <c:pt idx="110">
                  <c:v>0</c:v>
                </c:pt>
                <c:pt idx="111">
                  <c:v>8530</c:v>
                </c:pt>
                <c:pt idx="112">
                  <c:v>0</c:v>
                </c:pt>
                <c:pt idx="113">
                  <c:v>0</c:v>
                </c:pt>
                <c:pt idx="114">
                  <c:v>6913</c:v>
                </c:pt>
                <c:pt idx="115">
                  <c:v>0</c:v>
                </c:pt>
                <c:pt idx="116">
                  <c:v>3896</c:v>
                </c:pt>
                <c:pt idx="117">
                  <c:v>0</c:v>
                </c:pt>
                <c:pt idx="118">
                  <c:v>0</c:v>
                </c:pt>
                <c:pt idx="119">
                  <c:v>2767</c:v>
                </c:pt>
                <c:pt idx="120">
                  <c:v>0</c:v>
                </c:pt>
                <c:pt idx="121">
                  <c:v>0</c:v>
                </c:pt>
                <c:pt idx="122">
                  <c:v>3134</c:v>
                </c:pt>
                <c:pt idx="123">
                  <c:v>0</c:v>
                </c:pt>
                <c:pt idx="124">
                  <c:v>1488</c:v>
                </c:pt>
                <c:pt idx="125">
                  <c:v>0</c:v>
                </c:pt>
                <c:pt idx="126">
                  <c:v>0</c:v>
                </c:pt>
                <c:pt idx="127">
                  <c:v>1038</c:v>
                </c:pt>
                <c:pt idx="128">
                  <c:v>0</c:v>
                </c:pt>
                <c:pt idx="129">
                  <c:v>784</c:v>
                </c:pt>
                <c:pt idx="130">
                  <c:v>0</c:v>
                </c:pt>
                <c:pt idx="131">
                  <c:v>0</c:v>
                </c:pt>
                <c:pt idx="132">
                  <c:v>765</c:v>
                </c:pt>
                <c:pt idx="133">
                  <c:v>0</c:v>
                </c:pt>
                <c:pt idx="134">
                  <c:v>267</c:v>
                </c:pt>
                <c:pt idx="135">
                  <c:v>0</c:v>
                </c:pt>
                <c:pt idx="136">
                  <c:v>0</c:v>
                </c:pt>
                <c:pt idx="137">
                  <c:v>402</c:v>
                </c:pt>
                <c:pt idx="138">
                  <c:v>0</c:v>
                </c:pt>
                <c:pt idx="139">
                  <c:v>0</c:v>
                </c:pt>
                <c:pt idx="140">
                  <c:v>31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13927</c:v>
                </c:pt>
                <c:pt idx="7">
                  <c:v>0</c:v>
                </c:pt>
                <c:pt idx="8">
                  <c:v>21086</c:v>
                </c:pt>
                <c:pt idx="9">
                  <c:v>0</c:v>
                </c:pt>
                <c:pt idx="10">
                  <c:v>0</c:v>
                </c:pt>
                <c:pt idx="11">
                  <c:v>22648</c:v>
                </c:pt>
                <c:pt idx="12">
                  <c:v>0</c:v>
                </c:pt>
                <c:pt idx="13">
                  <c:v>28956</c:v>
                </c:pt>
                <c:pt idx="14">
                  <c:v>0</c:v>
                </c:pt>
                <c:pt idx="15">
                  <c:v>0</c:v>
                </c:pt>
                <c:pt idx="16">
                  <c:v>38709</c:v>
                </c:pt>
                <c:pt idx="17">
                  <c:v>0</c:v>
                </c:pt>
                <c:pt idx="18">
                  <c:v>0</c:v>
                </c:pt>
                <c:pt idx="19">
                  <c:v>41944</c:v>
                </c:pt>
                <c:pt idx="20">
                  <c:v>0</c:v>
                </c:pt>
                <c:pt idx="21">
                  <c:v>38411</c:v>
                </c:pt>
                <c:pt idx="22">
                  <c:v>0</c:v>
                </c:pt>
                <c:pt idx="23">
                  <c:v>0</c:v>
                </c:pt>
                <c:pt idx="24">
                  <c:v>41818</c:v>
                </c:pt>
                <c:pt idx="25">
                  <c:v>0</c:v>
                </c:pt>
                <c:pt idx="26">
                  <c:v>42089</c:v>
                </c:pt>
                <c:pt idx="27">
                  <c:v>0</c:v>
                </c:pt>
                <c:pt idx="28">
                  <c:v>0</c:v>
                </c:pt>
                <c:pt idx="29">
                  <c:v>42093</c:v>
                </c:pt>
                <c:pt idx="30">
                  <c:v>0</c:v>
                </c:pt>
                <c:pt idx="31">
                  <c:v>45257</c:v>
                </c:pt>
                <c:pt idx="32">
                  <c:v>0</c:v>
                </c:pt>
                <c:pt idx="33">
                  <c:v>0</c:v>
                </c:pt>
                <c:pt idx="34">
                  <c:v>44176</c:v>
                </c:pt>
                <c:pt idx="35">
                  <c:v>0</c:v>
                </c:pt>
                <c:pt idx="36">
                  <c:v>0</c:v>
                </c:pt>
                <c:pt idx="37">
                  <c:v>44174</c:v>
                </c:pt>
                <c:pt idx="38">
                  <c:v>0</c:v>
                </c:pt>
                <c:pt idx="39">
                  <c:v>45409</c:v>
                </c:pt>
                <c:pt idx="40">
                  <c:v>0</c:v>
                </c:pt>
                <c:pt idx="41">
                  <c:v>0</c:v>
                </c:pt>
                <c:pt idx="42">
                  <c:v>52189</c:v>
                </c:pt>
                <c:pt idx="43">
                  <c:v>0</c:v>
                </c:pt>
                <c:pt idx="44">
                  <c:v>58551</c:v>
                </c:pt>
                <c:pt idx="45">
                  <c:v>0</c:v>
                </c:pt>
                <c:pt idx="46">
                  <c:v>0</c:v>
                </c:pt>
                <c:pt idx="47">
                  <c:v>68804</c:v>
                </c:pt>
                <c:pt idx="48">
                  <c:v>0</c:v>
                </c:pt>
                <c:pt idx="49">
                  <c:v>70323</c:v>
                </c:pt>
                <c:pt idx="50">
                  <c:v>0</c:v>
                </c:pt>
                <c:pt idx="51">
                  <c:v>0</c:v>
                </c:pt>
                <c:pt idx="52">
                  <c:v>76698</c:v>
                </c:pt>
                <c:pt idx="53">
                  <c:v>0</c:v>
                </c:pt>
                <c:pt idx="54">
                  <c:v>0</c:v>
                </c:pt>
                <c:pt idx="55">
                  <c:v>79641</c:v>
                </c:pt>
                <c:pt idx="56">
                  <c:v>0</c:v>
                </c:pt>
                <c:pt idx="57">
                  <c:v>74815</c:v>
                </c:pt>
                <c:pt idx="58">
                  <c:v>0</c:v>
                </c:pt>
                <c:pt idx="59">
                  <c:v>0</c:v>
                </c:pt>
                <c:pt idx="60">
                  <c:v>82810</c:v>
                </c:pt>
                <c:pt idx="61">
                  <c:v>0</c:v>
                </c:pt>
                <c:pt idx="62">
                  <c:v>78378</c:v>
                </c:pt>
                <c:pt idx="63">
                  <c:v>0</c:v>
                </c:pt>
                <c:pt idx="64">
                  <c:v>0</c:v>
                </c:pt>
                <c:pt idx="65">
                  <c:v>76422</c:v>
                </c:pt>
                <c:pt idx="66">
                  <c:v>0</c:v>
                </c:pt>
                <c:pt idx="67">
                  <c:v>70477</c:v>
                </c:pt>
                <c:pt idx="68">
                  <c:v>0</c:v>
                </c:pt>
                <c:pt idx="69">
                  <c:v>0</c:v>
                </c:pt>
                <c:pt idx="70">
                  <c:v>60534</c:v>
                </c:pt>
                <c:pt idx="71">
                  <c:v>0</c:v>
                </c:pt>
                <c:pt idx="72">
                  <c:v>0</c:v>
                </c:pt>
                <c:pt idx="73">
                  <c:v>60240</c:v>
                </c:pt>
                <c:pt idx="74">
                  <c:v>0</c:v>
                </c:pt>
                <c:pt idx="75">
                  <c:v>51204</c:v>
                </c:pt>
                <c:pt idx="76">
                  <c:v>0</c:v>
                </c:pt>
                <c:pt idx="77">
                  <c:v>0</c:v>
                </c:pt>
                <c:pt idx="78">
                  <c:v>46489</c:v>
                </c:pt>
                <c:pt idx="79">
                  <c:v>0</c:v>
                </c:pt>
                <c:pt idx="80">
                  <c:v>39632</c:v>
                </c:pt>
                <c:pt idx="81">
                  <c:v>0</c:v>
                </c:pt>
                <c:pt idx="82">
                  <c:v>0</c:v>
                </c:pt>
                <c:pt idx="83">
                  <c:v>40554</c:v>
                </c:pt>
                <c:pt idx="84">
                  <c:v>0</c:v>
                </c:pt>
                <c:pt idx="85">
                  <c:v>0</c:v>
                </c:pt>
                <c:pt idx="86">
                  <c:v>35985</c:v>
                </c:pt>
                <c:pt idx="87">
                  <c:v>0</c:v>
                </c:pt>
                <c:pt idx="88">
                  <c:v>36238</c:v>
                </c:pt>
                <c:pt idx="89">
                  <c:v>0</c:v>
                </c:pt>
                <c:pt idx="90">
                  <c:v>0</c:v>
                </c:pt>
                <c:pt idx="91">
                  <c:v>31603</c:v>
                </c:pt>
                <c:pt idx="92">
                  <c:v>0</c:v>
                </c:pt>
                <c:pt idx="93">
                  <c:v>28541</c:v>
                </c:pt>
                <c:pt idx="94">
                  <c:v>0</c:v>
                </c:pt>
                <c:pt idx="95">
                  <c:v>0</c:v>
                </c:pt>
                <c:pt idx="96">
                  <c:v>23240</c:v>
                </c:pt>
                <c:pt idx="97">
                  <c:v>0</c:v>
                </c:pt>
                <c:pt idx="98">
                  <c:v>17007</c:v>
                </c:pt>
                <c:pt idx="99">
                  <c:v>0</c:v>
                </c:pt>
                <c:pt idx="100">
                  <c:v>0</c:v>
                </c:pt>
                <c:pt idx="101">
                  <c:v>14482</c:v>
                </c:pt>
                <c:pt idx="102">
                  <c:v>0</c:v>
                </c:pt>
                <c:pt idx="103">
                  <c:v>0</c:v>
                </c:pt>
                <c:pt idx="104">
                  <c:v>10805</c:v>
                </c:pt>
                <c:pt idx="105">
                  <c:v>0</c:v>
                </c:pt>
                <c:pt idx="106">
                  <c:v>8124</c:v>
                </c:pt>
                <c:pt idx="107">
                  <c:v>0</c:v>
                </c:pt>
                <c:pt idx="108">
                  <c:v>0</c:v>
                </c:pt>
                <c:pt idx="109">
                  <c:v>6573</c:v>
                </c:pt>
                <c:pt idx="110">
                  <c:v>0</c:v>
                </c:pt>
                <c:pt idx="111">
                  <c:v>4653</c:v>
                </c:pt>
                <c:pt idx="112">
                  <c:v>0</c:v>
                </c:pt>
                <c:pt idx="113">
                  <c:v>0</c:v>
                </c:pt>
                <c:pt idx="114">
                  <c:v>3921</c:v>
                </c:pt>
                <c:pt idx="115">
                  <c:v>0</c:v>
                </c:pt>
                <c:pt idx="116">
                  <c:v>3271</c:v>
                </c:pt>
                <c:pt idx="117">
                  <c:v>0</c:v>
                </c:pt>
                <c:pt idx="118">
                  <c:v>0</c:v>
                </c:pt>
                <c:pt idx="119">
                  <c:v>3193</c:v>
                </c:pt>
                <c:pt idx="120">
                  <c:v>0</c:v>
                </c:pt>
                <c:pt idx="121">
                  <c:v>0</c:v>
                </c:pt>
                <c:pt idx="122">
                  <c:v>5527</c:v>
                </c:pt>
                <c:pt idx="123">
                  <c:v>0</c:v>
                </c:pt>
                <c:pt idx="124">
                  <c:v>5315</c:v>
                </c:pt>
                <c:pt idx="125">
                  <c:v>0</c:v>
                </c:pt>
                <c:pt idx="126">
                  <c:v>0</c:v>
                </c:pt>
                <c:pt idx="127">
                  <c:v>4550</c:v>
                </c:pt>
                <c:pt idx="128">
                  <c:v>0</c:v>
                </c:pt>
                <c:pt idx="129">
                  <c:v>3679</c:v>
                </c:pt>
                <c:pt idx="130">
                  <c:v>0</c:v>
                </c:pt>
                <c:pt idx="131">
                  <c:v>0</c:v>
                </c:pt>
                <c:pt idx="132">
                  <c:v>3796</c:v>
                </c:pt>
                <c:pt idx="133">
                  <c:v>0</c:v>
                </c:pt>
                <c:pt idx="134">
                  <c:v>3001</c:v>
                </c:pt>
                <c:pt idx="135">
                  <c:v>0</c:v>
                </c:pt>
                <c:pt idx="136">
                  <c:v>0</c:v>
                </c:pt>
                <c:pt idx="137">
                  <c:v>2350</c:v>
                </c:pt>
                <c:pt idx="138">
                  <c:v>0</c:v>
                </c:pt>
                <c:pt idx="139">
                  <c:v>0</c:v>
                </c:pt>
                <c:pt idx="140">
                  <c:v>1341</c:v>
                </c:pt>
                <c:pt idx="141">
                  <c:v>0</c:v>
                </c:pt>
                <c:pt idx="142">
                  <c:v>452</c:v>
                </c:pt>
                <c:pt idx="143">
                  <c:v>0</c:v>
                </c:pt>
                <c:pt idx="144">
                  <c:v>0</c:v>
                </c:pt>
                <c:pt idx="145">
                  <c:v>179</c:v>
                </c:pt>
                <c:pt idx="146">
                  <c:v>0</c:v>
                </c:pt>
                <c:pt idx="147">
                  <c:v>277</c:v>
                </c:pt>
                <c:pt idx="148">
                  <c:v>0</c:v>
                </c:pt>
                <c:pt idx="149">
                  <c:v>0</c:v>
                </c:pt>
                <c:pt idx="150">
                  <c:v>379</c:v>
                </c:pt>
                <c:pt idx="151">
                  <c:v>0</c:v>
                </c:pt>
                <c:pt idx="152">
                  <c:v>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0.21226538459013755</c:v>
                </c:pt>
                <c:pt idx="1">
                  <c:v>0.36029554277793768</c:v>
                </c:pt>
                <c:pt idx="2">
                  <c:v>0.42743907263192482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0.45738580272340218</c:v>
                </c:pt>
                <c:pt idx="1">
                  <c:v>0.31699717000713828</c:v>
                </c:pt>
                <c:pt idx="2">
                  <c:v>0.22561702726945959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8.6744075000000009</c:v>
                </c:pt>
                <c:pt idx="1">
                  <c:v>6.3727149999999995</c:v>
                </c:pt>
                <c:pt idx="2">
                  <c:v>21.523399999999999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  <c:pt idx="74">
                  <c:v>30.0365</c:v>
                </c:pt>
                <c:pt idx="75">
                  <c:v>30.704599999999999</c:v>
                </c:pt>
                <c:pt idx="76">
                  <c:v>31.047799999999999</c:v>
                </c:pt>
                <c:pt idx="77">
                  <c:v>31.419799999999999</c:v>
                </c:pt>
                <c:pt idx="78">
                  <c:v>31.7927</c:v>
                </c:pt>
                <c:pt idx="79">
                  <c:v>32.167700000000004</c:v>
                </c:pt>
                <c:pt idx="80">
                  <c:v>32.579599999999999</c:v>
                </c:pt>
                <c:pt idx="81">
                  <c:v>32.983499999999999</c:v>
                </c:pt>
                <c:pt idx="82">
                  <c:v>33.386699999999998</c:v>
                </c:pt>
                <c:pt idx="83">
                  <c:v>33.796500000000002</c:v>
                </c:pt>
                <c:pt idx="84">
                  <c:v>34.201300000000003</c:v>
                </c:pt>
                <c:pt idx="85">
                  <c:v>34.610199999999999</c:v>
                </c:pt>
                <c:pt idx="86">
                  <c:v>35.016100000000002</c:v>
                </c:pt>
                <c:pt idx="87">
                  <c:v>35.419199999999996</c:v>
                </c:pt>
                <c:pt idx="88">
                  <c:v>35.828099999999999</c:v>
                </c:pt>
                <c:pt idx="89">
                  <c:v>36.234900000000003</c:v>
                </c:pt>
                <c:pt idx="90">
                  <c:v>36.640799999999999</c:v>
                </c:pt>
                <c:pt idx="91">
                  <c:v>37.046599999999998</c:v>
                </c:pt>
                <c:pt idx="92">
                  <c:v>37.451599999999999</c:v>
                </c:pt>
                <c:pt idx="93">
                  <c:v>37.855499999999999</c:v>
                </c:pt>
                <c:pt idx="94">
                  <c:v>38.263399999999997</c:v>
                </c:pt>
                <c:pt idx="95">
                  <c:v>38.671300000000002</c:v>
                </c:pt>
                <c:pt idx="96">
                  <c:v>39.078299999999999</c:v>
                </c:pt>
                <c:pt idx="97">
                  <c:v>39.485100000000003</c:v>
                </c:pt>
                <c:pt idx="98">
                  <c:v>39.889099999999999</c:v>
                </c:pt>
                <c:pt idx="99">
                  <c:v>40.295000000000002</c:v>
                </c:pt>
                <c:pt idx="100">
                  <c:v>40.704900000000002</c:v>
                </c:pt>
                <c:pt idx="101">
                  <c:v>41.109900000000003</c:v>
                </c:pt>
                <c:pt idx="102">
                  <c:v>41.514699999999998</c:v>
                </c:pt>
                <c:pt idx="103">
                  <c:v>41.920099999999998</c:v>
                </c:pt>
                <c:pt idx="104">
                  <c:v>42.325699999999998</c:v>
                </c:pt>
                <c:pt idx="105">
                  <c:v>42.728099999999998</c:v>
                </c:pt>
                <c:pt idx="106">
                  <c:v>43.139299999999999</c:v>
                </c:pt>
                <c:pt idx="107">
                  <c:v>43.546300000000002</c:v>
                </c:pt>
                <c:pt idx="108">
                  <c:v>43.9512</c:v>
                </c:pt>
                <c:pt idx="109">
                  <c:v>44.356299999999997</c:v>
                </c:pt>
                <c:pt idx="110">
                  <c:v>44.767099999999999</c:v>
                </c:pt>
                <c:pt idx="111">
                  <c:v>45.173000000000002</c:v>
                </c:pt>
                <c:pt idx="112">
                  <c:v>45.5779</c:v>
                </c:pt>
                <c:pt idx="113">
                  <c:v>45.982799999999997</c:v>
                </c:pt>
                <c:pt idx="114">
                  <c:v>46.386899999999997</c:v>
                </c:pt>
                <c:pt idx="115">
                  <c:v>46.7956</c:v>
                </c:pt>
                <c:pt idx="116">
                  <c:v>47.203699999999998</c:v>
                </c:pt>
                <c:pt idx="117">
                  <c:v>47.608400000000003</c:v>
                </c:pt>
                <c:pt idx="118">
                  <c:v>48.013300000000001</c:v>
                </c:pt>
                <c:pt idx="119">
                  <c:v>48.421500000000002</c:v>
                </c:pt>
                <c:pt idx="120">
                  <c:v>48.828299999999999</c:v>
                </c:pt>
                <c:pt idx="121">
                  <c:v>49.234999999999999</c:v>
                </c:pt>
                <c:pt idx="122">
                  <c:v>49.642000000000003</c:v>
                </c:pt>
                <c:pt idx="123">
                  <c:v>50.045900000000003</c:v>
                </c:pt>
                <c:pt idx="124">
                  <c:v>50.450099999999999</c:v>
                </c:pt>
                <c:pt idx="125">
                  <c:v>50.855499999999999</c:v>
                </c:pt>
                <c:pt idx="126">
                  <c:v>51.264699999999998</c:v>
                </c:pt>
                <c:pt idx="127">
                  <c:v>51.670499999999997</c:v>
                </c:pt>
                <c:pt idx="128">
                  <c:v>52.075499999999998</c:v>
                </c:pt>
                <c:pt idx="129">
                  <c:v>52.479500000000002</c:v>
                </c:pt>
                <c:pt idx="130">
                  <c:v>52.892299999999999</c:v>
                </c:pt>
                <c:pt idx="131">
                  <c:v>53.2973</c:v>
                </c:pt>
                <c:pt idx="132">
                  <c:v>53.703299999999999</c:v>
                </c:pt>
                <c:pt idx="133">
                  <c:v>54.109099999999998</c:v>
                </c:pt>
                <c:pt idx="134">
                  <c:v>54.514299999999999</c:v>
                </c:pt>
                <c:pt idx="135">
                  <c:v>54.922899999999998</c:v>
                </c:pt>
                <c:pt idx="136">
                  <c:v>55.328800000000001</c:v>
                </c:pt>
                <c:pt idx="137">
                  <c:v>55.733800000000002</c:v>
                </c:pt>
                <c:pt idx="138">
                  <c:v>56.136899999999997</c:v>
                </c:pt>
                <c:pt idx="139">
                  <c:v>56.5426</c:v>
                </c:pt>
                <c:pt idx="140">
                  <c:v>56.956400000000002</c:v>
                </c:pt>
                <c:pt idx="141">
                  <c:v>57.360399999999998</c:v>
                </c:pt>
                <c:pt idx="142">
                  <c:v>57.767299999999999</c:v>
                </c:pt>
                <c:pt idx="143">
                  <c:v>58.172199999999997</c:v>
                </c:pt>
                <c:pt idx="144">
                  <c:v>58.577100000000002</c:v>
                </c:pt>
                <c:pt idx="145">
                  <c:v>58.984000000000002</c:v>
                </c:pt>
                <c:pt idx="146">
                  <c:v>59.389000000000003</c:v>
                </c:pt>
                <c:pt idx="147">
                  <c:v>59.798900000000003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  <c:pt idx="74">
                  <c:v>2.3676300000000001</c:v>
                </c:pt>
                <c:pt idx="75">
                  <c:v>2.35677</c:v>
                </c:pt>
                <c:pt idx="76">
                  <c:v>2.3466100000000001</c:v>
                </c:pt>
                <c:pt idx="77">
                  <c:v>2.3359800000000002</c:v>
                </c:pt>
                <c:pt idx="78">
                  <c:v>2.3271800000000002</c:v>
                </c:pt>
                <c:pt idx="79">
                  <c:v>2.3167399999999998</c:v>
                </c:pt>
                <c:pt idx="80">
                  <c:v>2.3046500000000001</c:v>
                </c:pt>
                <c:pt idx="81">
                  <c:v>2.2936300000000003</c:v>
                </c:pt>
                <c:pt idx="82">
                  <c:v>2.28403</c:v>
                </c:pt>
                <c:pt idx="83">
                  <c:v>2.2739799999999999</c:v>
                </c:pt>
                <c:pt idx="84">
                  <c:v>2.2638199999999999</c:v>
                </c:pt>
                <c:pt idx="85">
                  <c:v>2.24953</c:v>
                </c:pt>
                <c:pt idx="86">
                  <c:v>2.2372000000000001</c:v>
                </c:pt>
                <c:pt idx="87">
                  <c:v>2.2242700000000002</c:v>
                </c:pt>
                <c:pt idx="88">
                  <c:v>2.2101500000000001</c:v>
                </c:pt>
                <c:pt idx="89">
                  <c:v>2.1935500000000001</c:v>
                </c:pt>
                <c:pt idx="90">
                  <c:v>2.18005</c:v>
                </c:pt>
                <c:pt idx="91">
                  <c:v>2.1675800000000001</c:v>
                </c:pt>
                <c:pt idx="92">
                  <c:v>2.1557900000000001</c:v>
                </c:pt>
                <c:pt idx="93">
                  <c:v>2.1454599999999999</c:v>
                </c:pt>
                <c:pt idx="94">
                  <c:v>2.13686</c:v>
                </c:pt>
                <c:pt idx="95">
                  <c:v>2.1282799999999997</c:v>
                </c:pt>
                <c:pt idx="96">
                  <c:v>2.1190600000000002</c:v>
                </c:pt>
                <c:pt idx="97">
                  <c:v>2.1121500000000002</c:v>
                </c:pt>
                <c:pt idx="98">
                  <c:v>2.1069900000000001</c:v>
                </c:pt>
                <c:pt idx="99">
                  <c:v>2.1021799999999997</c:v>
                </c:pt>
                <c:pt idx="100">
                  <c:v>2.0964399999999999</c:v>
                </c:pt>
                <c:pt idx="101">
                  <c:v>2.0891799999999998</c:v>
                </c:pt>
                <c:pt idx="102">
                  <c:v>2.0830199999999999</c:v>
                </c:pt>
                <c:pt idx="103">
                  <c:v>2.07612</c:v>
                </c:pt>
                <c:pt idx="104">
                  <c:v>2.07456</c:v>
                </c:pt>
                <c:pt idx="105">
                  <c:v>2.0758899999999998</c:v>
                </c:pt>
                <c:pt idx="106">
                  <c:v>2.0796299999999999</c:v>
                </c:pt>
                <c:pt idx="107">
                  <c:v>2.0839099999999999</c:v>
                </c:pt>
                <c:pt idx="108">
                  <c:v>2.0891899999999999</c:v>
                </c:pt>
                <c:pt idx="109">
                  <c:v>2.0947199999999997</c:v>
                </c:pt>
                <c:pt idx="110">
                  <c:v>2.1025</c:v>
                </c:pt>
                <c:pt idx="111">
                  <c:v>2.1078099999999997</c:v>
                </c:pt>
                <c:pt idx="112">
                  <c:v>2.1114800000000002</c:v>
                </c:pt>
                <c:pt idx="113">
                  <c:v>2.1126</c:v>
                </c:pt>
                <c:pt idx="114">
                  <c:v>2.1130299999999997</c:v>
                </c:pt>
                <c:pt idx="115">
                  <c:v>2.1132900000000001</c:v>
                </c:pt>
                <c:pt idx="116">
                  <c:v>2.11321</c:v>
                </c:pt>
                <c:pt idx="117">
                  <c:v>2.1122700000000001</c:v>
                </c:pt>
                <c:pt idx="118">
                  <c:v>2.1109100000000001</c:v>
                </c:pt>
                <c:pt idx="119">
                  <c:v>2.1086399999999998</c:v>
                </c:pt>
                <c:pt idx="120">
                  <c:v>2.1057999999999999</c:v>
                </c:pt>
                <c:pt idx="121">
                  <c:v>2.10202</c:v>
                </c:pt>
                <c:pt idx="122">
                  <c:v>2.0973999999999999</c:v>
                </c:pt>
                <c:pt idx="123">
                  <c:v>2.09239</c:v>
                </c:pt>
                <c:pt idx="124">
                  <c:v>2.0918999999999999</c:v>
                </c:pt>
                <c:pt idx="125">
                  <c:v>2.0917300000000001</c:v>
                </c:pt>
                <c:pt idx="126">
                  <c:v>2.0929099999999998</c:v>
                </c:pt>
                <c:pt idx="127">
                  <c:v>2.0921699999999999</c:v>
                </c:pt>
                <c:pt idx="128">
                  <c:v>2.09104</c:v>
                </c:pt>
                <c:pt idx="129">
                  <c:v>2.08813</c:v>
                </c:pt>
                <c:pt idx="130">
                  <c:v>2.0838200000000002</c:v>
                </c:pt>
                <c:pt idx="131">
                  <c:v>2.0789399999999998</c:v>
                </c:pt>
                <c:pt idx="132">
                  <c:v>2.0738400000000001</c:v>
                </c:pt>
                <c:pt idx="133">
                  <c:v>2.0678199999999998</c:v>
                </c:pt>
                <c:pt idx="134">
                  <c:v>2.0630299999999999</c:v>
                </c:pt>
                <c:pt idx="135">
                  <c:v>2.0564499999999999</c:v>
                </c:pt>
                <c:pt idx="136">
                  <c:v>2.04928</c:v>
                </c:pt>
                <c:pt idx="137">
                  <c:v>2.0420500000000001</c:v>
                </c:pt>
                <c:pt idx="138">
                  <c:v>2.0369999999999999</c:v>
                </c:pt>
                <c:pt idx="139">
                  <c:v>2.0312900000000003</c:v>
                </c:pt>
                <c:pt idx="140">
                  <c:v>2.02372</c:v>
                </c:pt>
                <c:pt idx="141">
                  <c:v>2.0143200000000001</c:v>
                </c:pt>
                <c:pt idx="142">
                  <c:v>2.0063300000000002</c:v>
                </c:pt>
                <c:pt idx="143">
                  <c:v>1.99702</c:v>
                </c:pt>
                <c:pt idx="144">
                  <c:v>1.9864100000000002</c:v>
                </c:pt>
                <c:pt idx="145">
                  <c:v>1.9799600000000002</c:v>
                </c:pt>
                <c:pt idx="146">
                  <c:v>1.9762599999999999</c:v>
                </c:pt>
                <c:pt idx="147">
                  <c:v>1.9746600000000001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29.622599999999998</c:v>
                </c:pt>
                <c:pt idx="1">
                  <c:v>30.0365</c:v>
                </c:pt>
                <c:pt idx="2">
                  <c:v>30.704599999999999</c:v>
                </c:pt>
                <c:pt idx="3">
                  <c:v>31.047799999999999</c:v>
                </c:pt>
                <c:pt idx="4">
                  <c:v>31.419799999999999</c:v>
                </c:pt>
                <c:pt idx="5">
                  <c:v>31.7927</c:v>
                </c:pt>
                <c:pt idx="6">
                  <c:v>32.167700000000004</c:v>
                </c:pt>
                <c:pt idx="7">
                  <c:v>32.579599999999999</c:v>
                </c:pt>
                <c:pt idx="8">
                  <c:v>32.983499999999999</c:v>
                </c:pt>
                <c:pt idx="9">
                  <c:v>33.386699999999998</c:v>
                </c:pt>
                <c:pt idx="10">
                  <c:v>33.796500000000002</c:v>
                </c:pt>
                <c:pt idx="11">
                  <c:v>34.201300000000003</c:v>
                </c:pt>
                <c:pt idx="12">
                  <c:v>34.610199999999999</c:v>
                </c:pt>
                <c:pt idx="13">
                  <c:v>35.016100000000002</c:v>
                </c:pt>
                <c:pt idx="14">
                  <c:v>35.419199999999996</c:v>
                </c:pt>
                <c:pt idx="15">
                  <c:v>35.828099999999999</c:v>
                </c:pt>
                <c:pt idx="16">
                  <c:v>36.234900000000003</c:v>
                </c:pt>
                <c:pt idx="17">
                  <c:v>36.640799999999999</c:v>
                </c:pt>
                <c:pt idx="18">
                  <c:v>37.046599999999998</c:v>
                </c:pt>
                <c:pt idx="19">
                  <c:v>37.451599999999999</c:v>
                </c:pt>
                <c:pt idx="20">
                  <c:v>37.855499999999999</c:v>
                </c:pt>
                <c:pt idx="21">
                  <c:v>38.263399999999997</c:v>
                </c:pt>
                <c:pt idx="22">
                  <c:v>38.671300000000002</c:v>
                </c:pt>
                <c:pt idx="23">
                  <c:v>39.078299999999999</c:v>
                </c:pt>
                <c:pt idx="24">
                  <c:v>39.485100000000003</c:v>
                </c:pt>
                <c:pt idx="25">
                  <c:v>39.889099999999999</c:v>
                </c:pt>
                <c:pt idx="26">
                  <c:v>40.295000000000002</c:v>
                </c:pt>
                <c:pt idx="27">
                  <c:v>40.704900000000002</c:v>
                </c:pt>
                <c:pt idx="28">
                  <c:v>41.109900000000003</c:v>
                </c:pt>
                <c:pt idx="29">
                  <c:v>41.514699999999998</c:v>
                </c:pt>
                <c:pt idx="30">
                  <c:v>41.920099999999998</c:v>
                </c:pt>
                <c:pt idx="31">
                  <c:v>42.325699999999998</c:v>
                </c:pt>
                <c:pt idx="32">
                  <c:v>42.728099999999998</c:v>
                </c:pt>
                <c:pt idx="33">
                  <c:v>43.139299999999999</c:v>
                </c:pt>
                <c:pt idx="34">
                  <c:v>43.546300000000002</c:v>
                </c:pt>
                <c:pt idx="35">
                  <c:v>43.9512</c:v>
                </c:pt>
                <c:pt idx="36">
                  <c:v>44.356299999999997</c:v>
                </c:pt>
                <c:pt idx="37">
                  <c:v>44.767099999999999</c:v>
                </c:pt>
                <c:pt idx="38">
                  <c:v>45.173000000000002</c:v>
                </c:pt>
                <c:pt idx="39">
                  <c:v>45.5779</c:v>
                </c:pt>
                <c:pt idx="40">
                  <c:v>45.982799999999997</c:v>
                </c:pt>
                <c:pt idx="41">
                  <c:v>46.386899999999997</c:v>
                </c:pt>
                <c:pt idx="42">
                  <c:v>46.7956</c:v>
                </c:pt>
                <c:pt idx="43">
                  <c:v>47.203699999999998</c:v>
                </c:pt>
                <c:pt idx="44">
                  <c:v>47.608400000000003</c:v>
                </c:pt>
                <c:pt idx="45">
                  <c:v>48.013300000000001</c:v>
                </c:pt>
                <c:pt idx="46">
                  <c:v>48.421500000000002</c:v>
                </c:pt>
                <c:pt idx="47">
                  <c:v>48.828299999999999</c:v>
                </c:pt>
                <c:pt idx="48">
                  <c:v>49.234999999999999</c:v>
                </c:pt>
                <c:pt idx="49">
                  <c:v>49.642000000000003</c:v>
                </c:pt>
                <c:pt idx="50">
                  <c:v>50.045900000000003</c:v>
                </c:pt>
                <c:pt idx="51">
                  <c:v>50.450099999999999</c:v>
                </c:pt>
                <c:pt idx="52">
                  <c:v>50.855499999999999</c:v>
                </c:pt>
                <c:pt idx="53">
                  <c:v>51.264699999999998</c:v>
                </c:pt>
                <c:pt idx="54">
                  <c:v>51.670499999999997</c:v>
                </c:pt>
                <c:pt idx="55">
                  <c:v>52.075499999999998</c:v>
                </c:pt>
                <c:pt idx="56">
                  <c:v>52.479500000000002</c:v>
                </c:pt>
                <c:pt idx="57">
                  <c:v>52.892299999999999</c:v>
                </c:pt>
                <c:pt idx="58">
                  <c:v>53.2973</c:v>
                </c:pt>
                <c:pt idx="59">
                  <c:v>53.703299999999999</c:v>
                </c:pt>
                <c:pt idx="60">
                  <c:v>54.109099999999998</c:v>
                </c:pt>
                <c:pt idx="61">
                  <c:v>54.514299999999999</c:v>
                </c:pt>
                <c:pt idx="62">
                  <c:v>54.922899999999998</c:v>
                </c:pt>
                <c:pt idx="63">
                  <c:v>55.328800000000001</c:v>
                </c:pt>
                <c:pt idx="64">
                  <c:v>55.733800000000002</c:v>
                </c:pt>
                <c:pt idx="65">
                  <c:v>56.136899999999997</c:v>
                </c:pt>
                <c:pt idx="66">
                  <c:v>56.5426</c:v>
                </c:pt>
                <c:pt idx="67">
                  <c:v>56.956400000000002</c:v>
                </c:pt>
                <c:pt idx="68">
                  <c:v>57.360399999999998</c:v>
                </c:pt>
                <c:pt idx="69">
                  <c:v>57.767299999999999</c:v>
                </c:pt>
                <c:pt idx="70">
                  <c:v>58.172199999999997</c:v>
                </c:pt>
                <c:pt idx="71">
                  <c:v>58.577100000000002</c:v>
                </c:pt>
                <c:pt idx="72">
                  <c:v>58.984000000000002</c:v>
                </c:pt>
                <c:pt idx="73">
                  <c:v>59.389000000000003</c:v>
                </c:pt>
                <c:pt idx="74">
                  <c:v>59.798900000000003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2.3766100000000003</c:v>
                </c:pt>
                <c:pt idx="1">
                  <c:v>2.3676300000000001</c:v>
                </c:pt>
                <c:pt idx="2">
                  <c:v>2.35677</c:v>
                </c:pt>
                <c:pt idx="3">
                  <c:v>2.3466100000000001</c:v>
                </c:pt>
                <c:pt idx="4">
                  <c:v>2.3359800000000002</c:v>
                </c:pt>
                <c:pt idx="5">
                  <c:v>2.3271800000000002</c:v>
                </c:pt>
                <c:pt idx="6">
                  <c:v>2.3167399999999998</c:v>
                </c:pt>
                <c:pt idx="7">
                  <c:v>2.3046500000000001</c:v>
                </c:pt>
                <c:pt idx="8">
                  <c:v>2.2936300000000003</c:v>
                </c:pt>
                <c:pt idx="9">
                  <c:v>2.28403</c:v>
                </c:pt>
                <c:pt idx="10">
                  <c:v>2.2739799999999999</c:v>
                </c:pt>
                <c:pt idx="11">
                  <c:v>2.2638199999999999</c:v>
                </c:pt>
                <c:pt idx="12">
                  <c:v>2.24953</c:v>
                </c:pt>
                <c:pt idx="13">
                  <c:v>2.2372000000000001</c:v>
                </c:pt>
                <c:pt idx="14">
                  <c:v>2.2242700000000002</c:v>
                </c:pt>
                <c:pt idx="15">
                  <c:v>2.2101500000000001</c:v>
                </c:pt>
                <c:pt idx="16">
                  <c:v>2.1935500000000001</c:v>
                </c:pt>
                <c:pt idx="17">
                  <c:v>2.18005</c:v>
                </c:pt>
                <c:pt idx="18">
                  <c:v>2.1675800000000001</c:v>
                </c:pt>
                <c:pt idx="19">
                  <c:v>2.1557900000000001</c:v>
                </c:pt>
                <c:pt idx="20">
                  <c:v>2.1454599999999999</c:v>
                </c:pt>
                <c:pt idx="21">
                  <c:v>2.13686</c:v>
                </c:pt>
                <c:pt idx="22">
                  <c:v>2.1282799999999997</c:v>
                </c:pt>
                <c:pt idx="23">
                  <c:v>2.1190600000000002</c:v>
                </c:pt>
                <c:pt idx="24">
                  <c:v>2.1121500000000002</c:v>
                </c:pt>
                <c:pt idx="25">
                  <c:v>2.1069900000000001</c:v>
                </c:pt>
                <c:pt idx="26">
                  <c:v>2.1021799999999997</c:v>
                </c:pt>
                <c:pt idx="27">
                  <c:v>2.0964399999999999</c:v>
                </c:pt>
                <c:pt idx="28">
                  <c:v>2.0891799999999998</c:v>
                </c:pt>
                <c:pt idx="29">
                  <c:v>2.0830199999999999</c:v>
                </c:pt>
                <c:pt idx="30">
                  <c:v>2.07612</c:v>
                </c:pt>
                <c:pt idx="31">
                  <c:v>2.07456</c:v>
                </c:pt>
                <c:pt idx="32">
                  <c:v>2.0758899999999998</c:v>
                </c:pt>
                <c:pt idx="33">
                  <c:v>2.0796299999999999</c:v>
                </c:pt>
                <c:pt idx="34">
                  <c:v>2.0839099999999999</c:v>
                </c:pt>
                <c:pt idx="35">
                  <c:v>2.0891899999999999</c:v>
                </c:pt>
                <c:pt idx="36">
                  <c:v>2.0947199999999997</c:v>
                </c:pt>
                <c:pt idx="37">
                  <c:v>2.1025</c:v>
                </c:pt>
                <c:pt idx="38">
                  <c:v>2.1078099999999997</c:v>
                </c:pt>
                <c:pt idx="39">
                  <c:v>2.1114800000000002</c:v>
                </c:pt>
                <c:pt idx="40">
                  <c:v>2.1126</c:v>
                </c:pt>
                <c:pt idx="41">
                  <c:v>2.1130299999999997</c:v>
                </c:pt>
                <c:pt idx="42">
                  <c:v>2.1132900000000001</c:v>
                </c:pt>
                <c:pt idx="43">
                  <c:v>2.11321</c:v>
                </c:pt>
                <c:pt idx="44">
                  <c:v>2.1122700000000001</c:v>
                </c:pt>
                <c:pt idx="45">
                  <c:v>2.1109100000000001</c:v>
                </c:pt>
                <c:pt idx="46">
                  <c:v>2.1086399999999998</c:v>
                </c:pt>
                <c:pt idx="47">
                  <c:v>2.1057999999999999</c:v>
                </c:pt>
                <c:pt idx="48">
                  <c:v>2.10202</c:v>
                </c:pt>
                <c:pt idx="49">
                  <c:v>2.0973999999999999</c:v>
                </c:pt>
                <c:pt idx="50">
                  <c:v>2.09239</c:v>
                </c:pt>
                <c:pt idx="51">
                  <c:v>2.0918999999999999</c:v>
                </c:pt>
                <c:pt idx="52">
                  <c:v>2.0917300000000001</c:v>
                </c:pt>
                <c:pt idx="53">
                  <c:v>2.0929099999999998</c:v>
                </c:pt>
                <c:pt idx="54">
                  <c:v>2.0921699999999999</c:v>
                </c:pt>
                <c:pt idx="55">
                  <c:v>2.09104</c:v>
                </c:pt>
                <c:pt idx="56">
                  <c:v>2.08813</c:v>
                </c:pt>
                <c:pt idx="57">
                  <c:v>2.0838200000000002</c:v>
                </c:pt>
                <c:pt idx="58">
                  <c:v>2.0789399999999998</c:v>
                </c:pt>
                <c:pt idx="59">
                  <c:v>2.0738400000000001</c:v>
                </c:pt>
                <c:pt idx="60">
                  <c:v>2.0678199999999998</c:v>
                </c:pt>
                <c:pt idx="61">
                  <c:v>2.0630299999999999</c:v>
                </c:pt>
                <c:pt idx="62">
                  <c:v>2.0564499999999999</c:v>
                </c:pt>
                <c:pt idx="63">
                  <c:v>2.04928</c:v>
                </c:pt>
                <c:pt idx="64">
                  <c:v>2.0420500000000001</c:v>
                </c:pt>
                <c:pt idx="65">
                  <c:v>2.0369999999999999</c:v>
                </c:pt>
                <c:pt idx="66">
                  <c:v>2.0312900000000003</c:v>
                </c:pt>
                <c:pt idx="67">
                  <c:v>2.02372</c:v>
                </c:pt>
                <c:pt idx="68">
                  <c:v>2.0143200000000001</c:v>
                </c:pt>
                <c:pt idx="69">
                  <c:v>2.0063300000000002</c:v>
                </c:pt>
                <c:pt idx="70">
                  <c:v>1.99702</c:v>
                </c:pt>
                <c:pt idx="71">
                  <c:v>1.9864100000000002</c:v>
                </c:pt>
                <c:pt idx="72">
                  <c:v>1.9799600000000002</c:v>
                </c:pt>
                <c:pt idx="73">
                  <c:v>1.9762599999999999</c:v>
                </c:pt>
                <c:pt idx="74">
                  <c:v>1.9746600000000001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14.949725000000001</c:v>
                </c:pt>
                <c:pt idx="1">
                  <c:v>44.849175000000002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2.1101882432432428</c:v>
                </c:pt>
                <c:pt idx="1">
                  <c:v>2.1267055405405406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  <c:pt idx="74">
                  <c:v>30.0365</c:v>
                </c:pt>
                <c:pt idx="75">
                  <c:v>30.704599999999999</c:v>
                </c:pt>
                <c:pt idx="76">
                  <c:v>31.047799999999999</c:v>
                </c:pt>
                <c:pt idx="77">
                  <c:v>31.419799999999999</c:v>
                </c:pt>
                <c:pt idx="78">
                  <c:v>31.7927</c:v>
                </c:pt>
                <c:pt idx="79">
                  <c:v>32.167700000000004</c:v>
                </c:pt>
                <c:pt idx="80">
                  <c:v>32.579599999999999</c:v>
                </c:pt>
                <c:pt idx="81">
                  <c:v>32.983499999999999</c:v>
                </c:pt>
                <c:pt idx="82">
                  <c:v>33.386699999999998</c:v>
                </c:pt>
                <c:pt idx="83">
                  <c:v>33.796500000000002</c:v>
                </c:pt>
                <c:pt idx="84">
                  <c:v>34.201300000000003</c:v>
                </c:pt>
                <c:pt idx="85">
                  <c:v>34.610199999999999</c:v>
                </c:pt>
                <c:pt idx="86">
                  <c:v>35.016100000000002</c:v>
                </c:pt>
                <c:pt idx="87">
                  <c:v>35.419199999999996</c:v>
                </c:pt>
                <c:pt idx="88">
                  <c:v>35.828099999999999</c:v>
                </c:pt>
                <c:pt idx="89">
                  <c:v>36.234900000000003</c:v>
                </c:pt>
                <c:pt idx="90">
                  <c:v>36.640799999999999</c:v>
                </c:pt>
                <c:pt idx="91">
                  <c:v>37.046599999999998</c:v>
                </c:pt>
                <c:pt idx="92">
                  <c:v>37.451599999999999</c:v>
                </c:pt>
                <c:pt idx="93">
                  <c:v>37.855499999999999</c:v>
                </c:pt>
                <c:pt idx="94">
                  <c:v>38.263399999999997</c:v>
                </c:pt>
                <c:pt idx="95">
                  <c:v>38.671300000000002</c:v>
                </c:pt>
                <c:pt idx="96">
                  <c:v>39.078299999999999</c:v>
                </c:pt>
                <c:pt idx="97">
                  <c:v>39.485100000000003</c:v>
                </c:pt>
                <c:pt idx="98">
                  <c:v>39.889099999999999</c:v>
                </c:pt>
                <c:pt idx="99">
                  <c:v>40.295000000000002</c:v>
                </c:pt>
                <c:pt idx="100">
                  <c:v>40.704900000000002</c:v>
                </c:pt>
                <c:pt idx="101">
                  <c:v>41.109900000000003</c:v>
                </c:pt>
                <c:pt idx="102">
                  <c:v>41.514699999999998</c:v>
                </c:pt>
                <c:pt idx="103">
                  <c:v>41.920099999999998</c:v>
                </c:pt>
                <c:pt idx="104">
                  <c:v>42.325699999999998</c:v>
                </c:pt>
                <c:pt idx="105">
                  <c:v>42.728099999999998</c:v>
                </c:pt>
                <c:pt idx="106">
                  <c:v>43.139299999999999</c:v>
                </c:pt>
                <c:pt idx="107">
                  <c:v>43.546300000000002</c:v>
                </c:pt>
                <c:pt idx="108">
                  <c:v>43.9512</c:v>
                </c:pt>
                <c:pt idx="109">
                  <c:v>44.356299999999997</c:v>
                </c:pt>
                <c:pt idx="110">
                  <c:v>44.767099999999999</c:v>
                </c:pt>
                <c:pt idx="111">
                  <c:v>45.173000000000002</c:v>
                </c:pt>
                <c:pt idx="112">
                  <c:v>45.5779</c:v>
                </c:pt>
                <c:pt idx="113">
                  <c:v>45.982799999999997</c:v>
                </c:pt>
                <c:pt idx="114">
                  <c:v>46.386899999999997</c:v>
                </c:pt>
                <c:pt idx="115">
                  <c:v>46.7956</c:v>
                </c:pt>
                <c:pt idx="116">
                  <c:v>47.203699999999998</c:v>
                </c:pt>
                <c:pt idx="117">
                  <c:v>47.608400000000003</c:v>
                </c:pt>
                <c:pt idx="118">
                  <c:v>48.013300000000001</c:v>
                </c:pt>
                <c:pt idx="119">
                  <c:v>48.421500000000002</c:v>
                </c:pt>
                <c:pt idx="120">
                  <c:v>48.828299999999999</c:v>
                </c:pt>
                <c:pt idx="121">
                  <c:v>49.234999999999999</c:v>
                </c:pt>
                <c:pt idx="122">
                  <c:v>49.642000000000003</c:v>
                </c:pt>
                <c:pt idx="123">
                  <c:v>50.045900000000003</c:v>
                </c:pt>
                <c:pt idx="124">
                  <c:v>50.450099999999999</c:v>
                </c:pt>
                <c:pt idx="125">
                  <c:v>50.855499999999999</c:v>
                </c:pt>
                <c:pt idx="126">
                  <c:v>51.264699999999998</c:v>
                </c:pt>
                <c:pt idx="127">
                  <c:v>51.670499999999997</c:v>
                </c:pt>
                <c:pt idx="128">
                  <c:v>52.075499999999998</c:v>
                </c:pt>
                <c:pt idx="129">
                  <c:v>52.479500000000002</c:v>
                </c:pt>
                <c:pt idx="130">
                  <c:v>52.892299999999999</c:v>
                </c:pt>
                <c:pt idx="131">
                  <c:v>53.2973</c:v>
                </c:pt>
                <c:pt idx="132">
                  <c:v>53.703299999999999</c:v>
                </c:pt>
                <c:pt idx="133">
                  <c:v>54.109099999999998</c:v>
                </c:pt>
                <c:pt idx="134">
                  <c:v>54.514299999999999</c:v>
                </c:pt>
                <c:pt idx="135">
                  <c:v>54.922899999999998</c:v>
                </c:pt>
                <c:pt idx="136">
                  <c:v>55.328800000000001</c:v>
                </c:pt>
                <c:pt idx="137">
                  <c:v>55.733800000000002</c:v>
                </c:pt>
                <c:pt idx="138">
                  <c:v>56.136899999999997</c:v>
                </c:pt>
                <c:pt idx="139">
                  <c:v>56.5426</c:v>
                </c:pt>
                <c:pt idx="140">
                  <c:v>56.956400000000002</c:v>
                </c:pt>
                <c:pt idx="141">
                  <c:v>57.360399999999998</c:v>
                </c:pt>
                <c:pt idx="142">
                  <c:v>57.767299999999999</c:v>
                </c:pt>
                <c:pt idx="143">
                  <c:v>58.172199999999997</c:v>
                </c:pt>
                <c:pt idx="144">
                  <c:v>58.577100000000002</c:v>
                </c:pt>
                <c:pt idx="145">
                  <c:v>58.984000000000002</c:v>
                </c:pt>
                <c:pt idx="146">
                  <c:v>59.389000000000003</c:v>
                </c:pt>
                <c:pt idx="147">
                  <c:v>59.798900000000003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  <c:pt idx="74">
                  <c:v>48.364000000000004</c:v>
                </c:pt>
                <c:pt idx="75">
                  <c:v>48.485299999999995</c:v>
                </c:pt>
                <c:pt idx="76">
                  <c:v>48.686299999999996</c:v>
                </c:pt>
                <c:pt idx="77">
                  <c:v>48.935299999999998</c:v>
                </c:pt>
                <c:pt idx="78">
                  <c:v>49.168599999999998</c:v>
                </c:pt>
                <c:pt idx="79">
                  <c:v>49.374499999999998</c:v>
                </c:pt>
                <c:pt idx="80">
                  <c:v>49.597700000000003</c:v>
                </c:pt>
                <c:pt idx="81">
                  <c:v>49.786999999999999</c:v>
                </c:pt>
                <c:pt idx="82">
                  <c:v>49.953299999999999</c:v>
                </c:pt>
                <c:pt idx="83">
                  <c:v>50.128599999999999</c:v>
                </c:pt>
                <c:pt idx="84">
                  <c:v>50.270099999999992</c:v>
                </c:pt>
                <c:pt idx="85">
                  <c:v>50.456299999999999</c:v>
                </c:pt>
                <c:pt idx="86">
                  <c:v>50.607500000000002</c:v>
                </c:pt>
                <c:pt idx="87">
                  <c:v>50.775400000000005</c:v>
                </c:pt>
                <c:pt idx="88">
                  <c:v>50.986600000000003</c:v>
                </c:pt>
                <c:pt idx="89">
                  <c:v>51.237900000000003</c:v>
                </c:pt>
                <c:pt idx="90">
                  <c:v>51.354100000000003</c:v>
                </c:pt>
                <c:pt idx="91">
                  <c:v>51.4221</c:v>
                </c:pt>
                <c:pt idx="92">
                  <c:v>51.472200000000001</c:v>
                </c:pt>
                <c:pt idx="93">
                  <c:v>51.525699999999993</c:v>
                </c:pt>
                <c:pt idx="94">
                  <c:v>51.560300000000005</c:v>
                </c:pt>
                <c:pt idx="95">
                  <c:v>51.563499999999998</c:v>
                </c:pt>
                <c:pt idx="96">
                  <c:v>51.586299999999994</c:v>
                </c:pt>
                <c:pt idx="97">
                  <c:v>51.558099999999996</c:v>
                </c:pt>
                <c:pt idx="98">
                  <c:v>51.471900000000005</c:v>
                </c:pt>
                <c:pt idx="99">
                  <c:v>51.351300000000002</c:v>
                </c:pt>
                <c:pt idx="100">
                  <c:v>51.234999999999999</c:v>
                </c:pt>
                <c:pt idx="101">
                  <c:v>51.144199999999998</c:v>
                </c:pt>
                <c:pt idx="102">
                  <c:v>50.984300000000005</c:v>
                </c:pt>
                <c:pt idx="103">
                  <c:v>50.8613</c:v>
                </c:pt>
                <c:pt idx="104">
                  <c:v>50.632600000000004</c:v>
                </c:pt>
                <c:pt idx="105">
                  <c:v>50.362399999999994</c:v>
                </c:pt>
                <c:pt idx="106">
                  <c:v>50.052199999999999</c:v>
                </c:pt>
                <c:pt idx="107">
                  <c:v>49.765999999999998</c:v>
                </c:pt>
                <c:pt idx="108">
                  <c:v>49.478999999999999</c:v>
                </c:pt>
                <c:pt idx="109">
                  <c:v>49.203400000000002</c:v>
                </c:pt>
                <c:pt idx="110">
                  <c:v>48.9071</c:v>
                </c:pt>
                <c:pt idx="111">
                  <c:v>48.632199999999997</c:v>
                </c:pt>
                <c:pt idx="112">
                  <c:v>48.394300000000001</c:v>
                </c:pt>
                <c:pt idx="113">
                  <c:v>48.236000000000004</c:v>
                </c:pt>
                <c:pt idx="114">
                  <c:v>48.083999999999996</c:v>
                </c:pt>
                <c:pt idx="115">
                  <c:v>47.950900000000004</c:v>
                </c:pt>
                <c:pt idx="116">
                  <c:v>47.830500000000001</c:v>
                </c:pt>
                <c:pt idx="117">
                  <c:v>47.793600000000005</c:v>
                </c:pt>
                <c:pt idx="118">
                  <c:v>47.841499999999996</c:v>
                </c:pt>
                <c:pt idx="119">
                  <c:v>47.911099999999998</c:v>
                </c:pt>
                <c:pt idx="120">
                  <c:v>47.985699999999994</c:v>
                </c:pt>
                <c:pt idx="121">
                  <c:v>48.107199999999999</c:v>
                </c:pt>
                <c:pt idx="122">
                  <c:v>48.294800000000002</c:v>
                </c:pt>
                <c:pt idx="123">
                  <c:v>48.506799999999998</c:v>
                </c:pt>
                <c:pt idx="124">
                  <c:v>48.517400000000002</c:v>
                </c:pt>
                <c:pt idx="125">
                  <c:v>48.5381</c:v>
                </c:pt>
                <c:pt idx="126">
                  <c:v>48.554199999999994</c:v>
                </c:pt>
                <c:pt idx="127">
                  <c:v>48.666599999999995</c:v>
                </c:pt>
                <c:pt idx="128">
                  <c:v>48.776000000000003</c:v>
                </c:pt>
                <c:pt idx="129">
                  <c:v>48.928100000000001</c:v>
                </c:pt>
                <c:pt idx="130">
                  <c:v>49.109499999999997</c:v>
                </c:pt>
                <c:pt idx="131">
                  <c:v>49.308099999999996</c:v>
                </c:pt>
                <c:pt idx="132">
                  <c:v>49.505500000000005</c:v>
                </c:pt>
                <c:pt idx="133">
                  <c:v>49.723199999999999</c:v>
                </c:pt>
                <c:pt idx="134">
                  <c:v>49.931899999999999</c:v>
                </c:pt>
                <c:pt idx="135">
                  <c:v>50.204999999999998</c:v>
                </c:pt>
                <c:pt idx="136">
                  <c:v>50.557900000000004</c:v>
                </c:pt>
                <c:pt idx="137">
                  <c:v>50.9529</c:v>
                </c:pt>
                <c:pt idx="138">
                  <c:v>51.254599999999996</c:v>
                </c:pt>
                <c:pt idx="139">
                  <c:v>51.615299999999998</c:v>
                </c:pt>
                <c:pt idx="140">
                  <c:v>52.090800000000002</c:v>
                </c:pt>
                <c:pt idx="141">
                  <c:v>52.731700000000004</c:v>
                </c:pt>
                <c:pt idx="142">
                  <c:v>53.242599999999996</c:v>
                </c:pt>
                <c:pt idx="143">
                  <c:v>53.640100000000004</c:v>
                </c:pt>
                <c:pt idx="144">
                  <c:v>54.048200000000001</c:v>
                </c:pt>
                <c:pt idx="145">
                  <c:v>54.571999999999996</c:v>
                </c:pt>
                <c:pt idx="146">
                  <c:v>55.006600000000006</c:v>
                </c:pt>
                <c:pt idx="147">
                  <c:v>55.020100000000006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0.373672</c:v>
                </c:pt>
                <c:pt idx="2">
                  <c:v>0.77957399999999999</c:v>
                </c:pt>
                <c:pt idx="3">
                  <c:v>1.18753</c:v>
                </c:pt>
                <c:pt idx="4">
                  <c:v>1.5954299999999999</c:v>
                </c:pt>
                <c:pt idx="5">
                  <c:v>1.9983299999999999</c:v>
                </c:pt>
                <c:pt idx="6">
                  <c:v>2.4037099999999998</c:v>
                </c:pt>
                <c:pt idx="7">
                  <c:v>2.8111600000000001</c:v>
                </c:pt>
                <c:pt idx="8">
                  <c:v>3.2193800000000001</c:v>
                </c:pt>
                <c:pt idx="9">
                  <c:v>3.6239699999999999</c:v>
                </c:pt>
                <c:pt idx="10">
                  <c:v>4.0290299999999997</c:v>
                </c:pt>
                <c:pt idx="11">
                  <c:v>4.4373800000000001</c:v>
                </c:pt>
                <c:pt idx="12">
                  <c:v>4.8417500000000002</c:v>
                </c:pt>
                <c:pt idx="13">
                  <c:v>5.2466400000000002</c:v>
                </c:pt>
                <c:pt idx="14">
                  <c:v>5.6556199999999999</c:v>
                </c:pt>
                <c:pt idx="15">
                  <c:v>6.0584699999999998</c:v>
                </c:pt>
                <c:pt idx="16">
                  <c:v>6.4698000000000002</c:v>
                </c:pt>
                <c:pt idx="17">
                  <c:v>6.8753700000000002</c:v>
                </c:pt>
                <c:pt idx="18">
                  <c:v>7.2831599999999996</c:v>
                </c:pt>
                <c:pt idx="19">
                  <c:v>7.6911199999999997</c:v>
                </c:pt>
                <c:pt idx="20">
                  <c:v>8.0920799999999993</c:v>
                </c:pt>
                <c:pt idx="21">
                  <c:v>8.5012600000000003</c:v>
                </c:pt>
                <c:pt idx="22">
                  <c:v>8.9089200000000002</c:v>
                </c:pt>
                <c:pt idx="23">
                  <c:v>9.3140199999999993</c:v>
                </c:pt>
                <c:pt idx="24">
                  <c:v>9.7147900000000007</c:v>
                </c:pt>
                <c:pt idx="25">
                  <c:v>10.124599999999999</c:v>
                </c:pt>
                <c:pt idx="26">
                  <c:v>10.5296</c:v>
                </c:pt>
                <c:pt idx="27">
                  <c:v>10.938499999999999</c:v>
                </c:pt>
                <c:pt idx="28">
                  <c:v>11.346399999999999</c:v>
                </c:pt>
                <c:pt idx="29">
                  <c:v>11.751300000000001</c:v>
                </c:pt>
                <c:pt idx="30">
                  <c:v>12.1562</c:v>
                </c:pt>
                <c:pt idx="31">
                  <c:v>12.5642</c:v>
                </c:pt>
                <c:pt idx="32">
                  <c:v>12.9671</c:v>
                </c:pt>
                <c:pt idx="33">
                  <c:v>13.3729</c:v>
                </c:pt>
                <c:pt idx="34">
                  <c:v>13.784800000000001</c:v>
                </c:pt>
                <c:pt idx="35">
                  <c:v>14.1869</c:v>
                </c:pt>
                <c:pt idx="36">
                  <c:v>14.589700000000001</c:v>
                </c:pt>
                <c:pt idx="37">
                  <c:v>14.9971</c:v>
                </c:pt>
                <c:pt idx="38">
                  <c:v>15.407400000000001</c:v>
                </c:pt>
                <c:pt idx="39">
                  <c:v>15.814500000000001</c:v>
                </c:pt>
                <c:pt idx="40">
                  <c:v>16.2197</c:v>
                </c:pt>
                <c:pt idx="41">
                  <c:v>16.623200000000001</c:v>
                </c:pt>
                <c:pt idx="42">
                  <c:v>17.0303</c:v>
                </c:pt>
                <c:pt idx="43">
                  <c:v>17.436399999999999</c:v>
                </c:pt>
                <c:pt idx="44">
                  <c:v>17.844000000000001</c:v>
                </c:pt>
                <c:pt idx="45">
                  <c:v>18.248899999999999</c:v>
                </c:pt>
                <c:pt idx="46">
                  <c:v>18.655799999999999</c:v>
                </c:pt>
                <c:pt idx="47">
                  <c:v>19.061199999999999</c:v>
                </c:pt>
                <c:pt idx="48">
                  <c:v>19.470700000000001</c:v>
                </c:pt>
                <c:pt idx="49">
                  <c:v>19.875599999999999</c:v>
                </c:pt>
                <c:pt idx="50">
                  <c:v>20.279499999999999</c:v>
                </c:pt>
                <c:pt idx="51">
                  <c:v>20.685400000000001</c:v>
                </c:pt>
                <c:pt idx="52">
                  <c:v>21.095500000000001</c:v>
                </c:pt>
                <c:pt idx="53">
                  <c:v>21.497199999999999</c:v>
                </c:pt>
                <c:pt idx="54">
                  <c:v>21.906199999999998</c:v>
                </c:pt>
                <c:pt idx="55">
                  <c:v>22.313700000000001</c:v>
                </c:pt>
                <c:pt idx="56">
                  <c:v>22.716999999999999</c:v>
                </c:pt>
                <c:pt idx="57">
                  <c:v>23.122299999999999</c:v>
                </c:pt>
                <c:pt idx="58">
                  <c:v>23.532800000000002</c:v>
                </c:pt>
                <c:pt idx="59">
                  <c:v>23.937899999999999</c:v>
                </c:pt>
                <c:pt idx="60">
                  <c:v>24.343699999999998</c:v>
                </c:pt>
                <c:pt idx="61">
                  <c:v>24.744499999999999</c:v>
                </c:pt>
                <c:pt idx="62">
                  <c:v>25.154699999999998</c:v>
                </c:pt>
                <c:pt idx="63">
                  <c:v>25.5593</c:v>
                </c:pt>
                <c:pt idx="64">
                  <c:v>25.9696</c:v>
                </c:pt>
                <c:pt idx="65">
                  <c:v>26.375299999999999</c:v>
                </c:pt>
                <c:pt idx="66">
                  <c:v>26.781099999999999</c:v>
                </c:pt>
                <c:pt idx="67">
                  <c:v>27.186699999999998</c:v>
                </c:pt>
                <c:pt idx="68">
                  <c:v>27.593900000000001</c:v>
                </c:pt>
                <c:pt idx="69">
                  <c:v>27.998799999999999</c:v>
                </c:pt>
                <c:pt idx="70">
                  <c:v>28.4057</c:v>
                </c:pt>
                <c:pt idx="71">
                  <c:v>28.811699999999998</c:v>
                </c:pt>
                <c:pt idx="72">
                  <c:v>29.214600000000001</c:v>
                </c:pt>
                <c:pt idx="73">
                  <c:v>29.622599999999998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29.622599999999998</c:v>
                </c:pt>
                <c:pt idx="1">
                  <c:v>30.0365</c:v>
                </c:pt>
                <c:pt idx="2">
                  <c:v>30.704599999999999</c:v>
                </c:pt>
                <c:pt idx="3">
                  <c:v>31.047799999999999</c:v>
                </c:pt>
                <c:pt idx="4">
                  <c:v>31.419799999999999</c:v>
                </c:pt>
                <c:pt idx="5">
                  <c:v>31.7927</c:v>
                </c:pt>
                <c:pt idx="6">
                  <c:v>32.167700000000004</c:v>
                </c:pt>
                <c:pt idx="7">
                  <c:v>32.579599999999999</c:v>
                </c:pt>
                <c:pt idx="8">
                  <c:v>32.983499999999999</c:v>
                </c:pt>
                <c:pt idx="9">
                  <c:v>33.386699999999998</c:v>
                </c:pt>
                <c:pt idx="10">
                  <c:v>33.796500000000002</c:v>
                </c:pt>
                <c:pt idx="11">
                  <c:v>34.201300000000003</c:v>
                </c:pt>
                <c:pt idx="12">
                  <c:v>34.610199999999999</c:v>
                </c:pt>
                <c:pt idx="13">
                  <c:v>35.016100000000002</c:v>
                </c:pt>
                <c:pt idx="14">
                  <c:v>35.419199999999996</c:v>
                </c:pt>
                <c:pt idx="15">
                  <c:v>35.828099999999999</c:v>
                </c:pt>
                <c:pt idx="16">
                  <c:v>36.234900000000003</c:v>
                </c:pt>
                <c:pt idx="17">
                  <c:v>36.640799999999999</c:v>
                </c:pt>
                <c:pt idx="18">
                  <c:v>37.046599999999998</c:v>
                </c:pt>
                <c:pt idx="19">
                  <c:v>37.451599999999999</c:v>
                </c:pt>
                <c:pt idx="20">
                  <c:v>37.855499999999999</c:v>
                </c:pt>
                <c:pt idx="21">
                  <c:v>38.263399999999997</c:v>
                </c:pt>
                <c:pt idx="22">
                  <c:v>38.671300000000002</c:v>
                </c:pt>
                <c:pt idx="23">
                  <c:v>39.078299999999999</c:v>
                </c:pt>
                <c:pt idx="24">
                  <c:v>39.485100000000003</c:v>
                </c:pt>
                <c:pt idx="25">
                  <c:v>39.889099999999999</c:v>
                </c:pt>
                <c:pt idx="26">
                  <c:v>40.295000000000002</c:v>
                </c:pt>
                <c:pt idx="27">
                  <c:v>40.704900000000002</c:v>
                </c:pt>
                <c:pt idx="28">
                  <c:v>41.109900000000003</c:v>
                </c:pt>
                <c:pt idx="29">
                  <c:v>41.514699999999998</c:v>
                </c:pt>
                <c:pt idx="30">
                  <c:v>41.920099999999998</c:v>
                </c:pt>
                <c:pt idx="31">
                  <c:v>42.325699999999998</c:v>
                </c:pt>
                <c:pt idx="32">
                  <c:v>42.728099999999998</c:v>
                </c:pt>
                <c:pt idx="33">
                  <c:v>43.139299999999999</c:v>
                </c:pt>
                <c:pt idx="34">
                  <c:v>43.546300000000002</c:v>
                </c:pt>
                <c:pt idx="35">
                  <c:v>43.9512</c:v>
                </c:pt>
                <c:pt idx="36">
                  <c:v>44.356299999999997</c:v>
                </c:pt>
                <c:pt idx="37">
                  <c:v>44.767099999999999</c:v>
                </c:pt>
                <c:pt idx="38">
                  <c:v>45.173000000000002</c:v>
                </c:pt>
                <c:pt idx="39">
                  <c:v>45.5779</c:v>
                </c:pt>
                <c:pt idx="40">
                  <c:v>45.982799999999997</c:v>
                </c:pt>
                <c:pt idx="41">
                  <c:v>46.386899999999997</c:v>
                </c:pt>
                <c:pt idx="42">
                  <c:v>46.7956</c:v>
                </c:pt>
                <c:pt idx="43">
                  <c:v>47.203699999999998</c:v>
                </c:pt>
                <c:pt idx="44">
                  <c:v>47.608400000000003</c:v>
                </c:pt>
                <c:pt idx="45">
                  <c:v>48.013300000000001</c:v>
                </c:pt>
                <c:pt idx="46">
                  <c:v>48.421500000000002</c:v>
                </c:pt>
                <c:pt idx="47">
                  <c:v>48.828299999999999</c:v>
                </c:pt>
                <c:pt idx="48">
                  <c:v>49.234999999999999</c:v>
                </c:pt>
                <c:pt idx="49">
                  <c:v>49.642000000000003</c:v>
                </c:pt>
                <c:pt idx="50">
                  <c:v>50.045900000000003</c:v>
                </c:pt>
                <c:pt idx="51">
                  <c:v>50.450099999999999</c:v>
                </c:pt>
                <c:pt idx="52">
                  <c:v>50.855499999999999</c:v>
                </c:pt>
                <c:pt idx="53">
                  <c:v>51.264699999999998</c:v>
                </c:pt>
                <c:pt idx="54">
                  <c:v>51.670499999999997</c:v>
                </c:pt>
                <c:pt idx="55">
                  <c:v>52.075499999999998</c:v>
                </c:pt>
                <c:pt idx="56">
                  <c:v>52.479500000000002</c:v>
                </c:pt>
                <c:pt idx="57">
                  <c:v>52.892299999999999</c:v>
                </c:pt>
                <c:pt idx="58">
                  <c:v>53.2973</c:v>
                </c:pt>
                <c:pt idx="59">
                  <c:v>53.703299999999999</c:v>
                </c:pt>
                <c:pt idx="60">
                  <c:v>54.109099999999998</c:v>
                </c:pt>
                <c:pt idx="61">
                  <c:v>54.514299999999999</c:v>
                </c:pt>
                <c:pt idx="62">
                  <c:v>54.922899999999998</c:v>
                </c:pt>
                <c:pt idx="63">
                  <c:v>55.328800000000001</c:v>
                </c:pt>
                <c:pt idx="64">
                  <c:v>55.733800000000002</c:v>
                </c:pt>
                <c:pt idx="65">
                  <c:v>56.136899999999997</c:v>
                </c:pt>
                <c:pt idx="66">
                  <c:v>56.5426</c:v>
                </c:pt>
                <c:pt idx="67">
                  <c:v>56.956400000000002</c:v>
                </c:pt>
                <c:pt idx="68">
                  <c:v>57.360399999999998</c:v>
                </c:pt>
                <c:pt idx="69">
                  <c:v>57.767299999999999</c:v>
                </c:pt>
                <c:pt idx="70">
                  <c:v>58.172199999999997</c:v>
                </c:pt>
                <c:pt idx="71">
                  <c:v>58.577100000000002</c:v>
                </c:pt>
                <c:pt idx="72">
                  <c:v>58.984000000000002</c:v>
                </c:pt>
                <c:pt idx="73">
                  <c:v>59.389000000000003</c:v>
                </c:pt>
                <c:pt idx="74">
                  <c:v>59.798900000000003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48.338000000000001</c:v>
                </c:pt>
                <c:pt idx="1">
                  <c:v>48.364000000000004</c:v>
                </c:pt>
                <c:pt idx="2">
                  <c:v>48.485299999999995</c:v>
                </c:pt>
                <c:pt idx="3">
                  <c:v>48.686299999999996</c:v>
                </c:pt>
                <c:pt idx="4">
                  <c:v>48.935299999999998</c:v>
                </c:pt>
                <c:pt idx="5">
                  <c:v>49.168599999999998</c:v>
                </c:pt>
                <c:pt idx="6">
                  <c:v>49.374499999999998</c:v>
                </c:pt>
                <c:pt idx="7">
                  <c:v>49.597700000000003</c:v>
                </c:pt>
                <c:pt idx="8">
                  <c:v>49.786999999999999</c:v>
                </c:pt>
                <c:pt idx="9">
                  <c:v>49.953299999999999</c:v>
                </c:pt>
                <c:pt idx="10">
                  <c:v>50.128599999999999</c:v>
                </c:pt>
                <c:pt idx="11">
                  <c:v>50.270099999999992</c:v>
                </c:pt>
                <c:pt idx="12">
                  <c:v>50.456299999999999</c:v>
                </c:pt>
                <c:pt idx="13">
                  <c:v>50.607500000000002</c:v>
                </c:pt>
                <c:pt idx="14">
                  <c:v>50.775400000000005</c:v>
                </c:pt>
                <c:pt idx="15">
                  <c:v>50.986600000000003</c:v>
                </c:pt>
                <c:pt idx="16">
                  <c:v>51.237900000000003</c:v>
                </c:pt>
                <c:pt idx="17">
                  <c:v>51.354100000000003</c:v>
                </c:pt>
                <c:pt idx="18">
                  <c:v>51.4221</c:v>
                </c:pt>
                <c:pt idx="19">
                  <c:v>51.472200000000001</c:v>
                </c:pt>
                <c:pt idx="20">
                  <c:v>51.525699999999993</c:v>
                </c:pt>
                <c:pt idx="21">
                  <c:v>51.560300000000005</c:v>
                </c:pt>
                <c:pt idx="22">
                  <c:v>51.563499999999998</c:v>
                </c:pt>
                <c:pt idx="23">
                  <c:v>51.586299999999994</c:v>
                </c:pt>
                <c:pt idx="24">
                  <c:v>51.558099999999996</c:v>
                </c:pt>
                <c:pt idx="25">
                  <c:v>51.471900000000005</c:v>
                </c:pt>
                <c:pt idx="26">
                  <c:v>51.351300000000002</c:v>
                </c:pt>
                <c:pt idx="27">
                  <c:v>51.234999999999999</c:v>
                </c:pt>
                <c:pt idx="28">
                  <c:v>51.144199999999998</c:v>
                </c:pt>
                <c:pt idx="29">
                  <c:v>50.984300000000005</c:v>
                </c:pt>
                <c:pt idx="30">
                  <c:v>50.8613</c:v>
                </c:pt>
                <c:pt idx="31">
                  <c:v>50.632600000000004</c:v>
                </c:pt>
                <c:pt idx="32">
                  <c:v>50.362399999999994</c:v>
                </c:pt>
                <c:pt idx="33">
                  <c:v>50.052199999999999</c:v>
                </c:pt>
                <c:pt idx="34">
                  <c:v>49.765999999999998</c:v>
                </c:pt>
                <c:pt idx="35">
                  <c:v>49.478999999999999</c:v>
                </c:pt>
                <c:pt idx="36">
                  <c:v>49.203400000000002</c:v>
                </c:pt>
                <c:pt idx="37">
                  <c:v>48.9071</c:v>
                </c:pt>
                <c:pt idx="38">
                  <c:v>48.632199999999997</c:v>
                </c:pt>
                <c:pt idx="39">
                  <c:v>48.394300000000001</c:v>
                </c:pt>
                <c:pt idx="40">
                  <c:v>48.236000000000004</c:v>
                </c:pt>
                <c:pt idx="41">
                  <c:v>48.083999999999996</c:v>
                </c:pt>
                <c:pt idx="42">
                  <c:v>47.950900000000004</c:v>
                </c:pt>
                <c:pt idx="43">
                  <c:v>47.830500000000001</c:v>
                </c:pt>
                <c:pt idx="44">
                  <c:v>47.793600000000005</c:v>
                </c:pt>
                <c:pt idx="45">
                  <c:v>47.841499999999996</c:v>
                </c:pt>
                <c:pt idx="46">
                  <c:v>47.911099999999998</c:v>
                </c:pt>
                <c:pt idx="47">
                  <c:v>47.985699999999994</c:v>
                </c:pt>
                <c:pt idx="48">
                  <c:v>48.107199999999999</c:v>
                </c:pt>
                <c:pt idx="49">
                  <c:v>48.294800000000002</c:v>
                </c:pt>
                <c:pt idx="50">
                  <c:v>48.506799999999998</c:v>
                </c:pt>
                <c:pt idx="51">
                  <c:v>48.517400000000002</c:v>
                </c:pt>
                <c:pt idx="52">
                  <c:v>48.5381</c:v>
                </c:pt>
                <c:pt idx="53">
                  <c:v>48.554199999999994</c:v>
                </c:pt>
                <c:pt idx="54">
                  <c:v>48.666599999999995</c:v>
                </c:pt>
                <c:pt idx="55">
                  <c:v>48.776000000000003</c:v>
                </c:pt>
                <c:pt idx="56">
                  <c:v>48.928100000000001</c:v>
                </c:pt>
                <c:pt idx="57">
                  <c:v>49.109499999999997</c:v>
                </c:pt>
                <c:pt idx="58">
                  <c:v>49.308099999999996</c:v>
                </c:pt>
                <c:pt idx="59">
                  <c:v>49.505500000000005</c:v>
                </c:pt>
                <c:pt idx="60">
                  <c:v>49.723199999999999</c:v>
                </c:pt>
                <c:pt idx="61">
                  <c:v>49.931899999999999</c:v>
                </c:pt>
                <c:pt idx="62">
                  <c:v>50.204999999999998</c:v>
                </c:pt>
                <c:pt idx="63">
                  <c:v>50.557900000000004</c:v>
                </c:pt>
                <c:pt idx="64">
                  <c:v>50.9529</c:v>
                </c:pt>
                <c:pt idx="65">
                  <c:v>51.254599999999996</c:v>
                </c:pt>
                <c:pt idx="66">
                  <c:v>51.615299999999998</c:v>
                </c:pt>
                <c:pt idx="67">
                  <c:v>52.090800000000002</c:v>
                </c:pt>
                <c:pt idx="68">
                  <c:v>52.731700000000004</c:v>
                </c:pt>
                <c:pt idx="69">
                  <c:v>53.242599999999996</c:v>
                </c:pt>
                <c:pt idx="70">
                  <c:v>53.640100000000004</c:v>
                </c:pt>
                <c:pt idx="71">
                  <c:v>54.048200000000001</c:v>
                </c:pt>
                <c:pt idx="72">
                  <c:v>54.571999999999996</c:v>
                </c:pt>
                <c:pt idx="73">
                  <c:v>55.006600000000006</c:v>
                </c:pt>
                <c:pt idx="74">
                  <c:v>55.020100000000006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14.949725000000001</c:v>
                </c:pt>
                <c:pt idx="1">
                  <c:v>44.849175000000002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52.262258108108142</c:v>
                </c:pt>
                <c:pt idx="1">
                  <c:v>50.194221621621629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  <c:pt idx="74">
                  <c:v>2.3676300000000001</c:v>
                </c:pt>
                <c:pt idx="75">
                  <c:v>2.35677</c:v>
                </c:pt>
                <c:pt idx="76">
                  <c:v>2.3466100000000001</c:v>
                </c:pt>
                <c:pt idx="77">
                  <c:v>2.3359800000000002</c:v>
                </c:pt>
                <c:pt idx="78">
                  <c:v>2.3271800000000002</c:v>
                </c:pt>
                <c:pt idx="79">
                  <c:v>2.3167399999999998</c:v>
                </c:pt>
                <c:pt idx="80">
                  <c:v>2.3046500000000001</c:v>
                </c:pt>
                <c:pt idx="81">
                  <c:v>2.2936300000000003</c:v>
                </c:pt>
                <c:pt idx="82">
                  <c:v>2.28403</c:v>
                </c:pt>
                <c:pt idx="83">
                  <c:v>2.2739799999999999</c:v>
                </c:pt>
                <c:pt idx="84">
                  <c:v>2.2638199999999999</c:v>
                </c:pt>
                <c:pt idx="85">
                  <c:v>2.24953</c:v>
                </c:pt>
                <c:pt idx="86">
                  <c:v>2.2372000000000001</c:v>
                </c:pt>
                <c:pt idx="87">
                  <c:v>2.2242700000000002</c:v>
                </c:pt>
                <c:pt idx="88">
                  <c:v>2.2101500000000001</c:v>
                </c:pt>
                <c:pt idx="89">
                  <c:v>2.1935500000000001</c:v>
                </c:pt>
                <c:pt idx="90">
                  <c:v>2.18005</c:v>
                </c:pt>
                <c:pt idx="91">
                  <c:v>2.1675800000000001</c:v>
                </c:pt>
                <c:pt idx="92">
                  <c:v>2.1557900000000001</c:v>
                </c:pt>
                <c:pt idx="93">
                  <c:v>2.1454599999999999</c:v>
                </c:pt>
                <c:pt idx="94">
                  <c:v>2.13686</c:v>
                </c:pt>
                <c:pt idx="95">
                  <c:v>2.1282799999999997</c:v>
                </c:pt>
                <c:pt idx="96">
                  <c:v>2.1190600000000002</c:v>
                </c:pt>
                <c:pt idx="97">
                  <c:v>2.1121500000000002</c:v>
                </c:pt>
                <c:pt idx="98">
                  <c:v>2.1069900000000001</c:v>
                </c:pt>
                <c:pt idx="99">
                  <c:v>2.1021799999999997</c:v>
                </c:pt>
                <c:pt idx="100">
                  <c:v>2.0964399999999999</c:v>
                </c:pt>
                <c:pt idx="101">
                  <c:v>2.0891799999999998</c:v>
                </c:pt>
                <c:pt idx="102">
                  <c:v>2.0830199999999999</c:v>
                </c:pt>
                <c:pt idx="103">
                  <c:v>2.07612</c:v>
                </c:pt>
                <c:pt idx="104">
                  <c:v>2.07456</c:v>
                </c:pt>
                <c:pt idx="105">
                  <c:v>2.0758899999999998</c:v>
                </c:pt>
                <c:pt idx="106">
                  <c:v>2.0796299999999999</c:v>
                </c:pt>
                <c:pt idx="107">
                  <c:v>2.0839099999999999</c:v>
                </c:pt>
                <c:pt idx="108">
                  <c:v>2.0891899999999999</c:v>
                </c:pt>
                <c:pt idx="109">
                  <c:v>2.0947199999999997</c:v>
                </c:pt>
                <c:pt idx="110">
                  <c:v>2.1025</c:v>
                </c:pt>
                <c:pt idx="111">
                  <c:v>2.1078099999999997</c:v>
                </c:pt>
                <c:pt idx="112">
                  <c:v>2.1114800000000002</c:v>
                </c:pt>
                <c:pt idx="113">
                  <c:v>2.1126</c:v>
                </c:pt>
                <c:pt idx="114">
                  <c:v>2.1130299999999997</c:v>
                </c:pt>
                <c:pt idx="115">
                  <c:v>2.1132900000000001</c:v>
                </c:pt>
                <c:pt idx="116">
                  <c:v>2.11321</c:v>
                </c:pt>
                <c:pt idx="117">
                  <c:v>2.1122700000000001</c:v>
                </c:pt>
                <c:pt idx="118">
                  <c:v>2.1109100000000001</c:v>
                </c:pt>
                <c:pt idx="119">
                  <c:v>2.1086399999999998</c:v>
                </c:pt>
                <c:pt idx="120">
                  <c:v>2.1057999999999999</c:v>
                </c:pt>
                <c:pt idx="121">
                  <c:v>2.10202</c:v>
                </c:pt>
                <c:pt idx="122">
                  <c:v>2.0973999999999999</c:v>
                </c:pt>
                <c:pt idx="123">
                  <c:v>2.09239</c:v>
                </c:pt>
                <c:pt idx="124">
                  <c:v>2.0918999999999999</c:v>
                </c:pt>
                <c:pt idx="125">
                  <c:v>2.0917300000000001</c:v>
                </c:pt>
                <c:pt idx="126">
                  <c:v>2.0929099999999998</c:v>
                </c:pt>
                <c:pt idx="127">
                  <c:v>2.0921699999999999</c:v>
                </c:pt>
                <c:pt idx="128">
                  <c:v>2.09104</c:v>
                </c:pt>
                <c:pt idx="129">
                  <c:v>2.08813</c:v>
                </c:pt>
                <c:pt idx="130">
                  <c:v>2.0838200000000002</c:v>
                </c:pt>
                <c:pt idx="131">
                  <c:v>2.0789399999999998</c:v>
                </c:pt>
                <c:pt idx="132">
                  <c:v>2.0738400000000001</c:v>
                </c:pt>
                <c:pt idx="133">
                  <c:v>2.0678199999999998</c:v>
                </c:pt>
                <c:pt idx="134">
                  <c:v>2.0630299999999999</c:v>
                </c:pt>
                <c:pt idx="135">
                  <c:v>2.0564499999999999</c:v>
                </c:pt>
                <c:pt idx="136">
                  <c:v>2.04928</c:v>
                </c:pt>
                <c:pt idx="137">
                  <c:v>2.0420500000000001</c:v>
                </c:pt>
                <c:pt idx="138">
                  <c:v>2.0369999999999999</c:v>
                </c:pt>
                <c:pt idx="139">
                  <c:v>2.0312900000000003</c:v>
                </c:pt>
                <c:pt idx="140">
                  <c:v>2.02372</c:v>
                </c:pt>
                <c:pt idx="141">
                  <c:v>2.0143200000000001</c:v>
                </c:pt>
                <c:pt idx="142">
                  <c:v>2.0063300000000002</c:v>
                </c:pt>
                <c:pt idx="143">
                  <c:v>1.99702</c:v>
                </c:pt>
                <c:pt idx="144">
                  <c:v>1.9864100000000002</c:v>
                </c:pt>
                <c:pt idx="145">
                  <c:v>1.9799600000000002</c:v>
                </c:pt>
                <c:pt idx="146">
                  <c:v>1.9762599999999999</c:v>
                </c:pt>
                <c:pt idx="147">
                  <c:v>1.9746600000000001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  <c:pt idx="74">
                  <c:v>48.364000000000004</c:v>
                </c:pt>
                <c:pt idx="75">
                  <c:v>48.485299999999995</c:v>
                </c:pt>
                <c:pt idx="76">
                  <c:v>48.686299999999996</c:v>
                </c:pt>
                <c:pt idx="77">
                  <c:v>48.935299999999998</c:v>
                </c:pt>
                <c:pt idx="78">
                  <c:v>49.168599999999998</c:v>
                </c:pt>
                <c:pt idx="79">
                  <c:v>49.374499999999998</c:v>
                </c:pt>
                <c:pt idx="80">
                  <c:v>49.597700000000003</c:v>
                </c:pt>
                <c:pt idx="81">
                  <c:v>49.786999999999999</c:v>
                </c:pt>
                <c:pt idx="82">
                  <c:v>49.953299999999999</c:v>
                </c:pt>
                <c:pt idx="83">
                  <c:v>50.128599999999999</c:v>
                </c:pt>
                <c:pt idx="84">
                  <c:v>50.270099999999992</c:v>
                </c:pt>
                <c:pt idx="85">
                  <c:v>50.456299999999999</c:v>
                </c:pt>
                <c:pt idx="86">
                  <c:v>50.607500000000002</c:v>
                </c:pt>
                <c:pt idx="87">
                  <c:v>50.775400000000005</c:v>
                </c:pt>
                <c:pt idx="88">
                  <c:v>50.986600000000003</c:v>
                </c:pt>
                <c:pt idx="89">
                  <c:v>51.237900000000003</c:v>
                </c:pt>
                <c:pt idx="90">
                  <c:v>51.354100000000003</c:v>
                </c:pt>
                <c:pt idx="91">
                  <c:v>51.4221</c:v>
                </c:pt>
                <c:pt idx="92">
                  <c:v>51.472200000000001</c:v>
                </c:pt>
                <c:pt idx="93">
                  <c:v>51.525699999999993</c:v>
                </c:pt>
                <c:pt idx="94">
                  <c:v>51.560300000000005</c:v>
                </c:pt>
                <c:pt idx="95">
                  <c:v>51.563499999999998</c:v>
                </c:pt>
                <c:pt idx="96">
                  <c:v>51.586299999999994</c:v>
                </c:pt>
                <c:pt idx="97">
                  <c:v>51.558099999999996</c:v>
                </c:pt>
                <c:pt idx="98">
                  <c:v>51.471900000000005</c:v>
                </c:pt>
                <c:pt idx="99">
                  <c:v>51.351300000000002</c:v>
                </c:pt>
                <c:pt idx="100">
                  <c:v>51.234999999999999</c:v>
                </c:pt>
                <c:pt idx="101">
                  <c:v>51.144199999999998</c:v>
                </c:pt>
                <c:pt idx="102">
                  <c:v>50.984300000000005</c:v>
                </c:pt>
                <c:pt idx="103">
                  <c:v>50.8613</c:v>
                </c:pt>
                <c:pt idx="104">
                  <c:v>50.632600000000004</c:v>
                </c:pt>
                <c:pt idx="105">
                  <c:v>50.362399999999994</c:v>
                </c:pt>
                <c:pt idx="106">
                  <c:v>50.052199999999999</c:v>
                </c:pt>
                <c:pt idx="107">
                  <c:v>49.765999999999998</c:v>
                </c:pt>
                <c:pt idx="108">
                  <c:v>49.478999999999999</c:v>
                </c:pt>
                <c:pt idx="109">
                  <c:v>49.203400000000002</c:v>
                </c:pt>
                <c:pt idx="110">
                  <c:v>48.9071</c:v>
                </c:pt>
                <c:pt idx="111">
                  <c:v>48.632199999999997</c:v>
                </c:pt>
                <c:pt idx="112">
                  <c:v>48.394300000000001</c:v>
                </c:pt>
                <c:pt idx="113">
                  <c:v>48.236000000000004</c:v>
                </c:pt>
                <c:pt idx="114">
                  <c:v>48.083999999999996</c:v>
                </c:pt>
                <c:pt idx="115">
                  <c:v>47.950900000000004</c:v>
                </c:pt>
                <c:pt idx="116">
                  <c:v>47.830500000000001</c:v>
                </c:pt>
                <c:pt idx="117">
                  <c:v>47.793600000000005</c:v>
                </c:pt>
                <c:pt idx="118">
                  <c:v>47.841499999999996</c:v>
                </c:pt>
                <c:pt idx="119">
                  <c:v>47.911099999999998</c:v>
                </c:pt>
                <c:pt idx="120">
                  <c:v>47.985699999999994</c:v>
                </c:pt>
                <c:pt idx="121">
                  <c:v>48.107199999999999</c:v>
                </c:pt>
                <c:pt idx="122">
                  <c:v>48.294800000000002</c:v>
                </c:pt>
                <c:pt idx="123">
                  <c:v>48.506799999999998</c:v>
                </c:pt>
                <c:pt idx="124">
                  <c:v>48.517400000000002</c:v>
                </c:pt>
                <c:pt idx="125">
                  <c:v>48.5381</c:v>
                </c:pt>
                <c:pt idx="126">
                  <c:v>48.554199999999994</c:v>
                </c:pt>
                <c:pt idx="127">
                  <c:v>48.666599999999995</c:v>
                </c:pt>
                <c:pt idx="128">
                  <c:v>48.776000000000003</c:v>
                </c:pt>
                <c:pt idx="129">
                  <c:v>48.928100000000001</c:v>
                </c:pt>
                <c:pt idx="130">
                  <c:v>49.109499999999997</c:v>
                </c:pt>
                <c:pt idx="131">
                  <c:v>49.308099999999996</c:v>
                </c:pt>
                <c:pt idx="132">
                  <c:v>49.505500000000005</c:v>
                </c:pt>
                <c:pt idx="133">
                  <c:v>49.723199999999999</c:v>
                </c:pt>
                <c:pt idx="134">
                  <c:v>49.931899999999999</c:v>
                </c:pt>
                <c:pt idx="135">
                  <c:v>50.204999999999998</c:v>
                </c:pt>
                <c:pt idx="136">
                  <c:v>50.557900000000004</c:v>
                </c:pt>
                <c:pt idx="137">
                  <c:v>50.9529</c:v>
                </c:pt>
                <c:pt idx="138">
                  <c:v>51.254599999999996</c:v>
                </c:pt>
                <c:pt idx="139">
                  <c:v>51.615299999999998</c:v>
                </c:pt>
                <c:pt idx="140">
                  <c:v>52.090800000000002</c:v>
                </c:pt>
                <c:pt idx="141">
                  <c:v>52.731700000000004</c:v>
                </c:pt>
                <c:pt idx="142">
                  <c:v>53.242599999999996</c:v>
                </c:pt>
                <c:pt idx="143">
                  <c:v>53.640100000000004</c:v>
                </c:pt>
                <c:pt idx="144">
                  <c:v>54.048200000000001</c:v>
                </c:pt>
                <c:pt idx="145">
                  <c:v>54.571999999999996</c:v>
                </c:pt>
                <c:pt idx="146">
                  <c:v>55.006600000000006</c:v>
                </c:pt>
                <c:pt idx="147">
                  <c:v>55.020100000000006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1.35111</c:v>
                </c:pt>
                <c:pt idx="1">
                  <c:v>1.3788500000000001</c:v>
                </c:pt>
                <c:pt idx="2">
                  <c:v>1.4054600000000002</c:v>
                </c:pt>
                <c:pt idx="3">
                  <c:v>1.43187</c:v>
                </c:pt>
                <c:pt idx="4">
                  <c:v>1.4605299999999999</c:v>
                </c:pt>
                <c:pt idx="5">
                  <c:v>1.48844</c:v>
                </c:pt>
                <c:pt idx="6">
                  <c:v>1.5186900000000001</c:v>
                </c:pt>
                <c:pt idx="7">
                  <c:v>1.55088</c:v>
                </c:pt>
                <c:pt idx="8">
                  <c:v>1.5809899999999999</c:v>
                </c:pt>
                <c:pt idx="9">
                  <c:v>1.6107</c:v>
                </c:pt>
                <c:pt idx="10">
                  <c:v>1.63774</c:v>
                </c:pt>
                <c:pt idx="11">
                  <c:v>1.6642999999999999</c:v>
                </c:pt>
                <c:pt idx="12">
                  <c:v>1.6920999999999999</c:v>
                </c:pt>
                <c:pt idx="13">
                  <c:v>1.7200099999999998</c:v>
                </c:pt>
                <c:pt idx="14">
                  <c:v>1.7485200000000001</c:v>
                </c:pt>
                <c:pt idx="15">
                  <c:v>1.77565</c:v>
                </c:pt>
                <c:pt idx="16">
                  <c:v>1.8029700000000002</c:v>
                </c:pt>
                <c:pt idx="17">
                  <c:v>1.8305899999999999</c:v>
                </c:pt>
                <c:pt idx="18">
                  <c:v>1.8586900000000002</c:v>
                </c:pt>
                <c:pt idx="19">
                  <c:v>1.8860399999999999</c:v>
                </c:pt>
                <c:pt idx="20">
                  <c:v>1.9152400000000001</c:v>
                </c:pt>
                <c:pt idx="21">
                  <c:v>1.9431699999999998</c:v>
                </c:pt>
                <c:pt idx="22">
                  <c:v>1.97167</c:v>
                </c:pt>
                <c:pt idx="23">
                  <c:v>2.0044300000000002</c:v>
                </c:pt>
                <c:pt idx="24">
                  <c:v>2.03782</c:v>
                </c:pt>
                <c:pt idx="25">
                  <c:v>2.06995</c:v>
                </c:pt>
                <c:pt idx="26">
                  <c:v>2.1002899999999998</c:v>
                </c:pt>
                <c:pt idx="27">
                  <c:v>2.1274799999999998</c:v>
                </c:pt>
                <c:pt idx="28">
                  <c:v>2.1512199999999999</c:v>
                </c:pt>
                <c:pt idx="29">
                  <c:v>2.1716099999999998</c:v>
                </c:pt>
                <c:pt idx="30">
                  <c:v>2.1904000000000003</c:v>
                </c:pt>
                <c:pt idx="31">
                  <c:v>2.2075300000000002</c:v>
                </c:pt>
                <c:pt idx="32">
                  <c:v>2.2198500000000001</c:v>
                </c:pt>
                <c:pt idx="33">
                  <c:v>2.2313000000000001</c:v>
                </c:pt>
                <c:pt idx="34">
                  <c:v>2.2416299999999998</c:v>
                </c:pt>
                <c:pt idx="35">
                  <c:v>2.2522900000000003</c:v>
                </c:pt>
                <c:pt idx="36">
                  <c:v>2.2623899999999999</c:v>
                </c:pt>
                <c:pt idx="37">
                  <c:v>2.2725300000000002</c:v>
                </c:pt>
                <c:pt idx="38">
                  <c:v>2.2844899999999999</c:v>
                </c:pt>
                <c:pt idx="39">
                  <c:v>2.29548</c:v>
                </c:pt>
                <c:pt idx="40">
                  <c:v>2.3065899999999999</c:v>
                </c:pt>
                <c:pt idx="41">
                  <c:v>2.3167200000000001</c:v>
                </c:pt>
                <c:pt idx="42">
                  <c:v>2.3268399999999998</c:v>
                </c:pt>
                <c:pt idx="43">
                  <c:v>2.3352200000000001</c:v>
                </c:pt>
                <c:pt idx="44">
                  <c:v>2.3405</c:v>
                </c:pt>
                <c:pt idx="45">
                  <c:v>2.34531</c:v>
                </c:pt>
                <c:pt idx="46">
                  <c:v>2.3521399999999999</c:v>
                </c:pt>
                <c:pt idx="47">
                  <c:v>2.35764</c:v>
                </c:pt>
                <c:pt idx="48">
                  <c:v>2.36063</c:v>
                </c:pt>
                <c:pt idx="49">
                  <c:v>2.3617300000000001</c:v>
                </c:pt>
                <c:pt idx="50">
                  <c:v>2.3616200000000003</c:v>
                </c:pt>
                <c:pt idx="51">
                  <c:v>2.3616100000000002</c:v>
                </c:pt>
                <c:pt idx="52">
                  <c:v>2.3690800000000003</c:v>
                </c:pt>
                <c:pt idx="53">
                  <c:v>2.3765000000000001</c:v>
                </c:pt>
                <c:pt idx="54">
                  <c:v>2.3818700000000002</c:v>
                </c:pt>
                <c:pt idx="55">
                  <c:v>2.3879299999999999</c:v>
                </c:pt>
                <c:pt idx="56">
                  <c:v>2.3915299999999999</c:v>
                </c:pt>
                <c:pt idx="57">
                  <c:v>2.3936799999999998</c:v>
                </c:pt>
                <c:pt idx="58">
                  <c:v>2.3951899999999999</c:v>
                </c:pt>
                <c:pt idx="59">
                  <c:v>2.39649</c:v>
                </c:pt>
                <c:pt idx="60">
                  <c:v>2.3980099999999998</c:v>
                </c:pt>
                <c:pt idx="61">
                  <c:v>2.4000399999999997</c:v>
                </c:pt>
                <c:pt idx="62">
                  <c:v>2.40178</c:v>
                </c:pt>
                <c:pt idx="63">
                  <c:v>2.40218</c:v>
                </c:pt>
                <c:pt idx="64">
                  <c:v>2.4049400000000003</c:v>
                </c:pt>
                <c:pt idx="65">
                  <c:v>2.4072199999999997</c:v>
                </c:pt>
                <c:pt idx="66">
                  <c:v>2.4075600000000001</c:v>
                </c:pt>
                <c:pt idx="67">
                  <c:v>2.4066100000000001</c:v>
                </c:pt>
                <c:pt idx="68">
                  <c:v>2.4043900000000002</c:v>
                </c:pt>
                <c:pt idx="69">
                  <c:v>2.4032899999999997</c:v>
                </c:pt>
                <c:pt idx="70">
                  <c:v>2.3995800000000003</c:v>
                </c:pt>
                <c:pt idx="71">
                  <c:v>2.39222</c:v>
                </c:pt>
                <c:pt idx="72">
                  <c:v>2.38578</c:v>
                </c:pt>
                <c:pt idx="73">
                  <c:v>2.3766100000000003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70.549499999999995</c:v>
                </c:pt>
                <c:pt idx="1">
                  <c:v>69.990300000000005</c:v>
                </c:pt>
                <c:pt idx="2">
                  <c:v>69.440899999999999</c:v>
                </c:pt>
                <c:pt idx="3">
                  <c:v>68.900700000000001</c:v>
                </c:pt>
                <c:pt idx="4">
                  <c:v>68.214699999999993</c:v>
                </c:pt>
                <c:pt idx="5">
                  <c:v>67.468800000000002</c:v>
                </c:pt>
                <c:pt idx="6">
                  <c:v>66.613100000000003</c:v>
                </c:pt>
                <c:pt idx="7">
                  <c:v>65.655699999999996</c:v>
                </c:pt>
                <c:pt idx="8">
                  <c:v>64.745699999999999</c:v>
                </c:pt>
                <c:pt idx="9">
                  <c:v>63.865000000000002</c:v>
                </c:pt>
                <c:pt idx="10">
                  <c:v>63.010999999999996</c:v>
                </c:pt>
                <c:pt idx="11">
                  <c:v>62.145099999999999</c:v>
                </c:pt>
                <c:pt idx="12">
                  <c:v>61.2532</c:v>
                </c:pt>
                <c:pt idx="13">
                  <c:v>60.383099999999999</c:v>
                </c:pt>
                <c:pt idx="14">
                  <c:v>59.521900000000002</c:v>
                </c:pt>
                <c:pt idx="15">
                  <c:v>58.757599999999996</c:v>
                </c:pt>
                <c:pt idx="16">
                  <c:v>58.006100000000004</c:v>
                </c:pt>
                <c:pt idx="17">
                  <c:v>57.269300000000001</c:v>
                </c:pt>
                <c:pt idx="18">
                  <c:v>56.575399999999995</c:v>
                </c:pt>
                <c:pt idx="19">
                  <c:v>55.872799999999998</c:v>
                </c:pt>
                <c:pt idx="20">
                  <c:v>55.1342</c:v>
                </c:pt>
                <c:pt idx="21">
                  <c:v>54.390700000000002</c:v>
                </c:pt>
                <c:pt idx="22">
                  <c:v>53.597099999999998</c:v>
                </c:pt>
                <c:pt idx="23">
                  <c:v>52.611499999999999</c:v>
                </c:pt>
                <c:pt idx="24">
                  <c:v>51.588799999999999</c:v>
                </c:pt>
                <c:pt idx="25">
                  <c:v>50.652099999999997</c:v>
                </c:pt>
                <c:pt idx="26">
                  <c:v>49.801600000000001</c:v>
                </c:pt>
                <c:pt idx="27">
                  <c:v>49.120799999999996</c:v>
                </c:pt>
                <c:pt idx="28">
                  <c:v>48.582300000000004</c:v>
                </c:pt>
                <c:pt idx="29">
                  <c:v>48.0944</c:v>
                </c:pt>
                <c:pt idx="30">
                  <c:v>47.719099999999997</c:v>
                </c:pt>
                <c:pt idx="31">
                  <c:v>47.3431</c:v>
                </c:pt>
                <c:pt idx="32">
                  <c:v>47.068799999999996</c:v>
                </c:pt>
                <c:pt idx="33">
                  <c:v>46.8568</c:v>
                </c:pt>
                <c:pt idx="34">
                  <c:v>46.687100000000001</c:v>
                </c:pt>
                <c:pt idx="35">
                  <c:v>46.578900000000004</c:v>
                </c:pt>
                <c:pt idx="36">
                  <c:v>46.506900000000002</c:v>
                </c:pt>
                <c:pt idx="37">
                  <c:v>46.4375</c:v>
                </c:pt>
                <c:pt idx="38">
                  <c:v>46.348299999999995</c:v>
                </c:pt>
                <c:pt idx="39">
                  <c:v>46.282299999999999</c:v>
                </c:pt>
                <c:pt idx="40">
                  <c:v>46.229500000000002</c:v>
                </c:pt>
                <c:pt idx="41">
                  <c:v>46.208799999999997</c:v>
                </c:pt>
                <c:pt idx="42">
                  <c:v>46.1738</c:v>
                </c:pt>
                <c:pt idx="43">
                  <c:v>46.177900000000001</c:v>
                </c:pt>
                <c:pt idx="44">
                  <c:v>46.284599999999998</c:v>
                </c:pt>
                <c:pt idx="45">
                  <c:v>46.389299999999999</c:v>
                </c:pt>
                <c:pt idx="46">
                  <c:v>46.485300000000002</c:v>
                </c:pt>
                <c:pt idx="47">
                  <c:v>46.651600000000002</c:v>
                </c:pt>
                <c:pt idx="48">
                  <c:v>46.9041</c:v>
                </c:pt>
                <c:pt idx="49">
                  <c:v>47.222500000000004</c:v>
                </c:pt>
                <c:pt idx="50">
                  <c:v>47.503399999999999</c:v>
                </c:pt>
                <c:pt idx="51">
                  <c:v>47.7592</c:v>
                </c:pt>
                <c:pt idx="52">
                  <c:v>47.866300000000003</c:v>
                </c:pt>
                <c:pt idx="53">
                  <c:v>47.930499999999995</c:v>
                </c:pt>
                <c:pt idx="54">
                  <c:v>48.012799999999999</c:v>
                </c:pt>
                <c:pt idx="55">
                  <c:v>48.060499999999998</c:v>
                </c:pt>
                <c:pt idx="56">
                  <c:v>48.133099999999999</c:v>
                </c:pt>
                <c:pt idx="57">
                  <c:v>48.1524</c:v>
                </c:pt>
                <c:pt idx="58">
                  <c:v>48.1374</c:v>
                </c:pt>
                <c:pt idx="59">
                  <c:v>48.127499999999998</c:v>
                </c:pt>
                <c:pt idx="60">
                  <c:v>48.067700000000002</c:v>
                </c:pt>
                <c:pt idx="61">
                  <c:v>47.994799999999998</c:v>
                </c:pt>
                <c:pt idx="62">
                  <c:v>47.946299999999994</c:v>
                </c:pt>
                <c:pt idx="63">
                  <c:v>47.912300000000002</c:v>
                </c:pt>
                <c:pt idx="64">
                  <c:v>47.881099999999996</c:v>
                </c:pt>
                <c:pt idx="65">
                  <c:v>47.901299999999999</c:v>
                </c:pt>
                <c:pt idx="66">
                  <c:v>47.980800000000002</c:v>
                </c:pt>
                <c:pt idx="67">
                  <c:v>48.117800000000003</c:v>
                </c:pt>
                <c:pt idx="68">
                  <c:v>48.210099999999997</c:v>
                </c:pt>
                <c:pt idx="69">
                  <c:v>48.198500000000003</c:v>
                </c:pt>
                <c:pt idx="70">
                  <c:v>48.231200000000001</c:v>
                </c:pt>
                <c:pt idx="71">
                  <c:v>48.278799999999997</c:v>
                </c:pt>
                <c:pt idx="72">
                  <c:v>48.295700000000004</c:v>
                </c:pt>
                <c:pt idx="73">
                  <c:v>48.338000000000001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2.3766100000000003</c:v>
                </c:pt>
                <c:pt idx="1">
                  <c:v>2.3676300000000001</c:v>
                </c:pt>
                <c:pt idx="2">
                  <c:v>2.35677</c:v>
                </c:pt>
                <c:pt idx="3">
                  <c:v>2.3466100000000001</c:v>
                </c:pt>
                <c:pt idx="4">
                  <c:v>2.3359800000000002</c:v>
                </c:pt>
                <c:pt idx="5">
                  <c:v>2.3271800000000002</c:v>
                </c:pt>
                <c:pt idx="6">
                  <c:v>2.3167399999999998</c:v>
                </c:pt>
                <c:pt idx="7">
                  <c:v>2.3046500000000001</c:v>
                </c:pt>
                <c:pt idx="8">
                  <c:v>2.2936300000000003</c:v>
                </c:pt>
                <c:pt idx="9">
                  <c:v>2.28403</c:v>
                </c:pt>
                <c:pt idx="10">
                  <c:v>2.2739799999999999</c:v>
                </c:pt>
                <c:pt idx="11">
                  <c:v>2.2638199999999999</c:v>
                </c:pt>
                <c:pt idx="12">
                  <c:v>2.24953</c:v>
                </c:pt>
                <c:pt idx="13">
                  <c:v>2.2372000000000001</c:v>
                </c:pt>
                <c:pt idx="14">
                  <c:v>2.2242700000000002</c:v>
                </c:pt>
                <c:pt idx="15">
                  <c:v>2.2101500000000001</c:v>
                </c:pt>
                <c:pt idx="16">
                  <c:v>2.1935500000000001</c:v>
                </c:pt>
                <c:pt idx="17">
                  <c:v>2.18005</c:v>
                </c:pt>
                <c:pt idx="18">
                  <c:v>2.1675800000000001</c:v>
                </c:pt>
                <c:pt idx="19">
                  <c:v>2.1557900000000001</c:v>
                </c:pt>
                <c:pt idx="20">
                  <c:v>2.1454599999999999</c:v>
                </c:pt>
                <c:pt idx="21">
                  <c:v>2.13686</c:v>
                </c:pt>
                <c:pt idx="22">
                  <c:v>2.1282799999999997</c:v>
                </c:pt>
                <c:pt idx="23">
                  <c:v>2.1190600000000002</c:v>
                </c:pt>
                <c:pt idx="24">
                  <c:v>2.1121500000000002</c:v>
                </c:pt>
                <c:pt idx="25">
                  <c:v>2.1069900000000001</c:v>
                </c:pt>
                <c:pt idx="26">
                  <c:v>2.1021799999999997</c:v>
                </c:pt>
                <c:pt idx="27">
                  <c:v>2.0964399999999999</c:v>
                </c:pt>
                <c:pt idx="28">
                  <c:v>2.0891799999999998</c:v>
                </c:pt>
                <c:pt idx="29">
                  <c:v>2.0830199999999999</c:v>
                </c:pt>
                <c:pt idx="30">
                  <c:v>2.07612</c:v>
                </c:pt>
                <c:pt idx="31">
                  <c:v>2.07456</c:v>
                </c:pt>
                <c:pt idx="32">
                  <c:v>2.0758899999999998</c:v>
                </c:pt>
                <c:pt idx="33">
                  <c:v>2.0796299999999999</c:v>
                </c:pt>
                <c:pt idx="34">
                  <c:v>2.0839099999999999</c:v>
                </c:pt>
                <c:pt idx="35">
                  <c:v>2.0891899999999999</c:v>
                </c:pt>
                <c:pt idx="36">
                  <c:v>2.0947199999999997</c:v>
                </c:pt>
                <c:pt idx="37">
                  <c:v>2.1025</c:v>
                </c:pt>
                <c:pt idx="38">
                  <c:v>2.1078099999999997</c:v>
                </c:pt>
                <c:pt idx="39">
                  <c:v>2.1114800000000002</c:v>
                </c:pt>
                <c:pt idx="40">
                  <c:v>2.1126</c:v>
                </c:pt>
                <c:pt idx="41">
                  <c:v>2.1130299999999997</c:v>
                </c:pt>
                <c:pt idx="42">
                  <c:v>2.1132900000000001</c:v>
                </c:pt>
                <c:pt idx="43">
                  <c:v>2.11321</c:v>
                </c:pt>
                <c:pt idx="44">
                  <c:v>2.1122700000000001</c:v>
                </c:pt>
                <c:pt idx="45">
                  <c:v>2.1109100000000001</c:v>
                </c:pt>
                <c:pt idx="46">
                  <c:v>2.1086399999999998</c:v>
                </c:pt>
                <c:pt idx="47">
                  <c:v>2.1057999999999999</c:v>
                </c:pt>
                <c:pt idx="48">
                  <c:v>2.10202</c:v>
                </c:pt>
                <c:pt idx="49">
                  <c:v>2.0973999999999999</c:v>
                </c:pt>
                <c:pt idx="50">
                  <c:v>2.09239</c:v>
                </c:pt>
                <c:pt idx="51">
                  <c:v>2.0918999999999999</c:v>
                </c:pt>
                <c:pt idx="52">
                  <c:v>2.0917300000000001</c:v>
                </c:pt>
                <c:pt idx="53">
                  <c:v>2.0929099999999998</c:v>
                </c:pt>
                <c:pt idx="54">
                  <c:v>2.0921699999999999</c:v>
                </c:pt>
                <c:pt idx="55">
                  <c:v>2.09104</c:v>
                </c:pt>
                <c:pt idx="56">
                  <c:v>2.08813</c:v>
                </c:pt>
                <c:pt idx="57">
                  <c:v>2.0838200000000002</c:v>
                </c:pt>
                <c:pt idx="58">
                  <c:v>2.0789399999999998</c:v>
                </c:pt>
                <c:pt idx="59">
                  <c:v>2.0738400000000001</c:v>
                </c:pt>
                <c:pt idx="60">
                  <c:v>2.0678199999999998</c:v>
                </c:pt>
                <c:pt idx="61">
                  <c:v>2.0630299999999999</c:v>
                </c:pt>
                <c:pt idx="62">
                  <c:v>2.0564499999999999</c:v>
                </c:pt>
                <c:pt idx="63">
                  <c:v>2.04928</c:v>
                </c:pt>
                <c:pt idx="64">
                  <c:v>2.0420500000000001</c:v>
                </c:pt>
                <c:pt idx="65">
                  <c:v>2.0369999999999999</c:v>
                </c:pt>
                <c:pt idx="66">
                  <c:v>2.0312900000000003</c:v>
                </c:pt>
                <c:pt idx="67">
                  <c:v>2.02372</c:v>
                </c:pt>
                <c:pt idx="68">
                  <c:v>2.0143200000000001</c:v>
                </c:pt>
                <c:pt idx="69">
                  <c:v>2.0063300000000002</c:v>
                </c:pt>
                <c:pt idx="70">
                  <c:v>1.99702</c:v>
                </c:pt>
                <c:pt idx="71">
                  <c:v>1.9864100000000002</c:v>
                </c:pt>
                <c:pt idx="72">
                  <c:v>1.9799600000000002</c:v>
                </c:pt>
                <c:pt idx="73">
                  <c:v>1.9762599999999999</c:v>
                </c:pt>
                <c:pt idx="74">
                  <c:v>1.9746600000000001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48.338000000000001</c:v>
                </c:pt>
                <c:pt idx="1">
                  <c:v>48.364000000000004</c:v>
                </c:pt>
                <c:pt idx="2">
                  <c:v>48.485299999999995</c:v>
                </c:pt>
                <c:pt idx="3">
                  <c:v>48.686299999999996</c:v>
                </c:pt>
                <c:pt idx="4">
                  <c:v>48.935299999999998</c:v>
                </c:pt>
                <c:pt idx="5">
                  <c:v>49.168599999999998</c:v>
                </c:pt>
                <c:pt idx="6">
                  <c:v>49.374499999999998</c:v>
                </c:pt>
                <c:pt idx="7">
                  <c:v>49.597700000000003</c:v>
                </c:pt>
                <c:pt idx="8">
                  <c:v>49.786999999999999</c:v>
                </c:pt>
                <c:pt idx="9">
                  <c:v>49.953299999999999</c:v>
                </c:pt>
                <c:pt idx="10">
                  <c:v>50.128599999999999</c:v>
                </c:pt>
                <c:pt idx="11">
                  <c:v>50.270099999999992</c:v>
                </c:pt>
                <c:pt idx="12">
                  <c:v>50.456299999999999</c:v>
                </c:pt>
                <c:pt idx="13">
                  <c:v>50.607500000000002</c:v>
                </c:pt>
                <c:pt idx="14">
                  <c:v>50.775400000000005</c:v>
                </c:pt>
                <c:pt idx="15">
                  <c:v>50.986600000000003</c:v>
                </c:pt>
                <c:pt idx="16">
                  <c:v>51.237900000000003</c:v>
                </c:pt>
                <c:pt idx="17">
                  <c:v>51.354100000000003</c:v>
                </c:pt>
                <c:pt idx="18">
                  <c:v>51.4221</c:v>
                </c:pt>
                <c:pt idx="19">
                  <c:v>51.472200000000001</c:v>
                </c:pt>
                <c:pt idx="20">
                  <c:v>51.525699999999993</c:v>
                </c:pt>
                <c:pt idx="21">
                  <c:v>51.560300000000005</c:v>
                </c:pt>
                <c:pt idx="22">
                  <c:v>51.563499999999998</c:v>
                </c:pt>
                <c:pt idx="23">
                  <c:v>51.586299999999994</c:v>
                </c:pt>
                <c:pt idx="24">
                  <c:v>51.558099999999996</c:v>
                </c:pt>
                <c:pt idx="25">
                  <c:v>51.471900000000005</c:v>
                </c:pt>
                <c:pt idx="26">
                  <c:v>51.351300000000002</c:v>
                </c:pt>
                <c:pt idx="27">
                  <c:v>51.234999999999999</c:v>
                </c:pt>
                <c:pt idx="28">
                  <c:v>51.144199999999998</c:v>
                </c:pt>
                <c:pt idx="29">
                  <c:v>50.984300000000005</c:v>
                </c:pt>
                <c:pt idx="30">
                  <c:v>50.8613</c:v>
                </c:pt>
                <c:pt idx="31">
                  <c:v>50.632600000000004</c:v>
                </c:pt>
                <c:pt idx="32">
                  <c:v>50.362399999999994</c:v>
                </c:pt>
                <c:pt idx="33">
                  <c:v>50.052199999999999</c:v>
                </c:pt>
                <c:pt idx="34">
                  <c:v>49.765999999999998</c:v>
                </c:pt>
                <c:pt idx="35">
                  <c:v>49.478999999999999</c:v>
                </c:pt>
                <c:pt idx="36">
                  <c:v>49.203400000000002</c:v>
                </c:pt>
                <c:pt idx="37">
                  <c:v>48.9071</c:v>
                </c:pt>
                <c:pt idx="38">
                  <c:v>48.632199999999997</c:v>
                </c:pt>
                <c:pt idx="39">
                  <c:v>48.394300000000001</c:v>
                </c:pt>
                <c:pt idx="40">
                  <c:v>48.236000000000004</c:v>
                </c:pt>
                <c:pt idx="41">
                  <c:v>48.083999999999996</c:v>
                </c:pt>
                <c:pt idx="42">
                  <c:v>47.950900000000004</c:v>
                </c:pt>
                <c:pt idx="43">
                  <c:v>47.830500000000001</c:v>
                </c:pt>
                <c:pt idx="44">
                  <c:v>47.793600000000005</c:v>
                </c:pt>
                <c:pt idx="45">
                  <c:v>47.841499999999996</c:v>
                </c:pt>
                <c:pt idx="46">
                  <c:v>47.911099999999998</c:v>
                </c:pt>
                <c:pt idx="47">
                  <c:v>47.985699999999994</c:v>
                </c:pt>
                <c:pt idx="48">
                  <c:v>48.107199999999999</c:v>
                </c:pt>
                <c:pt idx="49">
                  <c:v>48.294800000000002</c:v>
                </c:pt>
                <c:pt idx="50">
                  <c:v>48.506799999999998</c:v>
                </c:pt>
                <c:pt idx="51">
                  <c:v>48.517400000000002</c:v>
                </c:pt>
                <c:pt idx="52">
                  <c:v>48.5381</c:v>
                </c:pt>
                <c:pt idx="53">
                  <c:v>48.554199999999994</c:v>
                </c:pt>
                <c:pt idx="54">
                  <c:v>48.666599999999995</c:v>
                </c:pt>
                <c:pt idx="55">
                  <c:v>48.776000000000003</c:v>
                </c:pt>
                <c:pt idx="56">
                  <c:v>48.928100000000001</c:v>
                </c:pt>
                <c:pt idx="57">
                  <c:v>49.109499999999997</c:v>
                </c:pt>
                <c:pt idx="58">
                  <c:v>49.308099999999996</c:v>
                </c:pt>
                <c:pt idx="59">
                  <c:v>49.505500000000005</c:v>
                </c:pt>
                <c:pt idx="60">
                  <c:v>49.723199999999999</c:v>
                </c:pt>
                <c:pt idx="61">
                  <c:v>49.931899999999999</c:v>
                </c:pt>
                <c:pt idx="62">
                  <c:v>50.204999999999998</c:v>
                </c:pt>
                <c:pt idx="63">
                  <c:v>50.557900000000004</c:v>
                </c:pt>
                <c:pt idx="64">
                  <c:v>50.9529</c:v>
                </c:pt>
                <c:pt idx="65">
                  <c:v>51.254599999999996</c:v>
                </c:pt>
                <c:pt idx="66">
                  <c:v>51.615299999999998</c:v>
                </c:pt>
                <c:pt idx="67">
                  <c:v>52.090800000000002</c:v>
                </c:pt>
                <c:pt idx="68">
                  <c:v>52.731700000000004</c:v>
                </c:pt>
                <c:pt idx="69">
                  <c:v>53.242599999999996</c:v>
                </c:pt>
                <c:pt idx="70">
                  <c:v>53.640100000000004</c:v>
                </c:pt>
                <c:pt idx="71">
                  <c:v>54.048200000000001</c:v>
                </c:pt>
                <c:pt idx="72">
                  <c:v>54.571999999999996</c:v>
                </c:pt>
                <c:pt idx="73">
                  <c:v>55.006600000000006</c:v>
                </c:pt>
                <c:pt idx="74">
                  <c:v>55.020100000000006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1.35111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70.549499999999995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2.1101882432432428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52.262258108108142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2.1267055405405406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50.194221621621629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2.1267055405405406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50.194221621621629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518</v>
      </c>
      <c r="D5" s="151"/>
      <c r="E5" s="151"/>
      <c r="F5" s="152"/>
      <c r="G5" s="48" t="str">
        <f>lang!B27</f>
        <v>编号</v>
      </c>
      <c r="H5" s="150">
        <v>11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517</v>
      </c>
      <c r="D6" s="188"/>
      <c r="E6" s="188"/>
      <c r="F6" s="189"/>
      <c r="G6" s="49" t="str">
        <f>lang!B28</f>
        <v xml:space="preserve"> 日期</v>
      </c>
      <c r="H6" s="172">
        <f>FH_info!A2</f>
        <v>43607.410995370374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46</v>
      </c>
      <c r="D7" s="191"/>
      <c r="E7" s="191"/>
      <c r="F7" s="192"/>
      <c r="G7" s="50" t="str">
        <f>lang!B29</f>
        <v>误差率（%）</v>
      </c>
      <c r="H7" s="175">
        <f>M!B17*1</f>
        <v>15.7463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30.603899999999999</v>
      </c>
      <c r="O8" s="59">
        <f>M!C5*1</f>
        <v>6.2812200000000002</v>
      </c>
      <c r="P8" s="59">
        <f>M!D5*1</f>
        <v>20.5243</v>
      </c>
      <c r="Q8" s="59">
        <f>M!E5*1</f>
        <v>20</v>
      </c>
      <c r="R8" s="59">
        <f>M!F5*1</f>
        <v>9.9427000000000003</v>
      </c>
      <c r="S8" s="59">
        <f>M!G5*1</f>
        <v>50</v>
      </c>
      <c r="T8" s="59">
        <f>M!H5*1</f>
        <v>38.118600000000001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40.713900000000002</v>
      </c>
      <c r="O9" s="59">
        <f>M!C6*1</f>
        <v>4.1638500000000001</v>
      </c>
      <c r="P9" s="59">
        <f>M!D6*1</f>
        <v>10.2271</v>
      </c>
      <c r="Q9" s="59">
        <f>M!E6*1</f>
        <v>20</v>
      </c>
      <c r="R9" s="59">
        <f>M!F6*1</f>
        <v>28.8779</v>
      </c>
      <c r="S9" s="59">
        <f>M!G6*1</f>
        <v>40</v>
      </c>
      <c r="T9" s="59">
        <f>M!H6*1</f>
        <v>44.924500000000002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9.9427000000000003</v>
      </c>
      <c r="D10" s="99">
        <f>N8</f>
        <v>30.603899999999999</v>
      </c>
      <c r="E10" s="100">
        <f>T8</f>
        <v>38.118600000000001</v>
      </c>
      <c r="F10" s="91">
        <f>P8</f>
        <v>20.5243</v>
      </c>
      <c r="G10" s="81" t="str">
        <f>CONCATENATE(M9,"
(20 ~ 40)")</f>
        <v>压力
(20 ~ 40)</v>
      </c>
      <c r="H10" s="98">
        <f>R9</f>
        <v>28.8779</v>
      </c>
      <c r="I10" s="108">
        <f>N9</f>
        <v>40.713900000000002</v>
      </c>
      <c r="J10" s="98">
        <f>T9</f>
        <v>44.924500000000002</v>
      </c>
      <c r="K10" s="92">
        <f>P9</f>
        <v>10.2271</v>
      </c>
      <c r="L10" s="6"/>
      <c r="M10" s="27" t="str">
        <f>lang!B16</f>
        <v>焦虑</v>
      </c>
      <c r="N10" s="59">
        <f>M!B7*1</f>
        <v>29.77</v>
      </c>
      <c r="O10" s="59">
        <f>M!C7*1</f>
        <v>5.6497299999999999</v>
      </c>
      <c r="P10" s="59">
        <f>M!D7*1</f>
        <v>18.978000000000002</v>
      </c>
      <c r="Q10" s="59">
        <f>M!E7*1</f>
        <v>15</v>
      </c>
      <c r="R10" s="59">
        <f>M!F7*1</f>
        <v>8.0345399999999998</v>
      </c>
      <c r="S10" s="59">
        <f>M!G7*1</f>
        <v>40</v>
      </c>
      <c r="T10" s="59">
        <f>M!H7*1</f>
        <v>46.850499999999997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8.0345399999999998</v>
      </c>
      <c r="D11" s="102">
        <f>N10</f>
        <v>29.77</v>
      </c>
      <c r="E11" s="103">
        <f>T10</f>
        <v>46.850499999999997</v>
      </c>
      <c r="F11" s="94">
        <f>P10</f>
        <v>18.978000000000002</v>
      </c>
      <c r="G11" s="52" t="str">
        <f>CONCATENATE(M11,"
(20 ~ 50)")</f>
        <v>可疑
(20 ~ 50)</v>
      </c>
      <c r="H11" s="101">
        <f>R11</f>
        <v>16.738399999999999</v>
      </c>
      <c r="I11" s="104">
        <f>N11</f>
        <v>34.331499999999998</v>
      </c>
      <c r="J11" s="101">
        <f>T11</f>
        <v>37.911299999999997</v>
      </c>
      <c r="K11" s="95">
        <f>P11</f>
        <v>12.9527</v>
      </c>
      <c r="L11" s="4"/>
      <c r="M11" s="27" t="str">
        <f>lang!B17</f>
        <v>可疑</v>
      </c>
      <c r="N11" s="59">
        <f>M!B8*1</f>
        <v>34.331499999999998</v>
      </c>
      <c r="O11" s="59">
        <f>M!C8*1</f>
        <v>4.4468699999999997</v>
      </c>
      <c r="P11" s="59">
        <f>M!D8*1</f>
        <v>12.9527</v>
      </c>
      <c r="Q11" s="59">
        <f>M!E8*1</f>
        <v>20</v>
      </c>
      <c r="R11" s="59">
        <f>M!F8*1</f>
        <v>16.738399999999999</v>
      </c>
      <c r="S11" s="59">
        <f>M!G8*1</f>
        <v>50</v>
      </c>
      <c r="T11" s="59">
        <f>M!H8*1</f>
        <v>37.911299999999997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55.467100000000002</v>
      </c>
      <c r="D12" s="104">
        <f>N12</f>
        <v>65.146799999999999</v>
      </c>
      <c r="E12" s="101">
        <f>T12</f>
        <v>85.061800000000005</v>
      </c>
      <c r="F12" s="93">
        <f>P12</f>
        <v>7.3731799999999996</v>
      </c>
      <c r="G12" s="52" t="str">
        <f>CONCATENATE(M13,"
(40 ~ 100)")</f>
        <v>自信
(40 ~ 100)</v>
      </c>
      <c r="H12" s="101">
        <f>R13</f>
        <v>38.067700000000002</v>
      </c>
      <c r="I12" s="104">
        <f>N13</f>
        <v>64.112499999999997</v>
      </c>
      <c r="J12" s="101">
        <f>T13</f>
        <v>78.421800000000005</v>
      </c>
      <c r="K12" s="95">
        <f>P13</f>
        <v>15.8504</v>
      </c>
      <c r="L12" s="4"/>
      <c r="M12" s="27" t="str">
        <f>lang!B18</f>
        <v>平衡</v>
      </c>
      <c r="N12" s="59">
        <f>M!B9*1</f>
        <v>65.146799999999999</v>
      </c>
      <c r="O12" s="59">
        <f>M!C9*1</f>
        <v>4.8033900000000003</v>
      </c>
      <c r="P12" s="59">
        <f>M!D9*1</f>
        <v>7.3731799999999996</v>
      </c>
      <c r="Q12" s="59">
        <f>M!E9*1</f>
        <v>50</v>
      </c>
      <c r="R12" s="59">
        <f>M!F9*1</f>
        <v>55.467100000000002</v>
      </c>
      <c r="S12" s="59">
        <f>M!G9*1</f>
        <v>100</v>
      </c>
      <c r="T12" s="59">
        <f>M!H9*1</f>
        <v>85.061800000000005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6.2931600000000003</v>
      </c>
      <c r="D13" s="102">
        <f>N14</f>
        <v>11.103999999999999</v>
      </c>
      <c r="E13" s="103">
        <f>T14</f>
        <v>14.411099999999999</v>
      </c>
      <c r="F13" s="94">
        <f>P14</f>
        <v>17.1083</v>
      </c>
      <c r="G13" s="52" t="str">
        <f>CONCATENATE(M15,"
(50 ~ 100)")</f>
        <v>自我调节
(50 ~ 100)</v>
      </c>
      <c r="H13" s="101">
        <f>R15</f>
        <v>52.453200000000002</v>
      </c>
      <c r="I13" s="104">
        <f>N15</f>
        <v>64.256399999999999</v>
      </c>
      <c r="J13" s="101">
        <f>T15</f>
        <v>80.863500000000002</v>
      </c>
      <c r="K13" s="95">
        <f>P15</f>
        <v>8.4407700000000006</v>
      </c>
      <c r="L13" s="4"/>
      <c r="M13" s="27" t="str">
        <f>lang!B19</f>
        <v>自信</v>
      </c>
      <c r="N13" s="59">
        <f>M!B10*1</f>
        <v>64.112499999999997</v>
      </c>
      <c r="O13" s="59">
        <f>M!C10*1</f>
        <v>10.162100000000001</v>
      </c>
      <c r="P13" s="59">
        <f>M!D10*1</f>
        <v>15.8504</v>
      </c>
      <c r="Q13" s="59">
        <f>M!E10*1</f>
        <v>40</v>
      </c>
      <c r="R13" s="59">
        <f>M!F10*1</f>
        <v>38.067700000000002</v>
      </c>
      <c r="S13" s="59">
        <f>M!G10*1</f>
        <v>100</v>
      </c>
      <c r="T13" s="59">
        <f>M!H10*1</f>
        <v>78.421800000000005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14.210900000000001</v>
      </c>
      <c r="D14" s="106">
        <f>N16</f>
        <v>18.822500000000002</v>
      </c>
      <c r="E14" s="107">
        <f>T16</f>
        <v>27.734100000000002</v>
      </c>
      <c r="F14" s="96">
        <f>P16</f>
        <v>14.5657</v>
      </c>
      <c r="G14" s="112" t="str">
        <f>CONCATENATE(M17,"
(10 ~ 50)")</f>
        <v>神经质
(10 ~ 50)</v>
      </c>
      <c r="H14" s="105">
        <f>R17</f>
        <v>2.3843999999999999</v>
      </c>
      <c r="I14" s="106">
        <f>N17</f>
        <v>27.4162</v>
      </c>
      <c r="J14" s="107">
        <f>T17</f>
        <v>32.203099999999999</v>
      </c>
      <c r="K14" s="97">
        <f>P17</f>
        <v>31.443100000000001</v>
      </c>
      <c r="M14" s="27" t="str">
        <f>lang!B20</f>
        <v>活力</v>
      </c>
      <c r="N14" s="59">
        <f>M!B11*1</f>
        <v>11.103999999999999</v>
      </c>
      <c r="O14" s="59">
        <f>M!C11*1</f>
        <v>1.8996999999999999</v>
      </c>
      <c r="P14" s="59">
        <f>M!D11*1</f>
        <v>17.1083</v>
      </c>
      <c r="Q14" s="59">
        <f>M!E11*1</f>
        <v>10</v>
      </c>
      <c r="R14" s="59">
        <f>M!F11*1</f>
        <v>6.2931600000000003</v>
      </c>
      <c r="S14" s="59">
        <f>M!G11*1</f>
        <v>50</v>
      </c>
      <c r="T14" s="59">
        <f>M!H11*1</f>
        <v>14.411099999999999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64.256399999999999</v>
      </c>
      <c r="O15" s="59">
        <f>M!C12*1</f>
        <v>5.4237299999999999</v>
      </c>
      <c r="P15" s="59">
        <f>M!D12*1</f>
        <v>8.4407700000000006</v>
      </c>
      <c r="Q15" s="59">
        <f>M!E12*1</f>
        <v>50</v>
      </c>
      <c r="R15" s="59">
        <f>M!F12*1</f>
        <v>52.453200000000002</v>
      </c>
      <c r="S15" s="59">
        <f>M!G12*1</f>
        <v>100</v>
      </c>
      <c r="T15" s="59">
        <f>M!H12*1</f>
        <v>80.863500000000002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18.822500000000002</v>
      </c>
      <c r="O16" s="59">
        <f>M!C13*1</f>
        <v>2.7416200000000002</v>
      </c>
      <c r="P16" s="59">
        <f>M!D13*1</f>
        <v>14.5657</v>
      </c>
      <c r="Q16" s="59">
        <f>M!E13*1</f>
        <v>10</v>
      </c>
      <c r="R16" s="59">
        <f>M!F13*1</f>
        <v>14.210900000000001</v>
      </c>
      <c r="S16" s="59">
        <f>M!G13*1</f>
        <v>25</v>
      </c>
      <c r="T16" s="59">
        <f>M!H13*1</f>
        <v>27.734100000000002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27.4162</v>
      </c>
      <c r="O17" s="59">
        <f>M!C14*1</f>
        <v>8.6205200000000008</v>
      </c>
      <c r="P17" s="59">
        <f>M!D14*1</f>
        <v>31.443100000000001</v>
      </c>
      <c r="Q17" s="59">
        <f>M!E14*1</f>
        <v>10</v>
      </c>
      <c r="R17" s="59">
        <f>M!F14*1</f>
        <v>2.3843999999999999</v>
      </c>
      <c r="S17" s="59">
        <f>M!G14*1</f>
        <v>50</v>
      </c>
      <c r="T17" s="59">
        <f>M!H14*1</f>
        <v>32.203099999999999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51.154924999999992</v>
      </c>
      <c r="O18" s="22">
        <f>N18/(N18+N19+N20)</f>
        <v>0.47309119376745018</v>
      </c>
      <c r="P18" s="65">
        <f>SUM(P12:P15)/4</f>
        <v>12.1931625</v>
      </c>
      <c r="Q18" s="22">
        <f>P18/(P18+P19+P20)</f>
        <v>0.23970161056281111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33.854824999999998</v>
      </c>
      <c r="O19" s="22">
        <f>N19/(N18+N19+N20)</f>
        <v>0.31309633576900203</v>
      </c>
      <c r="P19" s="18">
        <f>SUM(P8:P11)/4</f>
        <v>15.670525</v>
      </c>
      <c r="Q19" s="22">
        <f>P19/(P18+P19+P20)</f>
        <v>0.3080620044934852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23.119350000000001</v>
      </c>
      <c r="O20" s="22">
        <f>N20/(N18+N19+N20)</f>
        <v>0.21381247046354776</v>
      </c>
      <c r="P20" s="18">
        <f>(P16+P17)/2</f>
        <v>23.0044</v>
      </c>
      <c r="Q20" s="22">
        <f>P20/(P18+P19+P20)</f>
        <v>0.45223638494370366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-2.2332094594594898E-2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1.0307559549676446</v>
      </c>
      <c r="D25" s="44" t="str">
        <f>lang!B11</f>
        <v>频率方差</v>
      </c>
      <c r="E25" s="142">
        <f ca="1">FH!L3</f>
        <v>0.49981468346075147</v>
      </c>
      <c r="F25" s="143"/>
      <c r="G25" s="134" t="str">
        <f>lang!B12</f>
        <v>生理变化率</v>
      </c>
      <c r="H25" s="135"/>
      <c r="I25" s="62" t="str">
        <f ca="1">CONCATENATE(info!M7,"-",info!M8)</f>
        <v>46.2-70.5</v>
      </c>
      <c r="J25" s="42" t="str">
        <f>lang!B13</f>
        <v>千卡l/分钟</v>
      </c>
      <c r="K25" s="41" t="str">
        <f ca="1">CONCATENATE(info!M5,"-",info!M6)</f>
        <v>1.4-2.4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63.6875</v>
      </c>
      <c r="F28" s="164"/>
      <c r="G28" s="178" t="str">
        <f>lang!B33</f>
        <v>稳定性</v>
      </c>
      <c r="H28" s="179"/>
      <c r="I28" s="180"/>
      <c r="J28" s="181">
        <f>M!B19*100</f>
        <v>79.662000000000006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43607.410995370374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4.4465000000000003</v>
      </c>
      <c r="O7" s="59">
        <f t="shared" ref="O7:T7" si="2">AG7-X7</f>
        <v>-4.7926400000000005</v>
      </c>
      <c r="P7" s="59">
        <f t="shared" si="2"/>
        <v>-19.320209999999999</v>
      </c>
      <c r="Q7" s="59">
        <f t="shared" si="2"/>
        <v>0</v>
      </c>
      <c r="R7" s="59">
        <f t="shared" si="2"/>
        <v>16.581400000000002</v>
      </c>
      <c r="S7" s="59">
        <f t="shared" si="2"/>
        <v>0</v>
      </c>
      <c r="T7" s="59">
        <f t="shared" si="2"/>
        <v>1.2597000000000023</v>
      </c>
      <c r="U7" s="14"/>
      <c r="V7" s="27" t="str">
        <f>M7</f>
        <v>攻击性</v>
      </c>
      <c r="W7" s="59">
        <f>'M1'!B5*1</f>
        <v>26.6998</v>
      </c>
      <c r="X7" s="59">
        <f>'M1'!C5*1</f>
        <v>7.3550500000000003</v>
      </c>
      <c r="Y7" s="59">
        <f>'M1'!D5*1</f>
        <v>27.5472</v>
      </c>
      <c r="Z7" s="59">
        <f>'M1'!E5*1</f>
        <v>20</v>
      </c>
      <c r="AA7" s="59">
        <f>'M1'!F5*1</f>
        <v>9.9427000000000003</v>
      </c>
      <c r="AB7" s="59">
        <f>'M1'!G5*1</f>
        <v>50</v>
      </c>
      <c r="AC7" s="59">
        <f>'M1'!H5*1</f>
        <v>36.858899999999998</v>
      </c>
      <c r="AE7" s="27" t="str">
        <f>V7</f>
        <v>攻击性</v>
      </c>
      <c r="AF7" s="59">
        <f>'M2'!B5*1</f>
        <v>31.1463</v>
      </c>
      <c r="AG7" s="59">
        <f>'M2'!C5*1</f>
        <v>2.5624099999999999</v>
      </c>
      <c r="AH7" s="59">
        <f>'M2'!D5*1</f>
        <v>8.2269900000000007</v>
      </c>
      <c r="AI7" s="59">
        <f>'M2'!E5*1</f>
        <v>20</v>
      </c>
      <c r="AJ7" s="59">
        <f>'M2'!F5*1</f>
        <v>26.524100000000001</v>
      </c>
      <c r="AK7" s="59">
        <f>'M2'!G5*1</f>
        <v>50</v>
      </c>
      <c r="AL7" s="59">
        <f>'M2'!H5*1</f>
        <v>38.118600000000001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5.5246999999999957</v>
      </c>
      <c r="O8" s="59">
        <f t="shared" ref="O8:O16" si="5">AG8-X8</f>
        <v>-2.8588000000000005</v>
      </c>
      <c r="P8" s="59">
        <f t="shared" ref="P8:P16" si="6">AH8-Y8</f>
        <v>-8.4554900000000011</v>
      </c>
      <c r="Q8" s="59">
        <f t="shared" ref="Q8:Q16" si="7">AI8-Z8</f>
        <v>0</v>
      </c>
      <c r="R8" s="59">
        <f t="shared" ref="R8:R16" si="8">AJ8-AA8</f>
        <v>10.456500000000002</v>
      </c>
      <c r="S8" s="59">
        <f t="shared" ref="S8:S16" si="9">AK8-AB8</f>
        <v>0</v>
      </c>
      <c r="T8" s="59">
        <f t="shared" ref="T8:T16" si="10">AL8-AC8</f>
        <v>0.22769999999999868</v>
      </c>
      <c r="U8" s="15"/>
      <c r="V8" s="27" t="str">
        <f t="shared" ref="V8:V16" si="11">M8</f>
        <v>压力</v>
      </c>
      <c r="W8" s="59">
        <f>'M1'!B6*1</f>
        <v>36.385800000000003</v>
      </c>
      <c r="X8" s="59">
        <f>'M1'!C6*1</f>
        <v>4.5110400000000004</v>
      </c>
      <c r="Y8" s="59">
        <f>'M1'!D6*1</f>
        <v>12.3978</v>
      </c>
      <c r="Z8" s="59">
        <f>'M1'!E6*1</f>
        <v>20</v>
      </c>
      <c r="AA8" s="59">
        <f>'M1'!F6*1</f>
        <v>28.8779</v>
      </c>
      <c r="AB8" s="59">
        <f>'M1'!G6*1</f>
        <v>40</v>
      </c>
      <c r="AC8" s="59">
        <f>'M1'!H6*1</f>
        <v>44.696800000000003</v>
      </c>
      <c r="AE8" s="27" t="str">
        <f t="shared" ref="AE8:AE16" si="12">V8</f>
        <v>压力</v>
      </c>
      <c r="AF8" s="59">
        <f>'M2'!B6*1</f>
        <v>41.910499999999999</v>
      </c>
      <c r="AG8" s="59">
        <f>'M2'!C6*1</f>
        <v>1.6522399999999999</v>
      </c>
      <c r="AH8" s="59">
        <f>'M2'!D6*1</f>
        <v>3.94231</v>
      </c>
      <c r="AI8" s="59">
        <f>'M2'!E6*1</f>
        <v>20</v>
      </c>
      <c r="AJ8" s="59">
        <f>'M2'!F6*1</f>
        <v>39.334400000000002</v>
      </c>
      <c r="AK8" s="59">
        <f>'M2'!G6*1</f>
        <v>40</v>
      </c>
      <c r="AL8" s="59">
        <f>'M2'!H6*1</f>
        <v>44.924500000000002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16.581400000000002</v>
      </c>
      <c r="D9" s="78">
        <f>N7</f>
        <v>4.4465000000000003</v>
      </c>
      <c r="E9" s="79">
        <f>T7</f>
        <v>1.2597000000000023</v>
      </c>
      <c r="F9" s="79">
        <f>P7</f>
        <v>-19.320209999999999</v>
      </c>
      <c r="G9" s="80" t="str">
        <f>CONCATENATE(M8,"
(20 ~ 40)")</f>
        <v>压力
(20 ~ 40)</v>
      </c>
      <c r="H9" s="77">
        <f>R8</f>
        <v>10.456500000000002</v>
      </c>
      <c r="I9" s="81">
        <f>N8</f>
        <v>5.5246999999999957</v>
      </c>
      <c r="J9" s="77">
        <f>T8</f>
        <v>0.22769999999999868</v>
      </c>
      <c r="K9" s="82">
        <f>P8</f>
        <v>-8.4554900000000011</v>
      </c>
      <c r="L9" s="6"/>
      <c r="M9" s="27" t="str">
        <f>lang!B16</f>
        <v>焦虑</v>
      </c>
      <c r="N9" s="59">
        <f t="shared" si="4"/>
        <v>1.6980000000000004</v>
      </c>
      <c r="O9" s="59">
        <f t="shared" si="5"/>
        <v>-3.8385600000000002</v>
      </c>
      <c r="P9" s="59">
        <f t="shared" si="6"/>
        <v>-14.274000000000001</v>
      </c>
      <c r="Q9" s="59">
        <f t="shared" si="7"/>
        <v>0</v>
      </c>
      <c r="R9" s="59">
        <f t="shared" si="8"/>
        <v>7.6268600000000006</v>
      </c>
      <c r="S9" s="59">
        <f t="shared" si="9"/>
        <v>0</v>
      </c>
      <c r="T9" s="59">
        <f t="shared" si="10"/>
        <v>-6.799999999999784E-2</v>
      </c>
      <c r="U9" s="14"/>
      <c r="V9" s="27" t="str">
        <f t="shared" si="11"/>
        <v>焦虑</v>
      </c>
      <c r="W9" s="59">
        <f>'M1'!B7*1</f>
        <v>28.235199999999999</v>
      </c>
      <c r="X9" s="59">
        <f>'M1'!C7*1</f>
        <v>7.2183700000000002</v>
      </c>
      <c r="Y9" s="59">
        <f>'M1'!D7*1</f>
        <v>25.565200000000001</v>
      </c>
      <c r="Z9" s="59">
        <f>'M1'!E7*1</f>
        <v>15</v>
      </c>
      <c r="AA9" s="59">
        <f>'M1'!F7*1</f>
        <v>8.0345399999999998</v>
      </c>
      <c r="AB9" s="59">
        <f>'M1'!G7*1</f>
        <v>40</v>
      </c>
      <c r="AC9" s="59">
        <f>'M1'!H7*1</f>
        <v>46.850499999999997</v>
      </c>
      <c r="AE9" s="27" t="str">
        <f t="shared" si="12"/>
        <v>焦虑</v>
      </c>
      <c r="AF9" s="59">
        <f>'M2'!B7*1</f>
        <v>29.933199999999999</v>
      </c>
      <c r="AG9" s="59">
        <f>'M2'!C7*1</f>
        <v>3.37981</v>
      </c>
      <c r="AH9" s="59">
        <f>'M2'!D7*1</f>
        <v>11.2912</v>
      </c>
      <c r="AI9" s="59">
        <f>'M2'!E7*1</f>
        <v>15</v>
      </c>
      <c r="AJ9" s="59">
        <f>'M2'!F7*1</f>
        <v>15.6614</v>
      </c>
      <c r="AK9" s="59">
        <f>'M2'!G7*1</f>
        <v>40</v>
      </c>
      <c r="AL9" s="59">
        <f>'M2'!H7*1</f>
        <v>46.782499999999999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7.6268600000000006</v>
      </c>
      <c r="D10" s="51">
        <f>N9</f>
        <v>1.6980000000000004</v>
      </c>
      <c r="E10" s="53">
        <f>T9</f>
        <v>-6.799999999999784E-2</v>
      </c>
      <c r="F10" s="53">
        <f>P9</f>
        <v>-14.274000000000001</v>
      </c>
      <c r="G10" s="73" t="str">
        <f>CONCATENATE(M10,"
(20 ~ 50)")</f>
        <v>可疑
(20 ~ 50)</v>
      </c>
      <c r="H10" s="24">
        <f>R10</f>
        <v>16.520699999999998</v>
      </c>
      <c r="I10" s="52">
        <f>N10</f>
        <v>4.3218999999999994</v>
      </c>
      <c r="J10" s="24">
        <f>T10</f>
        <v>-0.15319999999999823</v>
      </c>
      <c r="K10" s="25">
        <f>P10</f>
        <v>-15.888640000000001</v>
      </c>
      <c r="L10" s="4"/>
      <c r="M10" s="27" t="str">
        <f>lang!B17</f>
        <v>可疑</v>
      </c>
      <c r="N10" s="59">
        <f t="shared" si="4"/>
        <v>4.3218999999999994</v>
      </c>
      <c r="O10" s="59">
        <f t="shared" si="5"/>
        <v>-4.7490830000000006</v>
      </c>
      <c r="P10" s="59">
        <f t="shared" si="6"/>
        <v>-15.888640000000001</v>
      </c>
      <c r="Q10" s="59">
        <f t="shared" si="7"/>
        <v>0</v>
      </c>
      <c r="R10" s="59">
        <f t="shared" si="8"/>
        <v>16.520699999999998</v>
      </c>
      <c r="S10" s="59">
        <f t="shared" si="9"/>
        <v>0</v>
      </c>
      <c r="T10" s="59">
        <f t="shared" si="10"/>
        <v>-0.15319999999999823</v>
      </c>
      <c r="U10" s="14"/>
      <c r="V10" s="27" t="str">
        <f t="shared" si="11"/>
        <v>可疑</v>
      </c>
      <c r="W10" s="59">
        <f>'M1'!B8*1</f>
        <v>30.4422</v>
      </c>
      <c r="X10" s="59">
        <f>'M1'!C8*1</f>
        <v>5.4549200000000004</v>
      </c>
      <c r="Y10" s="59">
        <f>'M1'!D8*1</f>
        <v>17.919</v>
      </c>
      <c r="Z10" s="59">
        <f>'M1'!E8*1</f>
        <v>20</v>
      </c>
      <c r="AA10" s="59">
        <f>'M1'!F8*1</f>
        <v>16.738399999999999</v>
      </c>
      <c r="AB10" s="59">
        <f>'M1'!G8*1</f>
        <v>50</v>
      </c>
      <c r="AC10" s="59">
        <f>'M1'!H8*1</f>
        <v>37.911299999999997</v>
      </c>
      <c r="AE10" s="27" t="str">
        <f t="shared" si="12"/>
        <v>可疑</v>
      </c>
      <c r="AF10" s="59">
        <f>'M2'!B8*1</f>
        <v>34.764099999999999</v>
      </c>
      <c r="AG10" s="59">
        <f>'M2'!C8*1</f>
        <v>0.70583700000000005</v>
      </c>
      <c r="AH10" s="59">
        <f>'M2'!D8*1</f>
        <v>2.0303599999999999</v>
      </c>
      <c r="AI10" s="59">
        <f>'M2'!E8*1</f>
        <v>20</v>
      </c>
      <c r="AJ10" s="59">
        <f>'M2'!F8*1</f>
        <v>33.259099999999997</v>
      </c>
      <c r="AK10" s="59">
        <f>'M2'!G8*1</f>
        <v>50</v>
      </c>
      <c r="AL10" s="59">
        <f>'M2'!H8*1</f>
        <v>37.758099999999999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1.0507999999999953</v>
      </c>
      <c r="D11" s="52">
        <f>N11</f>
        <v>-3.1498999999999953</v>
      </c>
      <c r="E11" s="24">
        <f>T11</f>
        <v>-10.642300000000006</v>
      </c>
      <c r="F11" s="24">
        <f>P11</f>
        <v>-1.2293199999999995</v>
      </c>
      <c r="G11" s="73" t="str">
        <f>CONCATENATE(M12,"
(40 ~ 100)")</f>
        <v>自信
(40 ~ 100)</v>
      </c>
      <c r="H11" s="24">
        <f>R12</f>
        <v>-11.530299999999997</v>
      </c>
      <c r="I11" s="52">
        <f>N12</f>
        <v>-13.211300000000001</v>
      </c>
      <c r="J11" s="24">
        <f>T12</f>
        <v>-11.637900000000002</v>
      </c>
      <c r="K11" s="25">
        <f>P12</f>
        <v>-2.3814999999999991</v>
      </c>
      <c r="L11" s="4"/>
      <c r="M11" s="27" t="str">
        <f>lang!B18</f>
        <v>平衡</v>
      </c>
      <c r="N11" s="59">
        <f t="shared" si="4"/>
        <v>-3.1498999999999953</v>
      </c>
      <c r="O11" s="59">
        <f t="shared" si="5"/>
        <v>-1.01776</v>
      </c>
      <c r="P11" s="59">
        <f t="shared" si="6"/>
        <v>-1.2293199999999995</v>
      </c>
      <c r="Q11" s="59">
        <f t="shared" si="7"/>
        <v>0</v>
      </c>
      <c r="R11" s="59">
        <f t="shared" si="8"/>
        <v>1.0507999999999953</v>
      </c>
      <c r="S11" s="59">
        <f t="shared" si="9"/>
        <v>0</v>
      </c>
      <c r="T11" s="59">
        <f t="shared" si="10"/>
        <v>-10.642300000000006</v>
      </c>
      <c r="U11" s="14"/>
      <c r="V11" s="27" t="str">
        <f t="shared" si="11"/>
        <v>平衡</v>
      </c>
      <c r="W11" s="59">
        <f>'M1'!B9*1</f>
        <v>66.964699999999993</v>
      </c>
      <c r="X11" s="59">
        <f>'M1'!C9*1</f>
        <v>4.9591799999999999</v>
      </c>
      <c r="Y11" s="59">
        <f>'M1'!D9*1</f>
        <v>7.4056699999999998</v>
      </c>
      <c r="Z11" s="59">
        <f>'M1'!E9*1</f>
        <v>50</v>
      </c>
      <c r="AA11" s="59">
        <f>'M1'!F9*1</f>
        <v>55.467100000000002</v>
      </c>
      <c r="AB11" s="59">
        <f>'M1'!G9*1</f>
        <v>100</v>
      </c>
      <c r="AC11" s="59">
        <f>'M1'!H9*1</f>
        <v>85.061800000000005</v>
      </c>
      <c r="AE11" s="27" t="str">
        <f t="shared" si="12"/>
        <v>平衡</v>
      </c>
      <c r="AF11" s="59">
        <f>'M2'!B9*1</f>
        <v>63.814799999999998</v>
      </c>
      <c r="AG11" s="59">
        <f>'M2'!C9*1</f>
        <v>3.9414199999999999</v>
      </c>
      <c r="AH11" s="59">
        <f>'M2'!D9*1</f>
        <v>6.1763500000000002</v>
      </c>
      <c r="AI11" s="59">
        <f>'M2'!E9*1</f>
        <v>50</v>
      </c>
      <c r="AJ11" s="59">
        <f>'M2'!F9*1</f>
        <v>56.517899999999997</v>
      </c>
      <c r="AK11" s="59">
        <f>'M2'!G9*1</f>
        <v>100</v>
      </c>
      <c r="AL11" s="59">
        <f>'M2'!H9*1</f>
        <v>74.419499999999999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3.8414400000000004</v>
      </c>
      <c r="D12" s="51">
        <f>N13</f>
        <v>-0.11380000000000123</v>
      </c>
      <c r="E12" s="53">
        <f>T13</f>
        <v>-8.6999999999999744E-2</v>
      </c>
      <c r="F12" s="53">
        <f>P13</f>
        <v>-8.6157999999999983</v>
      </c>
      <c r="G12" s="73" t="str">
        <f>CONCATENATE(M14,"
(50 ~ 100)")</f>
        <v>自我调节
(50 ~ 100)</v>
      </c>
      <c r="H12" s="24">
        <f>R14</f>
        <v>-4.7561999999999998</v>
      </c>
      <c r="I12" s="52">
        <f>N14</f>
        <v>-8.0483000000000047</v>
      </c>
      <c r="J12" s="24">
        <f>T14</f>
        <v>-11.135199999999998</v>
      </c>
      <c r="K12" s="25">
        <f>P14</f>
        <v>-2.22743</v>
      </c>
      <c r="L12" s="4"/>
      <c r="M12" s="27" t="str">
        <f>lang!B19</f>
        <v>自信</v>
      </c>
      <c r="N12" s="59">
        <f t="shared" si="4"/>
        <v>-13.211300000000001</v>
      </c>
      <c r="O12" s="59">
        <f t="shared" si="5"/>
        <v>-3.3329000000000004</v>
      </c>
      <c r="P12" s="59">
        <f t="shared" si="6"/>
        <v>-2.3814999999999991</v>
      </c>
      <c r="Q12" s="59">
        <f t="shared" si="7"/>
        <v>0</v>
      </c>
      <c r="R12" s="59">
        <f t="shared" si="8"/>
        <v>-11.530299999999997</v>
      </c>
      <c r="S12" s="59">
        <f t="shared" si="9"/>
        <v>0</v>
      </c>
      <c r="T12" s="59">
        <f t="shared" si="10"/>
        <v>-11.637900000000002</v>
      </c>
      <c r="U12" s="15"/>
      <c r="V12" s="27" t="str">
        <f t="shared" si="11"/>
        <v>自信</v>
      </c>
      <c r="W12" s="59">
        <f>'M1'!B10*1</f>
        <v>74.876000000000005</v>
      </c>
      <c r="X12" s="59">
        <f>'M1'!C10*1</f>
        <v>10.5662</v>
      </c>
      <c r="Y12" s="59">
        <f>'M1'!D10*1</f>
        <v>14.111599999999999</v>
      </c>
      <c r="Z12" s="59">
        <f>'M1'!E10*1</f>
        <v>40</v>
      </c>
      <c r="AA12" s="59">
        <f>'M1'!F10*1</f>
        <v>49.597999999999999</v>
      </c>
      <c r="AB12" s="59">
        <f>'M1'!G10*1</f>
        <v>100</v>
      </c>
      <c r="AC12" s="59">
        <f>'M1'!H10*1</f>
        <v>78.421800000000005</v>
      </c>
      <c r="AE12" s="27" t="str">
        <f t="shared" si="12"/>
        <v>自信</v>
      </c>
      <c r="AF12" s="59">
        <f>'M2'!B10*1</f>
        <v>61.664700000000003</v>
      </c>
      <c r="AG12" s="59">
        <f>'M2'!C10*1</f>
        <v>7.2332999999999998</v>
      </c>
      <c r="AH12" s="59">
        <f>'M2'!D10*1</f>
        <v>11.7301</v>
      </c>
      <c r="AI12" s="59">
        <f>'M2'!E10*1</f>
        <v>40</v>
      </c>
      <c r="AJ12" s="59">
        <f>'M2'!F10*1</f>
        <v>38.067700000000002</v>
      </c>
      <c r="AK12" s="59">
        <f>'M2'!G10*1</f>
        <v>100</v>
      </c>
      <c r="AL12" s="59">
        <f>'M2'!H10*1</f>
        <v>66.783900000000003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0.22119999999999962</v>
      </c>
      <c r="D13" s="55">
        <f>N15</f>
        <v>2.1337999999999973</v>
      </c>
      <c r="E13" s="56">
        <f>T15</f>
        <v>3.3133000000000017</v>
      </c>
      <c r="F13" s="56">
        <f>P15</f>
        <v>1.2906999999999993</v>
      </c>
      <c r="G13" s="74" t="str">
        <f>CONCATENATE(M16,"
(10 ~ 50)")</f>
        <v>神经质
(10 ~ 50)</v>
      </c>
      <c r="H13" s="54">
        <f>R16</f>
        <v>1.9335200000000001</v>
      </c>
      <c r="I13" s="55">
        <f>N16</f>
        <v>5.3758999999999979</v>
      </c>
      <c r="J13" s="56">
        <f>T16</f>
        <v>4.1839999999999975</v>
      </c>
      <c r="K13" s="57">
        <f>P16</f>
        <v>-7.7323000000000022</v>
      </c>
      <c r="M13" s="27" t="str">
        <f>lang!B20</f>
        <v>活力</v>
      </c>
      <c r="N13" s="59">
        <f t="shared" si="4"/>
        <v>-0.11380000000000123</v>
      </c>
      <c r="O13" s="59">
        <f t="shared" si="5"/>
        <v>-0.97362999999999977</v>
      </c>
      <c r="P13" s="59">
        <f t="shared" si="6"/>
        <v>-8.6157999999999983</v>
      </c>
      <c r="Q13" s="59">
        <f t="shared" si="7"/>
        <v>0</v>
      </c>
      <c r="R13" s="59">
        <f t="shared" si="8"/>
        <v>3.8414400000000004</v>
      </c>
      <c r="S13" s="59">
        <f t="shared" si="9"/>
        <v>0</v>
      </c>
      <c r="T13" s="59">
        <f t="shared" si="10"/>
        <v>-8.6999999999999744E-2</v>
      </c>
      <c r="U13" s="14"/>
      <c r="V13" s="27" t="str">
        <f t="shared" si="11"/>
        <v>活力</v>
      </c>
      <c r="W13" s="59">
        <f>'M1'!B11*1</f>
        <v>11.148400000000001</v>
      </c>
      <c r="X13" s="59">
        <f>'M1'!C11*1</f>
        <v>2.2435299999999998</v>
      </c>
      <c r="Y13" s="59">
        <f>'M1'!D11*1</f>
        <v>20.124199999999998</v>
      </c>
      <c r="Z13" s="59">
        <f>'M1'!E11*1</f>
        <v>10</v>
      </c>
      <c r="AA13" s="59">
        <f>'M1'!F11*1</f>
        <v>6.2931600000000003</v>
      </c>
      <c r="AB13" s="59">
        <f>'M1'!G11*1</f>
        <v>50</v>
      </c>
      <c r="AC13" s="59">
        <f>'M1'!H11*1</f>
        <v>14.411099999999999</v>
      </c>
      <c r="AE13" s="27" t="str">
        <f t="shared" si="12"/>
        <v>活力</v>
      </c>
      <c r="AF13" s="59">
        <f>'M2'!B11*1</f>
        <v>11.034599999999999</v>
      </c>
      <c r="AG13" s="59">
        <f>'M2'!C11*1</f>
        <v>1.2699</v>
      </c>
      <c r="AH13" s="59">
        <f>'M2'!D11*1</f>
        <v>11.5084</v>
      </c>
      <c r="AI13" s="59">
        <f>'M2'!E11*1</f>
        <v>10</v>
      </c>
      <c r="AJ13" s="59">
        <f>'M2'!F11*1</f>
        <v>10.134600000000001</v>
      </c>
      <c r="AK13" s="59">
        <f>'M2'!G11*1</f>
        <v>50</v>
      </c>
      <c r="AL13" s="59">
        <f>'M2'!H11*1</f>
        <v>14.3241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-8.0483000000000047</v>
      </c>
      <c r="O14" s="59">
        <f t="shared" si="5"/>
        <v>-1.9909500000000002</v>
      </c>
      <c r="P14" s="59">
        <f t="shared" si="6"/>
        <v>-2.22743</v>
      </c>
      <c r="Q14" s="59">
        <f t="shared" si="7"/>
        <v>0</v>
      </c>
      <c r="R14" s="59">
        <f t="shared" si="8"/>
        <v>-4.7561999999999998</v>
      </c>
      <c r="S14" s="59">
        <f t="shared" si="9"/>
        <v>0</v>
      </c>
      <c r="T14" s="59">
        <f t="shared" si="10"/>
        <v>-11.135199999999998</v>
      </c>
      <c r="U14" s="14"/>
      <c r="V14" s="27" t="str">
        <f t="shared" si="11"/>
        <v>自我调节</v>
      </c>
      <c r="W14" s="59">
        <f>'M1'!B12*1</f>
        <v>70.295500000000004</v>
      </c>
      <c r="X14" s="59">
        <f>'M1'!C12*1</f>
        <v>5.2793400000000004</v>
      </c>
      <c r="Y14" s="59">
        <f>'M1'!D12*1</f>
        <v>7.5102099999999998</v>
      </c>
      <c r="Z14" s="59">
        <f>'M1'!E12*1</f>
        <v>50</v>
      </c>
      <c r="AA14" s="59">
        <f>'M1'!F12*1</f>
        <v>57.209400000000002</v>
      </c>
      <c r="AB14" s="59">
        <f>'M1'!G12*1</f>
        <v>100</v>
      </c>
      <c r="AC14" s="59">
        <f>'M1'!H12*1</f>
        <v>80.863500000000002</v>
      </c>
      <c r="AE14" s="27" t="str">
        <f t="shared" si="12"/>
        <v>自我调节</v>
      </c>
      <c r="AF14" s="59">
        <f>'M2'!B12*1</f>
        <v>62.247199999999999</v>
      </c>
      <c r="AG14" s="59">
        <f>'M2'!C12*1</f>
        <v>3.2883900000000001</v>
      </c>
      <c r="AH14" s="59">
        <f>'M2'!D12*1</f>
        <v>5.2827799999999998</v>
      </c>
      <c r="AI14" s="59">
        <f>'M2'!E12*1</f>
        <v>50</v>
      </c>
      <c r="AJ14" s="59">
        <f>'M2'!F12*1</f>
        <v>52.453200000000002</v>
      </c>
      <c r="AK14" s="59">
        <f>'M2'!G12*1</f>
        <v>100</v>
      </c>
      <c r="AL14" s="59">
        <f>'M2'!H12*1</f>
        <v>69.728300000000004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2.1337999999999973</v>
      </c>
      <c r="O15" s="59">
        <f t="shared" si="5"/>
        <v>0.53759000000000023</v>
      </c>
      <c r="P15" s="59">
        <f t="shared" si="6"/>
        <v>1.2906999999999993</v>
      </c>
      <c r="Q15" s="59">
        <f t="shared" si="7"/>
        <v>0</v>
      </c>
      <c r="R15" s="59">
        <f t="shared" si="8"/>
        <v>0.22119999999999962</v>
      </c>
      <c r="S15" s="59">
        <f t="shared" si="9"/>
        <v>0</v>
      </c>
      <c r="T15" s="59">
        <f t="shared" si="10"/>
        <v>3.3133000000000017</v>
      </c>
      <c r="U15" s="14"/>
      <c r="V15" s="27" t="str">
        <f t="shared" si="11"/>
        <v>抑郁</v>
      </c>
      <c r="W15" s="59">
        <f>'M1'!B13*1</f>
        <v>18.069400000000002</v>
      </c>
      <c r="X15" s="59">
        <f>'M1'!C13*1</f>
        <v>2.34429</v>
      </c>
      <c r="Y15" s="59">
        <f>'M1'!D13*1</f>
        <v>12.973800000000001</v>
      </c>
      <c r="Z15" s="59">
        <f>'M1'!E13*1</f>
        <v>10</v>
      </c>
      <c r="AA15" s="59">
        <f>'M1'!F13*1</f>
        <v>14.210900000000001</v>
      </c>
      <c r="AB15" s="59">
        <f>'M1'!G13*1</f>
        <v>25</v>
      </c>
      <c r="AC15" s="59">
        <f>'M1'!H13*1</f>
        <v>24.4208</v>
      </c>
      <c r="AE15" s="27" t="str">
        <f t="shared" si="12"/>
        <v>抑郁</v>
      </c>
      <c r="AF15" s="59">
        <f>'M2'!B13*1</f>
        <v>20.203199999999999</v>
      </c>
      <c r="AG15" s="59">
        <f>'M2'!C13*1</f>
        <v>2.8818800000000002</v>
      </c>
      <c r="AH15" s="59">
        <f>'M2'!D13*1</f>
        <v>14.2645</v>
      </c>
      <c r="AI15" s="59">
        <f>'M2'!E13*1</f>
        <v>10</v>
      </c>
      <c r="AJ15" s="59">
        <f>'M2'!F13*1</f>
        <v>14.4321</v>
      </c>
      <c r="AK15" s="59">
        <f>'M2'!G13*1</f>
        <v>25</v>
      </c>
      <c r="AL15" s="59">
        <f>'M2'!H13*1</f>
        <v>27.734100000000002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5.3758999999999979</v>
      </c>
      <c r="O16" s="59">
        <f t="shared" si="5"/>
        <v>-0.26535999999999937</v>
      </c>
      <c r="P16" s="59">
        <f t="shared" si="6"/>
        <v>-7.7323000000000022</v>
      </c>
      <c r="Q16" s="59">
        <f t="shared" si="7"/>
        <v>0</v>
      </c>
      <c r="R16" s="59">
        <f t="shared" si="8"/>
        <v>1.9335200000000001</v>
      </c>
      <c r="S16" s="59">
        <f t="shared" si="9"/>
        <v>0</v>
      </c>
      <c r="T16" s="59">
        <f t="shared" si="10"/>
        <v>4.1839999999999975</v>
      </c>
      <c r="U16" s="15"/>
      <c r="V16" s="27" t="str">
        <f t="shared" si="11"/>
        <v>神经质</v>
      </c>
      <c r="W16" s="59">
        <f>'M1'!B14*1</f>
        <v>23.442900000000002</v>
      </c>
      <c r="X16" s="59">
        <f>'M1'!C14*1</f>
        <v>8.5600799999999992</v>
      </c>
      <c r="Y16" s="59">
        <f>'M1'!D14*1</f>
        <v>36.514600000000002</v>
      </c>
      <c r="Z16" s="59">
        <f>'M1'!E14*1</f>
        <v>10</v>
      </c>
      <c r="AA16" s="59">
        <f>'M1'!F14*1</f>
        <v>2.3843999999999999</v>
      </c>
      <c r="AB16" s="59">
        <f>'M1'!G14*1</f>
        <v>50</v>
      </c>
      <c r="AC16" s="59">
        <f>'M1'!H14*1</f>
        <v>28.019100000000002</v>
      </c>
      <c r="AE16" s="27" t="str">
        <f t="shared" si="12"/>
        <v>神经质</v>
      </c>
      <c r="AF16" s="59">
        <f>'M2'!B14*1</f>
        <v>28.8188</v>
      </c>
      <c r="AG16" s="59">
        <f>'M2'!C14*1</f>
        <v>8.2947199999999999</v>
      </c>
      <c r="AH16" s="59">
        <f>'M2'!D14*1</f>
        <v>28.782299999999999</v>
      </c>
      <c r="AI16" s="59">
        <f>'M2'!E14*1</f>
        <v>10</v>
      </c>
      <c r="AJ16" s="59">
        <f>'M2'!F14*1</f>
        <v>4.31792</v>
      </c>
      <c r="AK16" s="59">
        <f>'M2'!G14*1</f>
        <v>50</v>
      </c>
      <c r="AL16" s="59">
        <f>'M2'!H14*1</f>
        <v>32.203099999999999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-6.1308250000000006</v>
      </c>
      <c r="O17" s="22">
        <f>N17/(N17+N18+N19)</f>
        <v>-3.7802595881119845</v>
      </c>
      <c r="P17" s="65">
        <f>SUM(P11:P14)/4</f>
        <v>-3.6135124999999992</v>
      </c>
      <c r="Q17" s="22">
        <f>P17/(P17+P18+P19)</f>
        <v>0.16949809435501995</v>
      </c>
      <c r="R17" s="14"/>
      <c r="S17" s="14"/>
      <c r="T17" s="14"/>
      <c r="U17" s="14"/>
      <c r="V17" s="21" t="str">
        <f>M17</f>
        <v>Positive</v>
      </c>
      <c r="W17" s="65">
        <f>SUM(W11:W14)/4</f>
        <v>55.821150000000003</v>
      </c>
      <c r="X17" s="22">
        <f>W17/(W17+W18+W19)</f>
        <v>0.5216050002779905</v>
      </c>
      <c r="Y17" s="65">
        <f>SUM(Y11:Y14)/4</f>
        <v>12.28792</v>
      </c>
      <c r="Z17" s="22">
        <f>Y17/(Y17+Y18+Y19)</f>
        <v>0.21226538459013755</v>
      </c>
      <c r="AA17" s="14"/>
      <c r="AB17" s="14"/>
      <c r="AC17" s="14"/>
      <c r="AE17" s="21" t="str">
        <f>V17</f>
        <v>Positive</v>
      </c>
      <c r="AF17" s="65">
        <f>SUM(AF11:AF14)/4</f>
        <v>49.690325000000001</v>
      </c>
      <c r="AG17" s="22">
        <f>AF17/(AF17+AF18+AF19)</f>
        <v>0.45738580272340218</v>
      </c>
      <c r="AH17" s="65">
        <f>SUM(AH11:AH14)/4</f>
        <v>8.6744075000000009</v>
      </c>
      <c r="AI17" s="22">
        <f>AH17/(AH17+AH18+AH19)</f>
        <v>0.23719670671918899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3.997774999999999</v>
      </c>
      <c r="O18" s="22">
        <f>N18/(N17+N18+N19)</f>
        <v>2.4650234307559558</v>
      </c>
      <c r="P18" s="18">
        <f>SUM(P7:P10)/4</f>
        <v>-14.484585000000001</v>
      </c>
      <c r="Q18" s="22">
        <f>P18/(P17+P18+P19)</f>
        <v>0.67942467475159063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30.440749999999998</v>
      </c>
      <c r="X18" s="22">
        <f>W18/(W17+W18+W19)</f>
        <v>0.28444500717402343</v>
      </c>
      <c r="Y18" s="18">
        <f>SUM(Y7:Y10)/4</f>
        <v>20.857299999999999</v>
      </c>
      <c r="Z18" s="22">
        <f>Y18/(Y17+Y18+Y19)</f>
        <v>0.36029554277793768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34.438524999999998</v>
      </c>
      <c r="AG18" s="22">
        <f>AF18/(AF17+AF18+AF19)</f>
        <v>0.31699717000713828</v>
      </c>
      <c r="AH18" s="18">
        <f>SUM(AH7:AH10)/4</f>
        <v>6.3727149999999995</v>
      </c>
      <c r="AI18" s="22">
        <f>AH18/(AH17+AH18+AH19)</f>
        <v>0.17425824309729238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3.7548499999999976</v>
      </c>
      <c r="O19" s="22">
        <f>N19/(N17+N18+N19)</f>
        <v>2.3152361573560287</v>
      </c>
      <c r="P19" s="18">
        <f>(P15+P16)/2</f>
        <v>-3.2208000000000014</v>
      </c>
      <c r="Q19" s="22">
        <f>P19/(P17+P18+P19)</f>
        <v>0.15107723089338937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20.756150000000002</v>
      </c>
      <c r="X19" s="22">
        <f>W19/(W17+W18+W19)</f>
        <v>0.19394999254798609</v>
      </c>
      <c r="Y19" s="18">
        <f>(Y15+Y16)/2</f>
        <v>24.744199999999999</v>
      </c>
      <c r="Z19" s="22">
        <f>Y19/(Y17+Y18+Y19)</f>
        <v>0.42743907263192482</v>
      </c>
      <c r="AA19" s="14"/>
      <c r="AB19" s="14"/>
      <c r="AC19" s="14"/>
      <c r="AE19" s="21" t="str">
        <f t="shared" si="14"/>
        <v>Physiological</v>
      </c>
      <c r="AF19" s="18">
        <f>(AF15+AF16)/2</f>
        <v>24.510999999999999</v>
      </c>
      <c r="AG19" s="22">
        <f>AF19/(AF17+AF18+AF19)</f>
        <v>0.22561702726945959</v>
      </c>
      <c r="AH19" s="18">
        <f>(AH15+AH16)/2</f>
        <v>21.523399999999999</v>
      </c>
      <c r="AI19" s="22">
        <f>AH19/(AH17+AH18+AH19)</f>
        <v>0.58854505018351877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0.98/1.09</v>
      </c>
      <c r="D24" s="44" t="str">
        <f>lang!B11</f>
        <v>频率方差</v>
      </c>
      <c r="E24" s="142" t="str">
        <f ca="1">CONCATENATE(ROUND('FH1'!L3,2),"/",ROUND('FH2'!L3,2))</f>
        <v>0.5/0.5</v>
      </c>
      <c r="F24" s="143"/>
      <c r="G24" s="134" t="str">
        <f>lang!B12</f>
        <v>生理变化率</v>
      </c>
      <c r="H24" s="135"/>
      <c r="I24" s="62" t="str">
        <f ca="1">CONCATENATE(info!M7,"-",info!M8)</f>
        <v>46.2-70.5</v>
      </c>
      <c r="J24" s="42" t="str">
        <f>lang!B13</f>
        <v>千卡l/分钟</v>
      </c>
      <c r="K24" s="41" t="str">
        <f ca="1">CONCATENATE(info!M5,"-",info!M6)</f>
        <v>1.4-2.4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1.0064999999999991</v>
      </c>
      <c r="F27" s="164"/>
      <c r="G27" s="178" t="str">
        <f>lang!B33</f>
        <v>稳定性</v>
      </c>
      <c r="H27" s="179"/>
      <c r="I27" s="180"/>
      <c r="J27" s="181">
        <f>dM!B19*100</f>
        <v>6.3294999999999995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-0.96858698834658752</v>
      </c>
      <c r="C2">
        <f t="array" aca="1" ref="C2" ca="1">CORREL(FT_E02,FT_PH02)</f>
        <v>-0.41211828211270157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1.35111</v>
      </c>
      <c r="G2" s="61">
        <f>IF(FT!B2&lt;&gt;"",FT!B2*100,"")</f>
        <v>70.549499999999995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1.3788500000000001</v>
      </c>
      <c r="G3" s="61">
        <f>IF(FT!B3&lt;&gt;"",FT!B3*100,"")</f>
        <v>69.990300000000005</v>
      </c>
      <c r="H3" s="61">
        <f t="shared" ref="H3:H66" si="1">(IF(F3&lt;&gt;"",1,""))</f>
        <v>1</v>
      </c>
      <c r="I3" t="str">
        <f>IF(FT!B3&lt;&gt;"",FT!E3,"")</f>
        <v>1 [0.373672]</v>
      </c>
      <c r="J3">
        <f>IF(FT!B3&lt;&gt;"",FT!C3,"")</f>
        <v>0.373672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0.52262258108108139</v>
      </c>
      <c r="V3">
        <f ca="1">AVERAGE(OFFSET(FT!B2,info!$L$3/2,0,info!$L$3/2,1))</f>
        <v>0.50194221621621626</v>
      </c>
      <c r="W3">
        <f ca="1">AVERAGE(OFFSET(FT!A2,0,0,info!$L$3/2,1))</f>
        <v>0.21101882432432428</v>
      </c>
      <c r="X3">
        <f ca="1">AVERAGE(OFFSET(FT!A2,info!$L$3/2,0,info!$L$3/2,1))</f>
        <v>0.21267055405405405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1.4054600000000002</v>
      </c>
      <c r="G4" s="61">
        <f>IF(FT!B4&lt;&gt;"",FT!B4*100,"")</f>
        <v>69.440899999999999</v>
      </c>
      <c r="H4" s="61">
        <f t="shared" si="1"/>
        <v>1</v>
      </c>
      <c r="I4" t="str">
        <f>IF(FT!B4&lt;&gt;"",FT!E4,"")</f>
        <v>1 [0.779574]</v>
      </c>
      <c r="J4">
        <f>IF(FT!B4&lt;&gt;"",FT!C4,"")</f>
        <v>0.77957399999999999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14.949725000000001</v>
      </c>
      <c r="V4">
        <f>U4*3</f>
        <v>44.849175000000002</v>
      </c>
      <c r="W4">
        <f>U4</f>
        <v>14.949725000000001</v>
      </c>
      <c r="X4">
        <f>V4</f>
        <v>44.849175000000002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1.43187</v>
      </c>
      <c r="G5" s="61">
        <f>IF(FT!B5&lt;&gt;"",FT!B5*100,"")</f>
        <v>68.900700000000001</v>
      </c>
      <c r="H5" s="61">
        <f t="shared" si="1"/>
        <v>1</v>
      </c>
      <c r="I5" t="str">
        <f>IF(FT!B5&lt;&gt;"",FT!E5,"")</f>
        <v>1 [1.187528]</v>
      </c>
      <c r="J5">
        <f>IF(FT!B5&lt;&gt;"",FT!C5,"")</f>
        <v>1.18753</v>
      </c>
      <c r="K5" t="s">
        <v>53</v>
      </c>
      <c r="L5" s="63">
        <f ca="1">MIN(FT_E)</f>
        <v>1.35111</v>
      </c>
      <c r="M5" s="63">
        <f ca="1">ROUND(L5,1)</f>
        <v>1.4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52.262258108108142</v>
      </c>
      <c r="V5">
        <f ca="1">V3*100</f>
        <v>50.194221621621629</v>
      </c>
      <c r="W5">
        <f ca="1">W3*10</f>
        <v>2.1101882432432428</v>
      </c>
      <c r="X5">
        <f ca="1">X3*10</f>
        <v>2.1267055405405406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1.4605299999999999</v>
      </c>
      <c r="G6" s="61">
        <f>IF(FT!B6&lt;&gt;"",FT!B6*100,"")</f>
        <v>68.214699999999993</v>
      </c>
      <c r="H6" s="61">
        <f t="shared" si="1"/>
        <v>1</v>
      </c>
      <c r="I6" t="str">
        <f>IF(FT!B6&lt;&gt;"",FT!E6,"")</f>
        <v>1 [1.595425]</v>
      </c>
      <c r="J6">
        <f>IF(FT!B6&lt;&gt;"",FT!C6,"")</f>
        <v>1.5954299999999999</v>
      </c>
      <c r="K6" t="s">
        <v>54</v>
      </c>
      <c r="L6" s="63">
        <f ca="1">MAX(FT_E)</f>
        <v>2.4075600000000001</v>
      </c>
      <c r="M6" s="63">
        <f ca="1">ROUND(L6,1)</f>
        <v>2.4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1.48844</v>
      </c>
      <c r="G7" s="61">
        <f>IF(FT!B7&lt;&gt;"",FT!B7*100,"")</f>
        <v>67.468800000000002</v>
      </c>
      <c r="H7" s="61">
        <f t="shared" si="1"/>
        <v>1</v>
      </c>
      <c r="I7" t="str">
        <f>IF(FT!B7&lt;&gt;"",FT!E7,"")</f>
        <v>1 [1.998330]</v>
      </c>
      <c r="J7">
        <f>IF(FT!B7&lt;&gt;"",FT!C7,"")</f>
        <v>1.9983299999999999</v>
      </c>
      <c r="K7" t="s">
        <v>55</v>
      </c>
      <c r="L7" s="63">
        <f ca="1">MIN(FT_PH)</f>
        <v>46.1738</v>
      </c>
      <c r="M7" s="63">
        <f ca="1">ROUND(L7,1)</f>
        <v>46.2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22473</v>
      </c>
      <c r="D8" s="61">
        <f>FH!B8*1</f>
        <v>22473</v>
      </c>
      <c r="E8">
        <f t="shared" si="3"/>
        <v>6</v>
      </c>
      <c r="F8" s="61">
        <f>IF(FT!A8&lt;&gt;"",FT!A8*10,"")</f>
        <v>1.5186900000000001</v>
      </c>
      <c r="G8" s="61">
        <f>IF(FT!B8&lt;&gt;"",FT!B8*100,"")</f>
        <v>66.613100000000003</v>
      </c>
      <c r="H8" s="61">
        <f t="shared" si="1"/>
        <v>1</v>
      </c>
      <c r="I8" t="str">
        <f>IF(FT!B8&lt;&gt;"",FT!E8,"")</f>
        <v>1 [2.403707]</v>
      </c>
      <c r="J8">
        <f>IF(FT!B8&lt;&gt;"",FT!C8,"")</f>
        <v>2.4037099999999998</v>
      </c>
      <c r="K8" t="s">
        <v>56</v>
      </c>
      <c r="L8" s="63">
        <f ca="1">MAX(FT_PH)</f>
        <v>70.549499999999995</v>
      </c>
      <c r="M8" s="63">
        <f ca="1">ROUND(L8,1)</f>
        <v>70.5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1.55088</v>
      </c>
      <c r="G9" s="61">
        <f>IF(FT!B9&lt;&gt;"",FT!B9*100,"")</f>
        <v>65.655699999999996</v>
      </c>
      <c r="H9" s="61">
        <f t="shared" si="1"/>
        <v>1</v>
      </c>
      <c r="I9" t="str">
        <f>IF(FT!B9&lt;&gt;"",FT!E9,"")</f>
        <v>1 [2.811156]</v>
      </c>
      <c r="J9">
        <f>IF(FT!B9&lt;&gt;"",FT!C9,"")</f>
        <v>2.8111600000000001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39690</v>
      </c>
      <c r="D10" s="61">
        <f>FH!B10*1</f>
        <v>39690</v>
      </c>
      <c r="E10">
        <f t="shared" si="3"/>
        <v>8</v>
      </c>
      <c r="F10" s="61">
        <f>IF(FT!A10&lt;&gt;"",FT!A10*10,"")</f>
        <v>1.5809899999999999</v>
      </c>
      <c r="G10" s="61">
        <f>IF(FT!B10&lt;&gt;"",FT!B10*100,"")</f>
        <v>64.745699999999999</v>
      </c>
      <c r="H10" s="61">
        <f t="shared" si="1"/>
        <v>1</v>
      </c>
      <c r="I10" t="str">
        <f>IF(FT!B10&lt;&gt;"",FT!E10,"")</f>
        <v>1 [3.219381]</v>
      </c>
      <c r="J10">
        <f>IF(FT!B10&lt;&gt;"",FT!C10,"")</f>
        <v>3.2193800000000001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1.6107</v>
      </c>
      <c r="G11" s="61">
        <f>IF(FT!B11&lt;&gt;"",FT!B11*100,"")</f>
        <v>63.865000000000002</v>
      </c>
      <c r="H11" s="61">
        <f t="shared" si="1"/>
        <v>1</v>
      </c>
      <c r="I11" t="str">
        <f>IF(FT!B11&lt;&gt;"",FT!E11,"")</f>
        <v>1 [3.623966]</v>
      </c>
      <c r="J11">
        <f>IF(FT!B11&lt;&gt;"",FT!C11,"")</f>
        <v>3.6239699999999999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1.63774</v>
      </c>
      <c r="G12" s="61">
        <f>IF(FT!B12&lt;&gt;"",FT!B12*100,"")</f>
        <v>63.010999999999996</v>
      </c>
      <c r="H12" s="61">
        <f t="shared" si="1"/>
        <v>1</v>
      </c>
      <c r="I12" t="str">
        <f>IF(FT!B12&lt;&gt;"",FT!E12,"")</f>
        <v>1 [4.029033]</v>
      </c>
      <c r="J12">
        <f>IF(FT!B12&lt;&gt;"",FT!C12,"")</f>
        <v>4.0290299999999997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46347</v>
      </c>
      <c r="D13" s="61">
        <f>FH!B13*1</f>
        <v>46347</v>
      </c>
      <c r="E13">
        <f t="shared" si="3"/>
        <v>11</v>
      </c>
      <c r="F13" s="61">
        <f>IF(FT!A13&lt;&gt;"",FT!A13*10,"")</f>
        <v>1.6642999999999999</v>
      </c>
      <c r="G13" s="61">
        <f>IF(FT!B13&lt;&gt;"",FT!B13*100,"")</f>
        <v>62.145099999999999</v>
      </c>
      <c r="H13" s="61">
        <f t="shared" si="1"/>
        <v>1</v>
      </c>
      <c r="I13" t="str">
        <f>IF(FT!B13&lt;&gt;"",FT!E13,"")</f>
        <v>1 [4.437378]</v>
      </c>
      <c r="J13">
        <f>IF(FT!B13&lt;&gt;"",FT!C13,"")</f>
        <v>4.4373800000000001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1.6920999999999999</v>
      </c>
      <c r="G14" s="61">
        <f>IF(FT!B14&lt;&gt;"",FT!B14*100,"")</f>
        <v>61.2532</v>
      </c>
      <c r="H14" s="61">
        <f t="shared" si="1"/>
        <v>1</v>
      </c>
      <c r="I14" t="str">
        <f>IF(FT!B14&lt;&gt;"",FT!E14,"")</f>
        <v>1 [4.841753]</v>
      </c>
      <c r="J14">
        <f>IF(FT!B14&lt;&gt;"",FT!C14,"")</f>
        <v>4.8417500000000002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54073</v>
      </c>
      <c r="D15" s="61">
        <f>FH!B15*1</f>
        <v>54073</v>
      </c>
      <c r="E15">
        <f t="shared" si="3"/>
        <v>13</v>
      </c>
      <c r="F15" s="61">
        <f>IF(FT!A15&lt;&gt;"",FT!A15*10,"")</f>
        <v>1.7200099999999998</v>
      </c>
      <c r="G15" s="61">
        <f>IF(FT!B15&lt;&gt;"",FT!B15*100,"")</f>
        <v>60.383099999999999</v>
      </c>
      <c r="H15" s="61">
        <f t="shared" si="1"/>
        <v>1</v>
      </c>
      <c r="I15" t="str">
        <f>IF(FT!B15&lt;&gt;"",FT!E15,"")</f>
        <v>1 [5.246639]</v>
      </c>
      <c r="J15">
        <f>IF(FT!B15&lt;&gt;"",FT!C15,"")</f>
        <v>5.2466400000000002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1.7485200000000001</v>
      </c>
      <c r="G16" s="61">
        <f>IF(FT!B16&lt;&gt;"",FT!B16*100,"")</f>
        <v>59.521900000000002</v>
      </c>
      <c r="H16" s="61">
        <f t="shared" si="1"/>
        <v>1</v>
      </c>
      <c r="I16" t="str">
        <f>IF(FT!B16&lt;&gt;"",FT!E16,"")</f>
        <v>1 [5.655623]</v>
      </c>
      <c r="J16">
        <f>IF(FT!B16&lt;&gt;"",FT!C16,"")</f>
        <v>5.6556199999999999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1.77565</v>
      </c>
      <c r="G17" s="61">
        <f>IF(FT!B17&lt;&gt;"",FT!B17*100,"")</f>
        <v>58.757599999999996</v>
      </c>
      <c r="H17" s="61">
        <f t="shared" si="1"/>
        <v>1</v>
      </c>
      <c r="I17" t="str">
        <f>IF(FT!B17&lt;&gt;"",FT!E17,"")</f>
        <v>1 [6.058475]</v>
      </c>
      <c r="J17">
        <f>IF(FT!B17&lt;&gt;"",FT!C17,"")</f>
        <v>6.0584699999999998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72467</v>
      </c>
      <c r="D18" s="61">
        <f>FH!B18*1</f>
        <v>72467</v>
      </c>
      <c r="E18">
        <f t="shared" si="3"/>
        <v>16</v>
      </c>
      <c r="F18" s="61">
        <f>IF(FT!A18&lt;&gt;"",FT!A18*10,"")</f>
        <v>1.8029700000000002</v>
      </c>
      <c r="G18" s="61">
        <f>IF(FT!B18&lt;&gt;"",FT!B18*100,"")</f>
        <v>58.006100000000004</v>
      </c>
      <c r="H18" s="61">
        <f t="shared" si="1"/>
        <v>1</v>
      </c>
      <c r="I18" t="str">
        <f>IF(FT!B18&lt;&gt;"",FT!E18,"")</f>
        <v>1 [6.469799]</v>
      </c>
      <c r="J18">
        <f>IF(FT!B18&lt;&gt;"",FT!C18,"")</f>
        <v>6.4698000000000002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1.8305899999999999</v>
      </c>
      <c r="G19" s="61">
        <f>IF(FT!B19&lt;&gt;"",FT!B19*100,"")</f>
        <v>57.269300000000001</v>
      </c>
      <c r="H19" s="61">
        <f t="shared" si="1"/>
        <v>1</v>
      </c>
      <c r="I19" t="str">
        <f>IF(FT!B19&lt;&gt;"",FT!E19,"")</f>
        <v>1 [6.875371]</v>
      </c>
      <c r="J19">
        <f>IF(FT!B19&lt;&gt;"",FT!C19,"")</f>
        <v>6.8753700000000002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1.8586900000000002</v>
      </c>
      <c r="G20" s="61">
        <f>IF(FT!B20&lt;&gt;"",FT!B20*100,"")</f>
        <v>56.575399999999995</v>
      </c>
      <c r="H20" s="61">
        <f t="shared" si="1"/>
        <v>1</v>
      </c>
      <c r="I20" t="str">
        <f>IF(FT!B20&lt;&gt;"",FT!E20,"")</f>
        <v>1 [7.283158]</v>
      </c>
      <c r="J20">
        <f>IF(FT!B20&lt;&gt;"",FT!C20,"")</f>
        <v>7.2831599999999996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95140</v>
      </c>
      <c r="D21" s="61">
        <f>FH!B21*1</f>
        <v>95140</v>
      </c>
      <c r="E21">
        <f t="shared" si="3"/>
        <v>19</v>
      </c>
      <c r="F21" s="61">
        <f>IF(FT!A21&lt;&gt;"",FT!A21*10,"")</f>
        <v>1.8860399999999999</v>
      </c>
      <c r="G21" s="61">
        <f>IF(FT!B21&lt;&gt;"",FT!B21*100,"")</f>
        <v>55.872799999999998</v>
      </c>
      <c r="H21" s="61">
        <f t="shared" si="1"/>
        <v>1</v>
      </c>
      <c r="I21" t="str">
        <f>IF(FT!B21&lt;&gt;"",FT!E21,"")</f>
        <v>1 [7.691118]</v>
      </c>
      <c r="J21">
        <f>IF(FT!B21&lt;&gt;"",FT!C21,"")</f>
        <v>7.6911199999999997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1.9152400000000001</v>
      </c>
      <c r="G22" s="61">
        <f>IF(FT!B22&lt;&gt;"",FT!B22*100,"")</f>
        <v>55.1342</v>
      </c>
      <c r="H22" s="61">
        <f t="shared" si="1"/>
        <v>1</v>
      </c>
      <c r="I22" t="str">
        <f>IF(FT!B22&lt;&gt;"",FT!E22,"")</f>
        <v>1 [8.092075]</v>
      </c>
      <c r="J22">
        <f>IF(FT!B22&lt;&gt;"",FT!C22,"")</f>
        <v>8.0920799999999993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104679</v>
      </c>
      <c r="D23" s="61">
        <f>FH!B23*1</f>
        <v>104679</v>
      </c>
      <c r="E23">
        <f t="shared" si="3"/>
        <v>21</v>
      </c>
      <c r="F23" s="61">
        <f>IF(FT!A23&lt;&gt;"",FT!A23*10,"")</f>
        <v>1.9431699999999998</v>
      </c>
      <c r="G23" s="61">
        <f>IF(FT!B23&lt;&gt;"",FT!B23*100,"")</f>
        <v>54.390700000000002</v>
      </c>
      <c r="H23" s="61">
        <f t="shared" si="1"/>
        <v>1</v>
      </c>
      <c r="I23" t="str">
        <f>IF(FT!B23&lt;&gt;"",FT!E23,"")</f>
        <v>1 [8.501261]</v>
      </c>
      <c r="J23">
        <f>IF(FT!B23&lt;&gt;"",FT!C23,"")</f>
        <v>8.5012600000000003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1.97167</v>
      </c>
      <c r="G24" s="61">
        <f>IF(FT!B24&lt;&gt;"",FT!B24*100,"")</f>
        <v>53.597099999999998</v>
      </c>
      <c r="H24" s="61">
        <f t="shared" si="1"/>
        <v>1</v>
      </c>
      <c r="I24" t="str">
        <f>IF(FT!B24&lt;&gt;"",FT!E24,"")</f>
        <v>1 [8.908920]</v>
      </c>
      <c r="J24">
        <f>IF(FT!B24&lt;&gt;"",FT!C24,"")</f>
        <v>8.9089200000000002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2.0044300000000002</v>
      </c>
      <c r="G25" s="61">
        <f>IF(FT!B25&lt;&gt;"",FT!B25*100,"")</f>
        <v>52.611499999999999</v>
      </c>
      <c r="H25" s="61">
        <f t="shared" si="1"/>
        <v>1</v>
      </c>
      <c r="I25" t="str">
        <f>IF(FT!B25&lt;&gt;"",FT!E25,"")</f>
        <v>1 [9.314016]</v>
      </c>
      <c r="J25">
        <f>IF(FT!B25&lt;&gt;"",FT!C25,"")</f>
        <v>9.3140199999999993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109201</v>
      </c>
      <c r="D26" s="61">
        <f>FH!B26*1</f>
        <v>109201</v>
      </c>
      <c r="E26">
        <f t="shared" si="3"/>
        <v>24</v>
      </c>
      <c r="F26" s="61">
        <f>IF(FT!A26&lt;&gt;"",FT!A26*10,"")</f>
        <v>2.03782</v>
      </c>
      <c r="G26" s="61">
        <f>IF(FT!B26&lt;&gt;"",FT!B26*100,"")</f>
        <v>51.588799999999999</v>
      </c>
      <c r="H26" s="61">
        <f t="shared" si="1"/>
        <v>1</v>
      </c>
      <c r="I26" t="str">
        <f>IF(FT!B26&lt;&gt;"",FT!E26,"")</f>
        <v>1 [9.714787]</v>
      </c>
      <c r="J26">
        <f>IF(FT!B26&lt;&gt;"",FT!C26,"")</f>
        <v>9.7147900000000007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2.06995</v>
      </c>
      <c r="G27" s="61">
        <f>IF(FT!B27&lt;&gt;"",FT!B27*100,"")</f>
        <v>50.652099999999997</v>
      </c>
      <c r="H27" s="61">
        <f t="shared" si="1"/>
        <v>1</v>
      </c>
      <c r="I27" t="str">
        <f>IF(FT!B27&lt;&gt;"",FT!E27,"")</f>
        <v>1 [10.124609]</v>
      </c>
      <c r="J27">
        <f>IF(FT!B27&lt;&gt;"",FT!C27,"")</f>
        <v>10.124599999999999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119057</v>
      </c>
      <c r="D28" s="61">
        <f>FH!B28*1</f>
        <v>119057</v>
      </c>
      <c r="E28">
        <f t="shared" si="3"/>
        <v>26</v>
      </c>
      <c r="F28" s="61">
        <f>IF(FT!A28&lt;&gt;"",FT!A28*10,"")</f>
        <v>2.1002899999999998</v>
      </c>
      <c r="G28" s="61">
        <f>IF(FT!B28&lt;&gt;"",FT!B28*100,"")</f>
        <v>49.801600000000001</v>
      </c>
      <c r="H28" s="61">
        <f t="shared" si="1"/>
        <v>1</v>
      </c>
      <c r="I28" t="str">
        <f>IF(FT!B28&lt;&gt;"",FT!E28,"")</f>
        <v>1 [10.529597]</v>
      </c>
      <c r="J28">
        <f>IF(FT!B28&lt;&gt;"",FT!C28,"")</f>
        <v>10.5296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2.1274799999999998</v>
      </c>
      <c r="G29" s="61">
        <f>IF(FT!B29&lt;&gt;"",FT!B29*100,"")</f>
        <v>49.120799999999996</v>
      </c>
      <c r="H29" s="61">
        <f t="shared" si="1"/>
        <v>1</v>
      </c>
      <c r="I29" t="str">
        <f>IF(FT!B29&lt;&gt;"",FT!E29,"")</f>
        <v>1 [10.938507]</v>
      </c>
      <c r="J29">
        <f>IF(FT!B29&lt;&gt;"",FT!C29,"")</f>
        <v>10.938499999999999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2.1512199999999999</v>
      </c>
      <c r="G30" s="61">
        <f>IF(FT!B30&lt;&gt;"",FT!B30*100,"")</f>
        <v>48.582300000000004</v>
      </c>
      <c r="H30" s="61">
        <f t="shared" si="1"/>
        <v>1</v>
      </c>
      <c r="I30" t="str">
        <f>IF(FT!B30&lt;&gt;"",FT!E30,"")</f>
        <v>1 [11.346357]</v>
      </c>
      <c r="J30">
        <f>IF(FT!B30&lt;&gt;"",FT!C30,"")</f>
        <v>11.346399999999999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124668</v>
      </c>
      <c r="D31" s="61">
        <f>FH!B31*1</f>
        <v>124668</v>
      </c>
      <c r="E31">
        <f t="shared" si="3"/>
        <v>29</v>
      </c>
      <c r="F31" s="61">
        <f>IF(FT!A31&lt;&gt;"",FT!A31*10,"")</f>
        <v>2.1716099999999998</v>
      </c>
      <c r="G31" s="61">
        <f>IF(FT!B31&lt;&gt;"",FT!B31*100,"")</f>
        <v>48.0944</v>
      </c>
      <c r="H31" s="61">
        <f t="shared" si="1"/>
        <v>1</v>
      </c>
      <c r="I31" t="str">
        <f>IF(FT!B31&lt;&gt;"",FT!E31,"")</f>
        <v>1 [11.751309]</v>
      </c>
      <c r="J31">
        <f>IF(FT!B31&lt;&gt;"",FT!C31,"")</f>
        <v>11.751300000000001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2.1904000000000003</v>
      </c>
      <c r="G32" s="61">
        <f>IF(FT!B32&lt;&gt;"",FT!B32*100,"")</f>
        <v>47.719099999999997</v>
      </c>
      <c r="H32" s="61">
        <f t="shared" si="1"/>
        <v>1</v>
      </c>
      <c r="I32" t="str">
        <f>IF(FT!B32&lt;&gt;"",FT!E32,"")</f>
        <v>1 [12.156186]</v>
      </c>
      <c r="J32">
        <f>IF(FT!B32&lt;&gt;"",FT!C32,"")</f>
        <v>12.1562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121595</v>
      </c>
      <c r="D33" s="61">
        <f>FH!B33*1</f>
        <v>121595</v>
      </c>
      <c r="E33">
        <f t="shared" si="3"/>
        <v>31</v>
      </c>
      <c r="F33" s="61">
        <f>IF(FT!A33&lt;&gt;"",FT!A33*10,"")</f>
        <v>2.2075300000000002</v>
      </c>
      <c r="G33" s="61">
        <f>IF(FT!B33&lt;&gt;"",FT!B33*100,"")</f>
        <v>47.3431</v>
      </c>
      <c r="H33" s="61">
        <f t="shared" si="1"/>
        <v>1</v>
      </c>
      <c r="I33" t="str">
        <f>IF(FT!B33&lt;&gt;"",FT!E33,"")</f>
        <v>1 [12.564209]</v>
      </c>
      <c r="J33">
        <f>IF(FT!B33&lt;&gt;"",FT!C33,"")</f>
        <v>12.5642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2.2198500000000001</v>
      </c>
      <c r="G34" s="61">
        <f>IF(FT!B34&lt;&gt;"",FT!B34*100,"")</f>
        <v>47.068799999999996</v>
      </c>
      <c r="H34" s="61">
        <f t="shared" si="1"/>
        <v>1</v>
      </c>
      <c r="I34" t="str">
        <f>IF(FT!B34&lt;&gt;"",FT!E34,"")</f>
        <v>1 [12.967085]</v>
      </c>
      <c r="J34">
        <f>IF(FT!B34&lt;&gt;"",FT!C34,"")</f>
        <v>12.9671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2.2313000000000001</v>
      </c>
      <c r="G35" s="61">
        <f>IF(FT!B35&lt;&gt;"",FT!B35*100,"")</f>
        <v>46.8568</v>
      </c>
      <c r="H35" s="61">
        <f t="shared" si="1"/>
        <v>1</v>
      </c>
      <c r="I35" t="str">
        <f>IF(FT!B35&lt;&gt;"",FT!E35,"")</f>
        <v>1 [13.372901]</v>
      </c>
      <c r="J35">
        <f>IF(FT!B35&lt;&gt;"",FT!C35,"")</f>
        <v>13.3729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121384</v>
      </c>
      <c r="D36" s="61">
        <f>FH!B36*1</f>
        <v>121384</v>
      </c>
      <c r="E36">
        <f t="shared" si="3"/>
        <v>34</v>
      </c>
      <c r="F36" s="61">
        <f>IF(FT!A36&lt;&gt;"",FT!A36*10,"")</f>
        <v>2.2416299999999998</v>
      </c>
      <c r="G36" s="61">
        <f>IF(FT!B36&lt;&gt;"",FT!B36*100,"")</f>
        <v>46.687100000000001</v>
      </c>
      <c r="H36" s="61">
        <f t="shared" si="1"/>
        <v>1</v>
      </c>
      <c r="I36" t="str">
        <f>IF(FT!B36&lt;&gt;"",FT!E36,"")</f>
        <v>1 [13.784827]</v>
      </c>
      <c r="J36">
        <f>IF(FT!B36&lt;&gt;"",FT!C36,"")</f>
        <v>13.784800000000001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2.2522900000000003</v>
      </c>
      <c r="G37" s="61">
        <f>IF(FT!B37&lt;&gt;"",FT!B37*100,"")</f>
        <v>46.578900000000004</v>
      </c>
      <c r="H37" s="61">
        <f t="shared" si="1"/>
        <v>1</v>
      </c>
      <c r="I37" t="str">
        <f>IF(FT!B37&lt;&gt;"",FT!E37,"")</f>
        <v>1 [14.186932]</v>
      </c>
      <c r="J37">
        <f>IF(FT!B37&lt;&gt;"",FT!C37,"")</f>
        <v>14.1869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2.2623899999999999</v>
      </c>
      <c r="G38" s="61">
        <f>IF(FT!B38&lt;&gt;"",FT!B38*100,"")</f>
        <v>46.506900000000002</v>
      </c>
      <c r="H38" s="61">
        <f t="shared" si="1"/>
        <v>1</v>
      </c>
      <c r="I38" t="str">
        <f>IF(FT!B38&lt;&gt;"",FT!E38,"")</f>
        <v>1 [14.589676]</v>
      </c>
      <c r="J38">
        <f>IF(FT!B38&lt;&gt;"",FT!C38,"")</f>
        <v>14.589700000000001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117784</v>
      </c>
      <c r="D39" s="61">
        <f>FH!B39*1</f>
        <v>117784</v>
      </c>
      <c r="E39">
        <f t="shared" si="3"/>
        <v>37</v>
      </c>
      <c r="F39" s="61">
        <f>IF(FT!A39&lt;&gt;"",FT!A39*10,"")</f>
        <v>2.2725300000000002</v>
      </c>
      <c r="G39" s="61">
        <f>IF(FT!B39&lt;&gt;"",FT!B39*100,"")</f>
        <v>46.4375</v>
      </c>
      <c r="H39" s="61">
        <f t="shared" si="1"/>
        <v>1</v>
      </c>
      <c r="I39" t="str">
        <f>IF(FT!B39&lt;&gt;"",FT!E39,"")</f>
        <v>1 [14.997144]</v>
      </c>
      <c r="J39">
        <f>IF(FT!B39&lt;&gt;"",FT!C39,"")</f>
        <v>14.9971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2.2844899999999999</v>
      </c>
      <c r="G40" s="61">
        <f>IF(FT!B40&lt;&gt;"",FT!B40*100,"")</f>
        <v>46.348299999999995</v>
      </c>
      <c r="H40" s="61">
        <f t="shared" si="1"/>
        <v>1</v>
      </c>
      <c r="I40" t="str">
        <f>IF(FT!B40&lt;&gt;"",FT!E40,"")</f>
        <v>1 [15.407445]</v>
      </c>
      <c r="J40">
        <f>IF(FT!B40&lt;&gt;"",FT!C40,"")</f>
        <v>15.407400000000001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125851</v>
      </c>
      <c r="D41" s="61">
        <f>FH!B41*1</f>
        <v>125851</v>
      </c>
      <c r="E41">
        <f t="shared" si="3"/>
        <v>39</v>
      </c>
      <c r="F41" s="61">
        <f>IF(FT!A41&lt;&gt;"",FT!A41*10,"")</f>
        <v>2.29548</v>
      </c>
      <c r="G41" s="61">
        <f>IF(FT!B41&lt;&gt;"",FT!B41*100,"")</f>
        <v>46.282299999999999</v>
      </c>
      <c r="H41" s="61">
        <f t="shared" si="1"/>
        <v>1</v>
      </c>
      <c r="I41" t="str">
        <f>IF(FT!B41&lt;&gt;"",FT!E41,"")</f>
        <v>1 [15.814455]</v>
      </c>
      <c r="J41">
        <f>IF(FT!B41&lt;&gt;"",FT!C41,"")</f>
        <v>15.814500000000001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2.3065899999999999</v>
      </c>
      <c r="G42" s="61">
        <f>IF(FT!B42&lt;&gt;"",FT!B42*100,"")</f>
        <v>46.229500000000002</v>
      </c>
      <c r="H42" s="61">
        <f t="shared" si="1"/>
        <v>1</v>
      </c>
      <c r="I42" t="str">
        <f>IF(FT!B42&lt;&gt;"",FT!E42,"")</f>
        <v>1 [16.219672]</v>
      </c>
      <c r="J42">
        <f>IF(FT!B42&lt;&gt;"",FT!C42,"")</f>
        <v>16.2197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2.3167200000000001</v>
      </c>
      <c r="G43" s="61">
        <f>IF(FT!B43&lt;&gt;"",FT!B43*100,"")</f>
        <v>46.208799999999997</v>
      </c>
      <c r="H43" s="61">
        <f t="shared" si="1"/>
        <v>1</v>
      </c>
      <c r="I43" t="str">
        <f>IF(FT!B43&lt;&gt;"",FT!E43,"")</f>
        <v>1 [16.623192]</v>
      </c>
      <c r="J43">
        <f>IF(FT!B43&lt;&gt;"",FT!C43,"")</f>
        <v>16.623200000000001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113454</v>
      </c>
      <c r="D44" s="61">
        <f>FH!B44*1</f>
        <v>113454</v>
      </c>
      <c r="E44">
        <f t="shared" si="3"/>
        <v>42</v>
      </c>
      <c r="F44" s="61">
        <f>IF(FT!A44&lt;&gt;"",FT!A44*10,"")</f>
        <v>2.3268399999999998</v>
      </c>
      <c r="G44" s="61">
        <f>IF(FT!B44&lt;&gt;"",FT!B44*100,"")</f>
        <v>46.1738</v>
      </c>
      <c r="H44" s="61">
        <f t="shared" si="1"/>
        <v>1</v>
      </c>
      <c r="I44" t="str">
        <f>IF(FT!B44&lt;&gt;"",FT!E44,"")</f>
        <v>1 [17.030290]</v>
      </c>
      <c r="J44">
        <f>IF(FT!B44&lt;&gt;"",FT!C44,"")</f>
        <v>17.0303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2.3352200000000001</v>
      </c>
      <c r="G45" s="61">
        <f>IF(FT!B45&lt;&gt;"",FT!B45*100,"")</f>
        <v>46.177900000000001</v>
      </c>
      <c r="H45" s="61">
        <f t="shared" si="1"/>
        <v>1</v>
      </c>
      <c r="I45" t="str">
        <f>IF(FT!B45&lt;&gt;"",FT!E45,"")</f>
        <v>1 [17.436380]</v>
      </c>
      <c r="J45">
        <f>IF(FT!B45&lt;&gt;"",FT!C45,"")</f>
        <v>17.436399999999999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116410</v>
      </c>
      <c r="D46" s="61">
        <f>FH!B46*1</f>
        <v>116410</v>
      </c>
      <c r="E46">
        <f t="shared" si="3"/>
        <v>44</v>
      </c>
      <c r="F46" s="61">
        <f>IF(FT!A46&lt;&gt;"",FT!A46*10,"")</f>
        <v>2.3405</v>
      </c>
      <c r="G46" s="61">
        <f>IF(FT!B46&lt;&gt;"",FT!B46*100,"")</f>
        <v>46.284599999999998</v>
      </c>
      <c r="H46" s="61">
        <f t="shared" si="1"/>
        <v>1</v>
      </c>
      <c r="I46" t="str">
        <f>IF(FT!B46&lt;&gt;"",FT!E46,"")</f>
        <v>1 [17.843981]</v>
      </c>
      <c r="J46">
        <f>IF(FT!B46&lt;&gt;"",FT!C46,"")</f>
        <v>17.844000000000001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2.34531</v>
      </c>
      <c r="G47" s="61">
        <f>IF(FT!B47&lt;&gt;"",FT!B47*100,"")</f>
        <v>46.389299999999999</v>
      </c>
      <c r="H47" s="61">
        <f t="shared" si="1"/>
        <v>1</v>
      </c>
      <c r="I47" t="str">
        <f>IF(FT!B47&lt;&gt;"",FT!E47,"")</f>
        <v>1 [18.248941]</v>
      </c>
      <c r="J47">
        <f>IF(FT!B47&lt;&gt;"",FT!C47,"")</f>
        <v>18.248899999999999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2.3521399999999999</v>
      </c>
      <c r="G48" s="61">
        <f>IF(FT!B48&lt;&gt;"",FT!B48*100,"")</f>
        <v>46.485300000000002</v>
      </c>
      <c r="H48" s="61">
        <f t="shared" si="1"/>
        <v>1</v>
      </c>
      <c r="I48" t="str">
        <f>IF(FT!B48&lt;&gt;"",FT!E48,"")</f>
        <v>1 [18.655806]</v>
      </c>
      <c r="J48">
        <f>IF(FT!B48&lt;&gt;"",FT!C48,"")</f>
        <v>18.655799999999999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127181</v>
      </c>
      <c r="D49" s="61">
        <f>FH!B49*1</f>
        <v>127181</v>
      </c>
      <c r="E49">
        <f t="shared" si="3"/>
        <v>47</v>
      </c>
      <c r="F49" s="61">
        <f>IF(FT!A49&lt;&gt;"",FT!A49*10,"")</f>
        <v>2.35764</v>
      </c>
      <c r="G49" s="61">
        <f>IF(FT!B49&lt;&gt;"",FT!B49*100,"")</f>
        <v>46.651600000000002</v>
      </c>
      <c r="H49" s="61">
        <f t="shared" si="1"/>
        <v>1</v>
      </c>
      <c r="I49" t="str">
        <f>IF(FT!B49&lt;&gt;"",FT!E49,"")</f>
        <v>1 [19.061200]</v>
      </c>
      <c r="J49">
        <f>IF(FT!B49&lt;&gt;"",FT!C49,"")</f>
        <v>19.061199999999999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2.36063</v>
      </c>
      <c r="G50" s="61">
        <f>IF(FT!B50&lt;&gt;"",FT!B50*100,"")</f>
        <v>46.9041</v>
      </c>
      <c r="H50" s="61">
        <f t="shared" si="1"/>
        <v>1</v>
      </c>
      <c r="I50" t="str">
        <f>IF(FT!B50&lt;&gt;"",FT!E50,"")</f>
        <v>1 [19.470715]</v>
      </c>
      <c r="J50">
        <f>IF(FT!B50&lt;&gt;"",FT!C50,"")</f>
        <v>19.470700000000001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132578</v>
      </c>
      <c r="D51" s="61">
        <f>FH!B51*1</f>
        <v>132578</v>
      </c>
      <c r="E51">
        <f t="shared" si="3"/>
        <v>49</v>
      </c>
      <c r="F51" s="61">
        <f>IF(FT!A51&lt;&gt;"",FT!A51*10,"")</f>
        <v>2.3617300000000001</v>
      </c>
      <c r="G51" s="61">
        <f>IF(FT!B51&lt;&gt;"",FT!B51*100,"")</f>
        <v>47.222500000000004</v>
      </c>
      <c r="H51" s="61">
        <f t="shared" si="1"/>
        <v>1</v>
      </c>
      <c r="I51" t="str">
        <f>IF(FT!B51&lt;&gt;"",FT!E51,"")</f>
        <v>1 [19.875552]</v>
      </c>
      <c r="J51">
        <f>IF(FT!B51&lt;&gt;"",FT!C51,"")</f>
        <v>19.875599999999999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2.3616200000000003</v>
      </c>
      <c r="G52" s="61">
        <f>IF(FT!B52&lt;&gt;"",FT!B52*100,"")</f>
        <v>47.503399999999999</v>
      </c>
      <c r="H52" s="61">
        <f t="shared" si="1"/>
        <v>1</v>
      </c>
      <c r="I52" t="str">
        <f>IF(FT!B52&lt;&gt;"",FT!E52,"")</f>
        <v>1 [20.279512]</v>
      </c>
      <c r="J52">
        <f>IF(FT!B52&lt;&gt;"",FT!C52,"")</f>
        <v>20.279499999999999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2.3616100000000002</v>
      </c>
      <c r="G53" s="61">
        <f>IF(FT!B53&lt;&gt;"",FT!B53*100,"")</f>
        <v>47.7592</v>
      </c>
      <c r="H53" s="61">
        <f t="shared" si="1"/>
        <v>1</v>
      </c>
      <c r="I53" t="str">
        <f>IF(FT!B53&lt;&gt;"",FT!E53,"")</f>
        <v>1 [20.685380]</v>
      </c>
      <c r="J53">
        <f>IF(FT!B53&lt;&gt;"",FT!C53,"")</f>
        <v>20.685400000000001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140387</v>
      </c>
      <c r="D54" s="61">
        <f>FH!B54*1</f>
        <v>140387</v>
      </c>
      <c r="E54">
        <f t="shared" si="3"/>
        <v>52</v>
      </c>
      <c r="F54" s="61">
        <f>IF(FT!A54&lt;&gt;"",FT!A54*10,"")</f>
        <v>2.3690800000000003</v>
      </c>
      <c r="G54" s="61">
        <f>IF(FT!B54&lt;&gt;"",FT!B54*100,"")</f>
        <v>47.866300000000003</v>
      </c>
      <c r="H54" s="61">
        <f t="shared" si="1"/>
        <v>1</v>
      </c>
      <c r="I54" t="str">
        <f>IF(FT!B54&lt;&gt;"",FT!E54,"")</f>
        <v>1 [21.095464]</v>
      </c>
      <c r="J54">
        <f>IF(FT!B54&lt;&gt;"",FT!C54,"")</f>
        <v>21.095500000000001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2.3765000000000001</v>
      </c>
      <c r="G55" s="61">
        <f>IF(FT!B55&lt;&gt;"",FT!B55*100,"")</f>
        <v>47.930499999999995</v>
      </c>
      <c r="H55" s="61">
        <f t="shared" si="1"/>
        <v>1</v>
      </c>
      <c r="I55" t="str">
        <f>IF(FT!B55&lt;&gt;"",FT!E55,"")</f>
        <v>1 [21.497190]</v>
      </c>
      <c r="J55">
        <f>IF(FT!B55&lt;&gt;"",FT!C55,"")</f>
        <v>21.497199999999999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2.3818700000000002</v>
      </c>
      <c r="G56" s="61">
        <f>IF(FT!B56&lt;&gt;"",FT!B56*100,"")</f>
        <v>48.012799999999999</v>
      </c>
      <c r="H56" s="61">
        <f t="shared" si="1"/>
        <v>1</v>
      </c>
      <c r="I56" t="str">
        <f>IF(FT!B56&lt;&gt;"",FT!E56,"")</f>
        <v>1 [21.906237]</v>
      </c>
      <c r="J56">
        <f>IF(FT!B56&lt;&gt;"",FT!C56,"")</f>
        <v>21.906199999999998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142536</v>
      </c>
      <c r="D57" s="61">
        <f>FH!B57*1</f>
        <v>142536</v>
      </c>
      <c r="E57">
        <f t="shared" si="3"/>
        <v>55</v>
      </c>
      <c r="F57" s="61">
        <f>IF(FT!A57&lt;&gt;"",FT!A57*10,"")</f>
        <v>2.3879299999999999</v>
      </c>
      <c r="G57" s="61">
        <f>IF(FT!B57&lt;&gt;"",FT!B57*100,"")</f>
        <v>48.060499999999998</v>
      </c>
      <c r="H57" s="61">
        <f t="shared" si="1"/>
        <v>1</v>
      </c>
      <c r="I57" t="str">
        <f>IF(FT!B57&lt;&gt;"",FT!E57,"")</f>
        <v>1 [22.313699]</v>
      </c>
      <c r="J57">
        <f>IF(FT!B57&lt;&gt;"",FT!C57,"")</f>
        <v>22.313700000000001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2.3915299999999999</v>
      </c>
      <c r="G58" s="61">
        <f>IF(FT!B58&lt;&gt;"",FT!B58*100,"")</f>
        <v>48.133099999999999</v>
      </c>
      <c r="H58" s="61">
        <f t="shared" si="1"/>
        <v>1</v>
      </c>
      <c r="I58" t="str">
        <f>IF(FT!B58&lt;&gt;"",FT!E58,"")</f>
        <v>1 [22.716991]</v>
      </c>
      <c r="J58">
        <f>IF(FT!B58&lt;&gt;"",FT!C58,"")</f>
        <v>22.716999999999999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133488</v>
      </c>
      <c r="D59" s="61">
        <f>FH!B59*1</f>
        <v>133488</v>
      </c>
      <c r="E59">
        <f t="shared" si="3"/>
        <v>57</v>
      </c>
      <c r="F59" s="61">
        <f>IF(FT!A59&lt;&gt;"",FT!A59*10,"")</f>
        <v>2.3936799999999998</v>
      </c>
      <c r="G59" s="61">
        <f>IF(FT!B59&lt;&gt;"",FT!B59*100,"")</f>
        <v>48.1524</v>
      </c>
      <c r="H59" s="61">
        <f t="shared" si="1"/>
        <v>1</v>
      </c>
      <c r="I59" t="str">
        <f>IF(FT!B59&lt;&gt;"",FT!E59,"")</f>
        <v>1 [23.122297]</v>
      </c>
      <c r="J59">
        <f>IF(FT!B59&lt;&gt;"",FT!C59,"")</f>
        <v>23.122299999999999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2.3951899999999999</v>
      </c>
      <c r="G60" s="61">
        <f>IF(FT!B60&lt;&gt;"",FT!B60*100,"")</f>
        <v>48.1374</v>
      </c>
      <c r="H60" s="61">
        <f t="shared" si="1"/>
        <v>1</v>
      </c>
      <c r="I60" t="str">
        <f>IF(FT!B60&lt;&gt;"",FT!E60,"")</f>
        <v>1 [23.532841]</v>
      </c>
      <c r="J60">
        <f>IF(FT!B60&lt;&gt;"",FT!C60,"")</f>
        <v>23.532800000000002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2.39649</v>
      </c>
      <c r="G61" s="61">
        <f>IF(FT!B61&lt;&gt;"",FT!B61*100,"")</f>
        <v>48.127499999999998</v>
      </c>
      <c r="H61" s="61">
        <f t="shared" si="1"/>
        <v>1</v>
      </c>
      <c r="I61" t="str">
        <f>IF(FT!B61&lt;&gt;"",FT!E61,"")</f>
        <v>1 [23.937873]</v>
      </c>
      <c r="J61">
        <f>IF(FT!B61&lt;&gt;"",FT!C61,"")</f>
        <v>23.937899999999999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133246</v>
      </c>
      <c r="D62" s="61">
        <f>FH!B62*1</f>
        <v>133246</v>
      </c>
      <c r="E62">
        <f t="shared" si="3"/>
        <v>60</v>
      </c>
      <c r="F62" s="61">
        <f>IF(FT!A62&lt;&gt;"",FT!A62*10,"")</f>
        <v>2.3980099999999998</v>
      </c>
      <c r="G62" s="61">
        <f>IF(FT!B62&lt;&gt;"",FT!B62*100,"")</f>
        <v>48.067700000000002</v>
      </c>
      <c r="H62" s="61">
        <f t="shared" si="1"/>
        <v>1</v>
      </c>
      <c r="I62" t="str">
        <f>IF(FT!B62&lt;&gt;"",FT!E62,"")</f>
        <v>1 [24.343710]</v>
      </c>
      <c r="J62">
        <f>IF(FT!B62&lt;&gt;"",FT!C62,"")</f>
        <v>24.343699999999998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2.4000399999999997</v>
      </c>
      <c r="G63" s="61">
        <f>IF(FT!B63&lt;&gt;"",FT!B63*100,"")</f>
        <v>47.994799999999998</v>
      </c>
      <c r="H63" s="61">
        <f t="shared" si="1"/>
        <v>1</v>
      </c>
      <c r="I63" t="str">
        <f>IF(FT!B63&lt;&gt;"",FT!E63,"")</f>
        <v>1 [24.744549]</v>
      </c>
      <c r="J63">
        <f>IF(FT!B63&lt;&gt;"",FT!C63,"")</f>
        <v>24.744499999999999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124192</v>
      </c>
      <c r="D64" s="61">
        <f>FH!B64*1</f>
        <v>124192</v>
      </c>
      <c r="E64">
        <f t="shared" si="3"/>
        <v>62</v>
      </c>
      <c r="F64" s="61">
        <f>IF(FT!A64&lt;&gt;"",FT!A64*10,"")</f>
        <v>2.40178</v>
      </c>
      <c r="G64" s="61">
        <f>IF(FT!B64&lt;&gt;"",FT!B64*100,"")</f>
        <v>47.946299999999994</v>
      </c>
      <c r="H64" s="61">
        <f t="shared" si="1"/>
        <v>1</v>
      </c>
      <c r="I64" t="str">
        <f>IF(FT!B64&lt;&gt;"",FT!E64,"")</f>
        <v>1 [25.154750]</v>
      </c>
      <c r="J64">
        <f>IF(FT!B64&lt;&gt;"",FT!C64,"")</f>
        <v>25.154699999999998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2.40218</v>
      </c>
      <c r="G65" s="61">
        <f>IF(FT!B65&lt;&gt;"",FT!B65*100,"")</f>
        <v>47.912300000000002</v>
      </c>
      <c r="H65" s="61">
        <f t="shared" si="1"/>
        <v>1</v>
      </c>
      <c r="I65" t="str">
        <f>IF(FT!B65&lt;&gt;"",FT!E65,"")</f>
        <v>1 [25.559335]</v>
      </c>
      <c r="J65">
        <f>IF(FT!B65&lt;&gt;"",FT!C65,"")</f>
        <v>25.5593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2.4049400000000003</v>
      </c>
      <c r="G66" s="61">
        <f>IF(FT!B66&lt;&gt;"",FT!B66*100,"")</f>
        <v>47.881099999999996</v>
      </c>
      <c r="H66" s="61">
        <f t="shared" si="1"/>
        <v>1</v>
      </c>
      <c r="I66" t="str">
        <f>IF(FT!B66&lt;&gt;"",FT!E66,"")</f>
        <v>1 [25.969614]</v>
      </c>
      <c r="J66">
        <f>IF(FT!B66&lt;&gt;"",FT!C66,"")</f>
        <v>25.9696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117087</v>
      </c>
      <c r="D67" s="61">
        <f>FH!B67*1</f>
        <v>117087</v>
      </c>
      <c r="E67">
        <f t="shared" si="3"/>
        <v>65</v>
      </c>
      <c r="F67" s="61">
        <f>IF(FT!A67&lt;&gt;"",FT!A67*10,"")</f>
        <v>2.4072199999999997</v>
      </c>
      <c r="G67" s="61">
        <f>IF(FT!B67&lt;&gt;"",FT!B67*100,"")</f>
        <v>47.901299999999999</v>
      </c>
      <c r="H67" s="61">
        <f t="shared" ref="H67:H130" si="9">(IF(F67&lt;&gt;"",1,""))</f>
        <v>1</v>
      </c>
      <c r="I67" t="str">
        <f>IF(FT!B67&lt;&gt;"",FT!E67,"")</f>
        <v>1 [26.375254]</v>
      </c>
      <c r="J67">
        <f>IF(FT!B67&lt;&gt;"",FT!C67,"")</f>
        <v>26.375299999999999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2.4075600000000001</v>
      </c>
      <c r="G68" s="61">
        <f>IF(FT!B68&lt;&gt;"",FT!B68*100,"")</f>
        <v>47.980800000000002</v>
      </c>
      <c r="H68" s="61">
        <f t="shared" si="9"/>
        <v>1</v>
      </c>
      <c r="I68" t="str">
        <f>IF(FT!B68&lt;&gt;"",FT!E68,"")</f>
        <v>1 [26.781089]</v>
      </c>
      <c r="J68">
        <f>IF(FT!B68&lt;&gt;"",FT!C68,"")</f>
        <v>26.781099999999999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113796</v>
      </c>
      <c r="D69" s="61">
        <f>FH!B69*1</f>
        <v>113796</v>
      </c>
      <c r="E69">
        <f t="shared" si="11"/>
        <v>67</v>
      </c>
      <c r="F69" s="61">
        <f>IF(FT!A69&lt;&gt;"",FT!A69*10,"")</f>
        <v>2.4066100000000001</v>
      </c>
      <c r="G69" s="61">
        <f>IF(FT!B69&lt;&gt;"",FT!B69*100,"")</f>
        <v>48.117800000000003</v>
      </c>
      <c r="H69" s="61">
        <f t="shared" si="9"/>
        <v>1</v>
      </c>
      <c r="I69" t="str">
        <f>IF(FT!B69&lt;&gt;"",FT!E69,"")</f>
        <v>1 [27.186731]</v>
      </c>
      <c r="J69">
        <f>IF(FT!B69&lt;&gt;"",FT!C69,"")</f>
        <v>27.186699999999998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2.4043900000000002</v>
      </c>
      <c r="G70" s="61">
        <f>IF(FT!B70&lt;&gt;"",FT!B70*100,"")</f>
        <v>48.210099999999997</v>
      </c>
      <c r="H70" s="61">
        <f t="shared" si="9"/>
        <v>1</v>
      </c>
      <c r="I70" t="str">
        <f>IF(FT!B70&lt;&gt;"",FT!E70,"")</f>
        <v>1 [27.593925]</v>
      </c>
      <c r="J70">
        <f>IF(FT!B70&lt;&gt;"",FT!C70,"")</f>
        <v>27.593900000000001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2.4032899999999997</v>
      </c>
      <c r="G71" s="61">
        <f>IF(FT!B71&lt;&gt;"",FT!B71*100,"")</f>
        <v>48.198500000000003</v>
      </c>
      <c r="H71" s="61">
        <f t="shared" si="9"/>
        <v>1</v>
      </c>
      <c r="I71" t="str">
        <f>IF(FT!B71&lt;&gt;"",FT!E71,"")</f>
        <v>1 [27.998849]</v>
      </c>
      <c r="J71">
        <f>IF(FT!B71&lt;&gt;"",FT!C71,"")</f>
        <v>27.998799999999999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99868</v>
      </c>
      <c r="D72" s="61">
        <f>FH!B72*1</f>
        <v>99868</v>
      </c>
      <c r="E72">
        <f t="shared" si="11"/>
        <v>70</v>
      </c>
      <c r="F72" s="61">
        <f>IF(FT!A72&lt;&gt;"",FT!A72*10,"")</f>
        <v>2.3995800000000003</v>
      </c>
      <c r="G72" s="61">
        <f>IF(FT!B72&lt;&gt;"",FT!B72*100,"")</f>
        <v>48.231200000000001</v>
      </c>
      <c r="H72" s="61">
        <f t="shared" si="9"/>
        <v>1</v>
      </c>
      <c r="I72" t="str">
        <f>IF(FT!B72&lt;&gt;"",FT!E72,"")</f>
        <v>1 [28.405736]</v>
      </c>
      <c r="J72">
        <f>IF(FT!B72&lt;&gt;"",FT!C72,"")</f>
        <v>28.4057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2.39222</v>
      </c>
      <c r="G73" s="61">
        <f>IF(FT!B73&lt;&gt;"",FT!B73*100,"")</f>
        <v>48.278799999999997</v>
      </c>
      <c r="H73" s="61">
        <f t="shared" si="9"/>
        <v>1</v>
      </c>
      <c r="I73" t="str">
        <f>IF(FT!B73&lt;&gt;"",FT!E73,"")</f>
        <v>1 [28.811696]</v>
      </c>
      <c r="J73">
        <f>IF(FT!B73&lt;&gt;"",FT!C73,"")</f>
        <v>28.811699999999998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2.38578</v>
      </c>
      <c r="G74" s="61">
        <f>IF(FT!B74&lt;&gt;"",FT!B74*100,"")</f>
        <v>48.295700000000004</v>
      </c>
      <c r="H74" s="61">
        <f t="shared" si="9"/>
        <v>1</v>
      </c>
      <c r="I74" t="str">
        <f>IF(FT!B74&lt;&gt;"",FT!E74,"")</f>
        <v>1 [29.214643]</v>
      </c>
      <c r="J74">
        <f>IF(FT!B74&lt;&gt;"",FT!C74,"")</f>
        <v>29.214600000000001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98082</v>
      </c>
      <c r="D75" s="61">
        <f>FH!B75*1</f>
        <v>98082</v>
      </c>
      <c r="E75">
        <f t="shared" si="11"/>
        <v>73</v>
      </c>
      <c r="F75" s="61">
        <f>IF(FT!A75&lt;&gt;"",FT!A75*10,"")</f>
        <v>2.3766100000000003</v>
      </c>
      <c r="G75" s="61">
        <f>IF(FT!B75&lt;&gt;"",FT!B75*100,"")</f>
        <v>48.338000000000001</v>
      </c>
      <c r="H75" s="61">
        <f t="shared" si="9"/>
        <v>1</v>
      </c>
      <c r="I75" t="str">
        <f>IF(FT!B75&lt;&gt;"",FT!E75,"")</f>
        <v>1 [29.622617]</v>
      </c>
      <c r="J75">
        <f>IF(FT!B75&lt;&gt;"",FT!C75,"")</f>
        <v>29.622599999999998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2.3676300000000001</v>
      </c>
      <c r="G76" s="61">
        <f>IF(FT!B76&lt;&gt;"",FT!B76*100,"")</f>
        <v>48.364000000000004</v>
      </c>
      <c r="H76" s="61">
        <f t="shared" si="9"/>
        <v>1</v>
      </c>
      <c r="I76" t="str">
        <f>IF(FT!B76&lt;&gt;"",FT!E76,"")</f>
        <v>2 [30.036498]</v>
      </c>
      <c r="J76">
        <f>IF(FT!B76&lt;&gt;"",FT!C76,"")</f>
        <v>30.0365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92884</v>
      </c>
      <c r="D77" s="61">
        <f>FH!B77*1</f>
        <v>92884</v>
      </c>
      <c r="E77">
        <f t="shared" si="11"/>
        <v>75</v>
      </c>
      <c r="F77" s="61">
        <f>IF(FT!A77&lt;&gt;"",FT!A77*10,"")</f>
        <v>2.35677</v>
      </c>
      <c r="G77" s="61">
        <f>IF(FT!B77&lt;&gt;"",FT!B77*100,"")</f>
        <v>48.485299999999995</v>
      </c>
      <c r="H77" s="61">
        <f t="shared" si="9"/>
        <v>1</v>
      </c>
      <c r="I77" t="str">
        <f>IF(FT!B77&lt;&gt;"",FT!E77,"")</f>
        <v>2 [30.704600]</v>
      </c>
      <c r="J77">
        <f>IF(FT!B77&lt;&gt;"",FT!C77,"")</f>
        <v>30.704599999999999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2.3466100000000001</v>
      </c>
      <c r="G78" s="61">
        <f>IF(FT!B78&lt;&gt;"",FT!B78*100,"")</f>
        <v>48.686299999999996</v>
      </c>
      <c r="H78" s="61">
        <f t="shared" si="9"/>
        <v>1</v>
      </c>
      <c r="I78" t="str">
        <f>IF(FT!B78&lt;&gt;"",FT!E78,"")</f>
        <v>2 [31.047820]</v>
      </c>
      <c r="J78">
        <f>IF(FT!B78&lt;&gt;"",FT!C78,"")</f>
        <v>31.047799999999999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2.3359800000000002</v>
      </c>
      <c r="G79" s="61">
        <f>IF(FT!B79&lt;&gt;"",FT!B79*100,"")</f>
        <v>48.935299999999998</v>
      </c>
      <c r="H79" s="61">
        <f t="shared" si="9"/>
        <v>1</v>
      </c>
      <c r="I79" t="str">
        <f>IF(FT!B79&lt;&gt;"",FT!E79,"")</f>
        <v>2 [31.419848]</v>
      </c>
      <c r="J79">
        <f>IF(FT!B79&lt;&gt;"",FT!C79,"")</f>
        <v>31.419799999999999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77900</v>
      </c>
      <c r="D80" s="61">
        <f>FH!B80*1</f>
        <v>77900</v>
      </c>
      <c r="E80">
        <f t="shared" si="11"/>
        <v>78</v>
      </c>
      <c r="F80" s="61">
        <f>IF(FT!A80&lt;&gt;"",FT!A80*10,"")</f>
        <v>2.3271800000000002</v>
      </c>
      <c r="G80" s="61">
        <f>IF(FT!B80&lt;&gt;"",FT!B80*100,"")</f>
        <v>49.168599999999998</v>
      </c>
      <c r="H80" s="61">
        <f t="shared" si="9"/>
        <v>1</v>
      </c>
      <c r="I80" t="str">
        <f>IF(FT!B80&lt;&gt;"",FT!E80,"")</f>
        <v>2 [31.792665]</v>
      </c>
      <c r="J80">
        <f>IF(FT!B80&lt;&gt;"",FT!C80,"")</f>
        <v>31.7927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2.3167399999999998</v>
      </c>
      <c r="G81" s="61">
        <f>IF(FT!B81&lt;&gt;"",FT!B81*100,"")</f>
        <v>49.374499999999998</v>
      </c>
      <c r="H81" s="61">
        <f t="shared" si="9"/>
        <v>1</v>
      </c>
      <c r="I81" t="str">
        <f>IF(FT!B81&lt;&gt;"",FT!E81,"")</f>
        <v>2 [32.167748]</v>
      </c>
      <c r="J81">
        <f>IF(FT!B81&lt;&gt;"",FT!C81,"")</f>
        <v>32.167700000000004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67686</v>
      </c>
      <c r="D82" s="61">
        <f>FH!B82*1</f>
        <v>67686</v>
      </c>
      <c r="E82">
        <f t="shared" si="11"/>
        <v>80</v>
      </c>
      <c r="F82" s="61">
        <f>IF(FT!A82&lt;&gt;"",FT!A82*10,"")</f>
        <v>2.3046500000000001</v>
      </c>
      <c r="G82" s="61">
        <f>IF(FT!B82&lt;&gt;"",FT!B82*100,"")</f>
        <v>49.597700000000003</v>
      </c>
      <c r="H82" s="61">
        <f t="shared" si="9"/>
        <v>1</v>
      </c>
      <c r="I82" t="str">
        <f>IF(FT!B82&lt;&gt;"",FT!E82,"")</f>
        <v>2 [32.579634]</v>
      </c>
      <c r="J82">
        <f>IF(FT!B82&lt;&gt;"",FT!C82,"")</f>
        <v>32.579599999999999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2.2936300000000003</v>
      </c>
      <c r="G83" s="61">
        <f>IF(FT!B83&lt;&gt;"",FT!B83*100,"")</f>
        <v>49.786999999999999</v>
      </c>
      <c r="H83" s="61">
        <f t="shared" si="9"/>
        <v>1</v>
      </c>
      <c r="I83" t="str">
        <f>IF(FT!B83&lt;&gt;"",FT!E83,"")</f>
        <v>2 [32.983478]</v>
      </c>
      <c r="J83">
        <f>IF(FT!B83&lt;&gt;"",FT!C83,"")</f>
        <v>32.983499999999999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2.28403</v>
      </c>
      <c r="G84" s="61">
        <f>IF(FT!B84&lt;&gt;"",FT!B84*100,"")</f>
        <v>49.953299999999999</v>
      </c>
      <c r="H84" s="61">
        <f t="shared" si="9"/>
        <v>1</v>
      </c>
      <c r="I84" t="str">
        <f>IF(FT!B84&lt;&gt;"",FT!E84,"")</f>
        <v>2 [33.386653]</v>
      </c>
      <c r="J84">
        <f>IF(FT!B84&lt;&gt;"",FT!C84,"")</f>
        <v>33.386699999999998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70884</v>
      </c>
      <c r="D85" s="61">
        <f>FH!B85*1</f>
        <v>70884</v>
      </c>
      <c r="E85">
        <f t="shared" si="11"/>
        <v>83</v>
      </c>
      <c r="F85" s="61">
        <f>IF(FT!A85&lt;&gt;"",FT!A85*10,"")</f>
        <v>2.2739799999999999</v>
      </c>
      <c r="G85" s="61">
        <f>IF(FT!B85&lt;&gt;"",FT!B85*100,"")</f>
        <v>50.128599999999999</v>
      </c>
      <c r="H85" s="61">
        <f t="shared" si="9"/>
        <v>1</v>
      </c>
      <c r="I85" t="str">
        <f>IF(FT!B85&lt;&gt;"",FT!E85,"")</f>
        <v>2 [33.796527]</v>
      </c>
      <c r="J85">
        <f>IF(FT!B85&lt;&gt;"",FT!C85,"")</f>
        <v>33.796500000000002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2.2638199999999999</v>
      </c>
      <c r="G86" s="61">
        <f>IF(FT!B86&lt;&gt;"",FT!B86*100,"")</f>
        <v>50.270099999999992</v>
      </c>
      <c r="H86" s="61">
        <f t="shared" si="9"/>
        <v>1</v>
      </c>
      <c r="I86" t="str">
        <f>IF(FT!B86&lt;&gt;"",FT!E86,"")</f>
        <v>2 [34.201316]</v>
      </c>
      <c r="J86">
        <f>IF(FT!B86&lt;&gt;"",FT!C86,"")</f>
        <v>34.201300000000003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2.24953</v>
      </c>
      <c r="G87" s="61">
        <f>IF(FT!B87&lt;&gt;"",FT!B87*100,"")</f>
        <v>50.456299999999999</v>
      </c>
      <c r="H87" s="61">
        <f t="shared" si="9"/>
        <v>1</v>
      </c>
      <c r="I87" t="str">
        <f>IF(FT!B87&lt;&gt;"",FT!E87,"")</f>
        <v>2 [34.610216]</v>
      </c>
      <c r="J87">
        <f>IF(FT!B87&lt;&gt;"",FT!C87,"")</f>
        <v>34.610199999999999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63403</v>
      </c>
      <c r="D88" s="61">
        <f>FH!B88*1</f>
        <v>63403</v>
      </c>
      <c r="E88">
        <f t="shared" si="11"/>
        <v>86</v>
      </c>
      <c r="F88" s="61">
        <f>IF(FT!A88&lt;&gt;"",FT!A88*10,"")</f>
        <v>2.2372000000000001</v>
      </c>
      <c r="G88" s="61">
        <f>IF(FT!B88&lt;&gt;"",FT!B88*100,"")</f>
        <v>50.607500000000002</v>
      </c>
      <c r="H88" s="61">
        <f t="shared" si="9"/>
        <v>1</v>
      </c>
      <c r="I88" t="str">
        <f>IF(FT!B88&lt;&gt;"",FT!E88,"")</f>
        <v>2 [35.016134]</v>
      </c>
      <c r="J88">
        <f>IF(FT!B88&lt;&gt;"",FT!C88,"")</f>
        <v>35.016100000000002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2.2242700000000002</v>
      </c>
      <c r="G89" s="61">
        <f>IF(FT!B89&lt;&gt;"",FT!B89*100,"")</f>
        <v>50.775400000000005</v>
      </c>
      <c r="H89" s="61">
        <f t="shared" si="9"/>
        <v>1</v>
      </c>
      <c r="I89" t="str">
        <f>IF(FT!B89&lt;&gt;"",FT!E89,"")</f>
        <v>2 [35.419241]</v>
      </c>
      <c r="J89">
        <f>IF(FT!B89&lt;&gt;"",FT!C89,"")</f>
        <v>35.419199999999996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60818</v>
      </c>
      <c r="D90" s="61">
        <f>FH!B90*1</f>
        <v>60818</v>
      </c>
      <c r="E90">
        <f t="shared" si="11"/>
        <v>88</v>
      </c>
      <c r="F90" s="61">
        <f>IF(FT!A90&lt;&gt;"",FT!A90*10,"")</f>
        <v>2.2101500000000001</v>
      </c>
      <c r="G90" s="61">
        <f>IF(FT!B90&lt;&gt;"",FT!B90*100,"")</f>
        <v>50.986600000000003</v>
      </c>
      <c r="H90" s="61">
        <f t="shared" si="9"/>
        <v>1</v>
      </c>
      <c r="I90" t="str">
        <f>IF(FT!B90&lt;&gt;"",FT!E90,"")</f>
        <v>2 [35.828105]</v>
      </c>
      <c r="J90">
        <f>IF(FT!B90&lt;&gt;"",FT!C90,"")</f>
        <v>35.828099999999999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2.1935500000000001</v>
      </c>
      <c r="G91" s="61">
        <f>IF(FT!B91&lt;&gt;"",FT!B91*100,"")</f>
        <v>51.237900000000003</v>
      </c>
      <c r="H91" s="61">
        <f t="shared" si="9"/>
        <v>1</v>
      </c>
      <c r="I91" t="str">
        <f>IF(FT!B91&lt;&gt;"",FT!E91,"")</f>
        <v>2 [36.234871]</v>
      </c>
      <c r="J91">
        <f>IF(FT!B91&lt;&gt;"",FT!C91,"")</f>
        <v>36.234900000000003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2.18005</v>
      </c>
      <c r="G92" s="61">
        <f>IF(FT!B92&lt;&gt;"",FT!B92*100,"")</f>
        <v>51.354100000000003</v>
      </c>
      <c r="H92" s="61">
        <f t="shared" si="9"/>
        <v>1</v>
      </c>
      <c r="I92" t="str">
        <f>IF(FT!B92&lt;&gt;"",FT!E92,"")</f>
        <v>2 [36.640766]</v>
      </c>
      <c r="J92">
        <f>IF(FT!B92&lt;&gt;"",FT!C92,"")</f>
        <v>36.640799999999999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56372</v>
      </c>
      <c r="D93" s="61">
        <f>FH!B93*1</f>
        <v>56372</v>
      </c>
      <c r="E93">
        <f t="shared" si="11"/>
        <v>91</v>
      </c>
      <c r="F93" s="61">
        <f>IF(FT!A93&lt;&gt;"",FT!A93*10,"")</f>
        <v>2.1675800000000001</v>
      </c>
      <c r="G93" s="61">
        <f>IF(FT!B93&lt;&gt;"",FT!B93*100,"")</f>
        <v>51.4221</v>
      </c>
      <c r="H93" s="61">
        <f t="shared" si="9"/>
        <v>1</v>
      </c>
      <c r="I93" t="str">
        <f>IF(FT!B93&lt;&gt;"",FT!E93,"")</f>
        <v>2 [37.046641]</v>
      </c>
      <c r="J93">
        <f>IF(FT!B93&lt;&gt;"",FT!C93,"")</f>
        <v>37.046599999999998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2.1557900000000001</v>
      </c>
      <c r="G94" s="61">
        <f>IF(FT!B94&lt;&gt;"",FT!B94*100,"")</f>
        <v>51.472200000000001</v>
      </c>
      <c r="H94" s="61">
        <f t="shared" si="9"/>
        <v>1</v>
      </c>
      <c r="I94" t="str">
        <f>IF(FT!B94&lt;&gt;"",FT!E94,"")</f>
        <v>2 [37.451565]</v>
      </c>
      <c r="J94">
        <f>IF(FT!B94&lt;&gt;"",FT!C94,"")</f>
        <v>37.451599999999999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53214</v>
      </c>
      <c r="D95" s="61">
        <f>FH!B95*1</f>
        <v>53214</v>
      </c>
      <c r="E95">
        <f t="shared" si="11"/>
        <v>93</v>
      </c>
      <c r="F95" s="61">
        <f>IF(FT!A95&lt;&gt;"",FT!A95*10,"")</f>
        <v>2.1454599999999999</v>
      </c>
      <c r="G95" s="61">
        <f>IF(FT!B95&lt;&gt;"",FT!B95*100,"")</f>
        <v>51.525699999999993</v>
      </c>
      <c r="H95" s="61">
        <f t="shared" si="9"/>
        <v>1</v>
      </c>
      <c r="I95" t="str">
        <f>IF(FT!B95&lt;&gt;"",FT!E95,"")</f>
        <v>2 [37.855520]</v>
      </c>
      <c r="J95">
        <f>IF(FT!B95&lt;&gt;"",FT!C95,"")</f>
        <v>37.855499999999999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2.13686</v>
      </c>
      <c r="G96" s="61">
        <f>IF(FT!B96&lt;&gt;"",FT!B96*100,"")</f>
        <v>51.560300000000005</v>
      </c>
      <c r="H96" s="61">
        <f t="shared" si="9"/>
        <v>1</v>
      </c>
      <c r="I96" t="str">
        <f>IF(FT!B96&lt;&gt;"",FT!E96,"")</f>
        <v>2 [38.263372]</v>
      </c>
      <c r="J96">
        <f>IF(FT!B96&lt;&gt;"",FT!C96,"")</f>
        <v>38.263399999999997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2.1282799999999997</v>
      </c>
      <c r="G97" s="61">
        <f>IF(FT!B97&lt;&gt;"",FT!B97*100,"")</f>
        <v>51.563499999999998</v>
      </c>
      <c r="H97" s="61">
        <f t="shared" si="9"/>
        <v>1</v>
      </c>
      <c r="I97" t="str">
        <f>IF(FT!B97&lt;&gt;"",FT!E97,"")</f>
        <v>2 [38.671281]</v>
      </c>
      <c r="J97">
        <f>IF(FT!B97&lt;&gt;"",FT!C97,"")</f>
        <v>38.671300000000002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44656</v>
      </c>
      <c r="D98" s="61">
        <f>FH!B98*1</f>
        <v>44656</v>
      </c>
      <c r="E98">
        <f t="shared" si="11"/>
        <v>96</v>
      </c>
      <c r="F98" s="61">
        <f>IF(FT!A98&lt;&gt;"",FT!A98*10,"")</f>
        <v>2.1190600000000002</v>
      </c>
      <c r="G98" s="61">
        <f>IF(FT!B98&lt;&gt;"",FT!B98*100,"")</f>
        <v>51.586299999999994</v>
      </c>
      <c r="H98" s="61">
        <f t="shared" si="9"/>
        <v>1</v>
      </c>
      <c r="I98" t="str">
        <f>IF(FT!B98&lt;&gt;"",FT!E98,"")</f>
        <v>2 [39.078318]</v>
      </c>
      <c r="J98">
        <f>IF(FT!B98&lt;&gt;"",FT!C98,"")</f>
        <v>39.078299999999999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2.1121500000000002</v>
      </c>
      <c r="G99" s="61">
        <f>IF(FT!B99&lt;&gt;"",FT!B99*100,"")</f>
        <v>51.558099999999996</v>
      </c>
      <c r="H99" s="61">
        <f t="shared" si="9"/>
        <v>1</v>
      </c>
      <c r="I99" t="str">
        <f>IF(FT!B99&lt;&gt;"",FT!E99,"")</f>
        <v>2 [39.485072]</v>
      </c>
      <c r="J99">
        <f>IF(FT!B99&lt;&gt;"",FT!C99,"")</f>
        <v>39.485100000000003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38888</v>
      </c>
      <c r="D100" s="61">
        <f>FH!B100*1</f>
        <v>38888</v>
      </c>
      <c r="E100">
        <f t="shared" si="11"/>
        <v>98</v>
      </c>
      <c r="F100" s="61">
        <f>IF(FT!A100&lt;&gt;"",FT!A100*10,"")</f>
        <v>2.1069900000000001</v>
      </c>
      <c r="G100" s="61">
        <f>IF(FT!B100&lt;&gt;"",FT!B100*100,"")</f>
        <v>51.471900000000005</v>
      </c>
      <c r="H100" s="61">
        <f t="shared" si="9"/>
        <v>1</v>
      </c>
      <c r="I100" t="str">
        <f>IF(FT!B100&lt;&gt;"",FT!E100,"")</f>
        <v>2 [39.889095]</v>
      </c>
      <c r="J100">
        <f>IF(FT!B100&lt;&gt;"",FT!C100,"")</f>
        <v>39.889099999999999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2.1021799999999997</v>
      </c>
      <c r="G101" s="61">
        <f>IF(FT!B101&lt;&gt;"",FT!B101*100,"")</f>
        <v>51.351300000000002</v>
      </c>
      <c r="H101" s="61">
        <f t="shared" si="9"/>
        <v>1</v>
      </c>
      <c r="I101" t="str">
        <f>IF(FT!B101&lt;&gt;"",FT!E101,"")</f>
        <v>2 [40.294995]</v>
      </c>
      <c r="J101">
        <f>IF(FT!B101&lt;&gt;"",FT!C101,"")</f>
        <v>40.295000000000002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2.0964399999999999</v>
      </c>
      <c r="G102" s="61">
        <f>IF(FT!B102&lt;&gt;"",FT!B102*100,"")</f>
        <v>51.234999999999999</v>
      </c>
      <c r="H102" s="61">
        <f t="shared" si="9"/>
        <v>1</v>
      </c>
      <c r="I102" t="str">
        <f>IF(FT!B102&lt;&gt;"",FT!E102,"")</f>
        <v>2 [40.704898]</v>
      </c>
      <c r="J102">
        <f>IF(FT!B102&lt;&gt;"",FT!C102,"")</f>
        <v>40.704900000000002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30863</v>
      </c>
      <c r="D103" s="61">
        <f>FH!B103*1</f>
        <v>30863</v>
      </c>
      <c r="E103">
        <f t="shared" si="11"/>
        <v>101</v>
      </c>
      <c r="F103" s="61">
        <f>IF(FT!A103&lt;&gt;"",FT!A103*10,"")</f>
        <v>2.0891799999999998</v>
      </c>
      <c r="G103" s="61">
        <f>IF(FT!B103&lt;&gt;"",FT!B103*100,"")</f>
        <v>51.144199999999998</v>
      </c>
      <c r="H103" s="61">
        <f t="shared" si="9"/>
        <v>1</v>
      </c>
      <c r="I103" t="str">
        <f>IF(FT!B103&lt;&gt;"",FT!E103,"")</f>
        <v>2 [41.109866]</v>
      </c>
      <c r="J103">
        <f>IF(FT!B103&lt;&gt;"",FT!C103,"")</f>
        <v>41.109900000000003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2.0830199999999999</v>
      </c>
      <c r="G104" s="61">
        <f>IF(FT!B104&lt;&gt;"",FT!B104*100,"")</f>
        <v>50.984300000000005</v>
      </c>
      <c r="H104" s="61">
        <f t="shared" si="9"/>
        <v>1</v>
      </c>
      <c r="I104" t="str">
        <f>IF(FT!B104&lt;&gt;"",FT!E104,"")</f>
        <v>2 [41.514742]</v>
      </c>
      <c r="J104">
        <f>IF(FT!B104&lt;&gt;"",FT!C104,"")</f>
        <v>41.514699999999998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2.07612</v>
      </c>
      <c r="G105" s="61">
        <f>IF(FT!B105&lt;&gt;"",FT!B105*100,"")</f>
        <v>50.8613</v>
      </c>
      <c r="H105" s="61">
        <f t="shared" si="9"/>
        <v>1</v>
      </c>
      <c r="I105" t="str">
        <f>IF(FT!B105&lt;&gt;"",FT!E105,"")</f>
        <v>2 [41.920147]</v>
      </c>
      <c r="J105">
        <f>IF(FT!B105&lt;&gt;"",FT!C105,"")</f>
        <v>41.920099999999998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23903</v>
      </c>
      <c r="D106" s="61">
        <f>FH!B106*1</f>
        <v>23903</v>
      </c>
      <c r="E106">
        <f t="shared" si="11"/>
        <v>104</v>
      </c>
      <c r="F106" s="61">
        <f>IF(FT!A106&lt;&gt;"",FT!A106*10,"")</f>
        <v>2.07456</v>
      </c>
      <c r="G106" s="61">
        <f>IF(FT!B106&lt;&gt;"",FT!B106*100,"")</f>
        <v>50.632600000000004</v>
      </c>
      <c r="H106" s="61">
        <f t="shared" si="9"/>
        <v>1</v>
      </c>
      <c r="I106" t="str">
        <f>IF(FT!B106&lt;&gt;"",FT!E106,"")</f>
        <v>2 [42.325663]</v>
      </c>
      <c r="J106">
        <f>IF(FT!B106&lt;&gt;"",FT!C106,"")</f>
        <v>42.325699999999998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2.0758899999999998</v>
      </c>
      <c r="G107" s="61">
        <f>IF(FT!B107&lt;&gt;"",FT!B107*100,"")</f>
        <v>50.362399999999994</v>
      </c>
      <c r="H107" s="61">
        <f t="shared" si="9"/>
        <v>1</v>
      </c>
      <c r="I107" t="str">
        <f>IF(FT!B107&lt;&gt;"",FT!E107,"")</f>
        <v>2 [42.728144]</v>
      </c>
      <c r="J107">
        <f>IF(FT!B107&lt;&gt;"",FT!C107,"")</f>
        <v>42.728099999999998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18876</v>
      </c>
      <c r="D108" s="61">
        <f>FH!B108*1</f>
        <v>18876</v>
      </c>
      <c r="E108">
        <f t="shared" si="11"/>
        <v>106</v>
      </c>
      <c r="F108" s="61">
        <f>IF(FT!A108&lt;&gt;"",FT!A108*10,"")</f>
        <v>2.0796299999999999</v>
      </c>
      <c r="G108" s="61">
        <f>IF(FT!B108&lt;&gt;"",FT!B108*100,"")</f>
        <v>50.052199999999999</v>
      </c>
      <c r="H108" s="61">
        <f t="shared" si="9"/>
        <v>1</v>
      </c>
      <c r="I108" t="str">
        <f>IF(FT!B108&lt;&gt;"",FT!E108,"")</f>
        <v>2 [43.139303]</v>
      </c>
      <c r="J108">
        <f>IF(FT!B108&lt;&gt;"",FT!C108,"")</f>
        <v>43.139299999999999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2.0839099999999999</v>
      </c>
      <c r="G109" s="61">
        <f>IF(FT!B109&lt;&gt;"",FT!B109*100,"")</f>
        <v>49.765999999999998</v>
      </c>
      <c r="H109" s="61">
        <f t="shared" si="9"/>
        <v>1</v>
      </c>
      <c r="I109" t="str">
        <f>IF(FT!B109&lt;&gt;"",FT!E109,"")</f>
        <v>2 [43.546338]</v>
      </c>
      <c r="J109">
        <f>IF(FT!B109&lt;&gt;"",FT!C109,"")</f>
        <v>43.546300000000002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2.0891899999999999</v>
      </c>
      <c r="G110" s="61">
        <f>IF(FT!B110&lt;&gt;"",FT!B110*100,"")</f>
        <v>49.478999999999999</v>
      </c>
      <c r="H110" s="61">
        <f t="shared" si="9"/>
        <v>1</v>
      </c>
      <c r="I110" t="str">
        <f>IF(FT!B110&lt;&gt;"",FT!E110,"")</f>
        <v>2 [43.951234]</v>
      </c>
      <c r="J110">
        <f>IF(FT!B110&lt;&gt;"",FT!C110,"")</f>
        <v>43.9512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15519</v>
      </c>
      <c r="D111" s="61">
        <f>FH!B111*1</f>
        <v>15519</v>
      </c>
      <c r="E111">
        <f t="shared" si="11"/>
        <v>109</v>
      </c>
      <c r="F111" s="61">
        <f>IF(FT!A111&lt;&gt;"",FT!A111*10,"")</f>
        <v>2.0947199999999997</v>
      </c>
      <c r="G111" s="61">
        <f>IF(FT!B111&lt;&gt;"",FT!B111*100,"")</f>
        <v>49.203400000000002</v>
      </c>
      <c r="H111" s="61">
        <f t="shared" si="9"/>
        <v>1</v>
      </c>
      <c r="I111" t="str">
        <f>IF(FT!B111&lt;&gt;"",FT!E111,"")</f>
        <v>2 [44.356264]</v>
      </c>
      <c r="J111">
        <f>IF(FT!B111&lt;&gt;"",FT!C111,"")</f>
        <v>44.356299999999997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2.1025</v>
      </c>
      <c r="G112" s="61">
        <f>IF(FT!B112&lt;&gt;"",FT!B112*100,"")</f>
        <v>48.9071</v>
      </c>
      <c r="H112" s="61">
        <f t="shared" si="9"/>
        <v>1</v>
      </c>
      <c r="I112" t="str">
        <f>IF(FT!B112&lt;&gt;"",FT!E112,"")</f>
        <v>2 [44.767086]</v>
      </c>
      <c r="J112">
        <f>IF(FT!B112&lt;&gt;"",FT!C112,"")</f>
        <v>44.767099999999999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12938</v>
      </c>
      <c r="D113" s="61">
        <f>FH!B113*1</f>
        <v>12938</v>
      </c>
      <c r="E113">
        <f t="shared" si="11"/>
        <v>111</v>
      </c>
      <c r="F113" s="61">
        <f>IF(FT!A113&lt;&gt;"",FT!A113*10,"")</f>
        <v>2.1078099999999997</v>
      </c>
      <c r="G113" s="61">
        <f>IF(FT!B113&lt;&gt;"",FT!B113*100,"")</f>
        <v>48.632199999999997</v>
      </c>
      <c r="H113" s="61">
        <f t="shared" si="9"/>
        <v>1</v>
      </c>
      <c r="I113" t="str">
        <f>IF(FT!B113&lt;&gt;"",FT!E113,"")</f>
        <v>2 [45.172958]</v>
      </c>
      <c r="J113">
        <f>IF(FT!B113&lt;&gt;"",FT!C113,"")</f>
        <v>45.173000000000002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2.1114800000000002</v>
      </c>
      <c r="G114" s="61">
        <f>IF(FT!B114&lt;&gt;"",FT!B114*100,"")</f>
        <v>48.394300000000001</v>
      </c>
      <c r="H114" s="61">
        <f t="shared" si="9"/>
        <v>1</v>
      </c>
      <c r="I114" t="str">
        <f>IF(FT!B114&lt;&gt;"",FT!E114,"")</f>
        <v>2 [45.577945]</v>
      </c>
      <c r="J114">
        <f>IF(FT!B114&lt;&gt;"",FT!C114,"")</f>
        <v>45.5779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2.1126</v>
      </c>
      <c r="G115" s="61">
        <f>IF(FT!B115&lt;&gt;"",FT!B115*100,"")</f>
        <v>48.236000000000004</v>
      </c>
      <c r="H115" s="61">
        <f t="shared" si="9"/>
        <v>1</v>
      </c>
      <c r="I115" t="str">
        <f>IF(FT!B115&lt;&gt;"",FT!E115,"")</f>
        <v>2 [45.982811]</v>
      </c>
      <c r="J115">
        <f>IF(FT!B115&lt;&gt;"",FT!C115,"")</f>
        <v>45.982799999999997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10834</v>
      </c>
      <c r="D116" s="61">
        <f>FH!B116*1</f>
        <v>10834</v>
      </c>
      <c r="E116">
        <f t="shared" si="11"/>
        <v>114</v>
      </c>
      <c r="F116" s="61">
        <f>IF(FT!A116&lt;&gt;"",FT!A116*10,"")</f>
        <v>2.1130299999999997</v>
      </c>
      <c r="G116" s="61">
        <f>IF(FT!B116&lt;&gt;"",FT!B116*100,"")</f>
        <v>48.083999999999996</v>
      </c>
      <c r="H116" s="61">
        <f t="shared" si="9"/>
        <v>1</v>
      </c>
      <c r="I116" t="str">
        <f>IF(FT!B116&lt;&gt;"",FT!E116,"")</f>
        <v>2 [46.386947]</v>
      </c>
      <c r="J116">
        <f>IF(FT!B116&lt;&gt;"",FT!C116,"")</f>
        <v>46.386899999999997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2.1132900000000001</v>
      </c>
      <c r="G117" s="61">
        <f>IF(FT!B117&lt;&gt;"",FT!B117*100,"")</f>
        <v>47.950900000000004</v>
      </c>
      <c r="H117" s="61">
        <f t="shared" si="9"/>
        <v>1</v>
      </c>
      <c r="I117" t="str">
        <f>IF(FT!B117&lt;&gt;"",FT!E117,"")</f>
        <v>2 [46.795592]</v>
      </c>
      <c r="J117">
        <f>IF(FT!B117&lt;&gt;"",FT!C117,"")</f>
        <v>46.7956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7074</v>
      </c>
      <c r="D118" s="61">
        <f>FH!B118*1</f>
        <v>7074</v>
      </c>
      <c r="E118">
        <f t="shared" si="11"/>
        <v>116</v>
      </c>
      <c r="F118" s="61">
        <f>IF(FT!A118&lt;&gt;"",FT!A118*10,"")</f>
        <v>2.11321</v>
      </c>
      <c r="G118" s="61">
        <f>IF(FT!B118&lt;&gt;"",FT!B118*100,"")</f>
        <v>47.830500000000001</v>
      </c>
      <c r="H118" s="61">
        <f t="shared" si="9"/>
        <v>1</v>
      </c>
      <c r="I118" t="str">
        <f>IF(FT!B118&lt;&gt;"",FT!E118,"")</f>
        <v>2 [47.203682]</v>
      </c>
      <c r="J118">
        <f>IF(FT!B118&lt;&gt;"",FT!C118,"")</f>
        <v>47.203699999999998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2.1122700000000001</v>
      </c>
      <c r="G119" s="61">
        <f>IF(FT!B119&lt;&gt;"",FT!B119*100,"")</f>
        <v>47.793600000000005</v>
      </c>
      <c r="H119" s="61">
        <f t="shared" si="9"/>
        <v>1</v>
      </c>
      <c r="I119" t="str">
        <f>IF(FT!B119&lt;&gt;"",FT!E119,"")</f>
        <v>2 [47.608368]</v>
      </c>
      <c r="J119">
        <f>IF(FT!B119&lt;&gt;"",FT!C119,"")</f>
        <v>47.608400000000003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2.1109100000000001</v>
      </c>
      <c r="G120" s="61">
        <f>IF(FT!B120&lt;&gt;"",FT!B120*100,"")</f>
        <v>47.841499999999996</v>
      </c>
      <c r="H120" s="61">
        <f t="shared" si="9"/>
        <v>1</v>
      </c>
      <c r="I120" t="str">
        <f>IF(FT!B120&lt;&gt;"",FT!E120,"")</f>
        <v>2 [48.013287]</v>
      </c>
      <c r="J120">
        <f>IF(FT!B120&lt;&gt;"",FT!C120,"")</f>
        <v>48.013300000000001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5703</v>
      </c>
      <c r="D121" s="61">
        <f>FH!B121*1</f>
        <v>5703</v>
      </c>
      <c r="E121">
        <f t="shared" si="11"/>
        <v>119</v>
      </c>
      <c r="F121" s="61">
        <f>IF(FT!A121&lt;&gt;"",FT!A121*10,"")</f>
        <v>2.1086399999999998</v>
      </c>
      <c r="G121" s="61">
        <f>IF(FT!B121&lt;&gt;"",FT!B121*100,"")</f>
        <v>47.911099999999998</v>
      </c>
      <c r="H121" s="61">
        <f t="shared" si="9"/>
        <v>1</v>
      </c>
      <c r="I121" t="str">
        <f>IF(FT!B121&lt;&gt;"",FT!E121,"")</f>
        <v>2 [48.421483]</v>
      </c>
      <c r="J121">
        <f>IF(FT!B121&lt;&gt;"",FT!C121,"")</f>
        <v>48.421500000000002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2.1057999999999999</v>
      </c>
      <c r="G122" s="61">
        <f>IF(FT!B122&lt;&gt;"",FT!B122*100,"")</f>
        <v>47.985699999999994</v>
      </c>
      <c r="H122" s="61">
        <f t="shared" si="9"/>
        <v>1</v>
      </c>
      <c r="I122" t="str">
        <f>IF(FT!B122&lt;&gt;"",FT!E122,"")</f>
        <v>2 [48.828314]</v>
      </c>
      <c r="J122">
        <f>IF(FT!B122&lt;&gt;"",FT!C122,"")</f>
        <v>48.828299999999999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2.10202</v>
      </c>
      <c r="G123" s="61">
        <f>IF(FT!B123&lt;&gt;"",FT!B123*100,"")</f>
        <v>48.107199999999999</v>
      </c>
      <c r="H123" s="61">
        <f t="shared" si="9"/>
        <v>1</v>
      </c>
      <c r="I123" t="str">
        <f>IF(FT!B123&lt;&gt;"",FT!E123,"")</f>
        <v>2 [49.235034]</v>
      </c>
      <c r="J123">
        <f>IF(FT!B123&lt;&gt;"",FT!C123,"")</f>
        <v>49.234999999999999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8543</v>
      </c>
      <c r="D124" s="61">
        <f>FH!B124*1</f>
        <v>8543</v>
      </c>
      <c r="E124">
        <f t="shared" si="11"/>
        <v>122</v>
      </c>
      <c r="F124" s="61">
        <f>IF(FT!A124&lt;&gt;"",FT!A124*10,"")</f>
        <v>2.0973999999999999</v>
      </c>
      <c r="G124" s="61">
        <f>IF(FT!B124&lt;&gt;"",FT!B124*100,"")</f>
        <v>48.294800000000002</v>
      </c>
      <c r="H124" s="61">
        <f t="shared" si="9"/>
        <v>1</v>
      </c>
      <c r="I124" t="str">
        <f>IF(FT!B124&lt;&gt;"",FT!E124,"")</f>
        <v>2 [49.641951]</v>
      </c>
      <c r="J124">
        <f>IF(FT!B124&lt;&gt;"",FT!C124,"")</f>
        <v>49.642000000000003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2.09239</v>
      </c>
      <c r="G125" s="61">
        <f>IF(FT!B125&lt;&gt;"",FT!B125*100,"")</f>
        <v>48.506799999999998</v>
      </c>
      <c r="H125" s="61">
        <f t="shared" si="9"/>
        <v>1</v>
      </c>
      <c r="I125" t="str">
        <f>IF(FT!B125&lt;&gt;"",FT!E125,"")</f>
        <v>2 [50.045894]</v>
      </c>
      <c r="J125">
        <f>IF(FT!B125&lt;&gt;"",FT!C125,"")</f>
        <v>50.045900000000003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6725</v>
      </c>
      <c r="D126" s="61">
        <f>FH!B126*1</f>
        <v>6725</v>
      </c>
      <c r="E126">
        <f t="shared" si="11"/>
        <v>124</v>
      </c>
      <c r="F126" s="61">
        <f>IF(FT!A126&lt;&gt;"",FT!A126*10,"")</f>
        <v>2.0918999999999999</v>
      </c>
      <c r="G126" s="61">
        <f>IF(FT!B126&lt;&gt;"",FT!B126*100,"")</f>
        <v>48.517400000000002</v>
      </c>
      <c r="H126" s="61">
        <f t="shared" si="9"/>
        <v>1</v>
      </c>
      <c r="I126" t="str">
        <f>IF(FT!B126&lt;&gt;"",FT!E126,"")</f>
        <v>2 [50.450058]</v>
      </c>
      <c r="J126">
        <f>IF(FT!B126&lt;&gt;"",FT!C126,"")</f>
        <v>50.450099999999999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2.0917300000000001</v>
      </c>
      <c r="G127" s="61">
        <f>IF(FT!B127&lt;&gt;"",FT!B127*100,"")</f>
        <v>48.5381</v>
      </c>
      <c r="H127" s="61">
        <f t="shared" si="9"/>
        <v>1</v>
      </c>
      <c r="I127" t="str">
        <f>IF(FT!B127&lt;&gt;"",FT!E127,"")</f>
        <v>2 [50.855499]</v>
      </c>
      <c r="J127">
        <f>IF(FT!B127&lt;&gt;"",FT!C127,"")</f>
        <v>50.855499999999999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2.0929099999999998</v>
      </c>
      <c r="G128" s="61">
        <f>IF(FT!B128&lt;&gt;"",FT!B128*100,"")</f>
        <v>48.554199999999994</v>
      </c>
      <c r="H128" s="61">
        <f t="shared" si="9"/>
        <v>1</v>
      </c>
      <c r="I128" t="str">
        <f>IF(FT!B128&lt;&gt;"",FT!E128,"")</f>
        <v>2 [51.264692]</v>
      </c>
      <c r="J128">
        <f>IF(FT!B128&lt;&gt;"",FT!C128,"")</f>
        <v>51.264699999999998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5588</v>
      </c>
      <c r="D129" s="61">
        <f>FH!B129*1</f>
        <v>5588</v>
      </c>
      <c r="E129">
        <f t="shared" si="11"/>
        <v>127</v>
      </c>
      <c r="F129" s="61">
        <f>IF(FT!A129&lt;&gt;"",FT!A129*10,"")</f>
        <v>2.0921699999999999</v>
      </c>
      <c r="G129" s="61">
        <f>IF(FT!B129&lt;&gt;"",FT!B129*100,"")</f>
        <v>48.666599999999995</v>
      </c>
      <c r="H129" s="61">
        <f t="shared" si="9"/>
        <v>1</v>
      </c>
      <c r="I129" t="str">
        <f>IF(FT!B129&lt;&gt;"",FT!E129,"")</f>
        <v>2 [51.670522]</v>
      </c>
      <c r="J129">
        <f>IF(FT!B129&lt;&gt;"",FT!C129,"")</f>
        <v>51.670499999999997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2.09104</v>
      </c>
      <c r="G130" s="61">
        <f>IF(FT!B130&lt;&gt;"",FT!B130*100,"")</f>
        <v>48.776000000000003</v>
      </c>
      <c r="H130" s="61">
        <f t="shared" si="9"/>
        <v>1</v>
      </c>
      <c r="I130" t="str">
        <f>IF(FT!B130&lt;&gt;"",FT!E130,"")</f>
        <v>2 [52.075521]</v>
      </c>
      <c r="J130">
        <f>IF(FT!B130&lt;&gt;"",FT!C130,"")</f>
        <v>52.075499999999998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4463</v>
      </c>
      <c r="D131" s="61">
        <f>FH!B131*1</f>
        <v>4463</v>
      </c>
      <c r="E131">
        <f t="shared" si="11"/>
        <v>129</v>
      </c>
      <c r="F131" s="61">
        <f>IF(FT!A131&lt;&gt;"",FT!A131*10,"")</f>
        <v>2.08813</v>
      </c>
      <c r="G131" s="61">
        <f>IF(FT!B131&lt;&gt;"",FT!B131*100,"")</f>
        <v>48.928100000000001</v>
      </c>
      <c r="H131" s="61">
        <f t="shared" ref="H131:H194" si="13">(IF(F131&lt;&gt;"",1,""))</f>
        <v>1</v>
      </c>
      <c r="I131" t="str">
        <f>IF(FT!B131&lt;&gt;"",FT!E131,"")</f>
        <v>2 [52.479452]</v>
      </c>
      <c r="J131">
        <f>IF(FT!B131&lt;&gt;"",FT!C131,"")</f>
        <v>52.479500000000002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2.0838200000000002</v>
      </c>
      <c r="G132" s="61">
        <f>IF(FT!B132&lt;&gt;"",FT!B132*100,"")</f>
        <v>49.109499999999997</v>
      </c>
      <c r="H132" s="61">
        <f t="shared" si="13"/>
        <v>1</v>
      </c>
      <c r="I132" t="str">
        <f>IF(FT!B132&lt;&gt;"",FT!E132,"")</f>
        <v>2 [52.892287]</v>
      </c>
      <c r="J132">
        <f>IF(FT!B132&lt;&gt;"",FT!C132,"")</f>
        <v>52.892299999999999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2.0789399999999998</v>
      </c>
      <c r="G133" s="61">
        <f>IF(FT!B133&lt;&gt;"",FT!B133*100,"")</f>
        <v>49.308099999999996</v>
      </c>
      <c r="H133" s="61">
        <f t="shared" si="13"/>
        <v>1</v>
      </c>
      <c r="I133" t="str">
        <f>IF(FT!B133&lt;&gt;"",FT!E133,"")</f>
        <v>2 [53.297270]</v>
      </c>
      <c r="J133">
        <f>IF(FT!B133&lt;&gt;"",FT!C133,"")</f>
        <v>53.2973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4561</v>
      </c>
      <c r="D134" s="61">
        <f>FH!B134*1</f>
        <v>4561</v>
      </c>
      <c r="E134">
        <f t="shared" si="15"/>
        <v>132</v>
      </c>
      <c r="F134" s="61">
        <f>IF(FT!A134&lt;&gt;"",FT!A134*10,"")</f>
        <v>2.0738400000000001</v>
      </c>
      <c r="G134" s="61">
        <f>IF(FT!B134&lt;&gt;"",FT!B134*100,"")</f>
        <v>49.505500000000005</v>
      </c>
      <c r="H134" s="61">
        <f t="shared" si="13"/>
        <v>1</v>
      </c>
      <c r="I134" t="str">
        <f>IF(FT!B134&lt;&gt;"",FT!E134,"")</f>
        <v>2 [53.703313]</v>
      </c>
      <c r="J134">
        <f>IF(FT!B134&lt;&gt;"",FT!C134,"")</f>
        <v>53.703299999999999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2.0678199999999998</v>
      </c>
      <c r="G135" s="61">
        <f>IF(FT!B135&lt;&gt;"",FT!B135*100,"")</f>
        <v>49.723199999999999</v>
      </c>
      <c r="H135" s="61">
        <f t="shared" si="13"/>
        <v>1</v>
      </c>
      <c r="I135" t="str">
        <f>IF(FT!B135&lt;&gt;"",FT!E135,"")</f>
        <v>2 [54.109076]</v>
      </c>
      <c r="J135">
        <f>IF(FT!B135&lt;&gt;"",FT!C135,"")</f>
        <v>54.109099999999998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3268</v>
      </c>
      <c r="D136" s="61">
        <f>FH!B136*1</f>
        <v>3268</v>
      </c>
      <c r="E136">
        <f t="shared" si="15"/>
        <v>134</v>
      </c>
      <c r="F136" s="61">
        <f>IF(FT!A136&lt;&gt;"",FT!A136*10,"")</f>
        <v>2.0630299999999999</v>
      </c>
      <c r="G136" s="61">
        <f>IF(FT!B136&lt;&gt;"",FT!B136*100,"")</f>
        <v>49.931899999999999</v>
      </c>
      <c r="H136" s="61">
        <f t="shared" si="13"/>
        <v>1</v>
      </c>
      <c r="I136" t="str">
        <f>IF(FT!B136&lt;&gt;"",FT!E136,"")</f>
        <v>2 [54.514342]</v>
      </c>
      <c r="J136">
        <f>IF(FT!B136&lt;&gt;"",FT!C136,"")</f>
        <v>54.514299999999999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2.0564499999999999</v>
      </c>
      <c r="G137" s="61">
        <f>IF(FT!B137&lt;&gt;"",FT!B137*100,"")</f>
        <v>50.204999999999998</v>
      </c>
      <c r="H137" s="61">
        <f t="shared" si="13"/>
        <v>1</v>
      </c>
      <c r="I137" t="str">
        <f>IF(FT!B137&lt;&gt;"",FT!E137,"")</f>
        <v>2 [54.922913]</v>
      </c>
      <c r="J137">
        <f>IF(FT!B137&lt;&gt;"",FT!C137,"")</f>
        <v>54.922899999999998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2.04928</v>
      </c>
      <c r="G138" s="61">
        <f>IF(FT!B138&lt;&gt;"",FT!B138*100,"")</f>
        <v>50.557900000000004</v>
      </c>
      <c r="H138" s="61">
        <f t="shared" si="13"/>
        <v>1</v>
      </c>
      <c r="I138" t="str">
        <f>IF(FT!B138&lt;&gt;"",FT!E138,"")</f>
        <v>2 [55.328839]</v>
      </c>
      <c r="J138">
        <f>IF(FT!B138&lt;&gt;"",FT!C138,"")</f>
        <v>55.328800000000001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2752</v>
      </c>
      <c r="D139" s="61">
        <f>FH!B139*1</f>
        <v>2752</v>
      </c>
      <c r="E139">
        <f t="shared" si="15"/>
        <v>137</v>
      </c>
      <c r="F139" s="61">
        <f>IF(FT!A139&lt;&gt;"",FT!A139*10,"")</f>
        <v>2.0420500000000001</v>
      </c>
      <c r="G139" s="61">
        <f>IF(FT!B139&lt;&gt;"",FT!B139*100,"")</f>
        <v>50.9529</v>
      </c>
      <c r="H139" s="61">
        <f t="shared" si="13"/>
        <v>1</v>
      </c>
      <c r="I139" t="str">
        <f>IF(FT!B139&lt;&gt;"",FT!E139,"")</f>
        <v>2 [55.733778]</v>
      </c>
      <c r="J139">
        <f>IF(FT!B139&lt;&gt;"",FT!C139,"")</f>
        <v>55.733800000000002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2.0369999999999999</v>
      </c>
      <c r="G140" s="61">
        <f>IF(FT!B140&lt;&gt;"",FT!B140*100,"")</f>
        <v>51.254599999999996</v>
      </c>
      <c r="H140" s="61">
        <f t="shared" si="13"/>
        <v>1</v>
      </c>
      <c r="I140" t="str">
        <f>IF(FT!B140&lt;&gt;"",FT!E140,"")</f>
        <v>2 [56.136903]</v>
      </c>
      <c r="J140">
        <f>IF(FT!B140&lt;&gt;"",FT!C140,"")</f>
        <v>56.136899999999997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2.0312900000000003</v>
      </c>
      <c r="G141" s="61">
        <f>IF(FT!B141&lt;&gt;"",FT!B141*100,"")</f>
        <v>51.615299999999998</v>
      </c>
      <c r="H141" s="61">
        <f t="shared" si="13"/>
        <v>1</v>
      </c>
      <c r="I141" t="str">
        <f>IF(FT!B141&lt;&gt;"",FT!E141,"")</f>
        <v>2 [56.542621]</v>
      </c>
      <c r="J141">
        <f>IF(FT!B141&lt;&gt;"",FT!C141,"")</f>
        <v>56.5426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1372</v>
      </c>
      <c r="D142" s="61">
        <f>FH!B142*1</f>
        <v>1372</v>
      </c>
      <c r="E142">
        <f t="shared" si="15"/>
        <v>140</v>
      </c>
      <c r="F142" s="61">
        <f>IF(FT!A142&lt;&gt;"",FT!A142*10,"")</f>
        <v>2.02372</v>
      </c>
      <c r="G142" s="61">
        <f>IF(FT!B142&lt;&gt;"",FT!B142*100,"")</f>
        <v>52.090800000000002</v>
      </c>
      <c r="H142" s="61">
        <f t="shared" si="13"/>
        <v>1</v>
      </c>
      <c r="I142" t="str">
        <f>IF(FT!B142&lt;&gt;"",FT!E142,"")</f>
        <v>2 [56.956449]</v>
      </c>
      <c r="J142">
        <f>IF(FT!B142&lt;&gt;"",FT!C142,"")</f>
        <v>56.956400000000002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2.0143200000000001</v>
      </c>
      <c r="G143" s="61">
        <f>IF(FT!B143&lt;&gt;"",FT!B143*100,"")</f>
        <v>52.731700000000004</v>
      </c>
      <c r="H143" s="61">
        <f t="shared" si="13"/>
        <v>1</v>
      </c>
      <c r="I143" t="str">
        <f>IF(FT!B143&lt;&gt;"",FT!E143,"")</f>
        <v>2 [57.360395]</v>
      </c>
      <c r="J143">
        <f>IF(FT!B143&lt;&gt;"",FT!C143,"")</f>
        <v>57.360399999999998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452</v>
      </c>
      <c r="D144" s="61">
        <f>FH!B144*1</f>
        <v>452</v>
      </c>
      <c r="E144">
        <f t="shared" si="15"/>
        <v>142</v>
      </c>
      <c r="F144" s="61">
        <f>IF(FT!A144&lt;&gt;"",FT!A144*10,"")</f>
        <v>2.0063300000000002</v>
      </c>
      <c r="G144" s="61">
        <f>IF(FT!B144&lt;&gt;"",FT!B144*100,"")</f>
        <v>53.242599999999996</v>
      </c>
      <c r="H144" s="61">
        <f t="shared" si="13"/>
        <v>1</v>
      </c>
      <c r="I144" t="str">
        <f>IF(FT!B144&lt;&gt;"",FT!E144,"")</f>
        <v>2 [57.767305]</v>
      </c>
      <c r="J144">
        <f>IF(FT!B144&lt;&gt;"",FT!C144,"")</f>
        <v>57.767299999999999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1.99702</v>
      </c>
      <c r="G145" s="61">
        <f>IF(FT!B145&lt;&gt;"",FT!B145*100,"")</f>
        <v>53.640100000000004</v>
      </c>
      <c r="H145" s="61">
        <f t="shared" si="13"/>
        <v>1</v>
      </c>
      <c r="I145" t="str">
        <f>IF(FT!B145&lt;&gt;"",FT!E145,"")</f>
        <v>2 [58.172245]</v>
      </c>
      <c r="J145">
        <f>IF(FT!B145&lt;&gt;"",FT!C145,"")</f>
        <v>58.172199999999997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1.9864100000000002</v>
      </c>
      <c r="G146" s="61">
        <f>IF(FT!B146&lt;&gt;"",FT!B146*100,"")</f>
        <v>54.048200000000001</v>
      </c>
      <c r="H146" s="61">
        <f t="shared" si="13"/>
        <v>1</v>
      </c>
      <c r="I146" t="str">
        <f>IF(FT!B146&lt;&gt;"",FT!E146,"")</f>
        <v>2 [58.577135]</v>
      </c>
      <c r="J146">
        <f>IF(FT!B146&lt;&gt;"",FT!C146,"")</f>
        <v>58.577100000000002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179</v>
      </c>
      <c r="D147" s="61">
        <f>FH!B147*1</f>
        <v>179</v>
      </c>
      <c r="E147">
        <f t="shared" si="15"/>
        <v>145</v>
      </c>
      <c r="F147" s="61">
        <f>IF(FT!A147&lt;&gt;"",FT!A147*10,"")</f>
        <v>1.9799600000000002</v>
      </c>
      <c r="G147" s="61">
        <f>IF(FT!B147&lt;&gt;"",FT!B147*100,"")</f>
        <v>54.571999999999996</v>
      </c>
      <c r="H147" s="61">
        <f t="shared" si="13"/>
        <v>1</v>
      </c>
      <c r="I147" t="str">
        <f>IF(FT!B147&lt;&gt;"",FT!E147,"")</f>
        <v>2 [58.983996]</v>
      </c>
      <c r="J147">
        <f>IF(FT!B147&lt;&gt;"",FT!C147,"")</f>
        <v>58.984000000000002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1.9762599999999999</v>
      </c>
      <c r="G148" s="61">
        <f>IF(FT!B148&lt;&gt;"",FT!B148*100,"")</f>
        <v>55.006600000000006</v>
      </c>
      <c r="H148" s="61">
        <f t="shared" si="13"/>
        <v>1</v>
      </c>
      <c r="I148" t="str">
        <f>IF(FT!B148&lt;&gt;"",FT!E148,"")</f>
        <v>2 [59.388982]</v>
      </c>
      <c r="J148">
        <f>IF(FT!B148&lt;&gt;"",FT!C148,"")</f>
        <v>59.389000000000003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277</v>
      </c>
      <c r="D149" s="61">
        <f>FH!B149*1</f>
        <v>277</v>
      </c>
      <c r="E149">
        <f t="shared" si="15"/>
        <v>147</v>
      </c>
      <c r="F149" s="61">
        <f>IF(FT!A149&lt;&gt;"",FT!A149*10,"")</f>
        <v>1.9746600000000001</v>
      </c>
      <c r="G149" s="61">
        <f>IF(FT!B149&lt;&gt;"",FT!B149*100,"")</f>
        <v>55.020100000000006</v>
      </c>
      <c r="H149" s="61">
        <f t="shared" si="13"/>
        <v>1</v>
      </c>
      <c r="I149" t="str">
        <f>IF(FT!B149&lt;&gt;"",FT!E149,"")</f>
        <v>2 [59.798874]</v>
      </c>
      <c r="J149">
        <f>IF(FT!B149&lt;&gt;"",FT!C149,"")</f>
        <v>59.798900000000003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379</v>
      </c>
      <c r="D152" s="61">
        <f>FH!B152*1</f>
        <v>379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96</v>
      </c>
      <c r="D154" s="61">
        <f>FH!B154*1</f>
        <v>96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30.603899999999999</v>
      </c>
      <c r="C5" s="66">
        <v>6.2812200000000002</v>
      </c>
      <c r="D5" s="66">
        <v>20.5243</v>
      </c>
      <c r="E5" s="66">
        <v>20</v>
      </c>
      <c r="F5" s="66">
        <v>9.9427000000000003</v>
      </c>
      <c r="G5" s="66">
        <v>50</v>
      </c>
      <c r="H5" s="66">
        <v>38.118600000000001</v>
      </c>
    </row>
    <row r="6" spans="1:8">
      <c r="A6" s="58" t="s">
        <v>303</v>
      </c>
      <c r="B6" s="66">
        <v>40.713900000000002</v>
      </c>
      <c r="C6" s="66">
        <v>4.1638500000000001</v>
      </c>
      <c r="D6" s="66">
        <v>10.2271</v>
      </c>
      <c r="E6" s="66">
        <v>20</v>
      </c>
      <c r="F6" s="66">
        <v>28.8779</v>
      </c>
      <c r="G6" s="66">
        <v>40</v>
      </c>
      <c r="H6" s="66">
        <v>44.924500000000002</v>
      </c>
    </row>
    <row r="7" spans="1:8">
      <c r="A7" s="58" t="s">
        <v>304</v>
      </c>
      <c r="B7" s="66">
        <v>29.77</v>
      </c>
      <c r="C7" s="66">
        <v>5.6497299999999999</v>
      </c>
      <c r="D7" s="66">
        <v>18.978000000000002</v>
      </c>
      <c r="E7" s="66">
        <v>15</v>
      </c>
      <c r="F7" s="66">
        <v>8.0345399999999998</v>
      </c>
      <c r="G7" s="66">
        <v>40</v>
      </c>
      <c r="H7" s="66">
        <v>46.850499999999997</v>
      </c>
    </row>
    <row r="8" spans="1:8">
      <c r="A8" s="58" t="s">
        <v>305</v>
      </c>
      <c r="B8" s="66">
        <v>34.331499999999998</v>
      </c>
      <c r="C8" s="66">
        <v>4.4468699999999997</v>
      </c>
      <c r="D8" s="66">
        <v>12.9527</v>
      </c>
      <c r="E8" s="66">
        <v>20</v>
      </c>
      <c r="F8" s="66">
        <v>16.738399999999999</v>
      </c>
      <c r="G8" s="66">
        <v>50</v>
      </c>
      <c r="H8" s="66">
        <v>37.911299999999997</v>
      </c>
    </row>
    <row r="9" spans="1:8">
      <c r="A9" s="58" t="s">
        <v>306</v>
      </c>
      <c r="B9" s="66">
        <v>65.146799999999999</v>
      </c>
      <c r="C9" s="66">
        <v>4.8033900000000003</v>
      </c>
      <c r="D9" s="66">
        <v>7.3731799999999996</v>
      </c>
      <c r="E9" s="66">
        <v>50</v>
      </c>
      <c r="F9" s="66">
        <v>55.467100000000002</v>
      </c>
      <c r="G9" s="66">
        <v>100</v>
      </c>
      <c r="H9" s="66">
        <v>85.061800000000005</v>
      </c>
    </row>
    <row r="10" spans="1:8">
      <c r="A10" s="58" t="s">
        <v>307</v>
      </c>
      <c r="B10" s="66">
        <v>64.112499999999997</v>
      </c>
      <c r="C10" s="66">
        <v>10.162100000000001</v>
      </c>
      <c r="D10" s="66">
        <v>15.8504</v>
      </c>
      <c r="E10" s="66">
        <v>40</v>
      </c>
      <c r="F10" s="66">
        <v>38.067700000000002</v>
      </c>
      <c r="G10" s="66">
        <v>100</v>
      </c>
      <c r="H10" s="66">
        <v>78.421800000000005</v>
      </c>
    </row>
    <row r="11" spans="1:8">
      <c r="A11" s="58" t="s">
        <v>308</v>
      </c>
      <c r="B11" s="66">
        <v>11.103999999999999</v>
      </c>
      <c r="C11" s="66">
        <v>1.8996999999999999</v>
      </c>
      <c r="D11" s="66">
        <v>17.1083</v>
      </c>
      <c r="E11" s="66">
        <v>10</v>
      </c>
      <c r="F11" s="66">
        <v>6.2931600000000003</v>
      </c>
      <c r="G11" s="66">
        <v>50</v>
      </c>
      <c r="H11" s="66">
        <v>14.411099999999999</v>
      </c>
    </row>
    <row r="12" spans="1:8">
      <c r="A12" s="58" t="s">
        <v>309</v>
      </c>
      <c r="B12" s="66">
        <v>64.256399999999999</v>
      </c>
      <c r="C12" s="66">
        <v>5.4237299999999999</v>
      </c>
      <c r="D12" s="66">
        <v>8.4407700000000006</v>
      </c>
      <c r="E12" s="66">
        <v>50</v>
      </c>
      <c r="F12" s="66">
        <v>52.453200000000002</v>
      </c>
      <c r="G12" s="66">
        <v>100</v>
      </c>
      <c r="H12" s="66">
        <v>80.863500000000002</v>
      </c>
    </row>
    <row r="13" spans="1:8">
      <c r="A13" s="58" t="s">
        <v>310</v>
      </c>
      <c r="B13" s="66">
        <v>18.822500000000002</v>
      </c>
      <c r="C13" s="66">
        <v>2.7416200000000002</v>
      </c>
      <c r="D13" s="66">
        <v>14.5657</v>
      </c>
      <c r="E13" s="66">
        <v>10</v>
      </c>
      <c r="F13" s="66">
        <v>14.210900000000001</v>
      </c>
      <c r="G13" s="66">
        <v>25</v>
      </c>
      <c r="H13" s="66">
        <v>27.734100000000002</v>
      </c>
    </row>
    <row r="14" spans="1:8">
      <c r="A14" s="58" t="s">
        <v>311</v>
      </c>
      <c r="B14" s="66">
        <v>27.4162</v>
      </c>
      <c r="C14" s="66">
        <v>8.6205200000000008</v>
      </c>
      <c r="D14" s="66">
        <v>31.443100000000001</v>
      </c>
      <c r="E14" s="66">
        <v>10</v>
      </c>
      <c r="F14" s="66">
        <v>2.3843999999999999</v>
      </c>
      <c r="G14" s="66">
        <v>50</v>
      </c>
      <c r="H14" s="66">
        <v>32.203099999999999</v>
      </c>
    </row>
    <row r="15" spans="1:8">
      <c r="A15" s="58" t="s">
        <v>312</v>
      </c>
      <c r="B15" s="66">
        <v>2.5664799999999999E-3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5.2371000000000001E-2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15.7463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0.63687499999999997</v>
      </c>
      <c r="C18" s="66">
        <v>1.9459799999999999E-2</v>
      </c>
      <c r="D18" s="66">
        <v>3.0555200000000001E-2</v>
      </c>
      <c r="E18" s="66">
        <v>0</v>
      </c>
      <c r="F18" s="66">
        <v>0.61741500000000005</v>
      </c>
      <c r="G18" s="66">
        <v>0</v>
      </c>
      <c r="H18" s="66">
        <v>0.656335</v>
      </c>
    </row>
    <row r="19" spans="1:8">
      <c r="A19" s="58" t="s">
        <v>316</v>
      </c>
      <c r="B19" s="66">
        <v>0.79661999999999999</v>
      </c>
      <c r="C19" s="66">
        <v>6.1222699999999998E-2</v>
      </c>
      <c r="D19" s="66">
        <v>7.6853099999999994E-2</v>
      </c>
      <c r="E19" s="66">
        <v>0</v>
      </c>
      <c r="F19" s="66">
        <v>0.735398</v>
      </c>
      <c r="G19" s="66">
        <v>0</v>
      </c>
      <c r="H19" s="66">
        <v>0.85784300000000002</v>
      </c>
    </row>
    <row r="20" spans="1:8">
      <c r="A20" s="58" t="s">
        <v>317</v>
      </c>
      <c r="B20" s="196">
        <v>3.0862499999999998E-5</v>
      </c>
      <c r="C20" s="66">
        <v>6.2221500000000001E-3</v>
      </c>
      <c r="D20" s="66">
        <v>201.60900000000001</v>
      </c>
      <c r="E20" s="66">
        <v>0</v>
      </c>
      <c r="F20" s="66">
        <v>0</v>
      </c>
      <c r="G20" s="66">
        <v>0</v>
      </c>
      <c r="H20" s="66">
        <v>9.5579700000000004E-2</v>
      </c>
    </row>
    <row r="21" spans="1:8">
      <c r="A21" s="58" t="s">
        <v>318</v>
      </c>
      <c r="B21" s="66">
        <v>1.08767E-2</v>
      </c>
      <c r="C21" s="66">
        <v>7.9499600000000004E-2</v>
      </c>
      <c r="D21" s="66">
        <v>7.3091499999999998</v>
      </c>
      <c r="E21" s="66">
        <v>0</v>
      </c>
      <c r="F21" s="66">
        <v>0</v>
      </c>
      <c r="G21" s="66">
        <v>0</v>
      </c>
      <c r="H21" s="66">
        <v>0.81379299999999999</v>
      </c>
    </row>
    <row r="22" spans="1:8">
      <c r="A22" s="58" t="s">
        <v>319</v>
      </c>
      <c r="B22" s="66">
        <v>28.8568</v>
      </c>
      <c r="C22" s="66">
        <v>10.7761</v>
      </c>
      <c r="D22" s="66">
        <v>0.37343500000000002</v>
      </c>
      <c r="E22" s="66">
        <v>0</v>
      </c>
      <c r="F22" s="66">
        <v>7.0854499999999998</v>
      </c>
      <c r="G22" s="66">
        <v>0</v>
      </c>
      <c r="H22" s="66">
        <v>73.429699999999997</v>
      </c>
    </row>
    <row r="23" spans="1:8">
      <c r="A23" s="58" t="s">
        <v>320</v>
      </c>
      <c r="B23" s="66">
        <v>10.717599999999999</v>
      </c>
      <c r="C23" s="66">
        <v>1.1172599999999999</v>
      </c>
      <c r="D23" s="66">
        <v>0.10424600000000001</v>
      </c>
      <c r="E23" s="66">
        <v>0</v>
      </c>
      <c r="F23" s="66">
        <v>8.6948899999999991</v>
      </c>
      <c r="G23" s="66">
        <v>0</v>
      </c>
      <c r="H23" s="66">
        <v>15.168900000000001</v>
      </c>
    </row>
    <row r="24" spans="1:8">
      <c r="A24" s="58" t="s">
        <v>321</v>
      </c>
      <c r="B24" s="196">
        <v>8.3177900000000002E-5</v>
      </c>
      <c r="C24" s="66">
        <v>3.6677699999999999E-3</v>
      </c>
      <c r="D24" s="66">
        <v>44.095500000000001</v>
      </c>
      <c r="E24" s="66">
        <v>0</v>
      </c>
      <c r="F24" s="196">
        <v>1.1250900000000001E-7</v>
      </c>
      <c r="G24" s="66">
        <v>0</v>
      </c>
      <c r="H24" s="66">
        <v>2.88647E-2</v>
      </c>
    </row>
    <row r="25" spans="1:8">
      <c r="A25" s="58" t="s">
        <v>322</v>
      </c>
      <c r="B25" s="66">
        <v>1.8646200000000002E-2</v>
      </c>
      <c r="C25" s="66">
        <v>5.2286100000000002E-2</v>
      </c>
      <c r="D25" s="66">
        <v>2.8041100000000001</v>
      </c>
      <c r="E25" s="66">
        <v>0</v>
      </c>
      <c r="F25" s="66">
        <v>5.1281099999999995E-4</v>
      </c>
      <c r="G25" s="66">
        <v>0</v>
      </c>
      <c r="H25" s="66">
        <v>0.29466300000000001</v>
      </c>
    </row>
    <row r="26" spans="1:8">
      <c r="A26" s="58" t="s">
        <v>323</v>
      </c>
      <c r="B26" s="196">
        <v>1.31303E-5</v>
      </c>
      <c r="C26" s="66">
        <v>4.7630699999999998E-4</v>
      </c>
      <c r="D26" s="66">
        <v>36.275599999999997</v>
      </c>
      <c r="E26" s="66">
        <v>0</v>
      </c>
      <c r="F26" s="66">
        <v>0</v>
      </c>
      <c r="G26" s="66">
        <v>0</v>
      </c>
      <c r="H26" s="66">
        <v>5.4326399999999999E-3</v>
      </c>
    </row>
    <row r="27" spans="1:8">
      <c r="A27" s="58" t="s">
        <v>324</v>
      </c>
      <c r="B27" s="66">
        <v>0</v>
      </c>
      <c r="C27" s="66">
        <v>3.7151099999999999E-4</v>
      </c>
      <c r="D27" s="66">
        <v>0</v>
      </c>
      <c r="E27" s="66">
        <v>0</v>
      </c>
      <c r="F27" s="66">
        <v>-5.0387299999999999E-3</v>
      </c>
      <c r="G27" s="66">
        <v>0</v>
      </c>
      <c r="H27" s="66">
        <v>4.9895E-3</v>
      </c>
    </row>
    <row r="28" spans="1:8">
      <c r="A28" s="58" t="s">
        <v>325</v>
      </c>
      <c r="B28" s="66">
        <v>2.0003299999999998E-3</v>
      </c>
      <c r="C28" s="66">
        <v>7.5500200000000002E-3</v>
      </c>
      <c r="D28" s="66">
        <v>3.7744</v>
      </c>
      <c r="E28" s="66">
        <v>0</v>
      </c>
      <c r="F28" s="66">
        <v>0</v>
      </c>
      <c r="G28" s="66">
        <v>0</v>
      </c>
      <c r="H28" s="66">
        <v>6.8701200000000004E-2</v>
      </c>
    </row>
    <row r="29" spans="1:8">
      <c r="A29" s="58" t="s">
        <v>326</v>
      </c>
      <c r="B29" s="66">
        <v>60.394399999999997</v>
      </c>
      <c r="C29" s="66">
        <v>10.479100000000001</v>
      </c>
      <c r="D29" s="66">
        <v>0.173511</v>
      </c>
      <c r="E29" s="66">
        <v>0</v>
      </c>
      <c r="F29" s="66">
        <v>32.060499999999998</v>
      </c>
      <c r="G29" s="66">
        <v>0</v>
      </c>
      <c r="H29" s="66">
        <v>83.564999999999998</v>
      </c>
    </row>
    <row r="30" spans="1:8">
      <c r="A30" s="58" t="s">
        <v>327</v>
      </c>
      <c r="B30" s="66">
        <v>13.7944</v>
      </c>
      <c r="C30" s="66">
        <v>2.9360400000000002</v>
      </c>
      <c r="D30" s="66">
        <v>0.212843</v>
      </c>
      <c r="E30" s="66">
        <v>0</v>
      </c>
      <c r="F30" s="66">
        <v>10.087300000000001</v>
      </c>
      <c r="G30" s="66">
        <v>0</v>
      </c>
      <c r="H30" s="66">
        <v>21.737100000000002</v>
      </c>
    </row>
    <row r="31" spans="1:8">
      <c r="A31" s="58" t="s">
        <v>328</v>
      </c>
      <c r="B31" s="66">
        <v>75.969700000000003</v>
      </c>
      <c r="C31" s="66">
        <v>18.410599999999999</v>
      </c>
      <c r="D31" s="66">
        <v>0.242341</v>
      </c>
      <c r="E31" s="66">
        <v>0</v>
      </c>
      <c r="F31" s="66">
        <v>40.658099999999997</v>
      </c>
      <c r="G31" s="66">
        <v>0</v>
      </c>
      <c r="H31" s="66">
        <v>129.57</v>
      </c>
    </row>
    <row r="32" spans="1:8">
      <c r="A32" s="58" t="s">
        <v>329</v>
      </c>
      <c r="B32" s="66">
        <v>0.29770000000000002</v>
      </c>
      <c r="C32" s="66">
        <v>5.64973E-2</v>
      </c>
      <c r="D32" s="66">
        <v>0.18978</v>
      </c>
      <c r="E32" s="66">
        <v>0.15</v>
      </c>
      <c r="F32" s="66">
        <v>8.0345399999999997E-2</v>
      </c>
      <c r="G32" s="66">
        <v>0.4</v>
      </c>
      <c r="H32" s="66">
        <v>0.468505</v>
      </c>
    </row>
    <row r="33" spans="1:8">
      <c r="A33" s="58" t="s">
        <v>330</v>
      </c>
      <c r="B33" s="66">
        <v>0.38361800000000001</v>
      </c>
      <c r="C33" s="66">
        <v>5.3009199999999999E-2</v>
      </c>
      <c r="D33" s="66">
        <v>0.138182</v>
      </c>
      <c r="E33" s="66">
        <v>0</v>
      </c>
      <c r="F33" s="66">
        <v>0.22350700000000001</v>
      </c>
      <c r="G33" s="66">
        <v>0</v>
      </c>
      <c r="H33" s="66">
        <v>0.46710699999999999</v>
      </c>
    </row>
    <row r="34" spans="1:8">
      <c r="A34" s="58" t="s">
        <v>331</v>
      </c>
      <c r="B34" s="66">
        <v>0.188225</v>
      </c>
      <c r="C34" s="66">
        <v>2.7416200000000002E-2</v>
      </c>
      <c r="D34" s="66">
        <v>0.14565700000000001</v>
      </c>
      <c r="E34" s="66">
        <v>0.1</v>
      </c>
      <c r="F34" s="66">
        <v>0.14210900000000001</v>
      </c>
      <c r="G34" s="66">
        <v>0.25</v>
      </c>
      <c r="H34" s="66">
        <v>0.277341</v>
      </c>
    </row>
    <row r="35" spans="1:8">
      <c r="A35" s="58" t="s">
        <v>332</v>
      </c>
      <c r="B35" s="66">
        <v>7.2131600000000004E-2</v>
      </c>
      <c r="C35" s="66">
        <v>2.6428500000000001E-2</v>
      </c>
      <c r="D35" s="66">
        <v>0.36639300000000002</v>
      </c>
      <c r="E35" s="66">
        <v>0</v>
      </c>
      <c r="F35" s="66">
        <v>2.8633200000000001E-2</v>
      </c>
      <c r="G35" s="66">
        <v>0</v>
      </c>
      <c r="H35" s="66">
        <v>0.16106799999999999</v>
      </c>
    </row>
    <row r="36" spans="1:8">
      <c r="A36" s="58" t="s">
        <v>333</v>
      </c>
      <c r="B36" s="66">
        <v>0.178151</v>
      </c>
      <c r="C36" s="66">
        <v>8.6514999999999995E-2</v>
      </c>
      <c r="D36" s="66">
        <v>0.485626</v>
      </c>
      <c r="E36" s="66">
        <v>0</v>
      </c>
      <c r="F36" s="66">
        <v>3.9717299999999997E-2</v>
      </c>
      <c r="G36" s="66">
        <v>0</v>
      </c>
      <c r="H36" s="66">
        <v>0.56007399999999996</v>
      </c>
    </row>
    <row r="37" spans="1:8">
      <c r="A37" s="58" t="s">
        <v>334</v>
      </c>
      <c r="B37" s="66">
        <v>0.27416200000000002</v>
      </c>
      <c r="C37" s="66">
        <v>8.6205199999999996E-2</v>
      </c>
      <c r="D37" s="66">
        <v>0.31443100000000002</v>
      </c>
      <c r="E37" s="66">
        <v>0.1</v>
      </c>
      <c r="F37" s="66">
        <v>2.3844000000000001E-2</v>
      </c>
      <c r="G37" s="66">
        <v>0.5</v>
      </c>
      <c r="H37" s="66">
        <v>0.32203100000000001</v>
      </c>
    </row>
    <row r="38" spans="1:8">
      <c r="A38" s="58" t="s">
        <v>335</v>
      </c>
      <c r="B38" s="66">
        <v>0</v>
      </c>
      <c r="C38" s="66">
        <v>46.472999999999999</v>
      </c>
      <c r="D38" s="66">
        <v>0</v>
      </c>
      <c r="E38" s="66">
        <v>0</v>
      </c>
      <c r="F38" s="66">
        <v>-164.078</v>
      </c>
      <c r="G38" s="66">
        <v>0</v>
      </c>
      <c r="H38" s="66">
        <v>236.059</v>
      </c>
    </row>
    <row r="39" spans="1:8">
      <c r="A39" s="58" t="s">
        <v>336</v>
      </c>
      <c r="B39" s="66">
        <v>-6.5928E-2</v>
      </c>
      <c r="C39" s="66">
        <v>4.9068300000000002</v>
      </c>
      <c r="D39" s="66">
        <v>-74.427099999999996</v>
      </c>
      <c r="E39" s="66">
        <v>0</v>
      </c>
      <c r="F39" s="66">
        <v>-27.5015</v>
      </c>
      <c r="G39" s="66">
        <v>0</v>
      </c>
      <c r="H39" s="66">
        <v>17.487400000000001</v>
      </c>
    </row>
    <row r="40" spans="1:8">
      <c r="A40" s="58" t="s">
        <v>337</v>
      </c>
      <c r="B40" s="66">
        <v>-0.89020100000000002</v>
      </c>
      <c r="C40" s="66">
        <v>0.41125200000000001</v>
      </c>
      <c r="D40" s="66">
        <v>-0.461976</v>
      </c>
      <c r="E40" s="66">
        <v>0</v>
      </c>
      <c r="F40" s="66">
        <v>-1.8441700000000001</v>
      </c>
      <c r="G40" s="66">
        <v>0</v>
      </c>
      <c r="H40" s="66">
        <v>0.37330099999999999</v>
      </c>
    </row>
    <row r="41" spans="1:8">
      <c r="A41" s="58" t="s">
        <v>338</v>
      </c>
      <c r="B41" s="66">
        <v>0</v>
      </c>
      <c r="C41" s="66">
        <v>0.44055699999999998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-6.0929400000000002E-2</v>
      </c>
      <c r="C42" s="66">
        <v>0.123505</v>
      </c>
      <c r="D42" s="66">
        <v>-2.0270199999999998</v>
      </c>
      <c r="E42" s="66">
        <v>0</v>
      </c>
      <c r="F42" s="66">
        <v>-0.69230800000000003</v>
      </c>
      <c r="G42" s="66">
        <v>0</v>
      </c>
      <c r="H42" s="66">
        <v>0.517544</v>
      </c>
    </row>
    <row r="43" spans="1:8">
      <c r="A43" s="58" t="s">
        <v>340</v>
      </c>
      <c r="B43" s="66">
        <v>-0.109801</v>
      </c>
      <c r="C43" s="66">
        <v>6.2196799999999997E-2</v>
      </c>
      <c r="D43" s="66">
        <v>-0.56644799999999995</v>
      </c>
      <c r="E43" s="66">
        <v>0</v>
      </c>
      <c r="F43" s="66">
        <v>-0.323828</v>
      </c>
      <c r="G43" s="66">
        <v>0</v>
      </c>
      <c r="H43" s="66">
        <v>1.88679E-2</v>
      </c>
    </row>
    <row r="44" spans="1:8">
      <c r="A44" s="58" t="s">
        <v>341</v>
      </c>
      <c r="B44" s="66">
        <v>6.2551500000000004</v>
      </c>
      <c r="C44" s="66">
        <v>7.6210500000000003</v>
      </c>
      <c r="D44" s="66">
        <v>1.2183600000000001</v>
      </c>
      <c r="E44" s="66">
        <v>0</v>
      </c>
      <c r="F44" s="66">
        <v>-12.6967</v>
      </c>
      <c r="G44" s="66">
        <v>0</v>
      </c>
      <c r="H44" s="66">
        <v>17.6523</v>
      </c>
    </row>
    <row r="45" spans="1:8">
      <c r="A45" s="58" t="s">
        <v>342</v>
      </c>
      <c r="B45" s="66">
        <v>46.164000000000001</v>
      </c>
      <c r="C45" s="66">
        <v>10.463200000000001</v>
      </c>
      <c r="D45" s="66">
        <v>0.22665199999999999</v>
      </c>
      <c r="E45" s="66">
        <v>0</v>
      </c>
      <c r="F45" s="66">
        <v>14.2561</v>
      </c>
      <c r="G45" s="66">
        <v>0</v>
      </c>
      <c r="H45" s="66">
        <v>72.077299999999994</v>
      </c>
    </row>
    <row r="46" spans="1:8">
      <c r="A46" s="58" t="s">
        <v>343</v>
      </c>
      <c r="B46" s="66">
        <v>26.6069</v>
      </c>
      <c r="C46" s="66">
        <v>5.8166099999999998</v>
      </c>
      <c r="D46" s="66">
        <v>0.218613</v>
      </c>
      <c r="E46" s="66">
        <v>0</v>
      </c>
      <c r="F46" s="66">
        <v>7.4412599999999998</v>
      </c>
      <c r="G46" s="66">
        <v>0</v>
      </c>
      <c r="H46" s="66">
        <v>31.884</v>
      </c>
    </row>
    <row r="47" spans="1:8">
      <c r="A47" s="58" t="s">
        <v>344</v>
      </c>
      <c r="B47" s="66">
        <v>0.34903000000000001</v>
      </c>
      <c r="C47" s="66">
        <v>0.29321799999999998</v>
      </c>
      <c r="D47" s="66">
        <v>0.84009299999999998</v>
      </c>
      <c r="E47" s="66">
        <v>0</v>
      </c>
      <c r="F47" s="66">
        <v>7.26406E-2</v>
      </c>
      <c r="G47" s="66">
        <v>0</v>
      </c>
      <c r="H47" s="66">
        <v>1.77264</v>
      </c>
    </row>
    <row r="48" spans="1:8">
      <c r="A48" s="58" t="s">
        <v>345</v>
      </c>
      <c r="B48" s="66">
        <v>0.49340200000000001</v>
      </c>
      <c r="C48" s="66">
        <v>7.8450300000000001E-2</v>
      </c>
      <c r="D48" s="66">
        <v>0.158999</v>
      </c>
      <c r="E48" s="66">
        <v>0</v>
      </c>
      <c r="F48" s="66">
        <v>0.34226099999999998</v>
      </c>
      <c r="G48" s="66">
        <v>0</v>
      </c>
      <c r="H48" s="66">
        <v>0.87569200000000003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4.4465000000000003</v>
      </c>
      <c r="C5" s="66">
        <f>'M2'!C5-'M1'!C5</f>
        <v>-4.7926400000000005</v>
      </c>
      <c r="D5" s="66">
        <f>'M2'!D5-'M1'!D5</f>
        <v>-19.320209999999999</v>
      </c>
      <c r="E5" s="66">
        <f>'M2'!E5-'M1'!E5</f>
        <v>0</v>
      </c>
      <c r="F5" s="66">
        <f>'M2'!F5-'M1'!F5</f>
        <v>16.581400000000002</v>
      </c>
      <c r="G5" s="66">
        <f>'M2'!G5-'M1'!G5</f>
        <v>0</v>
      </c>
      <c r="H5" s="66">
        <f>'M2'!H5-'M1'!H5</f>
        <v>1.2597000000000023</v>
      </c>
    </row>
    <row r="6" spans="1:8">
      <c r="A6" s="66" t="s">
        <v>244</v>
      </c>
      <c r="B6" s="66">
        <f>'M2'!B6-'M1'!B6</f>
        <v>5.5246999999999957</v>
      </c>
      <c r="C6" s="66">
        <f>'M2'!C6-'M1'!C6</f>
        <v>-2.8588000000000005</v>
      </c>
      <c r="D6" s="66">
        <f>'M2'!D6-'M1'!D6</f>
        <v>-8.4554900000000011</v>
      </c>
      <c r="E6" s="66">
        <f>'M2'!E6-'M1'!E6</f>
        <v>0</v>
      </c>
      <c r="F6" s="66">
        <f>'M2'!F6-'M1'!F6</f>
        <v>10.456500000000002</v>
      </c>
      <c r="G6" s="66">
        <f>'M2'!G6-'M1'!G6</f>
        <v>0</v>
      </c>
      <c r="H6" s="66">
        <f>'M2'!H6-'M1'!H6</f>
        <v>0.22769999999999868</v>
      </c>
    </row>
    <row r="7" spans="1:8">
      <c r="A7" s="66" t="s">
        <v>245</v>
      </c>
      <c r="B7" s="66">
        <f>'M2'!B7-'M1'!B7</f>
        <v>1.6980000000000004</v>
      </c>
      <c r="C7" s="66">
        <f>'M2'!C7-'M1'!C7</f>
        <v>-3.8385600000000002</v>
      </c>
      <c r="D7" s="66">
        <f>'M2'!D7-'M1'!D7</f>
        <v>-14.274000000000001</v>
      </c>
      <c r="E7" s="66">
        <f>'M2'!E7-'M1'!E7</f>
        <v>0</v>
      </c>
      <c r="F7" s="66">
        <f>'M2'!F7-'M1'!F7</f>
        <v>7.6268600000000006</v>
      </c>
      <c r="G7" s="66">
        <f>'M2'!G7-'M1'!G7</f>
        <v>0</v>
      </c>
      <c r="H7" s="66">
        <f>'M2'!H7-'M1'!H7</f>
        <v>-6.799999999999784E-2</v>
      </c>
    </row>
    <row r="8" spans="1:8">
      <c r="A8" s="66" t="s">
        <v>246</v>
      </c>
      <c r="B8" s="66">
        <f>'M2'!B8-'M1'!B8</f>
        <v>4.3218999999999994</v>
      </c>
      <c r="C8" s="66">
        <f>'M2'!C8-'M1'!C8</f>
        <v>-4.7490830000000006</v>
      </c>
      <c r="D8" s="66">
        <f>'M2'!D8-'M1'!D8</f>
        <v>-15.888640000000001</v>
      </c>
      <c r="E8" s="66">
        <f>'M2'!E8-'M1'!E8</f>
        <v>0</v>
      </c>
      <c r="F8" s="66">
        <f>'M2'!F8-'M1'!F8</f>
        <v>16.520699999999998</v>
      </c>
      <c r="G8" s="66">
        <f>'M2'!G8-'M1'!G8</f>
        <v>0</v>
      </c>
      <c r="H8" s="66">
        <f>'M2'!H8-'M1'!H8</f>
        <v>-0.15319999999999823</v>
      </c>
    </row>
    <row r="9" spans="1:8">
      <c r="A9" s="66" t="s">
        <v>247</v>
      </c>
      <c r="B9" s="66">
        <f>'M2'!B9-'M1'!B9</f>
        <v>-3.1498999999999953</v>
      </c>
      <c r="C9" s="66">
        <f>'M2'!C9-'M1'!C9</f>
        <v>-1.01776</v>
      </c>
      <c r="D9" s="66">
        <f>'M2'!D9-'M1'!D9</f>
        <v>-1.2293199999999995</v>
      </c>
      <c r="E9" s="66">
        <f>'M2'!E9-'M1'!E9</f>
        <v>0</v>
      </c>
      <c r="F9" s="66">
        <f>'M2'!F9-'M1'!F9</f>
        <v>1.0507999999999953</v>
      </c>
      <c r="G9" s="66">
        <f>'M2'!G9-'M1'!G9</f>
        <v>0</v>
      </c>
      <c r="H9" s="66">
        <f>'M2'!H9-'M1'!H9</f>
        <v>-10.642300000000006</v>
      </c>
    </row>
    <row r="10" spans="1:8">
      <c r="A10" s="66" t="s">
        <v>248</v>
      </c>
      <c r="B10" s="66">
        <f>'M2'!B10-'M1'!B10</f>
        <v>-13.211300000000001</v>
      </c>
      <c r="C10" s="66">
        <f>'M2'!C10-'M1'!C10</f>
        <v>-3.3329000000000004</v>
      </c>
      <c r="D10" s="66">
        <f>'M2'!D10-'M1'!D10</f>
        <v>-2.3814999999999991</v>
      </c>
      <c r="E10" s="66">
        <f>'M2'!E10-'M1'!E10</f>
        <v>0</v>
      </c>
      <c r="F10" s="66">
        <f>'M2'!F10-'M1'!F10</f>
        <v>-11.530299999999997</v>
      </c>
      <c r="G10" s="66">
        <f>'M2'!G10-'M1'!G10</f>
        <v>0</v>
      </c>
      <c r="H10" s="66">
        <f>'M2'!H10-'M1'!H10</f>
        <v>-11.637900000000002</v>
      </c>
    </row>
    <row r="11" spans="1:8">
      <c r="A11" s="66" t="s">
        <v>249</v>
      </c>
      <c r="B11" s="66">
        <f>'M2'!B11-'M1'!B11</f>
        <v>-0.11380000000000123</v>
      </c>
      <c r="C11" s="66">
        <f>'M2'!C11-'M1'!C11</f>
        <v>-0.97362999999999977</v>
      </c>
      <c r="D11" s="66">
        <f>'M2'!D11-'M1'!D11</f>
        <v>-8.6157999999999983</v>
      </c>
      <c r="E11" s="66">
        <f>'M2'!E11-'M1'!E11</f>
        <v>0</v>
      </c>
      <c r="F11" s="66">
        <f>'M2'!F11-'M1'!F11</f>
        <v>3.8414400000000004</v>
      </c>
      <c r="G11" s="66">
        <f>'M2'!G11-'M1'!G11</f>
        <v>0</v>
      </c>
      <c r="H11" s="66">
        <f>'M2'!H11-'M1'!H11</f>
        <v>-8.6999999999999744E-2</v>
      </c>
    </row>
    <row r="12" spans="1:8">
      <c r="A12" s="66" t="s">
        <v>250</v>
      </c>
      <c r="B12" s="66">
        <f>'M2'!B12-'M1'!B12</f>
        <v>-8.0483000000000047</v>
      </c>
      <c r="C12" s="66">
        <f>'M2'!C12-'M1'!C12</f>
        <v>-1.9909500000000002</v>
      </c>
      <c r="D12" s="66">
        <f>'M2'!D12-'M1'!D12</f>
        <v>-2.22743</v>
      </c>
      <c r="E12" s="66">
        <f>'M2'!E12-'M1'!E12</f>
        <v>0</v>
      </c>
      <c r="F12" s="66">
        <f>'M2'!F12-'M1'!F12</f>
        <v>-4.7561999999999998</v>
      </c>
      <c r="G12" s="66">
        <f>'M2'!G12-'M1'!G12</f>
        <v>0</v>
      </c>
      <c r="H12" s="66">
        <f>'M2'!H12-'M1'!H12</f>
        <v>-11.135199999999998</v>
      </c>
    </row>
    <row r="13" spans="1:8">
      <c r="A13" s="66" t="s">
        <v>251</v>
      </c>
      <c r="B13" s="66">
        <f>'M2'!B13-'M1'!B13</f>
        <v>2.1337999999999973</v>
      </c>
      <c r="C13" s="66">
        <f>'M2'!C13-'M1'!C13</f>
        <v>0.53759000000000023</v>
      </c>
      <c r="D13" s="66">
        <f>'M2'!D13-'M1'!D13</f>
        <v>1.2906999999999993</v>
      </c>
      <c r="E13" s="66">
        <f>'M2'!E13-'M1'!E13</f>
        <v>0</v>
      </c>
      <c r="F13" s="66">
        <f>'M2'!F13-'M1'!F13</f>
        <v>0.22119999999999962</v>
      </c>
      <c r="G13" s="66">
        <f>'M2'!G13-'M1'!G13</f>
        <v>0</v>
      </c>
      <c r="H13" s="66">
        <f>'M2'!H13-'M1'!H13</f>
        <v>3.3133000000000017</v>
      </c>
    </row>
    <row r="14" spans="1:8">
      <c r="A14" s="66" t="s">
        <v>252</v>
      </c>
      <c r="B14" s="66">
        <f>'M2'!B14-'M1'!B14</f>
        <v>5.3758999999999979</v>
      </c>
      <c r="C14" s="66">
        <f>'M2'!C14-'M1'!C14</f>
        <v>-0.26535999999999937</v>
      </c>
      <c r="D14" s="66">
        <f>'M2'!D14-'M1'!D14</f>
        <v>-7.7323000000000022</v>
      </c>
      <c r="E14" s="66">
        <f>'M2'!E14-'M1'!E14</f>
        <v>0</v>
      </c>
      <c r="F14" s="66">
        <f>'M2'!F14-'M1'!F14</f>
        <v>1.9335200000000001</v>
      </c>
      <c r="G14" s="66">
        <f>'M2'!G14-'M1'!G14</f>
        <v>0</v>
      </c>
      <c r="H14" s="66">
        <f>'M2'!H14-'M1'!H14</f>
        <v>4.1839999999999975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1.0064999999999991E-2</v>
      </c>
      <c r="C18" s="66">
        <f>'M2'!C18-'M1'!C18</f>
        <v>1.9459799999999999E-2</v>
      </c>
      <c r="D18" s="66">
        <f>'M2'!D18-'M1'!D18</f>
        <v>3.0555200000000001E-2</v>
      </c>
      <c r="E18" s="66">
        <f>'M2'!E18-'M1'!E18</f>
        <v>0</v>
      </c>
      <c r="F18" s="66">
        <f>'M2'!F18-'M1'!F18</f>
        <v>0.61741500000000005</v>
      </c>
      <c r="G18" s="66">
        <f>'M2'!G18-'M1'!G18</f>
        <v>0</v>
      </c>
      <c r="H18" s="66">
        <f>'M2'!H18-'M1'!H18</f>
        <v>0.656335</v>
      </c>
    </row>
    <row r="19" spans="1:8">
      <c r="A19" s="66" t="s">
        <v>256</v>
      </c>
      <c r="B19" s="66">
        <f>'M2'!B19-'M1'!B19</f>
        <v>6.329499999999999E-2</v>
      </c>
      <c r="C19" s="66">
        <f>'M2'!C19-'M1'!C19</f>
        <v>6.1222699999999998E-2</v>
      </c>
      <c r="D19" s="66">
        <f>'M2'!D19-'M1'!D19</f>
        <v>7.6853099999999994E-2</v>
      </c>
      <c r="E19" s="66">
        <f>'M2'!E19-'M1'!E19</f>
        <v>0</v>
      </c>
      <c r="F19" s="66">
        <f>'M2'!F19-'M1'!F19</f>
        <v>0.735398</v>
      </c>
      <c r="G19" s="66">
        <f>'M2'!G19-'M1'!G19</f>
        <v>0</v>
      </c>
      <c r="H19" s="66">
        <f>'M2'!H19-'M1'!H19</f>
        <v>0.85784300000000002</v>
      </c>
    </row>
    <row r="20" spans="1:8">
      <c r="A20" s="66" t="s">
        <v>63</v>
      </c>
      <c r="B20" s="66">
        <f>'M2'!B20-'M1'!B20</f>
        <v>1.3774000000000014E-6</v>
      </c>
      <c r="C20" s="66">
        <f>'M2'!C20-'M1'!C20</f>
        <v>5.3097999999999947E-4</v>
      </c>
      <c r="D20" s="66">
        <f>'M2'!D20-'M1'!D20</f>
        <v>8.2129999999999939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9.8996000000000084E-3</v>
      </c>
    </row>
    <row r="21" spans="1:8">
      <c r="A21" s="66" t="s">
        <v>64</v>
      </c>
      <c r="B21" s="66">
        <f>'M2'!B21-'M1'!B21</f>
        <v>7.5199999999999226E-5</v>
      </c>
      <c r="C21" s="66">
        <f>'M2'!C21-'M1'!C21</f>
        <v>-2.8087899999999999E-2</v>
      </c>
      <c r="D21" s="66">
        <f>'M2'!D21-'M1'!D21</f>
        <v>-2.6414299999999997</v>
      </c>
      <c r="E21" s="66">
        <f>'M2'!E21-'M1'!E21</f>
        <v>0</v>
      </c>
      <c r="F21" s="66">
        <f>'M2'!F21-'M1'!F21</f>
        <v>3.6509399999999999E-6</v>
      </c>
      <c r="G21" s="66">
        <f>'M2'!G21-'M1'!G21</f>
        <v>0</v>
      </c>
      <c r="H21" s="66">
        <f>'M2'!H21-'M1'!H21</f>
        <v>-0.24757300000000004</v>
      </c>
    </row>
    <row r="22" spans="1:8">
      <c r="A22" s="66" t="s">
        <v>65</v>
      </c>
      <c r="B22" s="66">
        <f>'M2'!B22-'M1'!B22</f>
        <v>5.2073999999999998</v>
      </c>
      <c r="C22" s="66">
        <f>'M2'!C22-'M1'!C22</f>
        <v>1.3162400000000005</v>
      </c>
      <c r="D22" s="66">
        <f>'M2'!D22-'M1'!D22</f>
        <v>-2.1120000000000028E-2</v>
      </c>
      <c r="E22" s="66">
        <f>'M2'!E22-'M1'!E22</f>
        <v>0</v>
      </c>
      <c r="F22" s="66">
        <f>'M2'!F22-'M1'!F22</f>
        <v>8.0668500000000005</v>
      </c>
      <c r="G22" s="66">
        <f>'M2'!G22-'M1'!G22</f>
        <v>0</v>
      </c>
      <c r="H22" s="66">
        <f>'M2'!H22-'M1'!H22</f>
        <v>17.806799999999996</v>
      </c>
    </row>
    <row r="23" spans="1:8">
      <c r="A23" s="66" t="s">
        <v>66</v>
      </c>
      <c r="B23" s="66">
        <f>'M2'!B23-'M1'!B23</f>
        <v>-1.2399999999999523E-2</v>
      </c>
      <c r="C23" s="66">
        <f>'M2'!C23-'M1'!C23</f>
        <v>0.54984199999999994</v>
      </c>
      <c r="D23" s="66">
        <f>'M2'!D23-'M1'!D23</f>
        <v>5.1415399999999986E-2</v>
      </c>
      <c r="E23" s="66">
        <f>'M2'!E23-'M1'!E23</f>
        <v>0</v>
      </c>
      <c r="F23" s="66">
        <f>'M2'!F23-'M1'!F23</f>
        <v>1.0766000000000009</v>
      </c>
      <c r="G23" s="66">
        <f>'M2'!G23-'M1'!G23</f>
        <v>0</v>
      </c>
      <c r="H23" s="66">
        <f>'M2'!H23-'M1'!H23</f>
        <v>3.0738000000000003</v>
      </c>
    </row>
    <row r="24" spans="1:8">
      <c r="A24" s="66" t="s">
        <v>67</v>
      </c>
      <c r="B24" s="66">
        <f>'M2'!B24-'M1'!B24</f>
        <v>1.2066069999999999E-4</v>
      </c>
      <c r="C24" s="66">
        <f>'M2'!C24-'M1'!C24</f>
        <v>1.9940999999999969E-4</v>
      </c>
      <c r="D24" s="66">
        <f>'M2'!D24-'M1'!D24</f>
        <v>-38.4298</v>
      </c>
      <c r="E24" s="66">
        <f>'M2'!E24-'M1'!E24</f>
        <v>0</v>
      </c>
      <c r="F24" s="66">
        <f>'M2'!F24-'M1'!F24</f>
        <v>1.5509409999999999E-6</v>
      </c>
      <c r="G24" s="66">
        <f>'M2'!G24-'M1'!G24</f>
        <v>0</v>
      </c>
      <c r="H24" s="66">
        <f>'M2'!H24-'M1'!H24</f>
        <v>3.0821000000000008E-3</v>
      </c>
    </row>
    <row r="25" spans="1:8">
      <c r="A25" s="66" t="s">
        <v>68</v>
      </c>
      <c r="B25" s="66">
        <f>'M2'!B25-'M1'!B25</f>
        <v>3.9556999999999995E-3</v>
      </c>
      <c r="C25" s="66">
        <f>'M2'!C25-'M1'!C25</f>
        <v>-3.7212900000000007E-2</v>
      </c>
      <c r="D25" s="66">
        <f>'M2'!D25-'M1'!D25</f>
        <v>-2.5268600000000001</v>
      </c>
      <c r="E25" s="66">
        <f>'M2'!E25-'M1'!E25</f>
        <v>0</v>
      </c>
      <c r="F25" s="66">
        <f>'M2'!F25-'M1'!F25</f>
        <v>2.7399690000000001E-3</v>
      </c>
      <c r="G25" s="66">
        <f>'M2'!G25-'M1'!G25</f>
        <v>0</v>
      </c>
      <c r="H25" s="66">
        <f>'M2'!H25-'M1'!H25</f>
        <v>-0.15346300000000002</v>
      </c>
    </row>
    <row r="26" spans="1:8">
      <c r="A26" s="66" t="s">
        <v>69</v>
      </c>
      <c r="B26" s="66">
        <f>'M2'!B26-'M1'!B26</f>
        <v>0</v>
      </c>
      <c r="C26" s="66">
        <f>'M2'!C26-'M1'!C26</f>
        <v>-2.5468000000000008E-5</v>
      </c>
      <c r="D26" s="66">
        <f>'M2'!D26-'M1'!D26</f>
        <v>-1.939700000000002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3.3153999999999996E-4</v>
      </c>
    </row>
    <row r="27" spans="1:8">
      <c r="A27" s="66" t="s">
        <v>70</v>
      </c>
      <c r="B27" s="66">
        <f>'M2'!B27-'M1'!B27</f>
        <v>0</v>
      </c>
      <c r="C27" s="66">
        <f>'M2'!C27-'M1'!C27</f>
        <v>-3.8959999999999776E-6</v>
      </c>
      <c r="D27" s="66">
        <f>'M2'!D27-'M1'!D27</f>
        <v>0</v>
      </c>
      <c r="E27" s="66">
        <f>'M2'!E27-'M1'!E27</f>
        <v>0</v>
      </c>
      <c r="F27" s="66">
        <f>'M2'!F27-'M1'!F27</f>
        <v>2.3864199999999998E-3</v>
      </c>
      <c r="G27" s="66">
        <f>'M2'!G27-'M1'!G27</f>
        <v>0</v>
      </c>
      <c r="H27" s="66">
        <f>'M2'!H27-'M1'!H27</f>
        <v>1.8841999999999999E-3</v>
      </c>
    </row>
    <row r="28" spans="1:8">
      <c r="A28" s="66" t="s">
        <v>71</v>
      </c>
      <c r="B28" s="66">
        <f>'M2'!B28-'M1'!B28</f>
        <v>-2.8483999999999996E-4</v>
      </c>
      <c r="C28" s="66">
        <f>'M2'!C28-'M1'!C28</f>
        <v>-2.27254E-3</v>
      </c>
      <c r="D28" s="66">
        <f>'M2'!D28-'M1'!D28</f>
        <v>-0.60790000000000033</v>
      </c>
      <c r="E28" s="66">
        <f>'M2'!E28-'M1'!E28</f>
        <v>0</v>
      </c>
      <c r="F28" s="66">
        <f>'M2'!F28-'M1'!F28</f>
        <v>6.5104200000000001E-6</v>
      </c>
      <c r="G28" s="66">
        <f>'M2'!G28-'M1'!G28</f>
        <v>0</v>
      </c>
      <c r="H28" s="66">
        <f>'M2'!H28-'M1'!H28</f>
        <v>-2.0680400000000002E-2</v>
      </c>
    </row>
    <row r="29" spans="1:8">
      <c r="A29" s="66" t="s">
        <v>72</v>
      </c>
      <c r="B29" s="66">
        <f>'M2'!B29-'M1'!B29</f>
        <v>-1.8490000000000038</v>
      </c>
      <c r="C29" s="66">
        <f>'M2'!C29-'M1'!C29</f>
        <v>3.2300000000001106E-2</v>
      </c>
      <c r="D29" s="66">
        <f>'M2'!D29-'M1'!D29</f>
        <v>5.8850000000000013E-3</v>
      </c>
      <c r="E29" s="66">
        <f>'M2'!E29-'M1'!E29</f>
        <v>0</v>
      </c>
      <c r="F29" s="66">
        <f>'M2'!F29-'M1'!F29</f>
        <v>-1.2465000000000046</v>
      </c>
      <c r="G29" s="66">
        <f>'M2'!G29-'M1'!G29</f>
        <v>0</v>
      </c>
      <c r="H29" s="66">
        <f>'M2'!H29-'M1'!H29</f>
        <v>1.3603999999999985</v>
      </c>
    </row>
    <row r="30" spans="1:8">
      <c r="A30" s="66" t="s">
        <v>73</v>
      </c>
      <c r="B30" s="66">
        <f>'M2'!B30-'M1'!B30</f>
        <v>-0.18270000000000053</v>
      </c>
      <c r="C30" s="66">
        <f>'M2'!C30-'M1'!C30</f>
        <v>-1.34619</v>
      </c>
      <c r="D30" s="66">
        <f>'M2'!D30-'M1'!D30</f>
        <v>-9.4510999999999984E-2</v>
      </c>
      <c r="E30" s="66">
        <f>'M2'!E30-'M1'!E30</f>
        <v>0</v>
      </c>
      <c r="F30" s="66">
        <f>'M2'!F30-'M1'!F30</f>
        <v>3.0046999999999997</v>
      </c>
      <c r="G30" s="66">
        <f>'M2'!G30-'M1'!G30</f>
        <v>0</v>
      </c>
      <c r="H30" s="66">
        <f>'M2'!H30-'M1'!H30</f>
        <v>-2.7600000000003178E-2</v>
      </c>
    </row>
    <row r="31" spans="1:8">
      <c r="A31" s="66" t="s">
        <v>74</v>
      </c>
      <c r="B31" s="66">
        <f>'M2'!B31-'M1'!B31</f>
        <v>22.761899999999997</v>
      </c>
      <c r="C31" s="66">
        <f>'M2'!C31-'M1'!C31</f>
        <v>11.56756</v>
      </c>
      <c r="D31" s="66">
        <f>'M2'!D31-'M1'!D31</f>
        <v>9.4583E-2</v>
      </c>
      <c r="E31" s="66">
        <f>'M2'!E31-'M1'!E31</f>
        <v>0</v>
      </c>
      <c r="F31" s="66">
        <f>'M2'!F31-'M1'!F31</f>
        <v>23.221400000000003</v>
      </c>
      <c r="G31" s="66">
        <f>'M2'!G31-'M1'!G31</f>
        <v>0</v>
      </c>
      <c r="H31" s="66">
        <f>'M2'!H31-'M1'!H31</f>
        <v>43.676399999999987</v>
      </c>
    </row>
    <row r="32" spans="1:8">
      <c r="A32" s="66" t="s">
        <v>75</v>
      </c>
      <c r="B32" s="66">
        <f>'M2'!B32-'M1'!B32</f>
        <v>1.6979999999999995E-2</v>
      </c>
      <c r="C32" s="66">
        <f>'M2'!C32-'M1'!C32</f>
        <v>-3.8385600000000006E-2</v>
      </c>
      <c r="D32" s="66">
        <f>'M2'!D32-'M1'!D32</f>
        <v>-0.14273999999999998</v>
      </c>
      <c r="E32" s="66">
        <f>'M2'!E32-'M1'!E32</f>
        <v>0</v>
      </c>
      <c r="F32" s="66">
        <f>'M2'!F32-'M1'!F32</f>
        <v>7.6268600000000006E-2</v>
      </c>
      <c r="G32" s="66">
        <f>'M2'!G32-'M1'!G32</f>
        <v>0</v>
      </c>
      <c r="H32" s="66">
        <f>'M2'!H32-'M1'!H32</f>
        <v>-6.8000000000001393E-4</v>
      </c>
    </row>
    <row r="33" spans="1:8">
      <c r="A33" s="66" t="s">
        <v>76</v>
      </c>
      <c r="B33" s="66">
        <f>'M2'!B33-'M1'!B33</f>
        <v>0.103246</v>
      </c>
      <c r="C33" s="66">
        <f>'M2'!C33-'M1'!C33</f>
        <v>-2.2753280000000001E-2</v>
      </c>
      <c r="D33" s="66">
        <f>'M2'!D33-'M1'!D33</f>
        <v>-8.7642899999999996E-2</v>
      </c>
      <c r="E33" s="66">
        <f>'M2'!E33-'M1'!E33</f>
        <v>0</v>
      </c>
      <c r="F33" s="66">
        <f>'M2'!F33-'M1'!F33</f>
        <v>0.11473499999999998</v>
      </c>
      <c r="G33" s="66">
        <f>'M2'!G33-'M1'!G33</f>
        <v>0</v>
      </c>
      <c r="H33" s="66">
        <f>'M2'!H33-'M1'!H33</f>
        <v>5.9207999999999983E-2</v>
      </c>
    </row>
    <row r="34" spans="1:8">
      <c r="A34" s="66" t="s">
        <v>77</v>
      </c>
      <c r="B34" s="66">
        <f>'M2'!B34-'M1'!B34</f>
        <v>2.1337999999999996E-2</v>
      </c>
      <c r="C34" s="66">
        <f>'M2'!C34-'M1'!C34</f>
        <v>5.3758999999999994E-3</v>
      </c>
      <c r="D34" s="66">
        <f>'M2'!D34-'M1'!D34</f>
        <v>1.2907000000000002E-2</v>
      </c>
      <c r="E34" s="66">
        <f>'M2'!E34-'M1'!E34</f>
        <v>0</v>
      </c>
      <c r="F34" s="66">
        <f>'M2'!F34-'M1'!F34</f>
        <v>2.2119999999999918E-3</v>
      </c>
      <c r="G34" s="66">
        <f>'M2'!G34-'M1'!G34</f>
        <v>0</v>
      </c>
      <c r="H34" s="66">
        <f>'M2'!H34-'M1'!H34</f>
        <v>3.3132999999999996E-2</v>
      </c>
    </row>
    <row r="35" spans="1:8">
      <c r="A35" s="66" t="s">
        <v>78</v>
      </c>
      <c r="B35" s="66">
        <f>'M2'!B35-'M1'!B35</f>
        <v>1.5655000000000002E-2</v>
      </c>
      <c r="C35" s="66">
        <f>'M2'!C35-'M1'!C35</f>
        <v>1.2906499999999998E-2</v>
      </c>
      <c r="D35" s="66">
        <f>'M2'!D35-'M1'!D35</f>
        <v>0.110316</v>
      </c>
      <c r="E35" s="66">
        <f>'M2'!E35-'M1'!E35</f>
        <v>0</v>
      </c>
      <c r="F35" s="66">
        <f>'M2'!F35-'M1'!F35</f>
        <v>7.8282999999999998E-3</v>
      </c>
      <c r="G35" s="66">
        <f>'M2'!G35-'M1'!G35</f>
        <v>0</v>
      </c>
      <c r="H35" s="66">
        <f>'M2'!H35-'M1'!H35</f>
        <v>5.8145999999999989E-2</v>
      </c>
    </row>
    <row r="36" spans="1:8">
      <c r="A36" s="66" t="s">
        <v>79</v>
      </c>
      <c r="B36" s="66">
        <f>'M2'!B36-'M1'!B36</f>
        <v>6.9759999999999822E-3</v>
      </c>
      <c r="C36" s="66">
        <f>'M2'!C36-'M1'!C36</f>
        <v>2.4806700000000001E-2</v>
      </c>
      <c r="D36" s="66">
        <f>'M2'!D36-'M1'!D36</f>
        <v>0.12116799999999994</v>
      </c>
      <c r="E36" s="66">
        <f>'M2'!E36-'M1'!E36</f>
        <v>0</v>
      </c>
      <c r="F36" s="66">
        <f>'M2'!F36-'M1'!F36</f>
        <v>1.0129000000000006E-2</v>
      </c>
      <c r="G36" s="66">
        <f>'M2'!G36-'M1'!G36</f>
        <v>0</v>
      </c>
      <c r="H36" s="66">
        <f>'M2'!H36-'M1'!H36</f>
        <v>0.15339599999999998</v>
      </c>
    </row>
    <row r="37" spans="1:8">
      <c r="A37" s="66" t="s">
        <v>80</v>
      </c>
      <c r="B37" s="66">
        <f>'M2'!B37-'M1'!B37</f>
        <v>5.3759000000000001E-2</v>
      </c>
      <c r="C37" s="66">
        <f>'M2'!C37-'M1'!C37</f>
        <v>-2.653600000000006E-3</v>
      </c>
      <c r="D37" s="66">
        <f>'M2'!D37-'M1'!D37</f>
        <v>-7.7323000000000031E-2</v>
      </c>
      <c r="E37" s="66">
        <f>'M2'!E37-'M1'!E37</f>
        <v>0</v>
      </c>
      <c r="F37" s="66">
        <f>'M2'!F37-'M1'!F37</f>
        <v>1.93352E-2</v>
      </c>
      <c r="G37" s="66">
        <f>'M2'!G37-'M1'!G37</f>
        <v>0</v>
      </c>
      <c r="H37" s="66">
        <f>'M2'!H37-'M1'!H37</f>
        <v>4.1839999999999988E-2</v>
      </c>
    </row>
    <row r="38" spans="1:8">
      <c r="A38" s="66" t="s">
        <v>81</v>
      </c>
      <c r="B38" s="66">
        <f>'M2'!B38-'M1'!B38</f>
        <v>0</v>
      </c>
      <c r="C38" s="66">
        <f>'M2'!C38-'M1'!C38</f>
        <v>-2.9569000000000045</v>
      </c>
      <c r="D38" s="66">
        <f>'M2'!D38-'M1'!D38</f>
        <v>0</v>
      </c>
      <c r="E38" s="66">
        <f>'M2'!E38-'M1'!E38</f>
        <v>0</v>
      </c>
      <c r="F38" s="66">
        <f>'M2'!F38-'M1'!F38</f>
        <v>73.918000000000006</v>
      </c>
      <c r="G38" s="66">
        <f>'M2'!G38-'M1'!G38</f>
        <v>0</v>
      </c>
      <c r="H38" s="66">
        <f>'M2'!H38-'M1'!H38</f>
        <v>55.143000000000001</v>
      </c>
    </row>
    <row r="39" spans="1:8">
      <c r="A39" s="66" t="s">
        <v>82</v>
      </c>
      <c r="B39" s="66">
        <f>'M2'!B39-'M1'!B39</f>
        <v>-3.1113999999999997</v>
      </c>
      <c r="C39" s="66">
        <f>'M2'!C39-'M1'!C39</f>
        <v>1.1650899999999993</v>
      </c>
      <c r="D39" s="66">
        <f>'M2'!D39-'M1'!D39</f>
        <v>-6.1356800000000007</v>
      </c>
      <c r="E39" s="66">
        <f>'M2'!E39-'M1'!E39</f>
        <v>0</v>
      </c>
      <c r="F39" s="66">
        <f>'M2'!F39-'M1'!F39</f>
        <v>-18.950099999999999</v>
      </c>
      <c r="G39" s="66">
        <f>'M2'!G39-'M1'!G39</f>
        <v>0</v>
      </c>
      <c r="H39" s="66">
        <f>'M2'!H39-'M1'!H39</f>
        <v>6.8402000000000012</v>
      </c>
    </row>
    <row r="40" spans="1:8">
      <c r="A40" s="66" t="s">
        <v>83</v>
      </c>
      <c r="B40" s="66">
        <f>'M2'!B40-'M1'!B40</f>
        <v>0.21382600000000007</v>
      </c>
      <c r="C40" s="66">
        <f>'M2'!C40-'M1'!C40</f>
        <v>-0.15720000000000001</v>
      </c>
      <c r="D40" s="66">
        <f>'M2'!D40-'M1'!D40</f>
        <v>7.0045999999999997E-2</v>
      </c>
      <c r="E40" s="66">
        <f>'M2'!E40-'M1'!E40</f>
        <v>0</v>
      </c>
      <c r="F40" s="66">
        <f>'M2'!F40-'M1'!F40</f>
        <v>-0.41830000000000012</v>
      </c>
      <c r="G40" s="66">
        <f>'M2'!G40-'M1'!G40</f>
        <v>0</v>
      </c>
      <c r="H40" s="66">
        <f>'M2'!H40-'M1'!H40</f>
        <v>-0.20372299999999999</v>
      </c>
    </row>
    <row r="41" spans="1:8">
      <c r="A41" s="66" t="s">
        <v>84</v>
      </c>
      <c r="B41" s="66">
        <f>'M2'!B41-'M1'!B41</f>
        <v>0</v>
      </c>
      <c r="C41" s="66">
        <f>'M2'!C41-'M1'!C41</f>
        <v>-9.1753000000000029E-2</v>
      </c>
      <c r="D41" s="66">
        <f>'M2'!D41-'M1'!D41</f>
        <v>0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-7.3490799999999995E-2</v>
      </c>
      <c r="C42" s="66">
        <f>'M2'!C42-'M1'!C42</f>
        <v>-2.8118000000000004E-2</v>
      </c>
      <c r="D42" s="66">
        <f>'M2'!D42-'M1'!D42</f>
        <v>4.4840600000000004</v>
      </c>
      <c r="E42" s="66">
        <f>'M2'!E42-'M1'!E42</f>
        <v>0</v>
      </c>
      <c r="F42" s="66">
        <f>'M2'!F42-'M1'!F42</f>
        <v>0.26270500000000002</v>
      </c>
      <c r="G42" s="66">
        <f>'M2'!G42-'M1'!G42</f>
        <v>0</v>
      </c>
      <c r="H42" s="66">
        <f>'M2'!H42-'M1'!H42</f>
        <v>0.20359100000000002</v>
      </c>
    </row>
    <row r="43" spans="1:8">
      <c r="A43" s="66" t="s">
        <v>86</v>
      </c>
      <c r="B43" s="66">
        <f>'M2'!B43-'M1'!B43</f>
        <v>-7.7093600000000012E-2</v>
      </c>
      <c r="C43" s="66">
        <f>'M2'!C43-'M1'!C43</f>
        <v>2.2764000000000003E-2</v>
      </c>
      <c r="D43" s="66">
        <f>'M2'!D43-'M1'!D43</f>
        <v>7.6017000000000001E-2</v>
      </c>
      <c r="E43" s="66">
        <f>'M2'!E43-'M1'!E43</f>
        <v>0</v>
      </c>
      <c r="F43" s="66">
        <f>'M2'!F43-'M1'!F43</f>
        <v>-0.19397800000000001</v>
      </c>
      <c r="G43" s="66">
        <f>'M2'!G43-'M1'!G43</f>
        <v>0</v>
      </c>
      <c r="H43" s="66">
        <f>'M2'!H43-'M1'!H43</f>
        <v>-3.36604E-2</v>
      </c>
    </row>
    <row r="44" spans="1:8">
      <c r="A44" s="66" t="s">
        <v>87</v>
      </c>
      <c r="B44" s="66">
        <f>'M2'!B44-'M1'!B44</f>
        <v>6.9070600000000013</v>
      </c>
      <c r="C44" s="66">
        <f>'M2'!C44-'M1'!C44</f>
        <v>-3.1076000000000006</v>
      </c>
      <c r="D44" s="66">
        <f>'M2'!D44-'M1'!D44</f>
        <v>-3.2314569999999998</v>
      </c>
      <c r="E44" s="66">
        <f>'M2'!E44-'M1'!E44</f>
        <v>0</v>
      </c>
      <c r="F44" s="66">
        <f>'M2'!F44-'M1'!F44</f>
        <v>7.4147099999999995</v>
      </c>
      <c r="G44" s="66">
        <f>'M2'!G44-'M1'!G44</f>
        <v>0</v>
      </c>
      <c r="H44" s="66">
        <f>'M2'!H44-'M1'!H44</f>
        <v>1.8342000000000009</v>
      </c>
    </row>
    <row r="45" spans="1:8">
      <c r="A45" s="66" t="s">
        <v>88</v>
      </c>
      <c r="B45" s="66">
        <f>'M2'!B45-'M1'!B45</f>
        <v>-2.4030000000000058</v>
      </c>
      <c r="C45" s="66">
        <f>'M2'!C45-'M1'!C45</f>
        <v>-1.2283000000000008</v>
      </c>
      <c r="D45" s="66">
        <f>'M2'!D45-'M1'!D45</f>
        <v>-1.4856000000000008E-2</v>
      </c>
      <c r="E45" s="66">
        <f>'M2'!E45-'M1'!E45</f>
        <v>0</v>
      </c>
      <c r="F45" s="66">
        <f>'M2'!F45-'M1'!F45</f>
        <v>11.868099999999998</v>
      </c>
      <c r="G45" s="66">
        <f>'M2'!G45-'M1'!G45</f>
        <v>0</v>
      </c>
      <c r="H45" s="66">
        <f>'M2'!H45-'M1'!H45</f>
        <v>-2.2918999999999983</v>
      </c>
    </row>
    <row r="46" spans="1:8">
      <c r="A46" s="66" t="s">
        <v>89</v>
      </c>
      <c r="B46" s="66">
        <f>'M2'!B46-'M1'!B46</f>
        <v>3.6975999999999978</v>
      </c>
      <c r="C46" s="66">
        <f>'M2'!C46-'M1'!C46</f>
        <v>-5.1654299999999997</v>
      </c>
      <c r="D46" s="66">
        <f>'M2'!D46-'M1'!D46</f>
        <v>-0.22897029999999999</v>
      </c>
      <c r="E46" s="66">
        <f>'M2'!E46-'M1'!E46</f>
        <v>0</v>
      </c>
      <c r="F46" s="66">
        <f>'M2'!F46-'M1'!F46</f>
        <v>15.768139999999999</v>
      </c>
      <c r="G46" s="66">
        <f>'M2'!G46-'M1'!G46</f>
        <v>0</v>
      </c>
      <c r="H46" s="66">
        <f>'M2'!H46-'M1'!H46</f>
        <v>0.9634999999999998</v>
      </c>
    </row>
    <row r="47" spans="1:8">
      <c r="A47" s="66" t="s">
        <v>90</v>
      </c>
      <c r="B47" s="66">
        <f>'M2'!B47-'M1'!B47</f>
        <v>-5.3877999999999981E-2</v>
      </c>
      <c r="C47" s="66">
        <f>'M2'!C47-'M1'!C47</f>
        <v>-6.3895000000000035E-2</v>
      </c>
      <c r="D47" s="66">
        <f>'M2'!D47-'M1'!D47</f>
        <v>-5.6667000000000023E-2</v>
      </c>
      <c r="E47" s="66">
        <f>'M2'!E47-'M1'!E47</f>
        <v>0</v>
      </c>
      <c r="F47" s="66">
        <f>'M2'!F47-'M1'!F47</f>
        <v>1.6466099999999997E-2</v>
      </c>
      <c r="G47" s="66">
        <f>'M2'!G47-'M1'!G47</f>
        <v>0</v>
      </c>
      <c r="H47" s="66">
        <f>'M2'!H47-'M1'!H47</f>
        <v>-0.46845000000000003</v>
      </c>
    </row>
    <row r="48" spans="1:8">
      <c r="A48" s="66" t="s">
        <v>91</v>
      </c>
      <c r="B48" s="66">
        <f>'M2'!B48-'M1'!B48</f>
        <v>-7.4550999999999978E-2</v>
      </c>
      <c r="C48" s="66">
        <f>'M2'!C48-'M1'!C48</f>
        <v>-2.4862300000000004E-2</v>
      </c>
      <c r="D48" s="66">
        <f>'M2'!D48-'M1'!D48</f>
        <v>-3.2696000000000003E-2</v>
      </c>
      <c r="E48" s="66">
        <f>'M2'!E48-'M1'!E48</f>
        <v>0</v>
      </c>
      <c r="F48" s="66">
        <f>'M2'!F48-'M1'!F48</f>
        <v>-0.11972300000000002</v>
      </c>
      <c r="G48" s="66">
        <f>'M2'!G48-'M1'!G48</f>
        <v>0</v>
      </c>
      <c r="H48" s="66">
        <f>'M2'!H48-'M1'!H48</f>
        <v>-0.303095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26.6998</v>
      </c>
      <c r="C5" s="66">
        <v>7.3550500000000003</v>
      </c>
      <c r="D5" s="66">
        <v>27.5472</v>
      </c>
      <c r="E5" s="66">
        <v>20</v>
      </c>
      <c r="F5" s="66">
        <v>9.9427000000000003</v>
      </c>
      <c r="G5" s="66">
        <v>50</v>
      </c>
      <c r="H5" s="66">
        <v>36.858899999999998</v>
      </c>
    </row>
    <row r="6" spans="1:8">
      <c r="A6" s="66" t="s">
        <v>303</v>
      </c>
      <c r="B6" s="66">
        <v>36.385800000000003</v>
      </c>
      <c r="C6" s="66">
        <v>4.5110400000000004</v>
      </c>
      <c r="D6" s="66">
        <v>12.3978</v>
      </c>
      <c r="E6" s="66">
        <v>20</v>
      </c>
      <c r="F6" s="66">
        <v>28.8779</v>
      </c>
      <c r="G6" s="66">
        <v>40</v>
      </c>
      <c r="H6" s="66">
        <v>44.696800000000003</v>
      </c>
    </row>
    <row r="7" spans="1:8">
      <c r="A7" s="66" t="s">
        <v>304</v>
      </c>
      <c r="B7" s="66">
        <v>28.235199999999999</v>
      </c>
      <c r="C7" s="66">
        <v>7.2183700000000002</v>
      </c>
      <c r="D7" s="66">
        <v>25.565200000000001</v>
      </c>
      <c r="E7" s="66">
        <v>15</v>
      </c>
      <c r="F7" s="66">
        <v>8.0345399999999998</v>
      </c>
      <c r="G7" s="66">
        <v>40</v>
      </c>
      <c r="H7" s="66">
        <v>46.850499999999997</v>
      </c>
    </row>
    <row r="8" spans="1:8">
      <c r="A8" s="66" t="s">
        <v>305</v>
      </c>
      <c r="B8" s="66">
        <v>30.4422</v>
      </c>
      <c r="C8" s="66">
        <v>5.4549200000000004</v>
      </c>
      <c r="D8" s="66">
        <v>17.919</v>
      </c>
      <c r="E8" s="66">
        <v>20</v>
      </c>
      <c r="F8" s="66">
        <v>16.738399999999999</v>
      </c>
      <c r="G8" s="66">
        <v>50</v>
      </c>
      <c r="H8" s="66">
        <v>37.911299999999997</v>
      </c>
    </row>
    <row r="9" spans="1:8">
      <c r="A9" s="66" t="s">
        <v>306</v>
      </c>
      <c r="B9" s="66">
        <v>66.964699999999993</v>
      </c>
      <c r="C9" s="66">
        <v>4.9591799999999999</v>
      </c>
      <c r="D9" s="66">
        <v>7.4056699999999998</v>
      </c>
      <c r="E9" s="66">
        <v>50</v>
      </c>
      <c r="F9" s="66">
        <v>55.467100000000002</v>
      </c>
      <c r="G9" s="66">
        <v>100</v>
      </c>
      <c r="H9" s="66">
        <v>85.061800000000005</v>
      </c>
    </row>
    <row r="10" spans="1:8">
      <c r="A10" s="66" t="s">
        <v>307</v>
      </c>
      <c r="B10" s="66">
        <v>74.876000000000005</v>
      </c>
      <c r="C10" s="66">
        <v>10.5662</v>
      </c>
      <c r="D10" s="66">
        <v>14.111599999999999</v>
      </c>
      <c r="E10" s="66">
        <v>40</v>
      </c>
      <c r="F10" s="66">
        <v>49.597999999999999</v>
      </c>
      <c r="G10" s="66">
        <v>100</v>
      </c>
      <c r="H10" s="66">
        <v>78.421800000000005</v>
      </c>
    </row>
    <row r="11" spans="1:8">
      <c r="A11" s="66" t="s">
        <v>308</v>
      </c>
      <c r="B11" s="66">
        <v>11.148400000000001</v>
      </c>
      <c r="C11" s="66">
        <v>2.2435299999999998</v>
      </c>
      <c r="D11" s="66">
        <v>20.124199999999998</v>
      </c>
      <c r="E11" s="66">
        <v>10</v>
      </c>
      <c r="F11" s="66">
        <v>6.2931600000000003</v>
      </c>
      <c r="G11" s="66">
        <v>50</v>
      </c>
      <c r="H11" s="66">
        <v>14.411099999999999</v>
      </c>
    </row>
    <row r="12" spans="1:8">
      <c r="A12" s="66" t="s">
        <v>309</v>
      </c>
      <c r="B12" s="66">
        <v>70.295500000000004</v>
      </c>
      <c r="C12" s="66">
        <v>5.2793400000000004</v>
      </c>
      <c r="D12" s="66">
        <v>7.5102099999999998</v>
      </c>
      <c r="E12" s="66">
        <v>50</v>
      </c>
      <c r="F12" s="66">
        <v>57.209400000000002</v>
      </c>
      <c r="G12" s="66">
        <v>100</v>
      </c>
      <c r="H12" s="66">
        <v>80.863500000000002</v>
      </c>
    </row>
    <row r="13" spans="1:8">
      <c r="A13" s="66" t="s">
        <v>310</v>
      </c>
      <c r="B13" s="66">
        <v>18.069400000000002</v>
      </c>
      <c r="C13" s="66">
        <v>2.34429</v>
      </c>
      <c r="D13" s="66">
        <v>12.973800000000001</v>
      </c>
      <c r="E13" s="66">
        <v>10</v>
      </c>
      <c r="F13" s="66">
        <v>14.210900000000001</v>
      </c>
      <c r="G13" s="66">
        <v>25</v>
      </c>
      <c r="H13" s="66">
        <v>24.4208</v>
      </c>
    </row>
    <row r="14" spans="1:8">
      <c r="A14" s="66" t="s">
        <v>311</v>
      </c>
      <c r="B14" s="66">
        <v>23.442900000000002</v>
      </c>
      <c r="C14" s="66">
        <v>8.5600799999999992</v>
      </c>
      <c r="D14" s="66">
        <v>36.514600000000002</v>
      </c>
      <c r="E14" s="66">
        <v>10</v>
      </c>
      <c r="F14" s="66">
        <v>2.3843999999999999</v>
      </c>
      <c r="G14" s="66">
        <v>50</v>
      </c>
      <c r="H14" s="66">
        <v>28.019100000000002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0.62680999999999998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0.733325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196">
        <v>2.9903499999999999E-5</v>
      </c>
      <c r="C20" s="66">
        <v>5.9503300000000002E-3</v>
      </c>
      <c r="D20" s="66">
        <v>198.98400000000001</v>
      </c>
      <c r="E20" s="66">
        <v>0</v>
      </c>
      <c r="F20" s="66">
        <v>0</v>
      </c>
      <c r="G20" s="66">
        <v>0</v>
      </c>
      <c r="H20" s="66">
        <v>8.5680099999999995E-2</v>
      </c>
    </row>
    <row r="21" spans="1:8">
      <c r="A21" s="66" t="s">
        <v>318</v>
      </c>
      <c r="B21" s="66">
        <v>1.08015E-2</v>
      </c>
      <c r="C21" s="66">
        <v>9.2248899999999995E-2</v>
      </c>
      <c r="D21" s="66">
        <v>8.5403599999999997</v>
      </c>
      <c r="E21" s="66">
        <v>0</v>
      </c>
      <c r="F21" s="66">
        <v>0</v>
      </c>
      <c r="G21" s="66">
        <v>0</v>
      </c>
      <c r="H21" s="66">
        <v>0.81379299999999999</v>
      </c>
    </row>
    <row r="22" spans="1:8">
      <c r="A22" s="66" t="s">
        <v>319</v>
      </c>
      <c r="B22" s="66">
        <v>25.523299999999999</v>
      </c>
      <c r="C22" s="66">
        <v>9.63246</v>
      </c>
      <c r="D22" s="66">
        <v>0.37740000000000001</v>
      </c>
      <c r="E22" s="66">
        <v>0</v>
      </c>
      <c r="F22" s="66">
        <v>7.0854499999999998</v>
      </c>
      <c r="G22" s="66">
        <v>0</v>
      </c>
      <c r="H22" s="66">
        <v>55.622900000000001</v>
      </c>
    </row>
    <row r="23" spans="1:8">
      <c r="A23" s="66" t="s">
        <v>320</v>
      </c>
      <c r="B23" s="66">
        <v>10.7242</v>
      </c>
      <c r="C23" s="66">
        <v>0.79226799999999997</v>
      </c>
      <c r="D23" s="66">
        <v>7.3876600000000001E-2</v>
      </c>
      <c r="E23" s="66">
        <v>0</v>
      </c>
      <c r="F23" s="66">
        <v>8.6948899999999991</v>
      </c>
      <c r="G23" s="66">
        <v>0</v>
      </c>
      <c r="H23" s="66">
        <v>12.0951</v>
      </c>
    </row>
    <row r="24" spans="1:8">
      <c r="A24" s="66" t="s">
        <v>321</v>
      </c>
      <c r="B24" s="196">
        <v>6.0164300000000003E-5</v>
      </c>
      <c r="C24" s="66">
        <v>3.5644000000000001E-3</v>
      </c>
      <c r="D24" s="66">
        <v>59.244399999999999</v>
      </c>
      <c r="E24" s="66">
        <v>0</v>
      </c>
      <c r="F24" s="196">
        <v>1.1250900000000001E-7</v>
      </c>
      <c r="G24" s="66">
        <v>0</v>
      </c>
      <c r="H24" s="66">
        <v>2.5782599999999999E-2</v>
      </c>
    </row>
    <row r="25" spans="1:8">
      <c r="A25" s="66" t="s">
        <v>322</v>
      </c>
      <c r="B25" s="66">
        <v>1.69657E-2</v>
      </c>
      <c r="C25" s="66">
        <v>6.7134100000000002E-2</v>
      </c>
      <c r="D25" s="66">
        <v>3.95703</v>
      </c>
      <c r="E25" s="66">
        <v>0</v>
      </c>
      <c r="F25" s="66">
        <v>5.1281099999999995E-4</v>
      </c>
      <c r="G25" s="66">
        <v>0</v>
      </c>
      <c r="H25" s="66">
        <v>0.29466300000000001</v>
      </c>
    </row>
    <row r="26" spans="1:8">
      <c r="A26" s="66" t="s">
        <v>323</v>
      </c>
      <c r="B26" s="196">
        <v>1.31303E-5</v>
      </c>
      <c r="C26" s="66">
        <v>4.8879000000000001E-4</v>
      </c>
      <c r="D26" s="66">
        <v>37.226300000000002</v>
      </c>
      <c r="E26" s="66">
        <v>0</v>
      </c>
      <c r="F26" s="66">
        <v>0</v>
      </c>
      <c r="G26" s="66">
        <v>0</v>
      </c>
      <c r="H26" s="66">
        <v>5.1010999999999999E-3</v>
      </c>
    </row>
    <row r="27" spans="1:8">
      <c r="A27" s="66" t="s">
        <v>324</v>
      </c>
      <c r="B27" s="66">
        <v>0</v>
      </c>
      <c r="C27" s="66">
        <v>3.73447E-4</v>
      </c>
      <c r="D27" s="66">
        <v>0</v>
      </c>
      <c r="E27" s="66">
        <v>0</v>
      </c>
      <c r="F27" s="66">
        <v>-5.0387299999999999E-3</v>
      </c>
      <c r="G27" s="66">
        <v>0</v>
      </c>
      <c r="H27" s="66">
        <v>3.1053000000000001E-3</v>
      </c>
    </row>
    <row r="28" spans="1:8">
      <c r="A28" s="66" t="s">
        <v>325</v>
      </c>
      <c r="B28" s="66">
        <v>2.15658E-3</v>
      </c>
      <c r="C28" s="66">
        <v>8.5912599999999999E-3</v>
      </c>
      <c r="D28" s="66">
        <v>3.9837500000000001</v>
      </c>
      <c r="E28" s="66">
        <v>0</v>
      </c>
      <c r="F28" s="66">
        <v>0</v>
      </c>
      <c r="G28" s="66">
        <v>0</v>
      </c>
      <c r="H28" s="66">
        <v>6.8701200000000004E-2</v>
      </c>
    </row>
    <row r="29" spans="1:8">
      <c r="A29" s="66" t="s">
        <v>326</v>
      </c>
      <c r="B29" s="66">
        <v>61.0867</v>
      </c>
      <c r="C29" s="66">
        <v>10.451599999999999</v>
      </c>
      <c r="D29" s="66">
        <v>0.171095</v>
      </c>
      <c r="E29" s="66">
        <v>0</v>
      </c>
      <c r="F29" s="66">
        <v>33.307000000000002</v>
      </c>
      <c r="G29" s="66">
        <v>0</v>
      </c>
      <c r="H29" s="66">
        <v>82.204599999999999</v>
      </c>
    </row>
    <row r="30" spans="1:8">
      <c r="A30" s="66" t="s">
        <v>327</v>
      </c>
      <c r="B30" s="66">
        <v>13.9398</v>
      </c>
      <c r="C30" s="66">
        <v>3.5093700000000001</v>
      </c>
      <c r="D30" s="66">
        <v>0.25175199999999998</v>
      </c>
      <c r="E30" s="66">
        <v>0</v>
      </c>
      <c r="F30" s="66">
        <v>10.087300000000001</v>
      </c>
      <c r="G30" s="66">
        <v>0</v>
      </c>
      <c r="H30" s="66">
        <v>21.737100000000002</v>
      </c>
    </row>
    <row r="31" spans="1:8">
      <c r="A31" s="66" t="s">
        <v>328</v>
      </c>
      <c r="B31" s="66">
        <v>70.920900000000003</v>
      </c>
      <c r="C31" s="66">
        <v>8.4339399999999998</v>
      </c>
      <c r="D31" s="66">
        <v>0.11892</v>
      </c>
      <c r="E31" s="66">
        <v>0</v>
      </c>
      <c r="F31" s="66">
        <v>40.658099999999997</v>
      </c>
      <c r="G31" s="66">
        <v>0</v>
      </c>
      <c r="H31" s="66">
        <v>85.893600000000006</v>
      </c>
    </row>
    <row r="32" spans="1:8">
      <c r="A32" s="66" t="s">
        <v>329</v>
      </c>
      <c r="B32" s="66">
        <v>0.28235199999999999</v>
      </c>
      <c r="C32" s="66">
        <v>7.2183700000000003E-2</v>
      </c>
      <c r="D32" s="66">
        <v>0.25565199999999999</v>
      </c>
      <c r="E32" s="66">
        <v>0.15</v>
      </c>
      <c r="F32" s="66">
        <v>8.0345399999999997E-2</v>
      </c>
      <c r="G32" s="66">
        <v>0.4</v>
      </c>
      <c r="H32" s="66">
        <v>0.468505</v>
      </c>
    </row>
    <row r="33" spans="1:8">
      <c r="A33" s="66" t="s">
        <v>330</v>
      </c>
      <c r="B33" s="66">
        <v>0.28752699999999998</v>
      </c>
      <c r="C33" s="66">
        <v>3.2013100000000003E-2</v>
      </c>
      <c r="D33" s="66">
        <v>0.11133899999999999</v>
      </c>
      <c r="E33" s="66">
        <v>0</v>
      </c>
      <c r="F33" s="66">
        <v>0.22350700000000001</v>
      </c>
      <c r="G33" s="66">
        <v>0</v>
      </c>
      <c r="H33" s="66">
        <v>0.40789900000000001</v>
      </c>
    </row>
    <row r="34" spans="1:8">
      <c r="A34" s="66" t="s">
        <v>331</v>
      </c>
      <c r="B34" s="66">
        <v>0.18069399999999999</v>
      </c>
      <c r="C34" s="66">
        <v>2.3442899999999999E-2</v>
      </c>
      <c r="D34" s="66">
        <v>0.12973799999999999</v>
      </c>
      <c r="E34" s="66">
        <v>0.1</v>
      </c>
      <c r="F34" s="66">
        <v>0.14210900000000001</v>
      </c>
      <c r="G34" s="66">
        <v>0.25</v>
      </c>
      <c r="H34" s="66">
        <v>0.24420800000000001</v>
      </c>
    </row>
    <row r="35" spans="1:8">
      <c r="A35" s="66" t="s">
        <v>332</v>
      </c>
      <c r="B35" s="66">
        <v>6.6712800000000003E-2</v>
      </c>
      <c r="C35" s="66">
        <v>1.6279100000000001E-2</v>
      </c>
      <c r="D35" s="66">
        <v>0.24401700000000001</v>
      </c>
      <c r="E35" s="66">
        <v>0</v>
      </c>
      <c r="F35" s="66">
        <v>2.8633200000000001E-2</v>
      </c>
      <c r="G35" s="66">
        <v>0</v>
      </c>
      <c r="H35" s="66">
        <v>0.102922</v>
      </c>
    </row>
    <row r="36" spans="1:8">
      <c r="A36" s="66" t="s">
        <v>333</v>
      </c>
      <c r="B36" s="66">
        <v>0.17338400000000001</v>
      </c>
      <c r="C36" s="66">
        <v>7.3392799999999994E-2</v>
      </c>
      <c r="D36" s="66">
        <v>0.42329600000000001</v>
      </c>
      <c r="E36" s="66">
        <v>0</v>
      </c>
      <c r="F36" s="66">
        <v>3.9717299999999997E-2</v>
      </c>
      <c r="G36" s="66">
        <v>0</v>
      </c>
      <c r="H36" s="66">
        <v>0.40667799999999998</v>
      </c>
    </row>
    <row r="37" spans="1:8">
      <c r="A37" s="66" t="s">
        <v>334</v>
      </c>
      <c r="B37" s="66">
        <v>0.234429</v>
      </c>
      <c r="C37" s="66">
        <v>8.5600800000000005E-2</v>
      </c>
      <c r="D37" s="66">
        <v>0.36514600000000003</v>
      </c>
      <c r="E37" s="66">
        <v>0.1</v>
      </c>
      <c r="F37" s="66">
        <v>2.3844000000000001E-2</v>
      </c>
      <c r="G37" s="66">
        <v>0.5</v>
      </c>
      <c r="H37" s="66">
        <v>0.28019100000000002</v>
      </c>
    </row>
    <row r="38" spans="1:8">
      <c r="A38" s="66" t="s">
        <v>335</v>
      </c>
      <c r="B38" s="66">
        <v>0</v>
      </c>
      <c r="C38" s="66">
        <v>47.892200000000003</v>
      </c>
      <c r="D38" s="66">
        <v>0</v>
      </c>
      <c r="E38" s="66">
        <v>0</v>
      </c>
      <c r="F38" s="66">
        <v>-164.078</v>
      </c>
      <c r="G38" s="66">
        <v>0</v>
      </c>
      <c r="H38" s="66">
        <v>180.916</v>
      </c>
    </row>
    <row r="39" spans="1:8">
      <c r="A39" s="66" t="s">
        <v>336</v>
      </c>
      <c r="B39" s="66">
        <v>1.2865599999999999</v>
      </c>
      <c r="C39" s="66">
        <v>4.1480300000000003</v>
      </c>
      <c r="D39" s="66">
        <v>3.2241200000000001</v>
      </c>
      <c r="E39" s="66">
        <v>0</v>
      </c>
      <c r="F39" s="66">
        <v>-8.5513999999999992</v>
      </c>
      <c r="G39" s="66">
        <v>0</v>
      </c>
      <c r="H39" s="66">
        <v>10.6472</v>
      </c>
    </row>
    <row r="40" spans="1:8">
      <c r="A40" s="66" t="s">
        <v>337</v>
      </c>
      <c r="B40" s="66">
        <v>-1.0249900000000001</v>
      </c>
      <c r="C40" s="66">
        <v>0.48118100000000003</v>
      </c>
      <c r="D40" s="66">
        <v>-0.46944799999999998</v>
      </c>
      <c r="E40" s="66">
        <v>0</v>
      </c>
      <c r="F40" s="66">
        <v>-1.42587</v>
      </c>
      <c r="G40" s="66">
        <v>0</v>
      </c>
      <c r="H40" s="66">
        <v>0.37330099999999999</v>
      </c>
    </row>
    <row r="41" spans="1:8">
      <c r="A41" s="66" t="s">
        <v>338</v>
      </c>
      <c r="B41" s="66">
        <v>0</v>
      </c>
      <c r="C41" s="66">
        <v>0.48394700000000002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-2.40994E-2</v>
      </c>
      <c r="C42" s="66">
        <v>0.13428000000000001</v>
      </c>
      <c r="D42" s="66">
        <v>-5.5719000000000003</v>
      </c>
      <c r="E42" s="66">
        <v>0</v>
      </c>
      <c r="F42" s="66">
        <v>-0.69230800000000003</v>
      </c>
      <c r="G42" s="66">
        <v>0</v>
      </c>
      <c r="H42" s="66">
        <v>0.31395299999999998</v>
      </c>
    </row>
    <row r="43" spans="1:8">
      <c r="A43" s="66" t="s">
        <v>340</v>
      </c>
      <c r="B43" s="66">
        <v>-6.97044E-2</v>
      </c>
      <c r="C43" s="66">
        <v>3.06717E-2</v>
      </c>
      <c r="D43" s="66">
        <v>-0.440025</v>
      </c>
      <c r="E43" s="66">
        <v>0</v>
      </c>
      <c r="F43" s="66">
        <v>-0.12984999999999999</v>
      </c>
      <c r="G43" s="66">
        <v>0</v>
      </c>
      <c r="H43" s="66">
        <v>1.88679E-2</v>
      </c>
    </row>
    <row r="44" spans="1:8">
      <c r="A44" s="66" t="s">
        <v>341</v>
      </c>
      <c r="B44" s="66">
        <v>2.2220499999999999</v>
      </c>
      <c r="C44" s="66">
        <v>8.4907000000000004</v>
      </c>
      <c r="D44" s="66">
        <v>3.8211200000000001</v>
      </c>
      <c r="E44" s="66">
        <v>0</v>
      </c>
      <c r="F44" s="66">
        <v>-12.6967</v>
      </c>
      <c r="G44" s="66">
        <v>0</v>
      </c>
      <c r="H44" s="66">
        <v>15.818099999999999</v>
      </c>
    </row>
    <row r="45" spans="1:8">
      <c r="A45" s="66" t="s">
        <v>342</v>
      </c>
      <c r="B45" s="66">
        <v>47.264200000000002</v>
      </c>
      <c r="C45" s="66">
        <v>11.0502</v>
      </c>
      <c r="D45" s="66">
        <v>0.233796</v>
      </c>
      <c r="E45" s="66">
        <v>0</v>
      </c>
      <c r="F45" s="66">
        <v>14.2561</v>
      </c>
      <c r="G45" s="66">
        <v>0</v>
      </c>
      <c r="H45" s="66">
        <v>72.077299999999994</v>
      </c>
    </row>
    <row r="46" spans="1:8">
      <c r="A46" s="66" t="s">
        <v>343</v>
      </c>
      <c r="B46" s="66">
        <v>23.682200000000002</v>
      </c>
      <c r="C46" s="66">
        <v>7.0691899999999999</v>
      </c>
      <c r="D46" s="66">
        <v>0.29850199999999999</v>
      </c>
      <c r="E46" s="66">
        <v>0</v>
      </c>
      <c r="F46" s="66">
        <v>7.4412599999999998</v>
      </c>
      <c r="G46" s="66">
        <v>0</v>
      </c>
      <c r="H46" s="66">
        <v>30.920500000000001</v>
      </c>
    </row>
    <row r="47" spans="1:8">
      <c r="A47" s="66" t="s">
        <v>344</v>
      </c>
      <c r="B47" s="66">
        <v>0.38303199999999998</v>
      </c>
      <c r="C47" s="66">
        <v>0.32164300000000001</v>
      </c>
      <c r="D47" s="66">
        <v>0.83972800000000003</v>
      </c>
      <c r="E47" s="66">
        <v>0</v>
      </c>
      <c r="F47" s="66">
        <v>7.26406E-2</v>
      </c>
      <c r="G47" s="66">
        <v>0</v>
      </c>
      <c r="H47" s="66">
        <v>1.77264</v>
      </c>
    </row>
    <row r="48" spans="1:8">
      <c r="A48" s="66" t="s">
        <v>345</v>
      </c>
      <c r="B48" s="66">
        <v>0.53139199999999998</v>
      </c>
      <c r="C48" s="66">
        <v>7.0746000000000003E-2</v>
      </c>
      <c r="D48" s="66">
        <v>0.133133</v>
      </c>
      <c r="E48" s="66">
        <v>0</v>
      </c>
      <c r="F48" s="66">
        <v>0.46198400000000001</v>
      </c>
      <c r="G48" s="66">
        <v>0</v>
      </c>
      <c r="H48" s="66">
        <v>0.87569200000000003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31.1463</v>
      </c>
      <c r="C5" s="66">
        <v>2.5624099999999999</v>
      </c>
      <c r="D5" s="66">
        <v>8.2269900000000007</v>
      </c>
      <c r="E5" s="66">
        <v>20</v>
      </c>
      <c r="F5" s="66">
        <v>26.524100000000001</v>
      </c>
      <c r="G5" s="66">
        <v>50</v>
      </c>
      <c r="H5" s="66">
        <v>38.118600000000001</v>
      </c>
    </row>
    <row r="6" spans="1:8">
      <c r="A6" s="66" t="s">
        <v>303</v>
      </c>
      <c r="B6" s="66">
        <v>41.910499999999999</v>
      </c>
      <c r="C6" s="66">
        <v>1.6522399999999999</v>
      </c>
      <c r="D6" s="66">
        <v>3.94231</v>
      </c>
      <c r="E6" s="66">
        <v>20</v>
      </c>
      <c r="F6" s="66">
        <v>39.334400000000002</v>
      </c>
      <c r="G6" s="66">
        <v>40</v>
      </c>
      <c r="H6" s="66">
        <v>44.924500000000002</v>
      </c>
    </row>
    <row r="7" spans="1:8">
      <c r="A7" s="66" t="s">
        <v>304</v>
      </c>
      <c r="B7" s="66">
        <v>29.933199999999999</v>
      </c>
      <c r="C7" s="66">
        <v>3.37981</v>
      </c>
      <c r="D7" s="66">
        <v>11.2912</v>
      </c>
      <c r="E7" s="66">
        <v>15</v>
      </c>
      <c r="F7" s="66">
        <v>15.6614</v>
      </c>
      <c r="G7" s="66">
        <v>40</v>
      </c>
      <c r="H7" s="66">
        <v>46.782499999999999</v>
      </c>
    </row>
    <row r="8" spans="1:8">
      <c r="A8" s="66" t="s">
        <v>305</v>
      </c>
      <c r="B8" s="66">
        <v>34.764099999999999</v>
      </c>
      <c r="C8" s="66">
        <v>0.70583700000000005</v>
      </c>
      <c r="D8" s="66">
        <v>2.0303599999999999</v>
      </c>
      <c r="E8" s="66">
        <v>20</v>
      </c>
      <c r="F8" s="66">
        <v>33.259099999999997</v>
      </c>
      <c r="G8" s="66">
        <v>50</v>
      </c>
      <c r="H8" s="66">
        <v>37.758099999999999</v>
      </c>
    </row>
    <row r="9" spans="1:8">
      <c r="A9" s="66" t="s">
        <v>306</v>
      </c>
      <c r="B9" s="66">
        <v>63.814799999999998</v>
      </c>
      <c r="C9" s="66">
        <v>3.9414199999999999</v>
      </c>
      <c r="D9" s="66">
        <v>6.1763500000000002</v>
      </c>
      <c r="E9" s="66">
        <v>50</v>
      </c>
      <c r="F9" s="66">
        <v>56.517899999999997</v>
      </c>
      <c r="G9" s="66">
        <v>100</v>
      </c>
      <c r="H9" s="66">
        <v>74.419499999999999</v>
      </c>
    </row>
    <row r="10" spans="1:8">
      <c r="A10" s="66" t="s">
        <v>307</v>
      </c>
      <c r="B10" s="66">
        <v>61.664700000000003</v>
      </c>
      <c r="C10" s="66">
        <v>7.2332999999999998</v>
      </c>
      <c r="D10" s="66">
        <v>11.7301</v>
      </c>
      <c r="E10" s="66">
        <v>40</v>
      </c>
      <c r="F10" s="66">
        <v>38.067700000000002</v>
      </c>
      <c r="G10" s="66">
        <v>100</v>
      </c>
      <c r="H10" s="66">
        <v>66.783900000000003</v>
      </c>
    </row>
    <row r="11" spans="1:8">
      <c r="A11" s="66" t="s">
        <v>308</v>
      </c>
      <c r="B11" s="66">
        <v>11.034599999999999</v>
      </c>
      <c r="C11" s="66">
        <v>1.2699</v>
      </c>
      <c r="D11" s="66">
        <v>11.5084</v>
      </c>
      <c r="E11" s="66">
        <v>10</v>
      </c>
      <c r="F11" s="66">
        <v>10.134600000000001</v>
      </c>
      <c r="G11" s="66">
        <v>50</v>
      </c>
      <c r="H11" s="66">
        <v>14.3241</v>
      </c>
    </row>
    <row r="12" spans="1:8">
      <c r="A12" s="66" t="s">
        <v>309</v>
      </c>
      <c r="B12" s="66">
        <v>62.247199999999999</v>
      </c>
      <c r="C12" s="66">
        <v>3.2883900000000001</v>
      </c>
      <c r="D12" s="66">
        <v>5.2827799999999998</v>
      </c>
      <c r="E12" s="66">
        <v>50</v>
      </c>
      <c r="F12" s="66">
        <v>52.453200000000002</v>
      </c>
      <c r="G12" s="66">
        <v>100</v>
      </c>
      <c r="H12" s="66">
        <v>69.728300000000004</v>
      </c>
    </row>
    <row r="13" spans="1:8">
      <c r="A13" s="66" t="s">
        <v>310</v>
      </c>
      <c r="B13" s="66">
        <v>20.203199999999999</v>
      </c>
      <c r="C13" s="66">
        <v>2.8818800000000002</v>
      </c>
      <c r="D13" s="66">
        <v>14.2645</v>
      </c>
      <c r="E13" s="66">
        <v>10</v>
      </c>
      <c r="F13" s="66">
        <v>14.4321</v>
      </c>
      <c r="G13" s="66">
        <v>25</v>
      </c>
      <c r="H13" s="66">
        <v>27.734100000000002</v>
      </c>
    </row>
    <row r="14" spans="1:8">
      <c r="A14" s="66" t="s">
        <v>311</v>
      </c>
      <c r="B14" s="66">
        <v>28.8188</v>
      </c>
      <c r="C14" s="66">
        <v>8.2947199999999999</v>
      </c>
      <c r="D14" s="66">
        <v>28.782299999999999</v>
      </c>
      <c r="E14" s="66">
        <v>10</v>
      </c>
      <c r="F14" s="66">
        <v>4.31792</v>
      </c>
      <c r="G14" s="66">
        <v>50</v>
      </c>
      <c r="H14" s="66">
        <v>32.203099999999999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0.63687499999999997</v>
      </c>
      <c r="C18" s="66">
        <v>1.9459799999999999E-2</v>
      </c>
      <c r="D18" s="66">
        <v>3.0555200000000001E-2</v>
      </c>
      <c r="E18" s="66">
        <v>0</v>
      </c>
      <c r="F18" s="66">
        <v>0.61741500000000005</v>
      </c>
      <c r="G18" s="66">
        <v>0</v>
      </c>
      <c r="H18" s="66">
        <v>0.656335</v>
      </c>
    </row>
    <row r="19" spans="1:8">
      <c r="A19" s="66" t="s">
        <v>316</v>
      </c>
      <c r="B19" s="66">
        <v>0.79661999999999999</v>
      </c>
      <c r="C19" s="66">
        <v>6.1222699999999998E-2</v>
      </c>
      <c r="D19" s="66">
        <v>7.6853099999999994E-2</v>
      </c>
      <c r="E19" s="66">
        <v>0</v>
      </c>
      <c r="F19" s="66">
        <v>0.735398</v>
      </c>
      <c r="G19" s="66">
        <v>0</v>
      </c>
      <c r="H19" s="66">
        <v>0.85784300000000002</v>
      </c>
    </row>
    <row r="20" spans="1:8">
      <c r="A20" s="66" t="s">
        <v>317</v>
      </c>
      <c r="B20" s="196">
        <v>3.1280900000000001E-5</v>
      </c>
      <c r="C20" s="66">
        <v>6.4813099999999997E-3</v>
      </c>
      <c r="D20" s="66">
        <v>207.197</v>
      </c>
      <c r="E20" s="66">
        <v>0</v>
      </c>
      <c r="F20" s="66">
        <v>0</v>
      </c>
      <c r="G20" s="66">
        <v>0</v>
      </c>
      <c r="H20" s="66">
        <v>9.5579700000000004E-2</v>
      </c>
    </row>
    <row r="21" spans="1:8">
      <c r="A21" s="66" t="s">
        <v>318</v>
      </c>
      <c r="B21" s="66">
        <v>1.08767E-2</v>
      </c>
      <c r="C21" s="66">
        <v>6.4160999999999996E-2</v>
      </c>
      <c r="D21" s="66">
        <v>5.89893</v>
      </c>
      <c r="E21" s="66">
        <v>0</v>
      </c>
      <c r="F21" s="196">
        <v>3.6509399999999999E-6</v>
      </c>
      <c r="G21" s="66">
        <v>0</v>
      </c>
      <c r="H21" s="66">
        <v>0.56621999999999995</v>
      </c>
    </row>
    <row r="22" spans="1:8">
      <c r="A22" s="66" t="s">
        <v>319</v>
      </c>
      <c r="B22" s="66">
        <v>30.730699999999999</v>
      </c>
      <c r="C22" s="66">
        <v>10.948700000000001</v>
      </c>
      <c r="D22" s="66">
        <v>0.35627999999999999</v>
      </c>
      <c r="E22" s="66">
        <v>0</v>
      </c>
      <c r="F22" s="66">
        <v>15.1523</v>
      </c>
      <c r="G22" s="66">
        <v>0</v>
      </c>
      <c r="H22" s="66">
        <v>73.429699999999997</v>
      </c>
    </row>
    <row r="23" spans="1:8">
      <c r="A23" s="66" t="s">
        <v>320</v>
      </c>
      <c r="B23" s="66">
        <v>10.7118</v>
      </c>
      <c r="C23" s="66">
        <v>1.3421099999999999</v>
      </c>
      <c r="D23" s="66">
        <v>0.12529199999999999</v>
      </c>
      <c r="E23" s="66">
        <v>0</v>
      </c>
      <c r="F23" s="66">
        <v>9.77149</v>
      </c>
      <c r="G23" s="66">
        <v>0</v>
      </c>
      <c r="H23" s="66">
        <v>15.168900000000001</v>
      </c>
    </row>
    <row r="24" spans="1:8">
      <c r="A24" s="66" t="s">
        <v>347</v>
      </c>
      <c r="B24" s="66">
        <v>1.8082499999999999E-4</v>
      </c>
      <c r="C24" s="66">
        <v>3.7638099999999998E-3</v>
      </c>
      <c r="D24" s="66">
        <v>20.814599999999999</v>
      </c>
      <c r="E24" s="66">
        <v>0</v>
      </c>
      <c r="F24" s="196">
        <v>1.6634499999999999E-6</v>
      </c>
      <c r="G24" s="66">
        <v>0</v>
      </c>
      <c r="H24" s="66">
        <v>2.88647E-2</v>
      </c>
    </row>
    <row r="25" spans="1:8">
      <c r="A25" s="66" t="s">
        <v>322</v>
      </c>
      <c r="B25" s="66">
        <v>2.09214E-2</v>
      </c>
      <c r="C25" s="66">
        <v>2.9921199999999998E-2</v>
      </c>
      <c r="D25" s="66">
        <v>1.4301699999999999</v>
      </c>
      <c r="E25" s="66">
        <v>0</v>
      </c>
      <c r="F25" s="66">
        <v>3.2527799999999998E-3</v>
      </c>
      <c r="G25" s="66">
        <v>0</v>
      </c>
      <c r="H25" s="66">
        <v>0.14119999999999999</v>
      </c>
    </row>
    <row r="26" spans="1:8">
      <c r="A26" s="66" t="s">
        <v>323</v>
      </c>
      <c r="B26" s="196">
        <v>1.31303E-5</v>
      </c>
      <c r="C26" s="66">
        <v>4.6332200000000001E-4</v>
      </c>
      <c r="D26" s="66">
        <v>35.2866</v>
      </c>
      <c r="E26" s="66">
        <v>0</v>
      </c>
      <c r="F26" s="66">
        <v>0</v>
      </c>
      <c r="G26" s="66">
        <v>0</v>
      </c>
      <c r="H26" s="66">
        <v>5.4326399999999999E-3</v>
      </c>
    </row>
    <row r="27" spans="1:8">
      <c r="A27" s="66" t="s">
        <v>324</v>
      </c>
      <c r="B27" s="66">
        <v>0</v>
      </c>
      <c r="C27" s="66">
        <v>3.6955100000000003E-4</v>
      </c>
      <c r="D27" s="66">
        <v>0</v>
      </c>
      <c r="E27" s="66">
        <v>0</v>
      </c>
      <c r="F27" s="66">
        <v>-2.6523100000000002E-3</v>
      </c>
      <c r="G27" s="66">
        <v>0</v>
      </c>
      <c r="H27" s="66">
        <v>4.9895E-3</v>
      </c>
    </row>
    <row r="28" spans="1:8">
      <c r="A28" s="66" t="s">
        <v>325</v>
      </c>
      <c r="B28" s="66">
        <v>1.87174E-3</v>
      </c>
      <c r="C28" s="66">
        <v>6.3187199999999999E-3</v>
      </c>
      <c r="D28" s="66">
        <v>3.3758499999999998</v>
      </c>
      <c r="E28" s="66">
        <v>0</v>
      </c>
      <c r="F28" s="196">
        <v>6.5104200000000001E-6</v>
      </c>
      <c r="G28" s="66">
        <v>0</v>
      </c>
      <c r="H28" s="66">
        <v>4.8020800000000002E-2</v>
      </c>
    </row>
    <row r="29" spans="1:8">
      <c r="A29" s="66" t="s">
        <v>326</v>
      </c>
      <c r="B29" s="66">
        <v>59.237699999999997</v>
      </c>
      <c r="C29" s="66">
        <v>10.4839</v>
      </c>
      <c r="D29" s="66">
        <v>0.17698</v>
      </c>
      <c r="E29" s="66">
        <v>0</v>
      </c>
      <c r="F29" s="66">
        <v>32.060499999999998</v>
      </c>
      <c r="G29" s="66">
        <v>0</v>
      </c>
      <c r="H29" s="66">
        <v>83.564999999999998</v>
      </c>
    </row>
    <row r="30" spans="1:8">
      <c r="A30" s="66" t="s">
        <v>327</v>
      </c>
      <c r="B30" s="66">
        <v>13.757099999999999</v>
      </c>
      <c r="C30" s="66">
        <v>2.1631800000000001</v>
      </c>
      <c r="D30" s="66">
        <v>0.15724099999999999</v>
      </c>
      <c r="E30" s="66">
        <v>0</v>
      </c>
      <c r="F30" s="66">
        <v>13.092000000000001</v>
      </c>
      <c r="G30" s="66">
        <v>0</v>
      </c>
      <c r="H30" s="66">
        <v>21.709499999999998</v>
      </c>
    </row>
    <row r="31" spans="1:8">
      <c r="A31" s="66" t="s">
        <v>328</v>
      </c>
      <c r="B31" s="66">
        <v>93.6828</v>
      </c>
      <c r="C31" s="66">
        <v>20.0015</v>
      </c>
      <c r="D31" s="66">
        <v>0.213503</v>
      </c>
      <c r="E31" s="66">
        <v>0</v>
      </c>
      <c r="F31" s="66">
        <v>63.8795</v>
      </c>
      <c r="G31" s="66">
        <v>0</v>
      </c>
      <c r="H31" s="66">
        <v>129.57</v>
      </c>
    </row>
    <row r="32" spans="1:8">
      <c r="A32" s="66" t="s">
        <v>329</v>
      </c>
      <c r="B32" s="66">
        <v>0.29933199999999999</v>
      </c>
      <c r="C32" s="66">
        <v>3.3798099999999998E-2</v>
      </c>
      <c r="D32" s="66">
        <v>0.112912</v>
      </c>
      <c r="E32" s="66">
        <v>0.15</v>
      </c>
      <c r="F32" s="66">
        <v>0.156614</v>
      </c>
      <c r="G32" s="66">
        <v>0.4</v>
      </c>
      <c r="H32" s="66">
        <v>0.46782499999999999</v>
      </c>
    </row>
    <row r="33" spans="1:8">
      <c r="A33" s="66" t="s">
        <v>330</v>
      </c>
      <c r="B33" s="66">
        <v>0.39077299999999998</v>
      </c>
      <c r="C33" s="66">
        <v>9.2598200000000002E-3</v>
      </c>
      <c r="D33" s="66">
        <v>2.3696100000000001E-2</v>
      </c>
      <c r="E33" s="66">
        <v>0</v>
      </c>
      <c r="F33" s="66">
        <v>0.33824199999999999</v>
      </c>
      <c r="G33" s="66">
        <v>0</v>
      </c>
      <c r="H33" s="66">
        <v>0.46710699999999999</v>
      </c>
    </row>
    <row r="34" spans="1:8">
      <c r="A34" s="66" t="s">
        <v>331</v>
      </c>
      <c r="B34" s="66">
        <v>0.20203199999999999</v>
      </c>
      <c r="C34" s="66">
        <v>2.8818799999999999E-2</v>
      </c>
      <c r="D34" s="66">
        <v>0.14264499999999999</v>
      </c>
      <c r="E34" s="66">
        <v>0.1</v>
      </c>
      <c r="F34" s="66">
        <v>0.144321</v>
      </c>
      <c r="G34" s="66">
        <v>0.25</v>
      </c>
      <c r="H34" s="66">
        <v>0.277341</v>
      </c>
    </row>
    <row r="35" spans="1:8">
      <c r="A35" s="66" t="s">
        <v>332</v>
      </c>
      <c r="B35" s="66">
        <v>8.2367800000000005E-2</v>
      </c>
      <c r="C35" s="66">
        <v>2.9185599999999999E-2</v>
      </c>
      <c r="D35" s="66">
        <v>0.35433300000000001</v>
      </c>
      <c r="E35" s="66">
        <v>0</v>
      </c>
      <c r="F35" s="66">
        <v>3.6461500000000001E-2</v>
      </c>
      <c r="G35" s="66">
        <v>0</v>
      </c>
      <c r="H35" s="66">
        <v>0.16106799999999999</v>
      </c>
    </row>
    <row r="36" spans="1:8">
      <c r="A36" s="66" t="s">
        <v>333</v>
      </c>
      <c r="B36" s="66">
        <v>0.18035999999999999</v>
      </c>
      <c r="C36" s="66">
        <v>9.8199499999999995E-2</v>
      </c>
      <c r="D36" s="66">
        <v>0.54446399999999995</v>
      </c>
      <c r="E36" s="66">
        <v>0</v>
      </c>
      <c r="F36" s="66">
        <v>4.9846300000000003E-2</v>
      </c>
      <c r="G36" s="66">
        <v>0</v>
      </c>
      <c r="H36" s="66">
        <v>0.56007399999999996</v>
      </c>
    </row>
    <row r="37" spans="1:8">
      <c r="A37" s="66" t="s">
        <v>334</v>
      </c>
      <c r="B37" s="66">
        <v>0.288188</v>
      </c>
      <c r="C37" s="66">
        <v>8.2947199999999999E-2</v>
      </c>
      <c r="D37" s="66">
        <v>0.287823</v>
      </c>
      <c r="E37" s="66">
        <v>0.1</v>
      </c>
      <c r="F37" s="66">
        <v>4.3179200000000001E-2</v>
      </c>
      <c r="G37" s="66">
        <v>0.5</v>
      </c>
      <c r="H37" s="66">
        <v>0.32203100000000001</v>
      </c>
    </row>
    <row r="38" spans="1:8">
      <c r="A38" s="66" t="s">
        <v>335</v>
      </c>
      <c r="B38" s="66">
        <v>0</v>
      </c>
      <c r="C38" s="66">
        <v>44.935299999999998</v>
      </c>
      <c r="D38" s="66">
        <v>0</v>
      </c>
      <c r="E38" s="66">
        <v>0</v>
      </c>
      <c r="F38" s="66">
        <v>-90.16</v>
      </c>
      <c r="G38" s="66">
        <v>0</v>
      </c>
      <c r="H38" s="66">
        <v>236.059</v>
      </c>
    </row>
    <row r="39" spans="1:8">
      <c r="A39" s="66" t="s">
        <v>336</v>
      </c>
      <c r="B39" s="66">
        <v>-1.82484</v>
      </c>
      <c r="C39" s="66">
        <v>5.3131199999999996</v>
      </c>
      <c r="D39" s="66">
        <v>-2.9115600000000001</v>
      </c>
      <c r="E39" s="66">
        <v>0</v>
      </c>
      <c r="F39" s="66">
        <v>-27.5015</v>
      </c>
      <c r="G39" s="66">
        <v>0</v>
      </c>
      <c r="H39" s="66">
        <v>17.487400000000001</v>
      </c>
    </row>
    <row r="40" spans="1:8">
      <c r="A40" s="66" t="s">
        <v>337</v>
      </c>
      <c r="B40" s="66">
        <v>-0.811164</v>
      </c>
      <c r="C40" s="66">
        <v>0.32398100000000002</v>
      </c>
      <c r="D40" s="66">
        <v>-0.39940199999999998</v>
      </c>
      <c r="E40" s="66">
        <v>0</v>
      </c>
      <c r="F40" s="66">
        <v>-1.8441700000000001</v>
      </c>
      <c r="G40" s="66">
        <v>0</v>
      </c>
      <c r="H40" s="66">
        <v>0.16957800000000001</v>
      </c>
    </row>
    <row r="41" spans="1:8">
      <c r="A41" s="66" t="s">
        <v>338</v>
      </c>
      <c r="B41" s="66">
        <v>0</v>
      </c>
      <c r="C41" s="66">
        <v>0.39219399999999999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-9.7590200000000002E-2</v>
      </c>
      <c r="C42" s="66">
        <v>0.10616200000000001</v>
      </c>
      <c r="D42" s="66">
        <v>-1.0878399999999999</v>
      </c>
      <c r="E42" s="66">
        <v>0</v>
      </c>
      <c r="F42" s="66">
        <v>-0.42960300000000001</v>
      </c>
      <c r="G42" s="66">
        <v>0</v>
      </c>
      <c r="H42" s="66">
        <v>0.517544</v>
      </c>
    </row>
    <row r="43" spans="1:8">
      <c r="A43" s="66" t="s">
        <v>340</v>
      </c>
      <c r="B43" s="66">
        <v>-0.14679800000000001</v>
      </c>
      <c r="C43" s="66">
        <v>5.3435700000000003E-2</v>
      </c>
      <c r="D43" s="66">
        <v>-0.364008</v>
      </c>
      <c r="E43" s="66">
        <v>0</v>
      </c>
      <c r="F43" s="66">
        <v>-0.323828</v>
      </c>
      <c r="G43" s="66">
        <v>0</v>
      </c>
      <c r="H43" s="66">
        <v>-1.47925E-2</v>
      </c>
    </row>
    <row r="44" spans="1:8">
      <c r="A44" s="66" t="s">
        <v>341</v>
      </c>
      <c r="B44" s="66">
        <v>9.1291100000000007</v>
      </c>
      <c r="C44" s="66">
        <v>5.3830999999999998</v>
      </c>
      <c r="D44" s="66">
        <v>0.58966300000000005</v>
      </c>
      <c r="E44" s="66">
        <v>0</v>
      </c>
      <c r="F44" s="66">
        <v>-5.2819900000000004</v>
      </c>
      <c r="G44" s="66">
        <v>0</v>
      </c>
      <c r="H44" s="66">
        <v>17.6523</v>
      </c>
    </row>
    <row r="45" spans="1:8">
      <c r="A45" s="66" t="s">
        <v>342</v>
      </c>
      <c r="B45" s="66">
        <v>44.861199999999997</v>
      </c>
      <c r="C45" s="66">
        <v>9.8218999999999994</v>
      </c>
      <c r="D45" s="66">
        <v>0.21894</v>
      </c>
      <c r="E45" s="66">
        <v>0</v>
      </c>
      <c r="F45" s="66">
        <v>26.124199999999998</v>
      </c>
      <c r="G45" s="66">
        <v>0</v>
      </c>
      <c r="H45" s="66">
        <v>69.785399999999996</v>
      </c>
    </row>
    <row r="46" spans="1:8">
      <c r="A46" s="66" t="s">
        <v>343</v>
      </c>
      <c r="B46" s="66">
        <v>27.379799999999999</v>
      </c>
      <c r="C46" s="66">
        <v>1.9037599999999999</v>
      </c>
      <c r="D46" s="66">
        <v>6.9531700000000002E-2</v>
      </c>
      <c r="E46" s="66">
        <v>0</v>
      </c>
      <c r="F46" s="66">
        <v>23.209399999999999</v>
      </c>
      <c r="G46" s="66">
        <v>0</v>
      </c>
      <c r="H46" s="66">
        <v>31.884</v>
      </c>
    </row>
    <row r="47" spans="1:8">
      <c r="A47" s="66" t="s">
        <v>344</v>
      </c>
      <c r="B47" s="66">
        <v>0.329154</v>
      </c>
      <c r="C47" s="66">
        <v>0.25774799999999998</v>
      </c>
      <c r="D47" s="66">
        <v>0.78306100000000001</v>
      </c>
      <c r="E47" s="66">
        <v>0</v>
      </c>
      <c r="F47" s="66">
        <v>8.9106699999999997E-2</v>
      </c>
      <c r="G47" s="66">
        <v>0</v>
      </c>
      <c r="H47" s="66">
        <v>1.30419</v>
      </c>
    </row>
    <row r="48" spans="1:8">
      <c r="A48" s="66" t="s">
        <v>345</v>
      </c>
      <c r="B48" s="66">
        <v>0.456841</v>
      </c>
      <c r="C48" s="66">
        <v>4.5883699999999999E-2</v>
      </c>
      <c r="D48" s="66">
        <v>0.100437</v>
      </c>
      <c r="E48" s="66">
        <v>0</v>
      </c>
      <c r="F48" s="66">
        <v>0.34226099999999998</v>
      </c>
      <c r="G48" s="66">
        <v>0</v>
      </c>
      <c r="H48" s="66">
        <v>0.57259700000000002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53.386325436384425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1.0307559549676446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0.49981468346075147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22473</v>
      </c>
      <c r="B8" s="66">
        <v>22473</v>
      </c>
      <c r="D8">
        <f t="shared" si="0"/>
        <v>0.15766543189089072</v>
      </c>
      <c r="E8">
        <f t="shared" si="0"/>
        <v>0.15766543189089072</v>
      </c>
      <c r="G8">
        <f t="shared" ca="1" si="1"/>
        <v>6</v>
      </c>
      <c r="H8">
        <f t="shared" ca="1" si="2"/>
        <v>0.9459925913453443</v>
      </c>
      <c r="I8">
        <f t="shared" ca="1" si="3"/>
        <v>354.03202587086912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39690</v>
      </c>
      <c r="B10" s="66">
        <v>39690</v>
      </c>
      <c r="D10">
        <f t="shared" si="0"/>
        <v>0.27845596901835323</v>
      </c>
      <c r="E10">
        <f t="shared" si="0"/>
        <v>0.27845596901835323</v>
      </c>
      <c r="G10">
        <f t="shared" ca="1" si="1"/>
        <v>8</v>
      </c>
      <c r="H10">
        <f t="shared" ca="1" si="2"/>
        <v>2.2276477521468259</v>
      </c>
      <c r="I10">
        <f t="shared" ca="1" si="3"/>
        <v>573.59661221266515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46347</v>
      </c>
      <c r="B13" s="66">
        <v>46347</v>
      </c>
      <c r="D13">
        <f t="shared" si="0"/>
        <v>0.32515995958915644</v>
      </c>
      <c r="E13">
        <f t="shared" si="0"/>
        <v>0.32515995958915644</v>
      </c>
      <c r="G13">
        <f t="shared" ca="1" si="1"/>
        <v>11</v>
      </c>
      <c r="H13">
        <f t="shared" ca="1" si="2"/>
        <v>3.576759555480721</v>
      </c>
      <c r="I13">
        <f t="shared" ca="1" si="3"/>
        <v>584.18257329099879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54073</v>
      </c>
      <c r="B15" s="66">
        <v>54073</v>
      </c>
      <c r="D15">
        <f t="shared" si="0"/>
        <v>0.3793638098445305</v>
      </c>
      <c r="E15">
        <f t="shared" si="0"/>
        <v>0.3793638098445305</v>
      </c>
      <c r="G15">
        <f t="shared" ca="1" si="1"/>
        <v>13</v>
      </c>
      <c r="H15">
        <f t="shared" ca="1" si="2"/>
        <v>4.9317295279788969</v>
      </c>
      <c r="I15">
        <f t="shared" ca="1" si="3"/>
        <v>618.7633459427534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72467</v>
      </c>
      <c r="B18" s="66">
        <v>72467</v>
      </c>
      <c r="D18">
        <f t="shared" si="0"/>
        <v>0.50841190997362073</v>
      </c>
      <c r="E18">
        <f t="shared" si="0"/>
        <v>0.50841190997362073</v>
      </c>
      <c r="G18">
        <f t="shared" ca="1" si="1"/>
        <v>16</v>
      </c>
      <c r="H18">
        <f t="shared" ca="1" si="2"/>
        <v>8.1345905595779318</v>
      </c>
      <c r="I18">
        <f t="shared" ca="1" si="3"/>
        <v>710.62630540128328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95140</v>
      </c>
      <c r="B21" s="66">
        <v>95140</v>
      </c>
      <c r="D21">
        <f t="shared" si="0"/>
        <v>0.66748049615535721</v>
      </c>
      <c r="E21">
        <f t="shared" si="0"/>
        <v>0.66748049615535721</v>
      </c>
      <c r="G21">
        <f t="shared" ca="1" si="1"/>
        <v>19</v>
      </c>
      <c r="H21">
        <f t="shared" ca="1" si="2"/>
        <v>12.682129426951787</v>
      </c>
      <c r="I21">
        <f t="shared" ca="1" si="3"/>
        <v>789.24187243497454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104679</v>
      </c>
      <c r="B23" s="66">
        <v>104679</v>
      </c>
      <c r="D23">
        <f t="shared" si="0"/>
        <v>0.73440394005724874</v>
      </c>
      <c r="E23">
        <f t="shared" si="0"/>
        <v>0.73440394005724874</v>
      </c>
      <c r="G23">
        <f t="shared" ca="1" si="1"/>
        <v>21</v>
      </c>
      <c r="H23">
        <f t="shared" ca="1" si="2"/>
        <v>15.422482741202224</v>
      </c>
      <c r="I23">
        <f t="shared" ca="1" si="3"/>
        <v>770.29725350322008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109201</v>
      </c>
      <c r="B26" s="66">
        <v>109201</v>
      </c>
      <c r="D26">
        <f t="shared" si="0"/>
        <v>0.76612925857327274</v>
      </c>
      <c r="E26">
        <f t="shared" si="0"/>
        <v>0.76612925857327274</v>
      </c>
      <c r="G26">
        <f t="shared" ca="1" si="1"/>
        <v>24</v>
      </c>
      <c r="H26">
        <f t="shared" ca="1" si="2"/>
        <v>18.387102205758545</v>
      </c>
      <c r="I26">
        <f t="shared" ca="1" si="3"/>
        <v>661.59561198462529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119057</v>
      </c>
      <c r="B28" s="66">
        <v>119057</v>
      </c>
      <c r="D28">
        <f t="shared" si="0"/>
        <v>0.83527670202615478</v>
      </c>
      <c r="E28">
        <f t="shared" si="0"/>
        <v>0.83527670202615478</v>
      </c>
      <c r="G28">
        <f t="shared" ca="1" si="1"/>
        <v>26</v>
      </c>
      <c r="H28">
        <f t="shared" ca="1" si="2"/>
        <v>21.717194252680024</v>
      </c>
      <c r="I28">
        <f t="shared" ca="1" si="3"/>
        <v>626.46656497159279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124668</v>
      </c>
      <c r="B31" s="66">
        <v>124668</v>
      </c>
      <c r="D31">
        <f t="shared" si="0"/>
        <v>0.87464219565583434</v>
      </c>
      <c r="E31">
        <f t="shared" si="0"/>
        <v>0.87464219565583434</v>
      </c>
      <c r="G31">
        <f t="shared" ca="1" si="1"/>
        <v>29</v>
      </c>
      <c r="H31">
        <f t="shared" ca="1" si="2"/>
        <v>25.364623674019196</v>
      </c>
      <c r="I31">
        <f t="shared" ca="1" si="3"/>
        <v>520.14347606137551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121595</v>
      </c>
      <c r="B33" s="66">
        <v>121595</v>
      </c>
      <c r="D33">
        <f t="shared" si="0"/>
        <v>0.85308272997698831</v>
      </c>
      <c r="E33">
        <f t="shared" si="0"/>
        <v>0.85308272997698831</v>
      </c>
      <c r="G33">
        <f t="shared" ca="1" si="1"/>
        <v>31</v>
      </c>
      <c r="H33">
        <f t="shared" ca="1" si="2"/>
        <v>26.445564629286636</v>
      </c>
      <c r="I33">
        <f t="shared" ca="1" si="3"/>
        <v>427.5203341884345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121384</v>
      </c>
      <c r="B36" s="66">
        <v>121384</v>
      </c>
      <c r="D36">
        <f t="shared" si="0"/>
        <v>0.85160240220014594</v>
      </c>
      <c r="E36">
        <f t="shared" si="0"/>
        <v>0.85160240220014594</v>
      </c>
      <c r="G36">
        <f t="shared" ca="1" si="1"/>
        <v>34</v>
      </c>
      <c r="H36">
        <f t="shared" ca="1" si="2"/>
        <v>28.954481674804963</v>
      </c>
      <c r="I36">
        <f t="shared" ca="1" si="3"/>
        <v>320.05740203682893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117784</v>
      </c>
      <c r="B39" s="66">
        <v>117784</v>
      </c>
      <c r="D39">
        <f t="shared" si="0"/>
        <v>0.82634562496492114</v>
      </c>
      <c r="E39">
        <f t="shared" si="0"/>
        <v>0.82634562496492114</v>
      </c>
      <c r="G39">
        <f t="shared" ca="1" si="1"/>
        <v>37</v>
      </c>
      <c r="H39">
        <f t="shared" ca="1" si="2"/>
        <v>30.574788123702081</v>
      </c>
      <c r="I39">
        <f t="shared" ca="1" si="3"/>
        <v>221.88343657318413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125851</v>
      </c>
      <c r="B41" s="66">
        <v>125851</v>
      </c>
      <c r="D41">
        <f t="shared" si="0"/>
        <v>0.88294185328618735</v>
      </c>
      <c r="E41">
        <f t="shared" si="0"/>
        <v>0.88294185328618735</v>
      </c>
      <c r="G41">
        <f t="shared" ca="1" si="1"/>
        <v>39</v>
      </c>
      <c r="H41">
        <f t="shared" ca="1" si="2"/>
        <v>34.434732278161306</v>
      </c>
      <c r="I41">
        <f t="shared" ca="1" si="3"/>
        <v>182.73926107918055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113454</v>
      </c>
      <c r="B44" s="66">
        <v>113454</v>
      </c>
      <c r="D44">
        <f t="shared" si="0"/>
        <v>0.79596733456810909</v>
      </c>
      <c r="E44">
        <f t="shared" si="0"/>
        <v>0.79596733456810909</v>
      </c>
      <c r="G44">
        <f t="shared" ca="1" si="1"/>
        <v>42</v>
      </c>
      <c r="H44">
        <f t="shared" ca="1" si="2"/>
        <v>33.43062805186058</v>
      </c>
      <c r="I44">
        <f t="shared" ca="1" si="3"/>
        <v>103.19589690562418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116410</v>
      </c>
      <c r="B46" s="66">
        <v>116410</v>
      </c>
      <c r="D46">
        <f t="shared" si="0"/>
        <v>0.81670595498681031</v>
      </c>
      <c r="E46">
        <f t="shared" si="0"/>
        <v>0.81670595498681031</v>
      </c>
      <c r="G46">
        <f t="shared" ca="1" si="1"/>
        <v>44</v>
      </c>
      <c r="H46">
        <f t="shared" ca="1" si="2"/>
        <v>35.935062019419654</v>
      </c>
      <c r="I46">
        <f t="shared" ca="1" si="3"/>
        <v>71.954330667805095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127181</v>
      </c>
      <c r="B49" s="66">
        <v>127181</v>
      </c>
      <c r="D49">
        <f t="shared" si="0"/>
        <v>0.89227282932031204</v>
      </c>
      <c r="E49">
        <f t="shared" si="0"/>
        <v>0.89227282932031204</v>
      </c>
      <c r="G49">
        <f t="shared" ca="1" si="1"/>
        <v>47</v>
      </c>
      <c r="H49">
        <f t="shared" ca="1" si="2"/>
        <v>41.936822978054664</v>
      </c>
      <c r="I49">
        <f t="shared" ca="1" si="3"/>
        <v>36.39148348629142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132578</v>
      </c>
      <c r="B51" s="66">
        <v>132578</v>
      </c>
      <c r="D51">
        <f t="shared" si="0"/>
        <v>0.93013694785878653</v>
      </c>
      <c r="E51">
        <f t="shared" si="0"/>
        <v>0.93013694785878653</v>
      </c>
      <c r="G51">
        <f t="shared" ca="1" si="1"/>
        <v>49</v>
      </c>
      <c r="H51">
        <f t="shared" ca="1" si="2"/>
        <v>45.576710445080543</v>
      </c>
      <c r="I51">
        <f t="shared" ca="1" si="3"/>
        <v>17.895696131876974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140387</v>
      </c>
      <c r="B54" s="66">
        <v>140387</v>
      </c>
      <c r="D54">
        <f t="shared" si="0"/>
        <v>0.98492310714486164</v>
      </c>
      <c r="E54">
        <f t="shared" si="0"/>
        <v>0.98492310714486164</v>
      </c>
      <c r="G54">
        <f t="shared" ca="1" si="1"/>
        <v>52</v>
      </c>
      <c r="H54">
        <f t="shared" ca="1" si="2"/>
        <v>51.216001571532807</v>
      </c>
      <c r="I54">
        <f t="shared" ca="1" si="3"/>
        <v>1.8929219620918887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142536</v>
      </c>
      <c r="B57" s="66">
        <v>142536</v>
      </c>
      <c r="D57">
        <f t="shared" si="0"/>
        <v>1</v>
      </c>
      <c r="E57">
        <f t="shared" si="0"/>
        <v>1</v>
      </c>
      <c r="G57">
        <f t="shared" ca="1" si="1"/>
        <v>55</v>
      </c>
      <c r="H57">
        <f t="shared" ca="1" si="2"/>
        <v>55</v>
      </c>
      <c r="I57">
        <f t="shared" ca="1" si="3"/>
        <v>2.603945597259917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133488</v>
      </c>
      <c r="B59" s="66">
        <v>133488</v>
      </c>
      <c r="D59">
        <f t="shared" si="0"/>
        <v>0.93652129988213506</v>
      </c>
      <c r="E59">
        <f t="shared" si="0"/>
        <v>0.93652129988213506</v>
      </c>
      <c r="G59">
        <f t="shared" ca="1" si="1"/>
        <v>57</v>
      </c>
      <c r="H59">
        <f t="shared" ca="1" si="2"/>
        <v>53.381714093281701</v>
      </c>
      <c r="I59">
        <f t="shared" ca="1" si="3"/>
        <v>12.229698114712743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133246</v>
      </c>
      <c r="B62" s="66">
        <v>133246</v>
      </c>
      <c r="D62">
        <f t="shared" si="0"/>
        <v>0.93482348319021158</v>
      </c>
      <c r="E62">
        <f t="shared" si="0"/>
        <v>0.93482348319021158</v>
      </c>
      <c r="G62">
        <f t="shared" ca="1" si="1"/>
        <v>60</v>
      </c>
      <c r="H62">
        <f t="shared" ca="1" si="2"/>
        <v>56.089408991412697</v>
      </c>
      <c r="I62">
        <f t="shared" ca="1" si="3"/>
        <v>40.889825335969185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124192</v>
      </c>
      <c r="B64" s="66">
        <v>124192</v>
      </c>
      <c r="D64">
        <f t="shared" si="0"/>
        <v>0.87130268844362124</v>
      </c>
      <c r="E64">
        <f t="shared" si="0"/>
        <v>0.87130268844362124</v>
      </c>
      <c r="G64">
        <f t="shared" ca="1" si="1"/>
        <v>62</v>
      </c>
      <c r="H64">
        <f t="shared" ca="1" si="2"/>
        <v>54.020766683504519</v>
      </c>
      <c r="I64">
        <f t="shared" ca="1" si="3"/>
        <v>64.646642330909671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117087</v>
      </c>
      <c r="B67" s="66">
        <v>117087</v>
      </c>
      <c r="D67">
        <f t="shared" ref="D67:E130" si="4">IFERROR( A67/MAX(A$2:A$257), 0 )</f>
        <v>0.82145563226132345</v>
      </c>
      <c r="E67">
        <f t="shared" si="4"/>
        <v>0.82145563226132345</v>
      </c>
      <c r="G67">
        <f t="shared" ref="G67:G130" ca="1" si="5">CELL("row",D67)-2</f>
        <v>65</v>
      </c>
      <c r="H67">
        <f t="shared" ref="H67:H130" ca="1" si="6">D67*G67</f>
        <v>53.394616096986027</v>
      </c>
      <c r="I67">
        <f t="shared" ref="I67:I130" ca="1" si="7">D67*((G67-$L$1)^2)</f>
        <v>110.79583018148054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113796</v>
      </c>
      <c r="B69" s="66">
        <v>113796</v>
      </c>
      <c r="D69">
        <f t="shared" si="4"/>
        <v>0.79836672840545542</v>
      </c>
      <c r="E69">
        <f t="shared" si="4"/>
        <v>0.79836672840545542</v>
      </c>
      <c r="G69">
        <f t="shared" ca="1" si="5"/>
        <v>67</v>
      </c>
      <c r="H69">
        <f t="shared" ca="1" si="6"/>
        <v>53.490570803165511</v>
      </c>
      <c r="I69">
        <f t="shared" ca="1" si="7"/>
        <v>147.96301038737261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99868</v>
      </c>
      <c r="B72" s="66">
        <v>99868</v>
      </c>
      <c r="D72">
        <f t="shared" si="4"/>
        <v>0.70065106359095242</v>
      </c>
      <c r="E72">
        <f t="shared" si="4"/>
        <v>0.70065106359095242</v>
      </c>
      <c r="G72">
        <f t="shared" ca="1" si="5"/>
        <v>70</v>
      </c>
      <c r="H72">
        <f t="shared" ca="1" si="6"/>
        <v>49.045574451366669</v>
      </c>
      <c r="I72">
        <f t="shared" ca="1" si="7"/>
        <v>193.38963053882497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98082</v>
      </c>
      <c r="B75" s="66">
        <v>98082</v>
      </c>
      <c r="D75">
        <f t="shared" si="4"/>
        <v>0.68812089577369928</v>
      </c>
      <c r="E75">
        <f t="shared" si="4"/>
        <v>0.68812089577369928</v>
      </c>
      <c r="G75">
        <f t="shared" ca="1" si="5"/>
        <v>73</v>
      </c>
      <c r="H75">
        <f t="shared" ca="1" si="6"/>
        <v>50.232825391480048</v>
      </c>
      <c r="I75">
        <f t="shared" ca="1" si="7"/>
        <v>264.71751431089683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92884</v>
      </c>
      <c r="B77" s="66">
        <v>92884</v>
      </c>
      <c r="D77">
        <f t="shared" si="4"/>
        <v>0.65165291575461637</v>
      </c>
      <c r="E77">
        <f t="shared" si="4"/>
        <v>0.65165291575461637</v>
      </c>
      <c r="G77">
        <f t="shared" ca="1" si="5"/>
        <v>75</v>
      </c>
      <c r="H77">
        <f t="shared" ca="1" si="6"/>
        <v>48.873968681596224</v>
      </c>
      <c r="I77">
        <f t="shared" ca="1" si="7"/>
        <v>304.42026442113325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77900</v>
      </c>
      <c r="B80" s="66">
        <v>77900</v>
      </c>
      <c r="D80">
        <f t="shared" si="4"/>
        <v>0.54652859628444739</v>
      </c>
      <c r="E80">
        <f t="shared" si="4"/>
        <v>0.54652859628444739</v>
      </c>
      <c r="G80">
        <f t="shared" ca="1" si="5"/>
        <v>78</v>
      </c>
      <c r="H80">
        <f t="shared" ca="1" si="6"/>
        <v>42.629230510186893</v>
      </c>
      <c r="I80">
        <f t="shared" ca="1" si="7"/>
        <v>331.10504569573015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67686</v>
      </c>
      <c r="B82" s="66">
        <v>67686</v>
      </c>
      <c r="D82">
        <f t="shared" si="4"/>
        <v>0.47486950665095135</v>
      </c>
      <c r="E82">
        <f t="shared" si="4"/>
        <v>0.47486950665095135</v>
      </c>
      <c r="G82">
        <f t="shared" ca="1" si="5"/>
        <v>80</v>
      </c>
      <c r="H82">
        <f t="shared" ca="1" si="6"/>
        <v>37.989560532076105</v>
      </c>
      <c r="I82">
        <f t="shared" ca="1" si="7"/>
        <v>336.34421821392721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70884</v>
      </c>
      <c r="B85" s="66">
        <v>70884</v>
      </c>
      <c r="D85">
        <f t="shared" si="4"/>
        <v>0.497305943761576</v>
      </c>
      <c r="E85">
        <f t="shared" si="4"/>
        <v>0.497305943761576</v>
      </c>
      <c r="G85">
        <f t="shared" ca="1" si="5"/>
        <v>83</v>
      </c>
      <c r="H85">
        <f t="shared" ca="1" si="6"/>
        <v>41.276393332210809</v>
      </c>
      <c r="I85">
        <f t="shared" ca="1" si="7"/>
        <v>436.12225483166674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63403</v>
      </c>
      <c r="B88" s="66">
        <v>63403</v>
      </c>
      <c r="D88">
        <f t="shared" si="4"/>
        <v>0.44482095751248807</v>
      </c>
      <c r="E88">
        <f t="shared" si="4"/>
        <v>0.44482095751248807</v>
      </c>
      <c r="G88">
        <f t="shared" ca="1" si="5"/>
        <v>86</v>
      </c>
      <c r="H88">
        <f t="shared" ca="1" si="6"/>
        <v>38.254602346073973</v>
      </c>
      <c r="I88">
        <f t="shared" ca="1" si="7"/>
        <v>473.13459814244823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60818</v>
      </c>
      <c r="B90" s="66">
        <v>60818</v>
      </c>
      <c r="D90">
        <f t="shared" si="4"/>
        <v>0.42668518830330582</v>
      </c>
      <c r="E90">
        <f t="shared" si="4"/>
        <v>0.42668518830330582</v>
      </c>
      <c r="G90">
        <f t="shared" ca="1" si="5"/>
        <v>88</v>
      </c>
      <c r="H90">
        <f t="shared" ca="1" si="6"/>
        <v>37.548296570690908</v>
      </c>
      <c r="I90">
        <f t="shared" ca="1" si="7"/>
        <v>511.21428339221183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56372</v>
      </c>
      <c r="B93" s="66">
        <v>56372</v>
      </c>
      <c r="D93">
        <f t="shared" si="4"/>
        <v>0.39549306841780324</v>
      </c>
      <c r="E93">
        <f t="shared" si="4"/>
        <v>0.39549306841780324</v>
      </c>
      <c r="G93">
        <f t="shared" ca="1" si="5"/>
        <v>91</v>
      </c>
      <c r="H93">
        <f t="shared" ca="1" si="6"/>
        <v>35.989869226020097</v>
      </c>
      <c r="I93">
        <f t="shared" ca="1" si="7"/>
        <v>559.53905063435639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53214</v>
      </c>
      <c r="B95" s="66">
        <v>53214</v>
      </c>
      <c r="D95">
        <f t="shared" si="4"/>
        <v>0.37333726216534768</v>
      </c>
      <c r="E95">
        <f t="shared" si="4"/>
        <v>0.37333726216534768</v>
      </c>
      <c r="G95">
        <f t="shared" ca="1" si="5"/>
        <v>93</v>
      </c>
      <c r="H95">
        <f t="shared" ca="1" si="6"/>
        <v>34.720365381377334</v>
      </c>
      <c r="I95">
        <f t="shared" ca="1" si="7"/>
        <v>585.85696460093425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44656</v>
      </c>
      <c r="B98" s="66">
        <v>44656</v>
      </c>
      <c r="D98">
        <f t="shared" si="4"/>
        <v>0.31329629006005499</v>
      </c>
      <c r="E98">
        <f t="shared" si="4"/>
        <v>0.31329629006005499</v>
      </c>
      <c r="G98">
        <f t="shared" ca="1" si="5"/>
        <v>96</v>
      </c>
      <c r="H98">
        <f t="shared" ca="1" si="6"/>
        <v>30.076443845765279</v>
      </c>
      <c r="I98">
        <f t="shared" ca="1" si="7"/>
        <v>568.9226469259853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38888</v>
      </c>
      <c r="B100" s="66">
        <v>38888</v>
      </c>
      <c r="D100">
        <f t="shared" si="4"/>
        <v>0.27282932031206153</v>
      </c>
      <c r="E100">
        <f t="shared" si="4"/>
        <v>0.27282932031206153</v>
      </c>
      <c r="G100">
        <f t="shared" ca="1" si="5"/>
        <v>98</v>
      </c>
      <c r="H100">
        <f t="shared" ca="1" si="6"/>
        <v>26.737273390582029</v>
      </c>
      <c r="I100">
        <f t="shared" ca="1" si="7"/>
        <v>543.03401112249639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30863</v>
      </c>
      <c r="B103" s="66">
        <v>30863</v>
      </c>
      <c r="D103">
        <f t="shared" si="4"/>
        <v>0.21652775439187294</v>
      </c>
      <c r="E103">
        <f t="shared" si="4"/>
        <v>0.21652775439187294</v>
      </c>
      <c r="G103">
        <f t="shared" ca="1" si="5"/>
        <v>101</v>
      </c>
      <c r="H103">
        <f t="shared" ca="1" si="6"/>
        <v>21.869303193579167</v>
      </c>
      <c r="I103">
        <f t="shared" ca="1" si="7"/>
        <v>490.88184510720129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23903</v>
      </c>
      <c r="B106" s="66">
        <v>23903</v>
      </c>
      <c r="D106">
        <f t="shared" si="4"/>
        <v>0.16769798507043834</v>
      </c>
      <c r="E106">
        <f t="shared" si="4"/>
        <v>0.16769798507043834</v>
      </c>
      <c r="G106">
        <f t="shared" ca="1" si="5"/>
        <v>104</v>
      </c>
      <c r="H106">
        <f t="shared" ca="1" si="6"/>
        <v>17.440590447325587</v>
      </c>
      <c r="I106">
        <f t="shared" ca="1" si="7"/>
        <v>429.59931592603562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18876</v>
      </c>
      <c r="B108" s="66">
        <v>18876</v>
      </c>
      <c r="D108">
        <f t="shared" si="4"/>
        <v>0.13242970197002862</v>
      </c>
      <c r="E108">
        <f t="shared" si="4"/>
        <v>0.13242970197002862</v>
      </c>
      <c r="G108">
        <f t="shared" ca="1" si="5"/>
        <v>106</v>
      </c>
      <c r="H108">
        <f t="shared" ca="1" si="6"/>
        <v>14.037548408823033</v>
      </c>
      <c r="I108">
        <f t="shared" ca="1" si="7"/>
        <v>366.59173560013085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15519</v>
      </c>
      <c r="B111" s="66">
        <v>15519</v>
      </c>
      <c r="D111">
        <f t="shared" si="4"/>
        <v>0.10887775719818152</v>
      </c>
      <c r="E111">
        <f t="shared" si="4"/>
        <v>0.10887775719818152</v>
      </c>
      <c r="G111">
        <f t="shared" ca="1" si="5"/>
        <v>109</v>
      </c>
      <c r="H111">
        <f t="shared" ca="1" si="6"/>
        <v>11.867675534601785</v>
      </c>
      <c r="I111">
        <f t="shared" ca="1" si="7"/>
        <v>336.74592461848857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12938</v>
      </c>
      <c r="B113" s="66">
        <v>12938</v>
      </c>
      <c r="D113">
        <f t="shared" si="4"/>
        <v>9.0770051074816185E-2</v>
      </c>
      <c r="E113">
        <f t="shared" si="4"/>
        <v>9.0770051074816185E-2</v>
      </c>
      <c r="G113">
        <f t="shared" ca="1" si="5"/>
        <v>111</v>
      </c>
      <c r="H113">
        <f t="shared" ca="1" si="6"/>
        <v>10.075475669304597</v>
      </c>
      <c r="I113">
        <f t="shared" ca="1" si="7"/>
        <v>301.29625257192487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10834</v>
      </c>
      <c r="B116" s="66">
        <v>10834</v>
      </c>
      <c r="D116">
        <f t="shared" si="4"/>
        <v>7.6008867935118143E-2</v>
      </c>
      <c r="E116">
        <f t="shared" si="4"/>
        <v>7.6008867935118143E-2</v>
      </c>
      <c r="G116">
        <f t="shared" ca="1" si="5"/>
        <v>114</v>
      </c>
      <c r="H116">
        <f t="shared" ca="1" si="6"/>
        <v>8.665010944603468</v>
      </c>
      <c r="I116">
        <f t="shared" ca="1" si="7"/>
        <v>279.25791430110024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7074</v>
      </c>
      <c r="B118" s="66">
        <v>7074</v>
      </c>
      <c r="D118">
        <f t="shared" si="4"/>
        <v>4.9629567267216707E-2</v>
      </c>
      <c r="E118">
        <f t="shared" si="4"/>
        <v>4.9629567267216707E-2</v>
      </c>
      <c r="G118">
        <f t="shared" ca="1" si="5"/>
        <v>116</v>
      </c>
      <c r="H118">
        <f t="shared" ca="1" si="6"/>
        <v>5.7570298029971383</v>
      </c>
      <c r="I118">
        <f t="shared" ca="1" si="7"/>
        <v>194.57134087138016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5703</v>
      </c>
      <c r="B121" s="66">
        <v>5703</v>
      </c>
      <c r="D121">
        <f t="shared" si="4"/>
        <v>4.0010944603468594E-2</v>
      </c>
      <c r="E121">
        <f t="shared" si="4"/>
        <v>4.0010944603468594E-2</v>
      </c>
      <c r="G121">
        <f t="shared" ca="1" si="5"/>
        <v>119</v>
      </c>
      <c r="H121">
        <f t="shared" ca="1" si="6"/>
        <v>4.7613024078127628</v>
      </c>
      <c r="I121">
        <f t="shared" ca="1" si="7"/>
        <v>172.25328979617444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8543</v>
      </c>
      <c r="B124" s="66">
        <v>8543</v>
      </c>
      <c r="D124">
        <f t="shared" si="4"/>
        <v>5.9935735533479265E-2</v>
      </c>
      <c r="E124">
        <f t="shared" si="4"/>
        <v>5.9935735533479265E-2</v>
      </c>
      <c r="G124">
        <f t="shared" ca="1" si="5"/>
        <v>122</v>
      </c>
      <c r="H124">
        <f t="shared" ca="1" si="6"/>
        <v>7.31215973508447</v>
      </c>
      <c r="I124">
        <f t="shared" ca="1" si="7"/>
        <v>282.16763363663279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6725</v>
      </c>
      <c r="B126" s="66">
        <v>6725</v>
      </c>
      <c r="D126">
        <f t="shared" si="4"/>
        <v>4.7181063029690745E-2</v>
      </c>
      <c r="E126">
        <f t="shared" si="4"/>
        <v>4.7181063029690745E-2</v>
      </c>
      <c r="G126">
        <f t="shared" ca="1" si="5"/>
        <v>124</v>
      </c>
      <c r="H126">
        <f t="shared" ca="1" si="6"/>
        <v>5.8504518156816525</v>
      </c>
      <c r="I126">
        <f t="shared" ca="1" si="7"/>
        <v>235.25851162446685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5588</v>
      </c>
      <c r="B129" s="66">
        <v>5588</v>
      </c>
      <c r="D129">
        <f t="shared" si="4"/>
        <v>3.9204130886232251E-2</v>
      </c>
      <c r="E129">
        <f t="shared" si="4"/>
        <v>3.9204130886232251E-2</v>
      </c>
      <c r="G129">
        <f t="shared" ca="1" si="5"/>
        <v>127</v>
      </c>
      <c r="H129">
        <f t="shared" ca="1" si="6"/>
        <v>4.9789246225514958</v>
      </c>
      <c r="I129">
        <f t="shared" ca="1" si="7"/>
        <v>212.44613000541028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4463</v>
      </c>
      <c r="B131" s="66">
        <v>4463</v>
      </c>
      <c r="D131">
        <f t="shared" ref="D131:E194" si="8">IFERROR( A131/MAX(A$2:A$257), 0 )</f>
        <v>3.1311388000224503E-2</v>
      </c>
      <c r="E131">
        <f t="shared" si="8"/>
        <v>3.1311388000224503E-2</v>
      </c>
      <c r="G131">
        <f t="shared" ref="G131:G194" ca="1" si="9">CELL("row",D131)-2</f>
        <v>129</v>
      </c>
      <c r="H131">
        <f t="shared" ref="H131:H194" ca="1" si="10">D131*G131</f>
        <v>4.0391690520289609</v>
      </c>
      <c r="I131">
        <f t="shared" ref="I131:I194" ca="1" si="11">D131*((G131-$L$1)^2)</f>
        <v>179.02059961454077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4561</v>
      </c>
      <c r="B134" s="66">
        <v>4561</v>
      </c>
      <c r="D134">
        <f t="shared" si="8"/>
        <v>3.1998933602738956E-2</v>
      </c>
      <c r="E134">
        <f t="shared" si="8"/>
        <v>3.1998933602738956E-2</v>
      </c>
      <c r="G134">
        <f t="shared" ca="1" si="9"/>
        <v>132</v>
      </c>
      <c r="H134">
        <f t="shared" ca="1" si="10"/>
        <v>4.2238592355615419</v>
      </c>
      <c r="I134">
        <f t="shared" ca="1" si="11"/>
        <v>197.75692405641593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3268</v>
      </c>
      <c r="B136" s="66">
        <v>3268</v>
      </c>
      <c r="D136">
        <f t="shared" si="8"/>
        <v>2.2927541112420721E-2</v>
      </c>
      <c r="E136">
        <f t="shared" si="8"/>
        <v>2.2927541112420721E-2</v>
      </c>
      <c r="G136">
        <f t="shared" ca="1" si="9"/>
        <v>134</v>
      </c>
      <c r="H136">
        <f t="shared" ca="1" si="10"/>
        <v>3.0722905090643766</v>
      </c>
      <c r="I136">
        <f t="shared" ca="1" si="11"/>
        <v>148.99610535645286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2752</v>
      </c>
      <c r="B139" s="66">
        <v>2752</v>
      </c>
      <c r="D139">
        <f t="shared" si="8"/>
        <v>1.9307403042038502E-2</v>
      </c>
      <c r="E139">
        <f t="shared" si="8"/>
        <v>1.9307403042038502E-2</v>
      </c>
      <c r="G139">
        <f t="shared" ca="1" si="9"/>
        <v>137</v>
      </c>
      <c r="H139">
        <f t="shared" ca="1" si="10"/>
        <v>2.6451142167592749</v>
      </c>
      <c r="I139">
        <f t="shared" ca="1" si="11"/>
        <v>134.98281537107221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1372</v>
      </c>
      <c r="B142" s="66">
        <v>1372</v>
      </c>
      <c r="D142">
        <f t="shared" si="8"/>
        <v>9.6256384352023348E-3</v>
      </c>
      <c r="E142">
        <f t="shared" si="8"/>
        <v>9.6256384352023348E-3</v>
      </c>
      <c r="G142">
        <f t="shared" ca="1" si="9"/>
        <v>140</v>
      </c>
      <c r="H142">
        <f t="shared" ca="1" si="10"/>
        <v>1.3475893809283268</v>
      </c>
      <c r="I142">
        <f t="shared" ca="1" si="11"/>
        <v>72.210852476406927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452</v>
      </c>
      <c r="B144" s="66">
        <v>452</v>
      </c>
      <c r="D144">
        <f t="shared" si="8"/>
        <v>3.1711286973115562E-3</v>
      </c>
      <c r="E144">
        <f t="shared" si="8"/>
        <v>3.1711286973115562E-3</v>
      </c>
      <c r="G144">
        <f t="shared" ca="1" si="9"/>
        <v>142</v>
      </c>
      <c r="H144">
        <f t="shared" ca="1" si="10"/>
        <v>0.45030027501824099</v>
      </c>
      <c r="I144">
        <f t="shared" ca="1" si="11"/>
        <v>24.900918087284609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179</v>
      </c>
      <c r="B147" s="66">
        <v>179</v>
      </c>
      <c r="D147">
        <f t="shared" si="8"/>
        <v>1.2558230903070102E-3</v>
      </c>
      <c r="E147">
        <f t="shared" si="8"/>
        <v>1.2558230903070102E-3</v>
      </c>
      <c r="G147">
        <f t="shared" ca="1" si="9"/>
        <v>145</v>
      </c>
      <c r="H147">
        <f t="shared" ca="1" si="10"/>
        <v>0.18209434809451649</v>
      </c>
      <c r="I147">
        <f t="shared" ca="1" si="11"/>
        <v>10.540205286395041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277</v>
      </c>
      <c r="B149" s="66">
        <v>277</v>
      </c>
      <c r="D149">
        <f t="shared" si="8"/>
        <v>1.9433686928214627E-3</v>
      </c>
      <c r="E149">
        <f t="shared" si="8"/>
        <v>1.9433686928214627E-3</v>
      </c>
      <c r="G149">
        <f t="shared" ca="1" si="9"/>
        <v>147</v>
      </c>
      <c r="H149">
        <f t="shared" ca="1" si="10"/>
        <v>0.28567519784475504</v>
      </c>
      <c r="I149">
        <f t="shared" ca="1" si="11"/>
        <v>17.030750533821628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379</v>
      </c>
      <c r="B152" s="66">
        <v>379</v>
      </c>
      <c r="D152">
        <f t="shared" si="8"/>
        <v>2.6589773811528314E-3</v>
      </c>
      <c r="E152">
        <f t="shared" si="8"/>
        <v>2.6589773811528314E-3</v>
      </c>
      <c r="G152">
        <f t="shared" ca="1" si="9"/>
        <v>150</v>
      </c>
      <c r="H152">
        <f t="shared" ca="1" si="10"/>
        <v>0.39884660717292469</v>
      </c>
      <c r="I152">
        <f t="shared" ca="1" si="11"/>
        <v>24.819432288736312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96</v>
      </c>
      <c r="B154" s="66">
        <v>96</v>
      </c>
      <c r="D154">
        <f t="shared" si="8"/>
        <v>6.7351405960599424E-4</v>
      </c>
      <c r="E154">
        <f t="shared" si="8"/>
        <v>6.7351405960599424E-4</v>
      </c>
      <c r="G154">
        <f t="shared" ca="1" si="9"/>
        <v>152</v>
      </c>
      <c r="H154">
        <f t="shared" ca="1" si="10"/>
        <v>0.10237413706011113</v>
      </c>
      <c r="I154">
        <f t="shared" ca="1" si="11"/>
        <v>6.5496930870103922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50.888059685636946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0.98252071347788938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0.49684669972372253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9002</v>
      </c>
      <c r="B8" s="66">
        <v>9002</v>
      </c>
      <c r="D8">
        <f t="shared" si="0"/>
        <v>10.64468829817425</v>
      </c>
      <c r="E8">
        <f t="shared" si="1"/>
        <v>10.64468829817425</v>
      </c>
      <c r="G8">
        <f t="shared" ca="1" si="2"/>
        <v>6</v>
      </c>
      <c r="H8">
        <f t="shared" ca="1" si="3"/>
        <v>63.868129789045497</v>
      </c>
      <c r="I8">
        <f t="shared" ca="1" si="4"/>
        <v>21448.385910600256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19534</v>
      </c>
      <c r="B10" s="66">
        <v>19534</v>
      </c>
      <c r="D10">
        <f t="shared" si="0"/>
        <v>23.098571563712042</v>
      </c>
      <c r="E10">
        <f t="shared" si="1"/>
        <v>23.098571563712042</v>
      </c>
      <c r="G10">
        <f t="shared" ca="1" si="2"/>
        <v>8</v>
      </c>
      <c r="H10">
        <f t="shared" ca="1" si="3"/>
        <v>184.78857250969634</v>
      </c>
      <c r="I10">
        <f t="shared" ca="1" si="4"/>
        <v>42487.18138390185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24977</v>
      </c>
      <c r="B13" s="66">
        <v>24977</v>
      </c>
      <c r="D13">
        <f t="shared" si="0"/>
        <v>29.534812222117115</v>
      </c>
      <c r="E13">
        <f t="shared" si="1"/>
        <v>29.534812222117115</v>
      </c>
      <c r="G13">
        <f t="shared" ca="1" si="2"/>
        <v>11</v>
      </c>
      <c r="H13">
        <f t="shared" ca="1" si="3"/>
        <v>324.88293444328826</v>
      </c>
      <c r="I13">
        <f t="shared" ca="1" si="4"/>
        <v>46991.578752125191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26448</v>
      </c>
      <c r="B15" s="66">
        <v>26448</v>
      </c>
      <c r="D15">
        <f t="shared" si="0"/>
        <v>31.274240847601931</v>
      </c>
      <c r="E15">
        <f t="shared" si="1"/>
        <v>31.274240847601931</v>
      </c>
      <c r="G15">
        <f t="shared" ca="1" si="2"/>
        <v>13</v>
      </c>
      <c r="H15">
        <f t="shared" ca="1" si="3"/>
        <v>406.56513101882513</v>
      </c>
      <c r="I15">
        <f t="shared" ca="1" si="4"/>
        <v>44894.331195254315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34907</v>
      </c>
      <c r="B18" s="66">
        <v>34907</v>
      </c>
      <c r="D18">
        <f t="shared" si="0"/>
        <v>41.276842304417748</v>
      </c>
      <c r="E18">
        <f t="shared" si="1"/>
        <v>41.276842304417748</v>
      </c>
      <c r="G18">
        <f t="shared" ca="1" si="2"/>
        <v>16</v>
      </c>
      <c r="H18">
        <f t="shared" ca="1" si="3"/>
        <v>660.42947687068397</v>
      </c>
      <c r="I18">
        <f t="shared" ca="1" si="4"/>
        <v>50241.211058671543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54231</v>
      </c>
      <c r="B21" s="66">
        <v>54231</v>
      </c>
      <c r="D21">
        <f t="shared" si="0"/>
        <v>64.127092990256358</v>
      </c>
      <c r="E21">
        <f t="shared" si="1"/>
        <v>64.127092990256358</v>
      </c>
      <c r="G21">
        <f t="shared" ca="1" si="2"/>
        <v>19</v>
      </c>
      <c r="H21">
        <f t="shared" ca="1" si="3"/>
        <v>1218.4147668148707</v>
      </c>
      <c r="I21">
        <f t="shared" ca="1" si="4"/>
        <v>65207.528730447797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67415</v>
      </c>
      <c r="B23" s="66">
        <v>67415</v>
      </c>
      <c r="D23">
        <f t="shared" si="0"/>
        <v>79.716914199224291</v>
      </c>
      <c r="E23">
        <f t="shared" si="1"/>
        <v>79.716914199224291</v>
      </c>
      <c r="G23">
        <f t="shared" ca="1" si="2"/>
        <v>21</v>
      </c>
      <c r="H23">
        <f t="shared" ca="1" si="3"/>
        <v>1674.0551981837102</v>
      </c>
      <c r="I23">
        <f t="shared" ca="1" si="4"/>
        <v>71210.809496644855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68796</v>
      </c>
      <c r="B26" s="66">
        <v>68796</v>
      </c>
      <c r="D26">
        <f t="shared" si="0"/>
        <v>81.349919591334782</v>
      </c>
      <c r="E26">
        <f t="shared" si="1"/>
        <v>81.349919591334782</v>
      </c>
      <c r="G26">
        <f t="shared" ca="1" si="2"/>
        <v>24</v>
      </c>
      <c r="H26">
        <f t="shared" ca="1" si="3"/>
        <v>1952.3980701920348</v>
      </c>
      <c r="I26">
        <f t="shared" ca="1" si="4"/>
        <v>58813.368627236727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78067</v>
      </c>
      <c r="B28" s="66">
        <v>78067</v>
      </c>
      <c r="D28">
        <f t="shared" si="0"/>
        <v>92.312695109261185</v>
      </c>
      <c r="E28">
        <f t="shared" si="1"/>
        <v>92.312695109261185</v>
      </c>
      <c r="G28">
        <f t="shared" ca="1" si="2"/>
        <v>26</v>
      </c>
      <c r="H28">
        <f t="shared" ca="1" si="3"/>
        <v>2400.1300728407909</v>
      </c>
      <c r="I28">
        <f t="shared" ca="1" si="4"/>
        <v>57179.91557437076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84568</v>
      </c>
      <c r="B31" s="66">
        <v>84568</v>
      </c>
      <c r="D31">
        <f t="shared" si="0"/>
        <v>100</v>
      </c>
      <c r="E31">
        <f t="shared" si="1"/>
        <v>100</v>
      </c>
      <c r="G31">
        <f t="shared" ca="1" si="2"/>
        <v>29</v>
      </c>
      <c r="H31">
        <f t="shared" ca="1" si="3"/>
        <v>2900</v>
      </c>
      <c r="I31">
        <f t="shared" ca="1" si="4"/>
        <v>47908.715680200534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77582</v>
      </c>
      <c r="B33" s="66">
        <v>77582</v>
      </c>
      <c r="D33">
        <f t="shared" si="0"/>
        <v>91.739192129410654</v>
      </c>
      <c r="E33">
        <f t="shared" si="1"/>
        <v>91.739192129410654</v>
      </c>
      <c r="G33">
        <f t="shared" ca="1" si="2"/>
        <v>31</v>
      </c>
      <c r="H33">
        <f t="shared" ca="1" si="3"/>
        <v>2843.9149560117303</v>
      </c>
      <c r="I33">
        <f t="shared" ca="1" si="4"/>
        <v>36286.053841747278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78644</v>
      </c>
      <c r="B36" s="66">
        <v>78644</v>
      </c>
      <c r="D36">
        <f t="shared" si="0"/>
        <v>92.994986283227703</v>
      </c>
      <c r="E36">
        <f t="shared" si="1"/>
        <v>92.994986283227703</v>
      </c>
      <c r="G36">
        <f t="shared" ca="1" si="2"/>
        <v>34</v>
      </c>
      <c r="H36">
        <f t="shared" ca="1" si="3"/>
        <v>3161.8295336297419</v>
      </c>
      <c r="I36">
        <f t="shared" ca="1" si="4"/>
        <v>26522.780130030969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75047</v>
      </c>
      <c r="B39" s="66">
        <v>75047</v>
      </c>
      <c r="D39">
        <f t="shared" si="0"/>
        <v>88.74160438936714</v>
      </c>
      <c r="E39">
        <f t="shared" si="1"/>
        <v>88.74160438936714</v>
      </c>
      <c r="G39">
        <f t="shared" ca="1" si="2"/>
        <v>37</v>
      </c>
      <c r="H39">
        <f t="shared" ca="1" si="3"/>
        <v>3283.4393624065842</v>
      </c>
      <c r="I39">
        <f t="shared" ca="1" si="4"/>
        <v>17116.321082291364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81398</v>
      </c>
      <c r="B41" s="66">
        <v>81398</v>
      </c>
      <c r="D41">
        <f t="shared" si="0"/>
        <v>96.251537224482078</v>
      </c>
      <c r="E41">
        <f t="shared" si="1"/>
        <v>96.251537224482078</v>
      </c>
      <c r="G41">
        <f t="shared" ca="1" si="2"/>
        <v>39</v>
      </c>
      <c r="H41">
        <f t="shared" ca="1" si="3"/>
        <v>3753.8099517548012</v>
      </c>
      <c r="I41">
        <f t="shared" ca="1" si="4"/>
        <v>13602.841197072308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62582</v>
      </c>
      <c r="B44" s="66">
        <v>62582</v>
      </c>
      <c r="D44">
        <f t="shared" si="0"/>
        <v>74.001986567022982</v>
      </c>
      <c r="E44">
        <f t="shared" si="1"/>
        <v>74.001986567022982</v>
      </c>
      <c r="G44">
        <f t="shared" ca="1" si="2"/>
        <v>42</v>
      </c>
      <c r="H44">
        <f t="shared" ca="1" si="3"/>
        <v>3108.083435814965</v>
      </c>
      <c r="I44">
        <f t="shared" ca="1" si="4"/>
        <v>5845.9797022198491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59906</v>
      </c>
      <c r="B46" s="66">
        <v>59906</v>
      </c>
      <c r="D46">
        <f t="shared" si="0"/>
        <v>70.837669094693027</v>
      </c>
      <c r="E46">
        <f t="shared" si="1"/>
        <v>70.837669094693027</v>
      </c>
      <c r="G46">
        <f t="shared" ca="1" si="2"/>
        <v>44</v>
      </c>
      <c r="H46">
        <f t="shared" ca="1" si="3"/>
        <v>3116.8574401664932</v>
      </c>
      <c r="I46">
        <f t="shared" ca="1" si="4"/>
        <v>3360.9191532824766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61072</v>
      </c>
      <c r="B49" s="66">
        <v>61072</v>
      </c>
      <c r="D49">
        <f t="shared" si="0"/>
        <v>72.21644120707596</v>
      </c>
      <c r="E49">
        <f t="shared" si="1"/>
        <v>72.21644120707596</v>
      </c>
      <c r="G49">
        <f t="shared" ca="1" si="2"/>
        <v>47</v>
      </c>
      <c r="H49">
        <f t="shared" ca="1" si="3"/>
        <v>3394.1727367325702</v>
      </c>
      <c r="I49">
        <f t="shared" ca="1" si="4"/>
        <v>1091.6965280580891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65129</v>
      </c>
      <c r="B51" s="66">
        <v>65129</v>
      </c>
      <c r="D51">
        <f t="shared" si="0"/>
        <v>77.01376407151642</v>
      </c>
      <c r="E51">
        <f t="shared" si="1"/>
        <v>77.01376407151642</v>
      </c>
      <c r="G51">
        <f t="shared" ca="1" si="2"/>
        <v>49</v>
      </c>
      <c r="H51">
        <f t="shared" ca="1" si="3"/>
        <v>3773.6744395043047</v>
      </c>
      <c r="I51">
        <f t="shared" ca="1" si="4"/>
        <v>274.53630773325443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66406</v>
      </c>
      <c r="B54" s="66">
        <v>66406</v>
      </c>
      <c r="D54">
        <f t="shared" si="0"/>
        <v>78.523791505061013</v>
      </c>
      <c r="E54">
        <f t="shared" si="1"/>
        <v>78.523791505061013</v>
      </c>
      <c r="G54">
        <f t="shared" ca="1" si="2"/>
        <v>52</v>
      </c>
      <c r="H54">
        <f t="shared" ca="1" si="3"/>
        <v>4083.2371582631727</v>
      </c>
      <c r="I54">
        <f t="shared" ca="1" si="4"/>
        <v>97.087700207219953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65521</v>
      </c>
      <c r="B57" s="66">
        <v>65521</v>
      </c>
      <c r="D57">
        <f t="shared" si="0"/>
        <v>77.477296376880147</v>
      </c>
      <c r="E57">
        <f t="shared" si="1"/>
        <v>77.477296376880147</v>
      </c>
      <c r="G57">
        <f t="shared" ca="1" si="2"/>
        <v>55</v>
      </c>
      <c r="H57">
        <f t="shared" ca="1" si="3"/>
        <v>4261.2513007284078</v>
      </c>
      <c r="I57">
        <f t="shared" ca="1" si="4"/>
        <v>1309.9902449721374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61337</v>
      </c>
      <c r="B59" s="66">
        <v>61337</v>
      </c>
      <c r="D59">
        <f t="shared" si="0"/>
        <v>72.529798505344814</v>
      </c>
      <c r="E59">
        <f t="shared" si="1"/>
        <v>72.529798505344814</v>
      </c>
      <c r="G59">
        <f t="shared" ca="1" si="2"/>
        <v>57</v>
      </c>
      <c r="H59">
        <f t="shared" ca="1" si="3"/>
        <v>4134.1985148046542</v>
      </c>
      <c r="I59">
        <f t="shared" ca="1" si="4"/>
        <v>2709.409691894632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53897</v>
      </c>
      <c r="B62" s="66">
        <v>53897</v>
      </c>
      <c r="D62">
        <f t="shared" si="0"/>
        <v>63.732144546400527</v>
      </c>
      <c r="E62">
        <f t="shared" si="1"/>
        <v>63.732144546400527</v>
      </c>
      <c r="G62">
        <f t="shared" ca="1" si="2"/>
        <v>60</v>
      </c>
      <c r="H62">
        <f t="shared" ca="1" si="3"/>
        <v>3823.9286727840317</v>
      </c>
      <c r="I62">
        <f t="shared" ca="1" si="4"/>
        <v>5291.5178457544962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48703</v>
      </c>
      <c r="B64" s="66">
        <v>48703</v>
      </c>
      <c r="D64">
        <f t="shared" si="0"/>
        <v>57.590341500331093</v>
      </c>
      <c r="E64">
        <f t="shared" si="1"/>
        <v>57.590341500331093</v>
      </c>
      <c r="G64">
        <f t="shared" ca="1" si="2"/>
        <v>62</v>
      </c>
      <c r="H64">
        <f t="shared" ca="1" si="3"/>
        <v>3570.6011730205278</v>
      </c>
      <c r="I64">
        <f t="shared" ca="1" si="4"/>
        <v>7110.9799455302673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43512</v>
      </c>
      <c r="B67" s="66">
        <v>43512</v>
      </c>
      <c r="D67">
        <f t="shared" ref="D67:D130" si="5">IFERROR( 100*A67/MAX(A$2:A$257), 0 )</f>
        <v>51.45208589537414</v>
      </c>
      <c r="E67">
        <f t="shared" ref="E67:E130" si="6">IFERROR( 100*B67/MAX(B$2:B$257), 0 )</f>
        <v>51.45208589537414</v>
      </c>
      <c r="G67">
        <f t="shared" ref="G67:G130" ca="1" si="7">CELL("row",D67)-2</f>
        <v>65</v>
      </c>
      <c r="H67">
        <f t="shared" ref="H67:H130" ca="1" si="8">D67*G67</f>
        <v>3344.3855831993192</v>
      </c>
      <c r="I67">
        <f t="shared" ref="I67:I130" ca="1" si="9">D67*((G67-$L$1)^2)</f>
        <v>10246.521317502544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46150</v>
      </c>
      <c r="B69" s="66">
        <v>46150</v>
      </c>
      <c r="D69">
        <f t="shared" si="5"/>
        <v>54.571469113612714</v>
      </c>
      <c r="E69">
        <f t="shared" si="6"/>
        <v>54.571469113612714</v>
      </c>
      <c r="G69">
        <f t="shared" ca="1" si="7"/>
        <v>67</v>
      </c>
      <c r="H69">
        <f t="shared" ca="1" si="8"/>
        <v>3656.2884306120518</v>
      </c>
      <c r="I69">
        <f t="shared" ca="1" si="9"/>
        <v>14166.459825240658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41392</v>
      </c>
      <c r="B72" s="66">
        <v>41392</v>
      </c>
      <c r="D72">
        <f t="shared" si="5"/>
        <v>48.945227509223344</v>
      </c>
      <c r="E72">
        <f t="shared" si="6"/>
        <v>48.945227509223344</v>
      </c>
      <c r="G72">
        <f t="shared" ca="1" si="7"/>
        <v>70</v>
      </c>
      <c r="H72">
        <f t="shared" ca="1" si="8"/>
        <v>3426.1659256456342</v>
      </c>
      <c r="I72">
        <f t="shared" ca="1" si="9"/>
        <v>17878.040323410838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40681</v>
      </c>
      <c r="B75" s="66">
        <v>40681</v>
      </c>
      <c r="D75">
        <f t="shared" si="5"/>
        <v>48.104483965566175</v>
      </c>
      <c r="E75">
        <f t="shared" si="6"/>
        <v>48.104483965566175</v>
      </c>
      <c r="G75">
        <f t="shared" ca="1" si="7"/>
        <v>73</v>
      </c>
      <c r="H75">
        <f t="shared" ca="1" si="8"/>
        <v>3511.6273294863308</v>
      </c>
      <c r="I75">
        <f t="shared" ca="1" si="9"/>
        <v>23520.105585540012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46210</v>
      </c>
      <c r="B77" s="66">
        <v>46210</v>
      </c>
      <c r="D77">
        <f t="shared" si="5"/>
        <v>54.642417935862262</v>
      </c>
      <c r="E77">
        <f t="shared" si="6"/>
        <v>54.642417935862262</v>
      </c>
      <c r="G77">
        <f t="shared" ca="1" si="7"/>
        <v>75</v>
      </c>
      <c r="H77">
        <f t="shared" ca="1" si="8"/>
        <v>4098.1813451896696</v>
      </c>
      <c r="I77">
        <f t="shared" ca="1" si="9"/>
        <v>31768.318528377877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34951</v>
      </c>
      <c r="B80" s="66">
        <v>34951</v>
      </c>
      <c r="D80">
        <f t="shared" si="5"/>
        <v>41.328871440734083</v>
      </c>
      <c r="E80">
        <f t="shared" si="6"/>
        <v>41.328871440734083</v>
      </c>
      <c r="G80">
        <f t="shared" ca="1" si="7"/>
        <v>78</v>
      </c>
      <c r="H80">
        <f t="shared" ca="1" si="8"/>
        <v>3223.6519723772585</v>
      </c>
      <c r="I80">
        <f t="shared" ca="1" si="9"/>
        <v>30379.088967768646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29343</v>
      </c>
      <c r="B82" s="66">
        <v>29343</v>
      </c>
      <c r="D82">
        <f t="shared" si="5"/>
        <v>34.697521521142747</v>
      </c>
      <c r="E82">
        <f t="shared" si="6"/>
        <v>34.697521521142747</v>
      </c>
      <c r="G82">
        <f t="shared" ca="1" si="7"/>
        <v>80</v>
      </c>
      <c r="H82">
        <f t="shared" ca="1" si="8"/>
        <v>2775.8017216914195</v>
      </c>
      <c r="I82">
        <f t="shared" ca="1" si="9"/>
        <v>29406.325366291574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34001</v>
      </c>
      <c r="B85" s="66">
        <v>34001</v>
      </c>
      <c r="D85">
        <f t="shared" si="5"/>
        <v>40.20551508844953</v>
      </c>
      <c r="E85">
        <f t="shared" si="6"/>
        <v>40.20551508844953</v>
      </c>
      <c r="G85">
        <f t="shared" ca="1" si="7"/>
        <v>83</v>
      </c>
      <c r="H85">
        <f t="shared" ca="1" si="8"/>
        <v>3337.0577523413112</v>
      </c>
      <c r="I85">
        <f t="shared" ca="1" si="9"/>
        <v>41458.990803046145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30641</v>
      </c>
      <c r="B88" s="66">
        <v>30641</v>
      </c>
      <c r="D88">
        <f t="shared" si="5"/>
        <v>36.232381042474692</v>
      </c>
      <c r="E88">
        <f t="shared" si="6"/>
        <v>36.232381042474692</v>
      </c>
      <c r="G88">
        <f t="shared" ca="1" si="7"/>
        <v>86</v>
      </c>
      <c r="H88">
        <f t="shared" ca="1" si="8"/>
        <v>3115.9847696528236</v>
      </c>
      <c r="I88">
        <f t="shared" ca="1" si="9"/>
        <v>44669.031280417708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27579</v>
      </c>
      <c r="B90" s="66">
        <v>27579</v>
      </c>
      <c r="D90">
        <f t="shared" si="5"/>
        <v>32.611626147005957</v>
      </c>
      <c r="E90">
        <f t="shared" si="6"/>
        <v>32.611626147005957</v>
      </c>
      <c r="G90">
        <f t="shared" ca="1" si="7"/>
        <v>88</v>
      </c>
      <c r="H90">
        <f t="shared" ca="1" si="8"/>
        <v>2869.823100936524</v>
      </c>
      <c r="I90">
        <f t="shared" ca="1" si="9"/>
        <v>44915.86596012806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27574</v>
      </c>
      <c r="B93" s="66">
        <v>27574</v>
      </c>
      <c r="D93">
        <f t="shared" si="5"/>
        <v>32.605713745151832</v>
      </c>
      <c r="E93">
        <f t="shared" si="6"/>
        <v>32.605713745151832</v>
      </c>
      <c r="G93">
        <f t="shared" ca="1" si="7"/>
        <v>91</v>
      </c>
      <c r="H93">
        <f t="shared" ca="1" si="8"/>
        <v>2967.1199508088166</v>
      </c>
      <c r="I93">
        <f t="shared" ca="1" si="9"/>
        <v>52461.542070240641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26371</v>
      </c>
      <c r="B95" s="66">
        <v>26371</v>
      </c>
      <c r="D95">
        <f t="shared" si="5"/>
        <v>31.183189859048341</v>
      </c>
      <c r="E95">
        <f t="shared" si="6"/>
        <v>31.183189859048341</v>
      </c>
      <c r="G95">
        <f t="shared" ca="1" si="7"/>
        <v>93</v>
      </c>
      <c r="H95">
        <f t="shared" ca="1" si="8"/>
        <v>2900.0366568914956</v>
      </c>
      <c r="I95">
        <f t="shared" ca="1" si="9"/>
        <v>55300.752766855549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23090</v>
      </c>
      <c r="B98" s="66">
        <v>23090</v>
      </c>
      <c r="D98">
        <f t="shared" si="5"/>
        <v>27.303471762368744</v>
      </c>
      <c r="E98">
        <f t="shared" si="6"/>
        <v>27.303471762368744</v>
      </c>
      <c r="G98">
        <f t="shared" ca="1" si="7"/>
        <v>96</v>
      </c>
      <c r="H98">
        <f t="shared" ca="1" si="8"/>
        <v>2621.1332891873994</v>
      </c>
      <c r="I98">
        <f t="shared" ca="1" si="9"/>
        <v>55564.944777713143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24005</v>
      </c>
      <c r="B100" s="66">
        <v>24005</v>
      </c>
      <c r="D100">
        <f t="shared" si="5"/>
        <v>28.385441301674391</v>
      </c>
      <c r="E100">
        <f t="shared" si="6"/>
        <v>28.385441301674391</v>
      </c>
      <c r="G100">
        <f t="shared" ca="1" si="7"/>
        <v>98</v>
      </c>
      <c r="H100">
        <f t="shared" ca="1" si="8"/>
        <v>2781.7732475640901</v>
      </c>
      <c r="I100">
        <f t="shared" ca="1" si="9"/>
        <v>63002.47819390252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17755</v>
      </c>
      <c r="B103" s="66">
        <v>17755</v>
      </c>
      <c r="D103">
        <f t="shared" si="5"/>
        <v>20.994938984012865</v>
      </c>
      <c r="E103">
        <f t="shared" si="6"/>
        <v>20.994938984012865</v>
      </c>
      <c r="G103">
        <f t="shared" ca="1" si="7"/>
        <v>101</v>
      </c>
      <c r="H103">
        <f t="shared" ca="1" si="8"/>
        <v>2120.4888373852996</v>
      </c>
      <c r="I103">
        <f t="shared" ca="1" si="9"/>
        <v>52722.628546918349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13704</v>
      </c>
      <c r="B106" s="66">
        <v>13704</v>
      </c>
      <c r="D106">
        <f t="shared" si="5"/>
        <v>16.204711001797371</v>
      </c>
      <c r="E106">
        <f t="shared" si="6"/>
        <v>16.204711001797371</v>
      </c>
      <c r="G106">
        <f t="shared" ca="1" si="7"/>
        <v>104</v>
      </c>
      <c r="H106">
        <f t="shared" ca="1" si="8"/>
        <v>1685.2899441869265</v>
      </c>
      <c r="I106">
        <f t="shared" ca="1" si="9"/>
        <v>45711.516066383709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11173</v>
      </c>
      <c r="B108" s="66">
        <v>11173</v>
      </c>
      <c r="D108">
        <f t="shared" si="5"/>
        <v>13.211853183237158</v>
      </c>
      <c r="E108">
        <f t="shared" si="6"/>
        <v>13.211853183237158</v>
      </c>
      <c r="G108">
        <f t="shared" ca="1" si="7"/>
        <v>106</v>
      </c>
      <c r="H108">
        <f t="shared" ca="1" si="8"/>
        <v>1400.4564374231388</v>
      </c>
      <c r="I108">
        <f t="shared" ca="1" si="9"/>
        <v>40128.70472204034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9348</v>
      </c>
      <c r="B111" s="66">
        <v>9348</v>
      </c>
      <c r="D111">
        <f t="shared" si="5"/>
        <v>11.053826506479993</v>
      </c>
      <c r="E111">
        <f t="shared" si="6"/>
        <v>11.053826506479993</v>
      </c>
      <c r="G111">
        <f t="shared" ca="1" si="7"/>
        <v>109</v>
      </c>
      <c r="H111">
        <f t="shared" ca="1" si="8"/>
        <v>1204.8670892063192</v>
      </c>
      <c r="I111">
        <f t="shared" ca="1" si="9"/>
        <v>37328.745661682522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8530</v>
      </c>
      <c r="B113" s="66">
        <v>8530</v>
      </c>
      <c r="D113">
        <f t="shared" si="5"/>
        <v>10.086557563144451</v>
      </c>
      <c r="E113">
        <f t="shared" si="6"/>
        <v>10.086557563144451</v>
      </c>
      <c r="G113">
        <f t="shared" ca="1" si="7"/>
        <v>111</v>
      </c>
      <c r="H113">
        <f t="shared" ca="1" si="8"/>
        <v>1119.6078895090341</v>
      </c>
      <c r="I113">
        <f t="shared" ca="1" si="9"/>
        <v>36447.224709216091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6913</v>
      </c>
      <c r="B116" s="66">
        <v>6913</v>
      </c>
      <c r="D116">
        <f t="shared" si="5"/>
        <v>8.174486803519061</v>
      </c>
      <c r="E116">
        <f t="shared" si="6"/>
        <v>8.174486803519061</v>
      </c>
      <c r="G116">
        <f t="shared" ca="1" si="7"/>
        <v>114</v>
      </c>
      <c r="H116">
        <f t="shared" ca="1" si="8"/>
        <v>931.89149560117301</v>
      </c>
      <c r="I116">
        <f t="shared" ca="1" si="9"/>
        <v>32559.937437109624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3896</v>
      </c>
      <c r="B118" s="66">
        <v>3896</v>
      </c>
      <c r="D118">
        <f t="shared" si="5"/>
        <v>4.6069435247374892</v>
      </c>
      <c r="E118">
        <f t="shared" si="6"/>
        <v>4.6069435247374892</v>
      </c>
      <c r="G118">
        <f t="shared" ca="1" si="7"/>
        <v>116</v>
      </c>
      <c r="H118">
        <f t="shared" ca="1" si="8"/>
        <v>534.40544886954876</v>
      </c>
      <c r="I118">
        <f t="shared" ca="1" si="9"/>
        <v>19531.435471772518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2767</v>
      </c>
      <c r="B121" s="66">
        <v>2767</v>
      </c>
      <c r="D121">
        <f t="shared" si="5"/>
        <v>3.271923186075111</v>
      </c>
      <c r="E121">
        <f t="shared" si="6"/>
        <v>3.271923186075111</v>
      </c>
      <c r="G121">
        <f t="shared" ca="1" si="7"/>
        <v>119</v>
      </c>
      <c r="H121">
        <f t="shared" ca="1" si="8"/>
        <v>389.35885914293823</v>
      </c>
      <c r="I121">
        <f t="shared" ca="1" si="9"/>
        <v>15179.225186646026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3134</v>
      </c>
      <c r="B124" s="66">
        <v>3134</v>
      </c>
      <c r="D124">
        <f t="shared" si="5"/>
        <v>3.7058934821681961</v>
      </c>
      <c r="E124">
        <f t="shared" si="6"/>
        <v>3.7058934821681961</v>
      </c>
      <c r="G124">
        <f t="shared" ca="1" si="7"/>
        <v>122</v>
      </c>
      <c r="H124">
        <f t="shared" ca="1" si="8"/>
        <v>452.11900482451995</v>
      </c>
      <c r="I124">
        <f t="shared" ca="1" si="9"/>
        <v>18740.362601962035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1488</v>
      </c>
      <c r="B126" s="66">
        <v>1488</v>
      </c>
      <c r="D126">
        <f t="shared" si="5"/>
        <v>1.7595307917888563</v>
      </c>
      <c r="E126">
        <f t="shared" si="6"/>
        <v>1.7595307917888563</v>
      </c>
      <c r="G126">
        <f t="shared" ca="1" si="7"/>
        <v>124</v>
      </c>
      <c r="H126">
        <f t="shared" ca="1" si="8"/>
        <v>218.18181818181819</v>
      </c>
      <c r="I126">
        <f t="shared" ca="1" si="9"/>
        <v>9405.3181522539326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1038</v>
      </c>
      <c r="B129" s="66">
        <v>1038</v>
      </c>
      <c r="D129">
        <f t="shared" si="5"/>
        <v>1.2274146249172264</v>
      </c>
      <c r="E129">
        <f t="shared" si="6"/>
        <v>1.2274146249172264</v>
      </c>
      <c r="G129">
        <f t="shared" ca="1" si="7"/>
        <v>127</v>
      </c>
      <c r="H129">
        <f t="shared" ca="1" si="8"/>
        <v>155.88165736448775</v>
      </c>
      <c r="I129">
        <f t="shared" ca="1" si="9"/>
        <v>7110.4466250082969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784</v>
      </c>
      <c r="B131" s="66">
        <v>784</v>
      </c>
      <c r="D131">
        <f t="shared" ref="D131:D194" si="10">IFERROR( 100*A131/MAX(A$2:A$257), 0 )</f>
        <v>0.92706461072746194</v>
      </c>
      <c r="E131">
        <f t="shared" ref="E131:E194" si="11">IFERROR( 100*B131/MAX(B$2:B$257), 0 )</f>
        <v>0.92706461072746194</v>
      </c>
      <c r="G131">
        <f t="shared" ref="G131:G194" ca="1" si="12">CELL("row",D131)-2</f>
        <v>129</v>
      </c>
      <c r="H131">
        <f t="shared" ref="H131:H194" ca="1" si="13">D131*G131</f>
        <v>119.59133478384258</v>
      </c>
      <c r="I131">
        <f t="shared" ref="I131:I194" ca="1" si="14">D131*((G131-$L$1)^2)</f>
        <v>5656.4617493909027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765</v>
      </c>
      <c r="B134" s="66">
        <v>765</v>
      </c>
      <c r="D134">
        <f t="shared" si="10"/>
        <v>0.90459748368177084</v>
      </c>
      <c r="E134">
        <f t="shared" si="11"/>
        <v>0.90459748368177084</v>
      </c>
      <c r="G134">
        <f t="shared" ca="1" si="12"/>
        <v>132</v>
      </c>
      <c r="H134">
        <f t="shared" ca="1" si="13"/>
        <v>119.40686784599374</v>
      </c>
      <c r="I134">
        <f t="shared" ca="1" si="14"/>
        <v>5951.4796957407143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267</v>
      </c>
      <c r="B136" s="66">
        <v>267</v>
      </c>
      <c r="D136">
        <f t="shared" si="10"/>
        <v>0.31572225901050044</v>
      </c>
      <c r="E136">
        <f t="shared" si="11"/>
        <v>0.31572225901050044</v>
      </c>
      <c r="G136">
        <f t="shared" ca="1" si="12"/>
        <v>134</v>
      </c>
      <c r="H136">
        <f t="shared" ca="1" si="13"/>
        <v>42.306782707407059</v>
      </c>
      <c r="I136">
        <f t="shared" ca="1" si="14"/>
        <v>2180.8813786449623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402</v>
      </c>
      <c r="B139" s="66">
        <v>402</v>
      </c>
      <c r="D139">
        <f t="shared" si="10"/>
        <v>0.47535710907198941</v>
      </c>
      <c r="E139">
        <f t="shared" si="11"/>
        <v>0.47535710907198941</v>
      </c>
      <c r="G139">
        <f t="shared" ca="1" si="12"/>
        <v>137</v>
      </c>
      <c r="H139">
        <f t="shared" ca="1" si="13"/>
        <v>65.123923942862547</v>
      </c>
      <c r="I139">
        <f t="shared" ca="1" si="14"/>
        <v>3524.8995345889452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31</v>
      </c>
      <c r="B142" s="66">
        <v>31</v>
      </c>
      <c r="D142">
        <f t="shared" si="10"/>
        <v>3.6656891495601175E-2</v>
      </c>
      <c r="E142">
        <f t="shared" si="11"/>
        <v>3.6656891495601175E-2</v>
      </c>
      <c r="G142">
        <f t="shared" ca="1" si="12"/>
        <v>140</v>
      </c>
      <c r="H142">
        <f t="shared" ca="1" si="13"/>
        <v>5.1319648093841641</v>
      </c>
      <c r="I142">
        <f t="shared" ca="1" si="14"/>
        <v>291.09009921519811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0</v>
      </c>
      <c r="B144" s="66">
        <v>0</v>
      </c>
      <c r="D144">
        <f t="shared" si="10"/>
        <v>0</v>
      </c>
      <c r="E144">
        <f t="shared" si="11"/>
        <v>0</v>
      </c>
      <c r="G144">
        <f t="shared" ca="1" si="12"/>
        <v>142</v>
      </c>
      <c r="H144">
        <f t="shared" ca="1" si="13"/>
        <v>0</v>
      </c>
      <c r="I144">
        <f t="shared" ca="1" si="14"/>
        <v>0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56.307606314578734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1.0871585568833728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0.49820145702039764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13927</v>
      </c>
      <c r="B8" s="66">
        <v>13927</v>
      </c>
      <c r="D8">
        <f t="shared" si="0"/>
        <v>16.818017147687478</v>
      </c>
      <c r="E8">
        <f t="shared" si="1"/>
        <v>16.818017147687478</v>
      </c>
      <c r="G8">
        <f t="shared" ca="1" si="2"/>
        <v>6</v>
      </c>
      <c r="H8">
        <f t="shared" ca="1" si="3"/>
        <v>100.90810288612487</v>
      </c>
      <c r="I8">
        <f t="shared" ca="1" si="4"/>
        <v>42563.967044995166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21086</v>
      </c>
      <c r="B10" s="66">
        <v>21086</v>
      </c>
      <c r="D10">
        <f t="shared" si="0"/>
        <v>25.463108320251177</v>
      </c>
      <c r="E10">
        <f t="shared" si="1"/>
        <v>25.463108320251177</v>
      </c>
      <c r="G10">
        <f t="shared" ca="1" si="2"/>
        <v>8</v>
      </c>
      <c r="H10">
        <f t="shared" ca="1" si="3"/>
        <v>203.70486656200941</v>
      </c>
      <c r="I10">
        <f t="shared" ca="1" si="4"/>
        <v>59421.341770227606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22648</v>
      </c>
      <c r="B13" s="66">
        <v>22648</v>
      </c>
      <c r="D13">
        <f t="shared" si="0"/>
        <v>27.349353942760537</v>
      </c>
      <c r="E13">
        <f t="shared" si="1"/>
        <v>27.349353942760537</v>
      </c>
      <c r="G13">
        <f t="shared" ca="1" si="2"/>
        <v>11</v>
      </c>
      <c r="H13">
        <f t="shared" ca="1" si="3"/>
        <v>300.84289337036591</v>
      </c>
      <c r="I13">
        <f t="shared" ca="1" si="4"/>
        <v>56142.184632463286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28956</v>
      </c>
      <c r="B15" s="66">
        <v>28956</v>
      </c>
      <c r="D15">
        <f t="shared" si="0"/>
        <v>34.966791450307937</v>
      </c>
      <c r="E15">
        <f t="shared" si="1"/>
        <v>34.966791450307937</v>
      </c>
      <c r="G15">
        <f t="shared" ca="1" si="2"/>
        <v>13</v>
      </c>
      <c r="H15">
        <f t="shared" ca="1" si="3"/>
        <v>454.56828885400319</v>
      </c>
      <c r="I15">
        <f t="shared" ca="1" si="4"/>
        <v>65581.922510096512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38709</v>
      </c>
      <c r="B18" s="66">
        <v>38709</v>
      </c>
      <c r="D18">
        <f t="shared" si="0"/>
        <v>46.744354546552351</v>
      </c>
      <c r="E18">
        <f t="shared" si="1"/>
        <v>46.744354546552351</v>
      </c>
      <c r="G18">
        <f t="shared" ca="1" si="2"/>
        <v>16</v>
      </c>
      <c r="H18">
        <f t="shared" ca="1" si="3"/>
        <v>747.90967274483762</v>
      </c>
      <c r="I18">
        <f t="shared" ca="1" si="4"/>
        <v>75945.698992548743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41944</v>
      </c>
      <c r="B21" s="66">
        <v>41944</v>
      </c>
      <c r="D21">
        <f t="shared" si="0"/>
        <v>50.650887573964496</v>
      </c>
      <c r="E21">
        <f t="shared" si="1"/>
        <v>50.650887573964496</v>
      </c>
      <c r="G21">
        <f t="shared" ca="1" si="2"/>
        <v>19</v>
      </c>
      <c r="H21">
        <f t="shared" ca="1" si="3"/>
        <v>962.36686390532543</v>
      </c>
      <c r="I21">
        <f t="shared" ca="1" si="4"/>
        <v>70498.817190449554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38411</v>
      </c>
      <c r="B23" s="66">
        <v>38411</v>
      </c>
      <c r="D23">
        <f t="shared" si="0"/>
        <v>46.384494626252867</v>
      </c>
      <c r="E23">
        <f t="shared" si="1"/>
        <v>46.384494626252867</v>
      </c>
      <c r="G23">
        <f t="shared" ca="1" si="2"/>
        <v>21</v>
      </c>
      <c r="H23">
        <f t="shared" ca="1" si="3"/>
        <v>974.07438715131025</v>
      </c>
      <c r="I23">
        <f t="shared" ca="1" si="4"/>
        <v>57824.166335523572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41818</v>
      </c>
      <c r="B26" s="66">
        <v>41818</v>
      </c>
      <c r="D26">
        <f t="shared" si="0"/>
        <v>50.498732037193577</v>
      </c>
      <c r="E26">
        <f t="shared" si="1"/>
        <v>50.498732037193577</v>
      </c>
      <c r="G26">
        <f t="shared" ca="1" si="2"/>
        <v>24</v>
      </c>
      <c r="H26">
        <f t="shared" ca="1" si="3"/>
        <v>1211.9695688926458</v>
      </c>
      <c r="I26">
        <f t="shared" ca="1" si="4"/>
        <v>52709.638525753369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42089</v>
      </c>
      <c r="B28" s="66">
        <v>42089</v>
      </c>
      <c r="D28">
        <f t="shared" si="0"/>
        <v>50.825987199613571</v>
      </c>
      <c r="E28">
        <f t="shared" si="1"/>
        <v>50.825987199613571</v>
      </c>
      <c r="G28">
        <f t="shared" ca="1" si="2"/>
        <v>26</v>
      </c>
      <c r="H28">
        <f t="shared" ca="1" si="3"/>
        <v>1321.4756671899529</v>
      </c>
      <c r="I28">
        <f t="shared" ca="1" si="4"/>
        <v>46686.261394595975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42093</v>
      </c>
      <c r="B31" s="66">
        <v>42093</v>
      </c>
      <c r="D31">
        <f t="shared" si="0"/>
        <v>50.830817534114239</v>
      </c>
      <c r="E31">
        <f t="shared" si="1"/>
        <v>50.830817534114239</v>
      </c>
      <c r="G31">
        <f t="shared" ca="1" si="2"/>
        <v>29</v>
      </c>
      <c r="H31">
        <f t="shared" ca="1" si="3"/>
        <v>1474.093708489313</v>
      </c>
      <c r="I31">
        <f t="shared" ca="1" si="4"/>
        <v>37904.813222158722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45257</v>
      </c>
      <c r="B33" s="66">
        <v>45257</v>
      </c>
      <c r="D33">
        <f t="shared" si="0"/>
        <v>54.651612124139596</v>
      </c>
      <c r="E33">
        <f t="shared" si="1"/>
        <v>54.651612124139596</v>
      </c>
      <c r="G33">
        <f t="shared" ca="1" si="2"/>
        <v>31</v>
      </c>
      <c r="H33">
        <f t="shared" ca="1" si="3"/>
        <v>1694.1999758483275</v>
      </c>
      <c r="I33">
        <f t="shared" ca="1" si="4"/>
        <v>35002.987852580351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44176</v>
      </c>
      <c r="B36" s="66">
        <v>44176</v>
      </c>
      <c r="D36">
        <f t="shared" si="0"/>
        <v>53.346214225335103</v>
      </c>
      <c r="E36">
        <f t="shared" si="1"/>
        <v>53.346214225335103</v>
      </c>
      <c r="G36">
        <f t="shared" ca="1" si="2"/>
        <v>34</v>
      </c>
      <c r="H36">
        <f t="shared" ca="1" si="3"/>
        <v>1813.7712836613935</v>
      </c>
      <c r="I36">
        <f t="shared" ca="1" si="4"/>
        <v>26546.639215196028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44174</v>
      </c>
      <c r="B39" s="66">
        <v>44174</v>
      </c>
      <c r="D39">
        <f t="shared" si="0"/>
        <v>53.34379905808477</v>
      </c>
      <c r="E39">
        <f t="shared" si="1"/>
        <v>53.34379905808477</v>
      </c>
      <c r="G39">
        <f t="shared" ca="1" si="2"/>
        <v>37</v>
      </c>
      <c r="H39">
        <f t="shared" ca="1" si="3"/>
        <v>1973.7205651491365</v>
      </c>
      <c r="I39">
        <f t="shared" ca="1" si="4"/>
        <v>19885.696736461356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45409</v>
      </c>
      <c r="B41" s="66">
        <v>45409</v>
      </c>
      <c r="D41">
        <f t="shared" si="0"/>
        <v>54.835164835164832</v>
      </c>
      <c r="E41">
        <f t="shared" si="1"/>
        <v>54.835164835164832</v>
      </c>
      <c r="G41">
        <f t="shared" ca="1" si="2"/>
        <v>39</v>
      </c>
      <c r="H41">
        <f t="shared" ca="1" si="3"/>
        <v>2138.5714285714284</v>
      </c>
      <c r="I41">
        <f t="shared" ca="1" si="4"/>
        <v>16426.051091635425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52189</v>
      </c>
      <c r="B44" s="66">
        <v>52189</v>
      </c>
      <c r="D44">
        <f t="shared" si="0"/>
        <v>63.022581813790602</v>
      </c>
      <c r="E44">
        <f t="shared" si="1"/>
        <v>63.022581813790602</v>
      </c>
      <c r="G44">
        <f t="shared" ca="1" si="2"/>
        <v>42</v>
      </c>
      <c r="H44">
        <f t="shared" ca="1" si="3"/>
        <v>2646.9484361792051</v>
      </c>
      <c r="I44">
        <f t="shared" ca="1" si="4"/>
        <v>12901.201371407104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58551</v>
      </c>
      <c r="B46" s="66">
        <v>58551</v>
      </c>
      <c r="D46">
        <f t="shared" si="0"/>
        <v>70.705228837096968</v>
      </c>
      <c r="E46">
        <f t="shared" si="1"/>
        <v>70.705228837096968</v>
      </c>
      <c r="G46">
        <f t="shared" ca="1" si="2"/>
        <v>44</v>
      </c>
      <c r="H46">
        <f t="shared" ca="1" si="3"/>
        <v>3111.0300688322668</v>
      </c>
      <c r="I46">
        <f t="shared" ca="1" si="4"/>
        <v>10710.228194324889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68804</v>
      </c>
      <c r="B49" s="66">
        <v>68804</v>
      </c>
      <c r="D49">
        <f t="shared" si="0"/>
        <v>83.086583745924401</v>
      </c>
      <c r="E49">
        <f t="shared" si="1"/>
        <v>83.086583745924401</v>
      </c>
      <c r="G49">
        <f t="shared" ca="1" si="2"/>
        <v>47</v>
      </c>
      <c r="H49">
        <f t="shared" ca="1" si="3"/>
        <v>3905.0694360584466</v>
      </c>
      <c r="I49">
        <f t="shared" ca="1" si="4"/>
        <v>7197.9183133385104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70323</v>
      </c>
      <c r="B51" s="66">
        <v>70323</v>
      </c>
      <c r="D51">
        <f t="shared" si="0"/>
        <v>84.920903272551627</v>
      </c>
      <c r="E51">
        <f t="shared" si="1"/>
        <v>84.920903272551627</v>
      </c>
      <c r="G51">
        <f t="shared" ca="1" si="2"/>
        <v>49</v>
      </c>
      <c r="H51">
        <f t="shared" ca="1" si="3"/>
        <v>4161.1242603550299</v>
      </c>
      <c r="I51">
        <f t="shared" ca="1" si="4"/>
        <v>4534.8705011070579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76698</v>
      </c>
      <c r="B54" s="66">
        <v>76698</v>
      </c>
      <c r="D54">
        <f t="shared" si="0"/>
        <v>92.619248882985147</v>
      </c>
      <c r="E54">
        <f t="shared" si="1"/>
        <v>92.619248882985147</v>
      </c>
      <c r="G54">
        <f t="shared" ca="1" si="2"/>
        <v>52</v>
      </c>
      <c r="H54">
        <f t="shared" ca="1" si="3"/>
        <v>4816.2009419152273</v>
      </c>
      <c r="I54">
        <f t="shared" ca="1" si="4"/>
        <v>1718.593894257878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79641</v>
      </c>
      <c r="B57" s="66">
        <v>79641</v>
      </c>
      <c r="D57">
        <f t="shared" si="0"/>
        <v>96.173167491848815</v>
      </c>
      <c r="E57">
        <f t="shared" si="1"/>
        <v>96.173167491848815</v>
      </c>
      <c r="G57">
        <f t="shared" ca="1" si="2"/>
        <v>55</v>
      </c>
      <c r="H57">
        <f t="shared" ca="1" si="3"/>
        <v>5289.524212051685</v>
      </c>
      <c r="I57">
        <f t="shared" ca="1" si="4"/>
        <v>164.44017800960623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74815</v>
      </c>
      <c r="B59" s="66">
        <v>74815</v>
      </c>
      <c r="D59">
        <f t="shared" si="0"/>
        <v>90.345368916797483</v>
      </c>
      <c r="E59">
        <f t="shared" si="1"/>
        <v>90.345368916797483</v>
      </c>
      <c r="G59">
        <f t="shared" ca="1" si="2"/>
        <v>57</v>
      </c>
      <c r="H59">
        <f t="shared" ca="1" si="3"/>
        <v>5149.6860282574562</v>
      </c>
      <c r="I59">
        <f t="shared" ca="1" si="4"/>
        <v>43.312384377436423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82810</v>
      </c>
      <c r="B62" s="66">
        <v>82810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1363.3771128138835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78378</v>
      </c>
      <c r="B64" s="66">
        <v>78378</v>
      </c>
      <c r="D64">
        <f t="shared" si="0"/>
        <v>94.647989373264096</v>
      </c>
      <c r="E64">
        <f t="shared" si="1"/>
        <v>94.647989373264096</v>
      </c>
      <c r="G64">
        <f t="shared" ca="1" si="2"/>
        <v>62</v>
      </c>
      <c r="H64">
        <f t="shared" ca="1" si="3"/>
        <v>5868.1753411423742</v>
      </c>
      <c r="I64">
        <f t="shared" ca="1" si="4"/>
        <v>3066.9115355452932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76422</v>
      </c>
      <c r="B67" s="66">
        <v>76422</v>
      </c>
      <c r="D67">
        <f t="shared" ref="D67:D130" si="5">IFERROR(100*A67/MAX(A$2:A$257), 0 )</f>
        <v>92.285955802439318</v>
      </c>
      <c r="E67">
        <f t="shared" ref="E67:E130" si="6">IFERROR(100*B67/MAX(B$2:B$257), 0 )</f>
        <v>92.285955802439318</v>
      </c>
      <c r="G67">
        <f t="shared" ref="G67:G130" ca="1" si="7">CELL("row",D67)-2</f>
        <v>65</v>
      </c>
      <c r="H67">
        <f t="shared" ref="H67:H130" ca="1" si="8">D67*G67</f>
        <v>5998.5871271585556</v>
      </c>
      <c r="I67">
        <f t="shared" ref="I67:I130" ca="1" si="9">D67*((G67-$L$1)^2)</f>
        <v>6972.9152993929056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70477</v>
      </c>
      <c r="B69" s="66">
        <v>70477</v>
      </c>
      <c r="D69">
        <f t="shared" si="5"/>
        <v>85.106871150827189</v>
      </c>
      <c r="E69">
        <f t="shared" si="6"/>
        <v>85.106871150827189</v>
      </c>
      <c r="G69">
        <f t="shared" ca="1" si="7"/>
        <v>67</v>
      </c>
      <c r="H69">
        <f t="shared" ca="1" si="8"/>
        <v>5702.1603671054218</v>
      </c>
      <c r="I69">
        <f t="shared" ca="1" si="9"/>
        <v>9730.0373198187699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60534</v>
      </c>
      <c r="B72" s="66">
        <v>60534</v>
      </c>
      <c r="D72">
        <f t="shared" si="5"/>
        <v>73.099867165801228</v>
      </c>
      <c r="E72">
        <f t="shared" si="6"/>
        <v>73.099867165801228</v>
      </c>
      <c r="G72">
        <f t="shared" ca="1" si="7"/>
        <v>70</v>
      </c>
      <c r="H72">
        <f t="shared" ca="1" si="8"/>
        <v>5116.9907016060861</v>
      </c>
      <c r="I72">
        <f t="shared" ca="1" si="9"/>
        <v>13704.883333578764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60240</v>
      </c>
      <c r="B75" s="66">
        <v>60240</v>
      </c>
      <c r="D75">
        <f t="shared" si="5"/>
        <v>72.744837580002411</v>
      </c>
      <c r="E75">
        <f t="shared" si="6"/>
        <v>72.744837580002411</v>
      </c>
      <c r="G75">
        <f t="shared" ca="1" si="7"/>
        <v>73</v>
      </c>
      <c r="H75">
        <f t="shared" ca="1" si="8"/>
        <v>5310.3731433401763</v>
      </c>
      <c r="I75">
        <f t="shared" ca="1" si="9"/>
        <v>20269.331069452099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51204</v>
      </c>
      <c r="B77" s="66">
        <v>51204</v>
      </c>
      <c r="D77">
        <f t="shared" si="5"/>
        <v>61.833111943002052</v>
      </c>
      <c r="E77">
        <f t="shared" si="6"/>
        <v>61.833111943002052</v>
      </c>
      <c r="G77">
        <f t="shared" ca="1" si="7"/>
        <v>75</v>
      </c>
      <c r="H77">
        <f t="shared" ca="1" si="8"/>
        <v>4637.483395725154</v>
      </c>
      <c r="I77">
        <f t="shared" ca="1" si="9"/>
        <v>21604.834446195549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46489</v>
      </c>
      <c r="B80" s="66">
        <v>46489</v>
      </c>
      <c r="D80">
        <f t="shared" si="5"/>
        <v>56.139355150344159</v>
      </c>
      <c r="E80">
        <f t="shared" si="6"/>
        <v>56.139355150344159</v>
      </c>
      <c r="G80">
        <f t="shared" ca="1" si="7"/>
        <v>78</v>
      </c>
      <c r="H80">
        <f t="shared" ca="1" si="8"/>
        <v>4378.8697017268441</v>
      </c>
      <c r="I80">
        <f t="shared" ca="1" si="9"/>
        <v>26416.931804699696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39632</v>
      </c>
      <c r="B82" s="66">
        <v>39632</v>
      </c>
      <c r="D82">
        <f t="shared" si="5"/>
        <v>47.858954232580608</v>
      </c>
      <c r="E82">
        <f t="shared" si="6"/>
        <v>47.858954232580608</v>
      </c>
      <c r="G82">
        <f t="shared" ca="1" si="7"/>
        <v>80</v>
      </c>
      <c r="H82">
        <f t="shared" ca="1" si="8"/>
        <v>3828.7163386064485</v>
      </c>
      <c r="I82">
        <f t="shared" ca="1" si="9"/>
        <v>26864.643737441158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40554</v>
      </c>
      <c r="B85" s="66">
        <v>40554</v>
      </c>
      <c r="D85">
        <f t="shared" si="5"/>
        <v>48.972346334983698</v>
      </c>
      <c r="E85">
        <f t="shared" si="6"/>
        <v>48.972346334983698</v>
      </c>
      <c r="G85">
        <f t="shared" ca="1" si="7"/>
        <v>83</v>
      </c>
      <c r="H85">
        <f t="shared" ca="1" si="8"/>
        <v>4064.7047458036468</v>
      </c>
      <c r="I85">
        <f t="shared" ca="1" si="9"/>
        <v>34892.007361653115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35985</v>
      </c>
      <c r="B88" s="66">
        <v>35985</v>
      </c>
      <c r="D88">
        <f t="shared" si="5"/>
        <v>43.454896751600046</v>
      </c>
      <c r="E88">
        <f t="shared" si="6"/>
        <v>43.454896751600046</v>
      </c>
      <c r="G88">
        <f t="shared" ca="1" si="7"/>
        <v>86</v>
      </c>
      <c r="H88">
        <f t="shared" ca="1" si="8"/>
        <v>3737.1211206376038</v>
      </c>
      <c r="I88">
        <f t="shared" ca="1" si="9"/>
        <v>38311.498811834383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36238</v>
      </c>
      <c r="B90" s="66">
        <v>36238</v>
      </c>
      <c r="D90">
        <f t="shared" si="5"/>
        <v>43.760415408767059</v>
      </c>
      <c r="E90">
        <f t="shared" si="6"/>
        <v>43.760415408767059</v>
      </c>
      <c r="G90">
        <f t="shared" ca="1" si="7"/>
        <v>88</v>
      </c>
      <c r="H90">
        <f t="shared" ca="1" si="8"/>
        <v>3850.9165559715011</v>
      </c>
      <c r="I90">
        <f t="shared" ca="1" si="9"/>
        <v>43953.303334126387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31603</v>
      </c>
      <c r="B93" s="66">
        <v>31603</v>
      </c>
      <c r="D93">
        <f t="shared" si="5"/>
        <v>38.163265306122447</v>
      </c>
      <c r="E93">
        <f t="shared" si="6"/>
        <v>38.163265306122447</v>
      </c>
      <c r="G93">
        <f t="shared" ca="1" si="7"/>
        <v>91</v>
      </c>
      <c r="H93">
        <f t="shared" ca="1" si="8"/>
        <v>3472.8571428571427</v>
      </c>
      <c r="I93">
        <f t="shared" ca="1" si="9"/>
        <v>45931.862773415538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28541</v>
      </c>
      <c r="B95" s="66">
        <v>28541</v>
      </c>
      <c r="D95">
        <f t="shared" si="5"/>
        <v>34.465644245864027</v>
      </c>
      <c r="E95">
        <f t="shared" si="6"/>
        <v>34.465644245864027</v>
      </c>
      <c r="G95">
        <f t="shared" ca="1" si="7"/>
        <v>93</v>
      </c>
      <c r="H95">
        <f t="shared" ca="1" si="8"/>
        <v>3205.3049148653545</v>
      </c>
      <c r="I95">
        <f t="shared" ca="1" si="9"/>
        <v>46402.191282886561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23240</v>
      </c>
      <c r="B98" s="66">
        <v>23240</v>
      </c>
      <c r="D98">
        <f t="shared" si="5"/>
        <v>28.064243448858832</v>
      </c>
      <c r="E98">
        <f t="shared" si="6"/>
        <v>28.064243448858832</v>
      </c>
      <c r="G98">
        <f t="shared" ca="1" si="7"/>
        <v>96</v>
      </c>
      <c r="H98">
        <f t="shared" ca="1" si="8"/>
        <v>2694.1673710904479</v>
      </c>
      <c r="I98">
        <f t="shared" ca="1" si="9"/>
        <v>44214.825923148943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17007</v>
      </c>
      <c r="B100" s="66">
        <v>17007</v>
      </c>
      <c r="D100">
        <f t="shared" si="5"/>
        <v>20.53737471319889</v>
      </c>
      <c r="E100">
        <f t="shared" si="6"/>
        <v>20.53737471319889</v>
      </c>
      <c r="G100">
        <f t="shared" ca="1" si="7"/>
        <v>98</v>
      </c>
      <c r="H100">
        <f t="shared" ca="1" si="8"/>
        <v>2012.6627218934912</v>
      </c>
      <c r="I100">
        <f t="shared" ca="1" si="9"/>
        <v>35699.208477938868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14482</v>
      </c>
      <c r="B103" s="66">
        <v>14482</v>
      </c>
      <c r="D103">
        <f t="shared" si="5"/>
        <v>17.488226059654632</v>
      </c>
      <c r="E103">
        <f t="shared" si="6"/>
        <v>17.488226059654632</v>
      </c>
      <c r="G103">
        <f t="shared" ca="1" si="7"/>
        <v>101</v>
      </c>
      <c r="H103">
        <f t="shared" ca="1" si="8"/>
        <v>1766.3108320251179</v>
      </c>
      <c r="I103">
        <f t="shared" ca="1" si="9"/>
        <v>34931.15854650877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10805</v>
      </c>
      <c r="B106" s="66">
        <v>10805</v>
      </c>
      <c r="D106">
        <f t="shared" si="5"/>
        <v>13.047941069919093</v>
      </c>
      <c r="E106">
        <f t="shared" si="6"/>
        <v>13.047941069919093</v>
      </c>
      <c r="G106">
        <f t="shared" ca="1" si="7"/>
        <v>104</v>
      </c>
      <c r="H106">
        <f t="shared" ca="1" si="8"/>
        <v>1356.9858712715857</v>
      </c>
      <c r="I106">
        <f t="shared" ca="1" si="9"/>
        <v>29678.382452464073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8124</v>
      </c>
      <c r="B108" s="66">
        <v>8124</v>
      </c>
      <c r="D108">
        <f t="shared" si="5"/>
        <v>9.8104093708489319</v>
      </c>
      <c r="E108">
        <f t="shared" si="6"/>
        <v>9.8104093708489319</v>
      </c>
      <c r="G108">
        <f t="shared" ca="1" si="7"/>
        <v>106</v>
      </c>
      <c r="H108">
        <f t="shared" ca="1" si="8"/>
        <v>1039.9033933099868</v>
      </c>
      <c r="I108">
        <f t="shared" ca="1" si="9"/>
        <v>24225.177317085301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6573</v>
      </c>
      <c r="B111" s="66">
        <v>6573</v>
      </c>
      <c r="D111">
        <f t="shared" si="5"/>
        <v>7.9374471682163987</v>
      </c>
      <c r="E111">
        <f t="shared" si="6"/>
        <v>7.9374471682163987</v>
      </c>
      <c r="G111">
        <f t="shared" ca="1" si="7"/>
        <v>109</v>
      </c>
      <c r="H111">
        <f t="shared" ca="1" si="8"/>
        <v>865.1817413355875</v>
      </c>
      <c r="I111">
        <f t="shared" ca="1" si="9"/>
        <v>22038.229609544869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4653</v>
      </c>
      <c r="B113" s="66">
        <v>4653</v>
      </c>
      <c r="D113">
        <f t="shared" si="5"/>
        <v>5.618886607897597</v>
      </c>
      <c r="E113">
        <f t="shared" si="6"/>
        <v>5.618886607897597</v>
      </c>
      <c r="G113">
        <f t="shared" ca="1" si="7"/>
        <v>111</v>
      </c>
      <c r="H113">
        <f t="shared" ca="1" si="8"/>
        <v>623.69641347663321</v>
      </c>
      <c r="I113">
        <f t="shared" ca="1" si="9"/>
        <v>16807.539107018809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3921</v>
      </c>
      <c r="B116" s="66">
        <v>3921</v>
      </c>
      <c r="D116">
        <f t="shared" si="5"/>
        <v>4.7349353942760537</v>
      </c>
      <c r="E116">
        <f t="shared" si="6"/>
        <v>4.7349353942760537</v>
      </c>
      <c r="G116">
        <f t="shared" ca="1" si="7"/>
        <v>114</v>
      </c>
      <c r="H116">
        <f t="shared" ca="1" si="8"/>
        <v>539.78263494747011</v>
      </c>
      <c r="I116">
        <f t="shared" ca="1" si="9"/>
        <v>15759.81715465693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3271</v>
      </c>
      <c r="B118" s="66">
        <v>3271</v>
      </c>
      <c r="D118">
        <f t="shared" si="5"/>
        <v>3.9500060379181257</v>
      </c>
      <c r="E118">
        <f t="shared" si="6"/>
        <v>3.9500060379181257</v>
      </c>
      <c r="G118">
        <f t="shared" ca="1" si="7"/>
        <v>116</v>
      </c>
      <c r="H118">
        <f t="shared" ca="1" si="8"/>
        <v>458.20070039850259</v>
      </c>
      <c r="I118">
        <f t="shared" ca="1" si="9"/>
        <v>14074.589876586877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3193</v>
      </c>
      <c r="B121" s="66">
        <v>3193</v>
      </c>
      <c r="D121">
        <f t="shared" si="5"/>
        <v>3.8558145151551746</v>
      </c>
      <c r="E121">
        <f t="shared" si="6"/>
        <v>3.8558145151551746</v>
      </c>
      <c r="G121">
        <f t="shared" ca="1" si="7"/>
        <v>119</v>
      </c>
      <c r="H121">
        <f t="shared" ca="1" si="8"/>
        <v>458.84192730346575</v>
      </c>
      <c r="I121">
        <f t="shared" ca="1" si="9"/>
        <v>15154.647469681271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5527</v>
      </c>
      <c r="B124" s="66">
        <v>5527</v>
      </c>
      <c r="D124">
        <f t="shared" si="5"/>
        <v>6.6743146962927185</v>
      </c>
      <c r="E124">
        <f t="shared" si="6"/>
        <v>6.6743146962927185</v>
      </c>
      <c r="G124">
        <f t="shared" ca="1" si="7"/>
        <v>122</v>
      </c>
      <c r="H124">
        <f t="shared" ca="1" si="8"/>
        <v>814.26639294771167</v>
      </c>
      <c r="I124">
        <f t="shared" ca="1" si="9"/>
        <v>28802.942254004731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5315</v>
      </c>
      <c r="B126" s="66">
        <v>5315</v>
      </c>
      <c r="D126">
        <f t="shared" si="5"/>
        <v>6.4183069677575171</v>
      </c>
      <c r="E126">
        <f t="shared" si="6"/>
        <v>6.4183069677575171</v>
      </c>
      <c r="G126">
        <f t="shared" ca="1" si="7"/>
        <v>124</v>
      </c>
      <c r="H126">
        <f t="shared" ca="1" si="8"/>
        <v>795.87006400193206</v>
      </c>
      <c r="I126">
        <f t="shared" ca="1" si="9"/>
        <v>29410.352331375259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4550</v>
      </c>
      <c r="B129" s="66">
        <v>4550</v>
      </c>
      <c r="D129">
        <f t="shared" si="5"/>
        <v>5.4945054945054945</v>
      </c>
      <c r="E129">
        <f t="shared" si="6"/>
        <v>5.4945054945054945</v>
      </c>
      <c r="G129">
        <f t="shared" ca="1" si="7"/>
        <v>127</v>
      </c>
      <c r="H129">
        <f t="shared" ca="1" si="8"/>
        <v>697.80219780219784</v>
      </c>
      <c r="I129">
        <f t="shared" ca="1" si="9"/>
        <v>27458.321565794446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3679</v>
      </c>
      <c r="B131" s="66">
        <v>3679</v>
      </c>
      <c r="D131">
        <f t="shared" ref="D131:D194" si="10">IFERROR(100*A131/MAX(A$2:A$257), 0 )</f>
        <v>4.4427001569858708</v>
      </c>
      <c r="E131">
        <f t="shared" ref="E131:E194" si="11">IFERROR(100*B131/MAX(B$2:B$257), 0 )</f>
        <v>4.4427001569858708</v>
      </c>
      <c r="G131">
        <f t="shared" ref="G131:G194" ca="1" si="12">CELL("row",D131)-2</f>
        <v>129</v>
      </c>
      <c r="H131">
        <f t="shared" ref="H131:H194" ca="1" si="13">D131*G131</f>
        <v>573.10832025117736</v>
      </c>
      <c r="I131">
        <f t="shared" ref="I131:I194" ca="1" si="14">D131*((G131-$L$1)^2)</f>
        <v>23476.04552935173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3796</v>
      </c>
      <c r="B134" s="66">
        <v>3796</v>
      </c>
      <c r="D134">
        <f t="shared" si="10"/>
        <v>4.5839874411302981</v>
      </c>
      <c r="E134">
        <f t="shared" si="11"/>
        <v>4.5839874411302981</v>
      </c>
      <c r="G134">
        <f t="shared" ca="1" si="12"/>
        <v>132</v>
      </c>
      <c r="H134">
        <f t="shared" ca="1" si="13"/>
        <v>605.08634222919932</v>
      </c>
      <c r="I134">
        <f t="shared" ca="1" si="14"/>
        <v>26263.215555008002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3001</v>
      </c>
      <c r="B136" s="66">
        <v>3001</v>
      </c>
      <c r="D136">
        <f t="shared" si="10"/>
        <v>3.6239584591232945</v>
      </c>
      <c r="E136">
        <f t="shared" si="11"/>
        <v>3.6239584591232945</v>
      </c>
      <c r="G136">
        <f t="shared" ca="1" si="12"/>
        <v>134</v>
      </c>
      <c r="H136">
        <f t="shared" ca="1" si="13"/>
        <v>485.61043352252148</v>
      </c>
      <c r="I136">
        <f t="shared" ca="1" si="14"/>
        <v>21874.604779311714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2350</v>
      </c>
      <c r="B139" s="66">
        <v>2350</v>
      </c>
      <c r="D139">
        <f t="shared" si="10"/>
        <v>2.8378215191402005</v>
      </c>
      <c r="E139">
        <f t="shared" si="11"/>
        <v>2.8378215191402005</v>
      </c>
      <c r="G139">
        <f t="shared" ca="1" si="12"/>
        <v>137</v>
      </c>
      <c r="H139">
        <f t="shared" ca="1" si="13"/>
        <v>388.78154812220748</v>
      </c>
      <c r="I139">
        <f t="shared" ca="1" si="14"/>
        <v>18477.800551751097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1341</v>
      </c>
      <c r="B142" s="66">
        <v>1341</v>
      </c>
      <c r="D142">
        <f t="shared" si="10"/>
        <v>1.6193696413476633</v>
      </c>
      <c r="E142">
        <f t="shared" si="11"/>
        <v>1.6193696413476633</v>
      </c>
      <c r="G142">
        <f t="shared" ca="1" si="12"/>
        <v>140</v>
      </c>
      <c r="H142">
        <f t="shared" ca="1" si="13"/>
        <v>226.71174978867285</v>
      </c>
      <c r="I142">
        <f t="shared" ca="1" si="14"/>
        <v>11342.739857779037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452</v>
      </c>
      <c r="B144" s="66">
        <v>452</v>
      </c>
      <c r="D144">
        <f t="shared" si="10"/>
        <v>0.54582779857505137</v>
      </c>
      <c r="E144">
        <f t="shared" si="11"/>
        <v>0.54582779857505137</v>
      </c>
      <c r="G144">
        <f t="shared" ca="1" si="12"/>
        <v>142</v>
      </c>
      <c r="H144">
        <f t="shared" ca="1" si="13"/>
        <v>77.507547397657291</v>
      </c>
      <c r="I144">
        <f t="shared" ca="1" si="14"/>
        <v>4008.1152320526826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179</v>
      </c>
      <c r="B147" s="66">
        <v>179</v>
      </c>
      <c r="D147">
        <f t="shared" si="10"/>
        <v>0.21615746890472165</v>
      </c>
      <c r="E147">
        <f t="shared" si="11"/>
        <v>0.21615746890472165</v>
      </c>
      <c r="G147">
        <f t="shared" ca="1" si="12"/>
        <v>145</v>
      </c>
      <c r="H147">
        <f t="shared" ca="1" si="13"/>
        <v>31.34283299118464</v>
      </c>
      <c r="I147">
        <f t="shared" ca="1" si="14"/>
        <v>1700.368294746173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277</v>
      </c>
      <c r="B149" s="66">
        <v>277</v>
      </c>
      <c r="D149">
        <f t="shared" si="10"/>
        <v>0.33450066417099383</v>
      </c>
      <c r="E149">
        <f t="shared" si="11"/>
        <v>0.33450066417099383</v>
      </c>
      <c r="G149">
        <f t="shared" ca="1" si="12"/>
        <v>147</v>
      </c>
      <c r="H149">
        <f t="shared" ca="1" si="13"/>
        <v>49.171597633136095</v>
      </c>
      <c r="I149">
        <f t="shared" ca="1" si="14"/>
        <v>2751.3048489946004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379</v>
      </c>
      <c r="B152" s="66">
        <v>379</v>
      </c>
      <c r="D152">
        <f t="shared" si="10"/>
        <v>0.45767419393793018</v>
      </c>
      <c r="E152">
        <f t="shared" si="11"/>
        <v>0.45767419393793018</v>
      </c>
      <c r="G152">
        <f t="shared" ca="1" si="12"/>
        <v>150</v>
      </c>
      <c r="H152">
        <f t="shared" ca="1" si="13"/>
        <v>68.651129090689523</v>
      </c>
      <c r="I152">
        <f t="shared" ca="1" si="14"/>
        <v>4017.5851907704423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96</v>
      </c>
      <c r="B154" s="66">
        <v>96</v>
      </c>
      <c r="D154">
        <f t="shared" si="10"/>
        <v>0.1159280280159401</v>
      </c>
      <c r="E154">
        <f t="shared" si="11"/>
        <v>0.1159280280159401</v>
      </c>
      <c r="G154">
        <f t="shared" ca="1" si="12"/>
        <v>152</v>
      </c>
      <c r="H154">
        <f t="shared" ca="1" si="13"/>
        <v>17.621060258422894</v>
      </c>
      <c r="I154">
        <f t="shared" ca="1" si="14"/>
        <v>1061.5569183523519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0.13511100000000001</v>
      </c>
      <c r="B2" s="68">
        <v>0.70549499999999998</v>
      </c>
      <c r="C2" s="68">
        <v>0</v>
      </c>
      <c r="D2" s="68">
        <v>1</v>
      </c>
      <c r="E2" s="68" t="s">
        <v>357</v>
      </c>
    </row>
    <row r="3" spans="1:5">
      <c r="A3" s="68">
        <v>0.13788500000000001</v>
      </c>
      <c r="B3" s="68">
        <v>0.69990300000000005</v>
      </c>
      <c r="C3" s="68">
        <v>0.373672</v>
      </c>
      <c r="D3" s="89">
        <v>1</v>
      </c>
      <c r="E3" s="68" t="s">
        <v>358</v>
      </c>
    </row>
    <row r="4" spans="1:5">
      <c r="A4" s="68">
        <v>0.140546</v>
      </c>
      <c r="B4" s="68">
        <v>0.69440900000000005</v>
      </c>
      <c r="C4" s="68">
        <v>0.77957399999999999</v>
      </c>
      <c r="D4" s="89">
        <v>1</v>
      </c>
      <c r="E4" s="68" t="s">
        <v>359</v>
      </c>
    </row>
    <row r="5" spans="1:5">
      <c r="A5" s="89">
        <v>0.14318700000000001</v>
      </c>
      <c r="B5" s="89">
        <v>0.68900700000000004</v>
      </c>
      <c r="C5" s="89">
        <v>1.18753</v>
      </c>
      <c r="D5" s="89">
        <v>1</v>
      </c>
      <c r="E5" s="68" t="s">
        <v>360</v>
      </c>
    </row>
    <row r="6" spans="1:5">
      <c r="A6" s="68">
        <v>0.14605299999999999</v>
      </c>
      <c r="B6" s="68">
        <v>0.68214699999999995</v>
      </c>
      <c r="C6" s="68">
        <v>1.5954299999999999</v>
      </c>
      <c r="D6" s="68">
        <v>1</v>
      </c>
      <c r="E6" s="68" t="s">
        <v>361</v>
      </c>
    </row>
    <row r="7" spans="1:5">
      <c r="A7" s="68">
        <v>0.148844</v>
      </c>
      <c r="B7" s="68">
        <v>0.67468799999999995</v>
      </c>
      <c r="C7" s="68">
        <v>1.9983299999999999</v>
      </c>
      <c r="D7" s="68">
        <v>1</v>
      </c>
      <c r="E7" s="68" t="s">
        <v>362</v>
      </c>
    </row>
    <row r="8" spans="1:5">
      <c r="A8" s="68">
        <v>0.151869</v>
      </c>
      <c r="B8" s="68">
        <v>0.66613100000000003</v>
      </c>
      <c r="C8" s="68">
        <v>2.4037099999999998</v>
      </c>
      <c r="D8" s="68">
        <v>1</v>
      </c>
      <c r="E8" s="68" t="s">
        <v>363</v>
      </c>
    </row>
    <row r="9" spans="1:5">
      <c r="A9" s="68">
        <v>0.155088</v>
      </c>
      <c r="B9" s="68">
        <v>0.65655699999999995</v>
      </c>
      <c r="C9" s="68">
        <v>2.8111600000000001</v>
      </c>
      <c r="D9" s="68">
        <v>1</v>
      </c>
      <c r="E9" s="68" t="s">
        <v>364</v>
      </c>
    </row>
    <row r="10" spans="1:5">
      <c r="A10" s="68">
        <v>0.15809899999999999</v>
      </c>
      <c r="B10" s="68">
        <v>0.64745699999999995</v>
      </c>
      <c r="C10" s="68">
        <v>3.2193800000000001</v>
      </c>
      <c r="D10" s="68">
        <v>1</v>
      </c>
      <c r="E10" s="68" t="s">
        <v>365</v>
      </c>
    </row>
    <row r="11" spans="1:5">
      <c r="A11" s="68">
        <v>0.16106999999999999</v>
      </c>
      <c r="B11" s="68">
        <v>0.63865000000000005</v>
      </c>
      <c r="C11" s="68">
        <v>3.6239699999999999</v>
      </c>
      <c r="D11" s="68">
        <v>1</v>
      </c>
      <c r="E11" s="68" t="s">
        <v>366</v>
      </c>
    </row>
    <row r="12" spans="1:5">
      <c r="A12" s="68">
        <v>0.163774</v>
      </c>
      <c r="B12" s="68">
        <v>0.63010999999999995</v>
      </c>
      <c r="C12" s="68">
        <v>4.0290299999999997</v>
      </c>
      <c r="D12" s="68">
        <v>1</v>
      </c>
      <c r="E12" s="68" t="s">
        <v>367</v>
      </c>
    </row>
    <row r="13" spans="1:5">
      <c r="A13" s="68">
        <v>0.16642999999999999</v>
      </c>
      <c r="B13" s="68">
        <v>0.62145099999999998</v>
      </c>
      <c r="C13" s="68">
        <v>4.4373800000000001</v>
      </c>
      <c r="D13" s="68">
        <v>1</v>
      </c>
      <c r="E13" s="68" t="s">
        <v>368</v>
      </c>
    </row>
    <row r="14" spans="1:5">
      <c r="A14" s="68">
        <v>0.16921</v>
      </c>
      <c r="B14" s="68">
        <v>0.61253199999999997</v>
      </c>
      <c r="C14" s="68">
        <v>4.8417500000000002</v>
      </c>
      <c r="D14" s="68">
        <v>1</v>
      </c>
      <c r="E14" s="68" t="s">
        <v>369</v>
      </c>
    </row>
    <row r="15" spans="1:5">
      <c r="A15" s="68">
        <v>0.17200099999999999</v>
      </c>
      <c r="B15" s="68">
        <v>0.60383100000000001</v>
      </c>
      <c r="C15" s="68">
        <v>5.2466400000000002</v>
      </c>
      <c r="D15" s="68">
        <v>1</v>
      </c>
      <c r="E15" s="68" t="s">
        <v>370</v>
      </c>
    </row>
    <row r="16" spans="1:5">
      <c r="A16" s="68">
        <v>0.17485200000000001</v>
      </c>
      <c r="B16" s="68">
        <v>0.59521900000000005</v>
      </c>
      <c r="C16" s="68">
        <v>5.6556199999999999</v>
      </c>
      <c r="D16" s="68">
        <v>1</v>
      </c>
      <c r="E16" s="68" t="s">
        <v>371</v>
      </c>
    </row>
    <row r="17" spans="1:5">
      <c r="A17" s="68">
        <v>0.177565</v>
      </c>
      <c r="B17" s="68">
        <v>0.58757599999999999</v>
      </c>
      <c r="C17" s="68">
        <v>6.0584699999999998</v>
      </c>
      <c r="D17" s="68">
        <v>1</v>
      </c>
      <c r="E17" s="68" t="s">
        <v>372</v>
      </c>
    </row>
    <row r="18" spans="1:5">
      <c r="A18" s="68">
        <v>0.18029700000000001</v>
      </c>
      <c r="B18" s="68">
        <v>0.58006100000000005</v>
      </c>
      <c r="C18" s="68">
        <v>6.4698000000000002</v>
      </c>
      <c r="D18" s="68">
        <v>1</v>
      </c>
      <c r="E18" s="68" t="s">
        <v>373</v>
      </c>
    </row>
    <row r="19" spans="1:5">
      <c r="A19" s="68">
        <v>0.183059</v>
      </c>
      <c r="B19" s="68">
        <v>0.57269300000000001</v>
      </c>
      <c r="C19" s="68">
        <v>6.8753700000000002</v>
      </c>
      <c r="D19" s="68">
        <v>1</v>
      </c>
      <c r="E19" s="68" t="s">
        <v>374</v>
      </c>
    </row>
    <row r="20" spans="1:5">
      <c r="A20" s="68">
        <v>0.18586900000000001</v>
      </c>
      <c r="B20" s="68">
        <v>0.56575399999999998</v>
      </c>
      <c r="C20" s="68">
        <v>7.2831599999999996</v>
      </c>
      <c r="D20" s="68">
        <v>1</v>
      </c>
      <c r="E20" s="68" t="s">
        <v>375</v>
      </c>
    </row>
    <row r="21" spans="1:5">
      <c r="A21" s="68">
        <v>0.18860399999999999</v>
      </c>
      <c r="B21" s="68">
        <v>0.558728</v>
      </c>
      <c r="C21" s="68">
        <v>7.6911199999999997</v>
      </c>
      <c r="D21" s="68">
        <v>1</v>
      </c>
      <c r="E21" s="68" t="s">
        <v>376</v>
      </c>
    </row>
    <row r="22" spans="1:5">
      <c r="A22" s="68">
        <v>0.191524</v>
      </c>
      <c r="B22" s="68">
        <v>0.551342</v>
      </c>
      <c r="C22" s="68">
        <v>8.0920799999999993</v>
      </c>
      <c r="D22" s="68">
        <v>1</v>
      </c>
      <c r="E22" s="68" t="s">
        <v>377</v>
      </c>
    </row>
    <row r="23" spans="1:5">
      <c r="A23" s="68">
        <v>0.19431699999999999</v>
      </c>
      <c r="B23" s="68">
        <v>0.54390700000000003</v>
      </c>
      <c r="C23" s="68">
        <v>8.5012600000000003</v>
      </c>
      <c r="D23" s="68">
        <v>1</v>
      </c>
      <c r="E23" s="68" t="s">
        <v>378</v>
      </c>
    </row>
    <row r="24" spans="1:5">
      <c r="A24" s="68">
        <v>0.19716700000000001</v>
      </c>
      <c r="B24" s="68">
        <v>0.53597099999999998</v>
      </c>
      <c r="C24" s="68">
        <v>8.9089200000000002</v>
      </c>
      <c r="D24" s="68">
        <v>1</v>
      </c>
      <c r="E24" s="68" t="s">
        <v>379</v>
      </c>
    </row>
    <row r="25" spans="1:5">
      <c r="A25" s="68">
        <v>0.20044300000000001</v>
      </c>
      <c r="B25" s="68">
        <v>0.526115</v>
      </c>
      <c r="C25" s="68">
        <v>9.3140199999999993</v>
      </c>
      <c r="D25" s="68">
        <v>1</v>
      </c>
      <c r="E25" s="68" t="s">
        <v>380</v>
      </c>
    </row>
    <row r="26" spans="1:5">
      <c r="A26" s="68">
        <v>0.20378199999999999</v>
      </c>
      <c r="B26" s="68">
        <v>0.51588800000000001</v>
      </c>
      <c r="C26" s="68">
        <v>9.7147900000000007</v>
      </c>
      <c r="D26" s="68">
        <v>1</v>
      </c>
      <c r="E26" s="68" t="s">
        <v>381</v>
      </c>
    </row>
    <row r="27" spans="1:5">
      <c r="A27" s="68">
        <v>0.20699500000000001</v>
      </c>
      <c r="B27" s="68">
        <v>0.506521</v>
      </c>
      <c r="C27" s="68">
        <v>10.124599999999999</v>
      </c>
      <c r="D27" s="68">
        <v>1</v>
      </c>
      <c r="E27" s="68" t="s">
        <v>382</v>
      </c>
    </row>
    <row r="28" spans="1:5">
      <c r="A28" s="68">
        <v>0.21002899999999999</v>
      </c>
      <c r="B28" s="68">
        <v>0.49801600000000001</v>
      </c>
      <c r="C28" s="68">
        <v>10.5296</v>
      </c>
      <c r="D28" s="68">
        <v>1</v>
      </c>
      <c r="E28" s="68" t="s">
        <v>383</v>
      </c>
    </row>
    <row r="29" spans="1:5">
      <c r="A29" s="68">
        <v>0.21274799999999999</v>
      </c>
      <c r="B29" s="68">
        <v>0.49120799999999998</v>
      </c>
      <c r="C29" s="68">
        <v>10.938499999999999</v>
      </c>
      <c r="D29" s="68">
        <v>1</v>
      </c>
      <c r="E29" s="68" t="s">
        <v>384</v>
      </c>
    </row>
    <row r="30" spans="1:5">
      <c r="A30" s="68">
        <v>0.21512200000000001</v>
      </c>
      <c r="B30" s="68">
        <v>0.485823</v>
      </c>
      <c r="C30" s="68">
        <v>11.346399999999999</v>
      </c>
      <c r="D30" s="68">
        <v>1</v>
      </c>
      <c r="E30" s="68" t="s">
        <v>385</v>
      </c>
    </row>
    <row r="31" spans="1:5">
      <c r="A31" s="68">
        <v>0.21716099999999999</v>
      </c>
      <c r="B31" s="68">
        <v>0.48094399999999998</v>
      </c>
      <c r="C31" s="68">
        <v>11.751300000000001</v>
      </c>
      <c r="D31" s="68">
        <v>1</v>
      </c>
      <c r="E31" s="68" t="s">
        <v>386</v>
      </c>
    </row>
    <row r="32" spans="1:5">
      <c r="A32" s="68">
        <v>0.21904000000000001</v>
      </c>
      <c r="B32" s="68">
        <v>0.47719099999999998</v>
      </c>
      <c r="C32" s="68">
        <v>12.1562</v>
      </c>
      <c r="D32" s="68">
        <v>1</v>
      </c>
      <c r="E32" s="68" t="s">
        <v>387</v>
      </c>
    </row>
    <row r="33" spans="1:5">
      <c r="A33" s="68">
        <v>0.220753</v>
      </c>
      <c r="B33" s="68">
        <v>0.47343099999999999</v>
      </c>
      <c r="C33" s="68">
        <v>12.5642</v>
      </c>
      <c r="D33" s="68">
        <v>1</v>
      </c>
      <c r="E33" s="68" t="s">
        <v>388</v>
      </c>
    </row>
    <row r="34" spans="1:5">
      <c r="A34" s="68">
        <v>0.22198499999999999</v>
      </c>
      <c r="B34" s="68">
        <v>0.470688</v>
      </c>
      <c r="C34" s="68">
        <v>12.9671</v>
      </c>
      <c r="D34" s="68">
        <v>1</v>
      </c>
      <c r="E34" s="68" t="s">
        <v>389</v>
      </c>
    </row>
    <row r="35" spans="1:5">
      <c r="A35" s="68">
        <v>0.22313</v>
      </c>
      <c r="B35" s="68">
        <v>0.46856799999999998</v>
      </c>
      <c r="C35" s="68">
        <v>13.3729</v>
      </c>
      <c r="D35" s="68">
        <v>1</v>
      </c>
      <c r="E35" s="68" t="s">
        <v>390</v>
      </c>
    </row>
    <row r="36" spans="1:5">
      <c r="A36" s="68">
        <v>0.224163</v>
      </c>
      <c r="B36" s="68">
        <v>0.46687099999999998</v>
      </c>
      <c r="C36" s="68">
        <v>13.784800000000001</v>
      </c>
      <c r="D36" s="68">
        <v>1</v>
      </c>
      <c r="E36" s="68" t="s">
        <v>391</v>
      </c>
    </row>
    <row r="37" spans="1:5">
      <c r="A37" s="68">
        <v>0.22522900000000001</v>
      </c>
      <c r="B37" s="68">
        <v>0.46578900000000001</v>
      </c>
      <c r="C37" s="68">
        <v>14.1869</v>
      </c>
      <c r="D37" s="68">
        <v>1</v>
      </c>
      <c r="E37" s="68" t="s">
        <v>392</v>
      </c>
    </row>
    <row r="38" spans="1:5">
      <c r="A38" s="68">
        <v>0.226239</v>
      </c>
      <c r="B38" s="68">
        <v>0.46506900000000001</v>
      </c>
      <c r="C38" s="68">
        <v>14.589700000000001</v>
      </c>
      <c r="D38" s="68">
        <v>1</v>
      </c>
      <c r="E38" s="68" t="s">
        <v>393</v>
      </c>
    </row>
    <row r="39" spans="1:5">
      <c r="A39" s="68">
        <v>0.22725300000000001</v>
      </c>
      <c r="B39" s="68">
        <v>0.46437499999999998</v>
      </c>
      <c r="C39" s="68">
        <v>14.9971</v>
      </c>
      <c r="D39" s="68">
        <v>1</v>
      </c>
      <c r="E39" s="68" t="s">
        <v>394</v>
      </c>
    </row>
    <row r="40" spans="1:5">
      <c r="A40" s="68">
        <v>0.22844900000000001</v>
      </c>
      <c r="B40" s="68">
        <v>0.46348299999999998</v>
      </c>
      <c r="C40" s="68">
        <v>15.407400000000001</v>
      </c>
      <c r="D40" s="68">
        <v>1</v>
      </c>
      <c r="E40" s="68" t="s">
        <v>395</v>
      </c>
    </row>
    <row r="41" spans="1:5">
      <c r="A41" s="68">
        <v>0.229548</v>
      </c>
      <c r="B41" s="68">
        <v>0.46282299999999998</v>
      </c>
      <c r="C41" s="68">
        <v>15.814500000000001</v>
      </c>
      <c r="D41" s="68">
        <v>1</v>
      </c>
      <c r="E41" s="68" t="s">
        <v>396</v>
      </c>
    </row>
    <row r="42" spans="1:5">
      <c r="A42" s="68">
        <v>0.230659</v>
      </c>
      <c r="B42" s="68">
        <v>0.46229500000000001</v>
      </c>
      <c r="C42" s="68">
        <v>16.2197</v>
      </c>
      <c r="D42" s="68">
        <v>1</v>
      </c>
      <c r="E42" s="68" t="s">
        <v>397</v>
      </c>
    </row>
    <row r="43" spans="1:5">
      <c r="A43" s="68">
        <v>0.23167199999999999</v>
      </c>
      <c r="B43" s="68">
        <v>0.462088</v>
      </c>
      <c r="C43" s="68">
        <v>16.623200000000001</v>
      </c>
      <c r="D43" s="68">
        <v>1</v>
      </c>
      <c r="E43" s="68" t="s">
        <v>398</v>
      </c>
    </row>
    <row r="44" spans="1:5">
      <c r="A44" s="68">
        <v>0.232684</v>
      </c>
      <c r="B44" s="68">
        <v>0.46173799999999998</v>
      </c>
      <c r="C44" s="68">
        <v>17.0303</v>
      </c>
      <c r="D44" s="68">
        <v>1</v>
      </c>
      <c r="E44" s="68" t="s">
        <v>399</v>
      </c>
    </row>
    <row r="45" spans="1:5">
      <c r="A45" s="68">
        <v>0.23352200000000001</v>
      </c>
      <c r="B45" s="68">
        <v>0.461779</v>
      </c>
      <c r="C45" s="68">
        <v>17.436399999999999</v>
      </c>
      <c r="D45" s="68">
        <v>1</v>
      </c>
      <c r="E45" s="68" t="s">
        <v>400</v>
      </c>
    </row>
    <row r="46" spans="1:5">
      <c r="A46" s="68">
        <v>0.23405000000000001</v>
      </c>
      <c r="B46" s="68">
        <v>0.46284599999999998</v>
      </c>
      <c r="C46" s="68">
        <v>17.844000000000001</v>
      </c>
      <c r="D46" s="68">
        <v>1</v>
      </c>
      <c r="E46" s="68" t="s">
        <v>401</v>
      </c>
    </row>
    <row r="47" spans="1:5">
      <c r="A47" s="68">
        <v>0.23453099999999999</v>
      </c>
      <c r="B47" s="68">
        <v>0.463893</v>
      </c>
      <c r="C47" s="68">
        <v>18.248899999999999</v>
      </c>
      <c r="D47" s="68">
        <v>1</v>
      </c>
      <c r="E47" s="68" t="s">
        <v>402</v>
      </c>
    </row>
    <row r="48" spans="1:5">
      <c r="A48" s="68">
        <v>0.23521400000000001</v>
      </c>
      <c r="B48" s="68">
        <v>0.46485300000000002</v>
      </c>
      <c r="C48" s="68">
        <v>18.655799999999999</v>
      </c>
      <c r="D48" s="68">
        <v>1</v>
      </c>
      <c r="E48" s="68" t="s">
        <v>403</v>
      </c>
    </row>
    <row r="49" spans="1:5">
      <c r="A49" s="68">
        <v>0.235764</v>
      </c>
      <c r="B49" s="68">
        <v>0.46651599999999999</v>
      </c>
      <c r="C49" s="68">
        <v>19.061199999999999</v>
      </c>
      <c r="D49" s="68">
        <v>1</v>
      </c>
      <c r="E49" s="68" t="s">
        <v>404</v>
      </c>
    </row>
    <row r="50" spans="1:5">
      <c r="A50" s="68">
        <v>0.236063</v>
      </c>
      <c r="B50" s="68">
        <v>0.46904099999999999</v>
      </c>
      <c r="C50" s="68">
        <v>19.470700000000001</v>
      </c>
      <c r="D50" s="68">
        <v>1</v>
      </c>
      <c r="E50" s="68" t="s">
        <v>405</v>
      </c>
    </row>
    <row r="51" spans="1:5">
      <c r="A51" s="68">
        <v>0.23617299999999999</v>
      </c>
      <c r="B51" s="68">
        <v>0.47222500000000001</v>
      </c>
      <c r="C51" s="68">
        <v>19.875599999999999</v>
      </c>
      <c r="D51" s="68">
        <v>1</v>
      </c>
      <c r="E51" s="68" t="s">
        <v>406</v>
      </c>
    </row>
    <row r="52" spans="1:5">
      <c r="A52" s="68">
        <v>0.23616200000000001</v>
      </c>
      <c r="B52" s="68">
        <v>0.47503400000000001</v>
      </c>
      <c r="C52" s="68">
        <v>20.279499999999999</v>
      </c>
      <c r="D52" s="68">
        <v>1</v>
      </c>
      <c r="E52" s="68" t="s">
        <v>407</v>
      </c>
    </row>
    <row r="53" spans="1:5">
      <c r="A53" s="68">
        <v>0.23616100000000001</v>
      </c>
      <c r="B53" s="68">
        <v>0.47759200000000002</v>
      </c>
      <c r="C53" s="68">
        <v>20.685400000000001</v>
      </c>
      <c r="D53" s="68">
        <v>1</v>
      </c>
      <c r="E53" s="68" t="s">
        <v>408</v>
      </c>
    </row>
    <row r="54" spans="1:5">
      <c r="A54" s="68">
        <v>0.23690800000000001</v>
      </c>
      <c r="B54" s="68">
        <v>0.47866300000000001</v>
      </c>
      <c r="C54" s="68">
        <v>21.095500000000001</v>
      </c>
      <c r="D54" s="68">
        <v>1</v>
      </c>
      <c r="E54" s="68" t="s">
        <v>409</v>
      </c>
    </row>
    <row r="55" spans="1:5">
      <c r="A55" s="68">
        <v>0.23765</v>
      </c>
      <c r="B55" s="68">
        <v>0.47930499999999998</v>
      </c>
      <c r="C55" s="68">
        <v>21.497199999999999</v>
      </c>
      <c r="D55" s="68">
        <v>1</v>
      </c>
      <c r="E55" s="68" t="s">
        <v>410</v>
      </c>
    </row>
    <row r="56" spans="1:5">
      <c r="A56" s="68">
        <v>0.23818700000000001</v>
      </c>
      <c r="B56" s="68">
        <v>0.480128</v>
      </c>
      <c r="C56" s="68">
        <v>21.906199999999998</v>
      </c>
      <c r="D56" s="68">
        <v>1</v>
      </c>
      <c r="E56" s="68" t="s">
        <v>411</v>
      </c>
    </row>
    <row r="57" spans="1:5">
      <c r="A57" s="68">
        <v>0.23879300000000001</v>
      </c>
      <c r="B57" s="68">
        <v>0.480605</v>
      </c>
      <c r="C57" s="68">
        <v>22.313700000000001</v>
      </c>
      <c r="D57" s="68">
        <v>1</v>
      </c>
      <c r="E57" s="68" t="s">
        <v>412</v>
      </c>
    </row>
    <row r="58" spans="1:5">
      <c r="A58" s="68">
        <v>0.239153</v>
      </c>
      <c r="B58" s="68">
        <v>0.48133100000000001</v>
      </c>
      <c r="C58" s="68">
        <v>22.716999999999999</v>
      </c>
      <c r="D58" s="68">
        <v>1</v>
      </c>
      <c r="E58" s="68" t="s">
        <v>413</v>
      </c>
    </row>
    <row r="59" spans="1:5">
      <c r="A59" s="68">
        <v>0.239368</v>
      </c>
      <c r="B59" s="68">
        <v>0.48152400000000001</v>
      </c>
      <c r="C59" s="68">
        <v>23.122299999999999</v>
      </c>
      <c r="D59" s="68">
        <v>1</v>
      </c>
      <c r="E59" s="68" t="s">
        <v>414</v>
      </c>
    </row>
    <row r="60" spans="1:5">
      <c r="A60" s="68">
        <v>0.23951900000000001</v>
      </c>
      <c r="B60" s="68">
        <v>0.48137400000000002</v>
      </c>
      <c r="C60" s="68">
        <v>23.532800000000002</v>
      </c>
      <c r="D60" s="68">
        <v>1</v>
      </c>
      <c r="E60" s="68" t="s">
        <v>415</v>
      </c>
    </row>
    <row r="61" spans="1:5">
      <c r="A61" s="68">
        <v>0.239649</v>
      </c>
      <c r="B61" s="68">
        <v>0.48127500000000001</v>
      </c>
      <c r="C61" s="68">
        <v>23.937899999999999</v>
      </c>
      <c r="D61" s="68">
        <v>1</v>
      </c>
      <c r="E61" s="68" t="s">
        <v>416</v>
      </c>
    </row>
    <row r="62" spans="1:5">
      <c r="A62" s="68">
        <v>0.23980099999999999</v>
      </c>
      <c r="B62" s="68">
        <v>0.48067700000000002</v>
      </c>
      <c r="C62" s="68">
        <v>24.343699999999998</v>
      </c>
      <c r="D62" s="68">
        <v>1</v>
      </c>
      <c r="E62" s="68" t="s">
        <v>417</v>
      </c>
    </row>
    <row r="63" spans="1:5">
      <c r="A63" s="68">
        <v>0.240004</v>
      </c>
      <c r="B63" s="68">
        <v>0.47994799999999999</v>
      </c>
      <c r="C63" s="68">
        <v>24.744499999999999</v>
      </c>
      <c r="D63" s="68">
        <v>1</v>
      </c>
      <c r="E63" s="68" t="s">
        <v>418</v>
      </c>
    </row>
    <row r="64" spans="1:5">
      <c r="A64" s="68">
        <v>0.240178</v>
      </c>
      <c r="B64" s="68">
        <v>0.47946299999999997</v>
      </c>
      <c r="C64" s="68">
        <v>25.154699999999998</v>
      </c>
      <c r="D64" s="68">
        <v>1</v>
      </c>
      <c r="E64" s="68" t="s">
        <v>419</v>
      </c>
    </row>
    <row r="65" spans="1:5">
      <c r="A65" s="68">
        <v>0.24021799999999999</v>
      </c>
      <c r="B65" s="68">
        <v>0.47912300000000002</v>
      </c>
      <c r="C65" s="68">
        <v>25.5593</v>
      </c>
      <c r="D65" s="68">
        <v>1</v>
      </c>
      <c r="E65" s="68" t="s">
        <v>420</v>
      </c>
    </row>
    <row r="66" spans="1:5">
      <c r="A66" s="68">
        <v>0.24049400000000001</v>
      </c>
      <c r="B66" s="68">
        <v>0.47881099999999999</v>
      </c>
      <c r="C66" s="68">
        <v>25.9696</v>
      </c>
      <c r="D66" s="68">
        <v>1</v>
      </c>
      <c r="E66" s="68" t="s">
        <v>421</v>
      </c>
    </row>
    <row r="67" spans="1:5">
      <c r="A67" s="68">
        <v>0.24072199999999999</v>
      </c>
      <c r="B67" s="68">
        <v>0.47901300000000002</v>
      </c>
      <c r="C67" s="68">
        <v>26.375299999999999</v>
      </c>
      <c r="D67" s="68">
        <v>1</v>
      </c>
      <c r="E67" s="68" t="s">
        <v>422</v>
      </c>
    </row>
    <row r="68" spans="1:5">
      <c r="A68" s="68">
        <v>0.240756</v>
      </c>
      <c r="B68" s="68">
        <v>0.47980800000000001</v>
      </c>
      <c r="C68" s="68">
        <v>26.781099999999999</v>
      </c>
      <c r="D68" s="68">
        <v>1</v>
      </c>
      <c r="E68" s="68" t="s">
        <v>423</v>
      </c>
    </row>
    <row r="69" spans="1:5">
      <c r="A69" s="68">
        <v>0.24066100000000001</v>
      </c>
      <c r="B69" s="68">
        <v>0.48117799999999999</v>
      </c>
      <c r="C69" s="68">
        <v>27.186699999999998</v>
      </c>
      <c r="D69" s="68">
        <v>1</v>
      </c>
      <c r="E69" s="68" t="s">
        <v>424</v>
      </c>
    </row>
    <row r="70" spans="1:5">
      <c r="A70" s="68">
        <v>0.24043900000000001</v>
      </c>
      <c r="B70" s="68">
        <v>0.482101</v>
      </c>
      <c r="C70" s="68">
        <v>27.593900000000001</v>
      </c>
      <c r="D70" s="68">
        <v>1</v>
      </c>
      <c r="E70" s="68" t="s">
        <v>425</v>
      </c>
    </row>
    <row r="71" spans="1:5">
      <c r="A71" s="68">
        <v>0.24032899999999999</v>
      </c>
      <c r="B71" s="68">
        <v>0.481985</v>
      </c>
      <c r="C71" s="68">
        <v>27.998799999999999</v>
      </c>
      <c r="D71" s="68">
        <v>1</v>
      </c>
      <c r="E71" s="68" t="s">
        <v>426</v>
      </c>
    </row>
    <row r="72" spans="1:5">
      <c r="A72" s="68">
        <v>0.239958</v>
      </c>
      <c r="B72" s="68">
        <v>0.48231200000000002</v>
      </c>
      <c r="C72" s="68">
        <v>28.4057</v>
      </c>
      <c r="D72" s="68">
        <v>1</v>
      </c>
      <c r="E72" s="68" t="s">
        <v>427</v>
      </c>
    </row>
    <row r="73" spans="1:5">
      <c r="A73" s="68">
        <v>0.23922199999999999</v>
      </c>
      <c r="B73" s="68">
        <v>0.48278799999999999</v>
      </c>
      <c r="C73" s="68">
        <v>28.811699999999998</v>
      </c>
      <c r="D73" s="68">
        <v>1</v>
      </c>
      <c r="E73" s="68" t="s">
        <v>428</v>
      </c>
    </row>
    <row r="74" spans="1:5">
      <c r="A74" s="68">
        <v>0.23857800000000001</v>
      </c>
      <c r="B74" s="68">
        <v>0.48295700000000003</v>
      </c>
      <c r="C74" s="68">
        <v>29.214600000000001</v>
      </c>
      <c r="D74" s="68">
        <v>1</v>
      </c>
      <c r="E74" s="68" t="s">
        <v>429</v>
      </c>
    </row>
    <row r="75" spans="1:5">
      <c r="A75" s="68">
        <v>0.23766100000000001</v>
      </c>
      <c r="B75" s="68">
        <v>0.48337999999999998</v>
      </c>
      <c r="C75" s="68">
        <v>29.622599999999998</v>
      </c>
      <c r="D75" s="68">
        <v>1</v>
      </c>
      <c r="E75" s="68" t="s">
        <v>430</v>
      </c>
    </row>
    <row r="76" spans="1:5">
      <c r="A76" s="68">
        <v>0.236763</v>
      </c>
      <c r="B76" s="68">
        <v>0.48364000000000001</v>
      </c>
      <c r="C76" s="68">
        <v>30.0365</v>
      </c>
      <c r="D76" s="68">
        <v>2</v>
      </c>
      <c r="E76" s="68" t="s">
        <v>431</v>
      </c>
    </row>
    <row r="77" spans="1:5">
      <c r="A77" s="68">
        <v>0.235677</v>
      </c>
      <c r="B77" s="68">
        <v>0.48485299999999998</v>
      </c>
      <c r="C77" s="68">
        <v>30.704599999999999</v>
      </c>
      <c r="D77" s="68">
        <v>2</v>
      </c>
      <c r="E77" s="68" t="s">
        <v>432</v>
      </c>
    </row>
    <row r="78" spans="1:5">
      <c r="A78" s="68">
        <v>0.23466100000000001</v>
      </c>
      <c r="B78" s="68">
        <v>0.48686299999999999</v>
      </c>
      <c r="C78" s="68">
        <v>31.047799999999999</v>
      </c>
      <c r="D78" s="68">
        <v>2</v>
      </c>
      <c r="E78" s="68" t="s">
        <v>433</v>
      </c>
    </row>
    <row r="79" spans="1:5">
      <c r="A79" s="68">
        <v>0.233598</v>
      </c>
      <c r="B79" s="68">
        <v>0.48935299999999998</v>
      </c>
      <c r="C79" s="68">
        <v>31.419799999999999</v>
      </c>
      <c r="D79" s="68">
        <v>2</v>
      </c>
      <c r="E79" s="68" t="s">
        <v>434</v>
      </c>
    </row>
    <row r="80" spans="1:5">
      <c r="A80" s="68">
        <v>0.23271800000000001</v>
      </c>
      <c r="B80" s="68">
        <v>0.49168600000000001</v>
      </c>
      <c r="C80" s="68">
        <v>31.7927</v>
      </c>
      <c r="D80" s="68">
        <v>2</v>
      </c>
      <c r="E80" s="68" t="s">
        <v>435</v>
      </c>
    </row>
    <row r="81" spans="1:5">
      <c r="A81" s="68">
        <v>0.23167399999999999</v>
      </c>
      <c r="B81" s="68">
        <v>0.49374499999999999</v>
      </c>
      <c r="C81" s="68">
        <v>32.167700000000004</v>
      </c>
      <c r="D81" s="68">
        <v>2</v>
      </c>
      <c r="E81" s="68" t="s">
        <v>436</v>
      </c>
    </row>
    <row r="82" spans="1:5">
      <c r="A82" s="68">
        <v>0.230465</v>
      </c>
      <c r="B82" s="68">
        <v>0.495977</v>
      </c>
      <c r="C82" s="68">
        <v>32.579599999999999</v>
      </c>
      <c r="D82" s="68">
        <v>2</v>
      </c>
      <c r="E82" s="68" t="s">
        <v>437</v>
      </c>
    </row>
    <row r="83" spans="1:5">
      <c r="A83" s="68">
        <v>0.22936300000000001</v>
      </c>
      <c r="B83" s="68">
        <v>0.49786999999999998</v>
      </c>
      <c r="C83" s="68">
        <v>32.983499999999999</v>
      </c>
      <c r="D83" s="68">
        <v>2</v>
      </c>
      <c r="E83" s="68" t="s">
        <v>438</v>
      </c>
    </row>
    <row r="84" spans="1:5">
      <c r="A84" s="68">
        <v>0.22840299999999999</v>
      </c>
      <c r="B84" s="68">
        <v>0.499533</v>
      </c>
      <c r="C84" s="68">
        <v>33.386699999999998</v>
      </c>
      <c r="D84" s="68">
        <v>2</v>
      </c>
      <c r="E84" s="68" t="s">
        <v>439</v>
      </c>
    </row>
    <row r="85" spans="1:5">
      <c r="A85" s="68">
        <v>0.22739799999999999</v>
      </c>
      <c r="B85" s="68">
        <v>0.50128600000000001</v>
      </c>
      <c r="C85" s="68">
        <v>33.796500000000002</v>
      </c>
      <c r="D85" s="68">
        <v>2</v>
      </c>
      <c r="E85" s="68" t="s">
        <v>440</v>
      </c>
    </row>
    <row r="86" spans="1:5">
      <c r="A86" s="68">
        <v>0.226382</v>
      </c>
      <c r="B86" s="68">
        <v>0.50270099999999995</v>
      </c>
      <c r="C86" s="68">
        <v>34.201300000000003</v>
      </c>
      <c r="D86" s="68">
        <v>2</v>
      </c>
      <c r="E86" s="68" t="s">
        <v>441</v>
      </c>
    </row>
    <row r="87" spans="1:5">
      <c r="A87" s="68">
        <v>0.22495299999999999</v>
      </c>
      <c r="B87" s="68">
        <v>0.50456299999999998</v>
      </c>
      <c r="C87" s="68">
        <v>34.610199999999999</v>
      </c>
      <c r="D87" s="68">
        <v>2</v>
      </c>
      <c r="E87" s="68" t="s">
        <v>442</v>
      </c>
    </row>
    <row r="88" spans="1:5">
      <c r="A88" s="68">
        <v>0.22372</v>
      </c>
      <c r="B88" s="68">
        <v>0.50607500000000005</v>
      </c>
      <c r="C88" s="68">
        <v>35.016100000000002</v>
      </c>
      <c r="D88" s="68">
        <v>2</v>
      </c>
      <c r="E88" s="68" t="s">
        <v>443</v>
      </c>
    </row>
    <row r="89" spans="1:5">
      <c r="A89" s="68">
        <v>0.22242700000000001</v>
      </c>
      <c r="B89" s="68">
        <v>0.50775400000000004</v>
      </c>
      <c r="C89" s="68">
        <v>35.419199999999996</v>
      </c>
      <c r="D89" s="68">
        <v>2</v>
      </c>
      <c r="E89" s="68" t="s">
        <v>444</v>
      </c>
    </row>
    <row r="90" spans="1:5">
      <c r="A90" s="68">
        <v>0.22101499999999999</v>
      </c>
      <c r="B90" s="68">
        <v>0.50986600000000004</v>
      </c>
      <c r="C90" s="68">
        <v>35.828099999999999</v>
      </c>
      <c r="D90" s="68">
        <v>2</v>
      </c>
      <c r="E90" s="68" t="s">
        <v>445</v>
      </c>
    </row>
    <row r="91" spans="1:5">
      <c r="A91" s="68">
        <v>0.21935499999999999</v>
      </c>
      <c r="B91" s="68">
        <v>0.51237900000000003</v>
      </c>
      <c r="C91" s="68">
        <v>36.234900000000003</v>
      </c>
      <c r="D91" s="68">
        <v>2</v>
      </c>
      <c r="E91" s="68" t="s">
        <v>446</v>
      </c>
    </row>
    <row r="92" spans="1:5">
      <c r="A92" s="68">
        <v>0.218005</v>
      </c>
      <c r="B92" s="68">
        <v>0.51354100000000003</v>
      </c>
      <c r="C92" s="68">
        <v>36.640799999999999</v>
      </c>
      <c r="D92" s="68">
        <v>2</v>
      </c>
      <c r="E92" s="68" t="s">
        <v>447</v>
      </c>
    </row>
    <row r="93" spans="1:5">
      <c r="A93" s="68">
        <v>0.21675800000000001</v>
      </c>
      <c r="B93" s="68">
        <v>0.51422100000000004</v>
      </c>
      <c r="C93" s="68">
        <v>37.046599999999998</v>
      </c>
      <c r="D93" s="68">
        <v>2</v>
      </c>
      <c r="E93" s="68" t="s">
        <v>448</v>
      </c>
    </row>
    <row r="94" spans="1:5">
      <c r="A94" s="68">
        <v>0.21557899999999999</v>
      </c>
      <c r="B94" s="68">
        <v>0.51472200000000001</v>
      </c>
      <c r="C94" s="68">
        <v>37.451599999999999</v>
      </c>
      <c r="D94" s="68">
        <v>2</v>
      </c>
      <c r="E94" s="68" t="s">
        <v>449</v>
      </c>
    </row>
    <row r="95" spans="1:5">
      <c r="A95" s="68">
        <v>0.21454599999999999</v>
      </c>
      <c r="B95" s="68">
        <v>0.51525699999999997</v>
      </c>
      <c r="C95" s="68">
        <v>37.855499999999999</v>
      </c>
      <c r="D95" s="68">
        <v>2</v>
      </c>
      <c r="E95" s="68" t="s">
        <v>450</v>
      </c>
    </row>
    <row r="96" spans="1:5">
      <c r="A96" s="68">
        <v>0.21368599999999999</v>
      </c>
      <c r="B96" s="68">
        <v>0.51560300000000003</v>
      </c>
      <c r="C96" s="68">
        <v>38.263399999999997</v>
      </c>
      <c r="D96" s="68">
        <v>2</v>
      </c>
      <c r="E96" s="68" t="s">
        <v>451</v>
      </c>
    </row>
    <row r="97" spans="1:5">
      <c r="A97" s="68">
        <v>0.21282799999999999</v>
      </c>
      <c r="B97" s="68">
        <v>0.51563499999999995</v>
      </c>
      <c r="C97" s="68">
        <v>38.671300000000002</v>
      </c>
      <c r="D97" s="68">
        <v>2</v>
      </c>
      <c r="E97" s="68" t="s">
        <v>452</v>
      </c>
    </row>
    <row r="98" spans="1:5">
      <c r="A98" s="68">
        <v>0.21190600000000001</v>
      </c>
      <c r="B98" s="68">
        <v>0.51586299999999996</v>
      </c>
      <c r="C98" s="68">
        <v>39.078299999999999</v>
      </c>
      <c r="D98" s="68">
        <v>2</v>
      </c>
      <c r="E98" s="68" t="s">
        <v>453</v>
      </c>
    </row>
    <row r="99" spans="1:5">
      <c r="A99" s="68">
        <v>0.21121500000000001</v>
      </c>
      <c r="B99" s="68">
        <v>0.51558099999999996</v>
      </c>
      <c r="C99" s="68">
        <v>39.485100000000003</v>
      </c>
      <c r="D99" s="68">
        <v>2</v>
      </c>
      <c r="E99" s="68" t="s">
        <v>454</v>
      </c>
    </row>
    <row r="100" spans="1:5">
      <c r="A100" s="68">
        <v>0.210699</v>
      </c>
      <c r="B100" s="68">
        <v>0.51471900000000004</v>
      </c>
      <c r="C100" s="68">
        <v>39.889099999999999</v>
      </c>
      <c r="D100" s="68">
        <v>2</v>
      </c>
      <c r="E100" s="68" t="s">
        <v>455</v>
      </c>
    </row>
    <row r="101" spans="1:5">
      <c r="A101" s="68">
        <v>0.21021799999999999</v>
      </c>
      <c r="B101" s="68">
        <v>0.513513</v>
      </c>
      <c r="C101" s="68">
        <v>40.295000000000002</v>
      </c>
      <c r="D101" s="68">
        <v>2</v>
      </c>
      <c r="E101" s="68" t="s">
        <v>456</v>
      </c>
    </row>
    <row r="102" spans="1:5">
      <c r="A102" s="68">
        <v>0.209644</v>
      </c>
      <c r="B102" s="68">
        <v>0.51234999999999997</v>
      </c>
      <c r="C102" s="68">
        <v>40.704900000000002</v>
      </c>
      <c r="D102" s="68">
        <v>2</v>
      </c>
      <c r="E102" s="68" t="s">
        <v>457</v>
      </c>
    </row>
    <row r="103" spans="1:5">
      <c r="A103" s="68">
        <v>0.20891799999999999</v>
      </c>
      <c r="B103" s="68">
        <v>0.51144199999999995</v>
      </c>
      <c r="C103" s="68">
        <v>41.109900000000003</v>
      </c>
      <c r="D103" s="68">
        <v>2</v>
      </c>
      <c r="E103" s="68" t="s">
        <v>458</v>
      </c>
    </row>
    <row r="104" spans="1:5">
      <c r="A104" s="68">
        <v>0.20830199999999999</v>
      </c>
      <c r="B104" s="68">
        <v>0.50984300000000005</v>
      </c>
      <c r="C104" s="68">
        <v>41.514699999999998</v>
      </c>
      <c r="D104" s="68">
        <v>2</v>
      </c>
      <c r="E104" s="68" t="s">
        <v>459</v>
      </c>
    </row>
    <row r="105" spans="1:5">
      <c r="A105" s="68">
        <v>0.20761199999999999</v>
      </c>
      <c r="B105" s="68">
        <v>0.50861299999999998</v>
      </c>
      <c r="C105" s="68">
        <v>41.920099999999998</v>
      </c>
      <c r="D105" s="68">
        <v>2</v>
      </c>
      <c r="E105" s="68" t="s">
        <v>460</v>
      </c>
    </row>
    <row r="106" spans="1:5">
      <c r="A106" s="68">
        <v>0.207456</v>
      </c>
      <c r="B106" s="68">
        <v>0.50632600000000005</v>
      </c>
      <c r="C106" s="68">
        <v>42.325699999999998</v>
      </c>
      <c r="D106" s="68">
        <v>2</v>
      </c>
      <c r="E106" s="68" t="s">
        <v>461</v>
      </c>
    </row>
    <row r="107" spans="1:5">
      <c r="A107" s="68">
        <v>0.207589</v>
      </c>
      <c r="B107" s="68">
        <v>0.50362399999999996</v>
      </c>
      <c r="C107" s="68">
        <v>42.728099999999998</v>
      </c>
      <c r="D107" s="68">
        <v>2</v>
      </c>
      <c r="E107" s="68" t="s">
        <v>462</v>
      </c>
    </row>
    <row r="108" spans="1:5">
      <c r="A108" s="68">
        <v>0.20796300000000001</v>
      </c>
      <c r="B108" s="68">
        <v>0.50052200000000002</v>
      </c>
      <c r="C108" s="68">
        <v>43.139299999999999</v>
      </c>
      <c r="D108" s="68">
        <v>2</v>
      </c>
      <c r="E108" s="68" t="s">
        <v>463</v>
      </c>
    </row>
    <row r="109" spans="1:5">
      <c r="A109" s="68">
        <v>0.20839099999999999</v>
      </c>
      <c r="B109" s="68">
        <v>0.49765999999999999</v>
      </c>
      <c r="C109" s="68">
        <v>43.546300000000002</v>
      </c>
      <c r="D109" s="68">
        <v>2</v>
      </c>
      <c r="E109" s="68" t="s">
        <v>464</v>
      </c>
    </row>
    <row r="110" spans="1:5">
      <c r="A110" s="68">
        <v>0.20891899999999999</v>
      </c>
      <c r="B110" s="68">
        <v>0.49479000000000001</v>
      </c>
      <c r="C110" s="68">
        <v>43.9512</v>
      </c>
      <c r="D110" s="68">
        <v>2</v>
      </c>
      <c r="E110" s="68" t="s">
        <v>465</v>
      </c>
    </row>
    <row r="111" spans="1:5">
      <c r="A111" s="68">
        <v>0.20947199999999999</v>
      </c>
      <c r="B111" s="68">
        <v>0.49203400000000003</v>
      </c>
      <c r="C111" s="68">
        <v>44.356299999999997</v>
      </c>
      <c r="D111" s="68">
        <v>2</v>
      </c>
      <c r="E111" s="68" t="s">
        <v>466</v>
      </c>
    </row>
    <row r="112" spans="1:5">
      <c r="A112" s="68">
        <v>0.21024999999999999</v>
      </c>
      <c r="B112" s="68">
        <v>0.48907099999999998</v>
      </c>
      <c r="C112" s="68">
        <v>44.767099999999999</v>
      </c>
      <c r="D112" s="68">
        <v>2</v>
      </c>
      <c r="E112" s="68" t="s">
        <v>467</v>
      </c>
    </row>
    <row r="113" spans="1:5">
      <c r="A113" s="68">
        <v>0.210781</v>
      </c>
      <c r="B113" s="68">
        <v>0.48632199999999998</v>
      </c>
      <c r="C113" s="68">
        <v>45.173000000000002</v>
      </c>
      <c r="D113" s="68">
        <v>2</v>
      </c>
      <c r="E113" s="68" t="s">
        <v>468</v>
      </c>
    </row>
    <row r="114" spans="1:5">
      <c r="A114" s="68">
        <v>0.211148</v>
      </c>
      <c r="B114" s="68">
        <v>0.48394300000000001</v>
      </c>
      <c r="C114" s="68">
        <v>45.5779</v>
      </c>
      <c r="D114" s="68">
        <v>2</v>
      </c>
      <c r="E114" s="68" t="s">
        <v>469</v>
      </c>
    </row>
    <row r="115" spans="1:5">
      <c r="A115" s="68">
        <v>0.21126</v>
      </c>
      <c r="B115" s="68">
        <v>0.48236000000000001</v>
      </c>
      <c r="C115" s="68">
        <v>45.982799999999997</v>
      </c>
      <c r="D115" s="68">
        <v>2</v>
      </c>
      <c r="E115" s="68" t="s">
        <v>470</v>
      </c>
    </row>
    <row r="116" spans="1:5">
      <c r="A116" s="68">
        <v>0.21130299999999999</v>
      </c>
      <c r="B116" s="68">
        <v>0.48083999999999999</v>
      </c>
      <c r="C116" s="68">
        <v>46.386899999999997</v>
      </c>
      <c r="D116" s="68">
        <v>2</v>
      </c>
      <c r="E116" s="68" t="s">
        <v>471</v>
      </c>
    </row>
    <row r="117" spans="1:5">
      <c r="A117" s="68">
        <v>0.21132899999999999</v>
      </c>
      <c r="B117" s="68">
        <v>0.47950900000000002</v>
      </c>
      <c r="C117" s="68">
        <v>46.7956</v>
      </c>
      <c r="D117" s="68">
        <v>2</v>
      </c>
      <c r="E117" s="68" t="s">
        <v>472</v>
      </c>
    </row>
    <row r="118" spans="1:5">
      <c r="A118" s="68">
        <v>0.21132100000000001</v>
      </c>
      <c r="B118" s="68">
        <v>0.47830499999999998</v>
      </c>
      <c r="C118" s="68">
        <v>47.203699999999998</v>
      </c>
      <c r="D118" s="68">
        <v>2</v>
      </c>
      <c r="E118" s="68" t="s">
        <v>473</v>
      </c>
    </row>
    <row r="119" spans="1:5">
      <c r="A119" s="68">
        <v>0.211227</v>
      </c>
      <c r="B119" s="68">
        <v>0.47793600000000003</v>
      </c>
      <c r="C119" s="68">
        <v>47.608400000000003</v>
      </c>
      <c r="D119" s="68">
        <v>2</v>
      </c>
      <c r="E119" s="68" t="s">
        <v>474</v>
      </c>
    </row>
    <row r="120" spans="1:5">
      <c r="A120" s="68">
        <v>0.211091</v>
      </c>
      <c r="B120" s="68">
        <v>0.47841499999999998</v>
      </c>
      <c r="C120" s="68">
        <v>48.013300000000001</v>
      </c>
      <c r="D120" s="68">
        <v>2</v>
      </c>
      <c r="E120" s="68" t="s">
        <v>475</v>
      </c>
    </row>
    <row r="121" spans="1:5">
      <c r="A121" s="68">
        <v>0.210864</v>
      </c>
      <c r="B121" s="68">
        <v>0.47911100000000001</v>
      </c>
      <c r="C121" s="68">
        <v>48.421500000000002</v>
      </c>
      <c r="D121" s="68">
        <v>2</v>
      </c>
      <c r="E121" s="68" t="s">
        <v>476</v>
      </c>
    </row>
    <row r="122" spans="1:5">
      <c r="A122" s="68">
        <v>0.21057999999999999</v>
      </c>
      <c r="B122" s="68">
        <v>0.47985699999999998</v>
      </c>
      <c r="C122" s="68">
        <v>48.828299999999999</v>
      </c>
      <c r="D122" s="68">
        <v>2</v>
      </c>
      <c r="E122" s="68" t="s">
        <v>477</v>
      </c>
    </row>
    <row r="123" spans="1:5">
      <c r="A123" s="68">
        <v>0.210202</v>
      </c>
      <c r="B123" s="68">
        <v>0.481072</v>
      </c>
      <c r="C123" s="68">
        <v>49.234999999999999</v>
      </c>
      <c r="D123" s="68">
        <v>2</v>
      </c>
      <c r="E123" s="68" t="s">
        <v>478</v>
      </c>
    </row>
    <row r="124" spans="1:5">
      <c r="A124" s="68">
        <v>0.20974000000000001</v>
      </c>
      <c r="B124" s="68">
        <v>0.48294799999999999</v>
      </c>
      <c r="C124" s="68">
        <v>49.642000000000003</v>
      </c>
      <c r="D124" s="68">
        <v>2</v>
      </c>
      <c r="E124" s="68" t="s">
        <v>479</v>
      </c>
    </row>
    <row r="125" spans="1:5">
      <c r="A125" s="68">
        <v>0.20923900000000001</v>
      </c>
      <c r="B125" s="68">
        <v>0.485068</v>
      </c>
      <c r="C125" s="68">
        <v>50.045900000000003</v>
      </c>
      <c r="D125" s="68">
        <v>2</v>
      </c>
      <c r="E125" s="68" t="s">
        <v>480</v>
      </c>
    </row>
    <row r="126" spans="1:5">
      <c r="A126" s="68">
        <v>0.20918999999999999</v>
      </c>
      <c r="B126" s="68">
        <v>0.48517399999999999</v>
      </c>
      <c r="C126" s="68">
        <v>50.450099999999999</v>
      </c>
      <c r="D126" s="68">
        <v>2</v>
      </c>
      <c r="E126" s="68" t="s">
        <v>481</v>
      </c>
    </row>
    <row r="127" spans="1:5">
      <c r="A127" s="68">
        <v>0.209173</v>
      </c>
      <c r="B127" s="68">
        <v>0.48538100000000001</v>
      </c>
      <c r="C127" s="68">
        <v>50.855499999999999</v>
      </c>
      <c r="D127" s="68">
        <v>2</v>
      </c>
      <c r="E127" s="68" t="s">
        <v>482</v>
      </c>
    </row>
    <row r="128" spans="1:5">
      <c r="A128" s="68">
        <v>0.209291</v>
      </c>
      <c r="B128" s="68">
        <v>0.48554199999999997</v>
      </c>
      <c r="C128" s="68">
        <v>51.264699999999998</v>
      </c>
      <c r="D128" s="68">
        <v>2</v>
      </c>
      <c r="E128" s="68" t="s">
        <v>483</v>
      </c>
    </row>
    <row r="129" spans="1:5">
      <c r="A129" s="68">
        <v>0.20921699999999999</v>
      </c>
      <c r="B129" s="68">
        <v>0.48666599999999999</v>
      </c>
      <c r="C129" s="68">
        <v>51.670499999999997</v>
      </c>
      <c r="D129" s="68">
        <v>2</v>
      </c>
      <c r="E129" s="68" t="s">
        <v>484</v>
      </c>
    </row>
    <row r="130" spans="1:5">
      <c r="A130" s="68">
        <v>0.20910400000000001</v>
      </c>
      <c r="B130" s="68">
        <v>0.48776000000000003</v>
      </c>
      <c r="C130" s="68">
        <v>52.075499999999998</v>
      </c>
      <c r="D130" s="68">
        <v>2</v>
      </c>
      <c r="E130" s="68" t="s">
        <v>485</v>
      </c>
    </row>
    <row r="131" spans="1:5">
      <c r="A131" s="68">
        <v>0.208813</v>
      </c>
      <c r="B131" s="68">
        <v>0.48928100000000002</v>
      </c>
      <c r="C131" s="68">
        <v>52.479500000000002</v>
      </c>
      <c r="D131" s="68">
        <v>2</v>
      </c>
      <c r="E131" s="68" t="s">
        <v>486</v>
      </c>
    </row>
    <row r="132" spans="1:5">
      <c r="A132" s="68">
        <v>0.20838200000000001</v>
      </c>
      <c r="B132" s="68">
        <v>0.491095</v>
      </c>
      <c r="C132" s="68">
        <v>52.892299999999999</v>
      </c>
      <c r="D132" s="68">
        <v>2</v>
      </c>
      <c r="E132" s="68" t="s">
        <v>487</v>
      </c>
    </row>
    <row r="133" spans="1:5">
      <c r="A133" s="68">
        <v>0.207894</v>
      </c>
      <c r="B133" s="68">
        <v>0.49308099999999999</v>
      </c>
      <c r="C133" s="68">
        <v>53.2973</v>
      </c>
      <c r="D133" s="68">
        <v>2</v>
      </c>
      <c r="E133" s="68" t="s">
        <v>488</v>
      </c>
    </row>
    <row r="134" spans="1:5">
      <c r="A134" s="68">
        <v>0.20738400000000001</v>
      </c>
      <c r="B134" s="68">
        <v>0.49505500000000002</v>
      </c>
      <c r="C134" s="68">
        <v>53.703299999999999</v>
      </c>
      <c r="D134" s="68">
        <v>2</v>
      </c>
      <c r="E134" s="68" t="s">
        <v>489</v>
      </c>
    </row>
    <row r="135" spans="1:5">
      <c r="A135" s="68">
        <v>0.20678199999999999</v>
      </c>
      <c r="B135" s="68">
        <v>0.49723200000000001</v>
      </c>
      <c r="C135" s="68">
        <v>54.109099999999998</v>
      </c>
      <c r="D135" s="68">
        <v>2</v>
      </c>
      <c r="E135" s="68" t="s">
        <v>490</v>
      </c>
    </row>
    <row r="136" spans="1:5">
      <c r="A136" s="68">
        <v>0.20630299999999999</v>
      </c>
      <c r="B136" s="68">
        <v>0.49931900000000001</v>
      </c>
      <c r="C136" s="68">
        <v>54.514299999999999</v>
      </c>
      <c r="D136" s="68">
        <v>2</v>
      </c>
      <c r="E136" s="68" t="s">
        <v>491</v>
      </c>
    </row>
    <row r="137" spans="1:5">
      <c r="A137" s="68">
        <v>0.20564499999999999</v>
      </c>
      <c r="B137" s="68">
        <v>0.50205</v>
      </c>
      <c r="C137" s="68">
        <v>54.922899999999998</v>
      </c>
      <c r="D137" s="68">
        <v>2</v>
      </c>
      <c r="E137" s="68" t="s">
        <v>492</v>
      </c>
    </row>
    <row r="138" spans="1:5">
      <c r="A138" s="68">
        <v>0.204928</v>
      </c>
      <c r="B138" s="68">
        <v>0.505579</v>
      </c>
      <c r="C138" s="68">
        <v>55.328800000000001</v>
      </c>
      <c r="D138" s="68">
        <v>2</v>
      </c>
      <c r="E138" s="68" t="s">
        <v>493</v>
      </c>
    </row>
    <row r="139" spans="1:5">
      <c r="A139" s="68">
        <v>0.204205</v>
      </c>
      <c r="B139" s="68">
        <v>0.50952900000000001</v>
      </c>
      <c r="C139" s="68">
        <v>55.733800000000002</v>
      </c>
      <c r="D139" s="68">
        <v>2</v>
      </c>
      <c r="E139" s="68" t="s">
        <v>494</v>
      </c>
    </row>
    <row r="140" spans="1:5">
      <c r="A140" s="68">
        <v>0.20369999999999999</v>
      </c>
      <c r="B140" s="68">
        <v>0.51254599999999995</v>
      </c>
      <c r="C140" s="68">
        <v>56.136899999999997</v>
      </c>
      <c r="D140" s="68">
        <v>2</v>
      </c>
      <c r="E140" s="68" t="s">
        <v>495</v>
      </c>
    </row>
    <row r="141" spans="1:5">
      <c r="A141" s="68">
        <v>0.203129</v>
      </c>
      <c r="B141" s="68">
        <v>0.51615299999999997</v>
      </c>
      <c r="C141" s="68">
        <v>56.5426</v>
      </c>
      <c r="D141" s="68">
        <v>2</v>
      </c>
      <c r="E141" s="68" t="s">
        <v>496</v>
      </c>
    </row>
    <row r="142" spans="1:5">
      <c r="A142" s="68">
        <v>0.202372</v>
      </c>
      <c r="B142" s="68">
        <v>0.52090800000000004</v>
      </c>
      <c r="C142" s="68">
        <v>56.956400000000002</v>
      </c>
      <c r="D142" s="68">
        <v>2</v>
      </c>
      <c r="E142" s="68" t="s">
        <v>497</v>
      </c>
    </row>
    <row r="143" spans="1:5">
      <c r="A143" s="68">
        <v>0.201432</v>
      </c>
      <c r="B143" s="68">
        <v>0.52731700000000004</v>
      </c>
      <c r="C143" s="68">
        <v>57.360399999999998</v>
      </c>
      <c r="D143" s="68">
        <v>2</v>
      </c>
      <c r="E143" s="68" t="s">
        <v>498</v>
      </c>
    </row>
    <row r="144" spans="1:5">
      <c r="A144" s="68">
        <v>0.20063300000000001</v>
      </c>
      <c r="B144" s="68">
        <v>0.53242599999999995</v>
      </c>
      <c r="C144" s="68">
        <v>57.767299999999999</v>
      </c>
      <c r="D144" s="68">
        <v>2</v>
      </c>
      <c r="E144" s="68" t="s">
        <v>499</v>
      </c>
    </row>
    <row r="145" spans="1:5">
      <c r="A145" s="68">
        <v>0.19970199999999999</v>
      </c>
      <c r="B145" s="68">
        <v>0.53640100000000002</v>
      </c>
      <c r="C145" s="68">
        <v>58.172199999999997</v>
      </c>
      <c r="D145" s="68">
        <v>2</v>
      </c>
      <c r="E145" s="68" t="s">
        <v>500</v>
      </c>
    </row>
    <row r="146" spans="1:5">
      <c r="A146" s="68">
        <v>0.19864100000000001</v>
      </c>
      <c r="B146" s="68">
        <v>0.54048200000000002</v>
      </c>
      <c r="C146" s="68">
        <v>58.577100000000002</v>
      </c>
      <c r="D146" s="68">
        <v>2</v>
      </c>
      <c r="E146" s="68" t="s">
        <v>501</v>
      </c>
    </row>
    <row r="147" spans="1:5">
      <c r="A147" s="68">
        <v>0.19799600000000001</v>
      </c>
      <c r="B147" s="68">
        <v>0.54571999999999998</v>
      </c>
      <c r="C147" s="68">
        <v>58.984000000000002</v>
      </c>
      <c r="D147" s="68">
        <v>2</v>
      </c>
      <c r="E147" s="68" t="s">
        <v>502</v>
      </c>
    </row>
    <row r="148" spans="1:5">
      <c r="A148" s="68">
        <v>0.197626</v>
      </c>
      <c r="B148" s="68">
        <v>0.55006600000000005</v>
      </c>
      <c r="C148" s="68">
        <v>59.389000000000003</v>
      </c>
      <c r="D148" s="68">
        <v>2</v>
      </c>
      <c r="E148" s="68" t="s">
        <v>503</v>
      </c>
    </row>
    <row r="149" spans="1:5">
      <c r="A149" s="68">
        <v>0.197466</v>
      </c>
      <c r="B149" s="68">
        <v>0.55020100000000005</v>
      </c>
      <c r="C149" s="68">
        <v>59.798900000000003</v>
      </c>
      <c r="D149" s="68">
        <v>2</v>
      </c>
      <c r="E149" s="68" t="s">
        <v>504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354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293</v>
      </c>
      <c r="G1" s="66" t="s">
        <v>294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43607.410995370374</v>
      </c>
      <c r="B2" s="66" t="s">
        <v>506</v>
      </c>
      <c r="C2" s="66"/>
      <c r="D2" s="66"/>
      <c r="E2" s="66">
        <v>4.9234099999999996</v>
      </c>
      <c r="F2" s="66">
        <v>1.08179</v>
      </c>
      <c r="G2" s="66">
        <v>0.50239999999999996</v>
      </c>
      <c r="H2" s="66">
        <v>0</v>
      </c>
      <c r="I2" s="66">
        <v>82810</v>
      </c>
      <c r="J2" s="66">
        <v>60</v>
      </c>
      <c r="K2" s="66">
        <v>60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2019-05-22T01:52:33Z</cp:lastPrinted>
  <dcterms:created xsi:type="dcterms:W3CDTF">2010-10-29T12:53:05Z</dcterms:created>
  <dcterms:modified xsi:type="dcterms:W3CDTF">2019-05-22T01:52:53Z</dcterms:modified>
</cp:coreProperties>
</file>