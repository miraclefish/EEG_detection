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<sst xmlns="http://schemas.openxmlformats.org/spreadsheetml/2006/main" count="702" uniqueCount="524">
  <si>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</si>
  <si>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</si>
  <si>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</si>
  <si>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</si>
  <si>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</si>
  <si>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</si>
  <si>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</si>
  <si>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</si>
  <si>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</si>
  <si>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</si>
  <si>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</si>
  <si>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</si>
  <si>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</si>
  <si>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</si>
  <si>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</si>
  <si>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</si>
  <si>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</si>
  <si>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</si>
  <si>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</si>
  <si>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</si>
  <si>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</si>
  <si>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</si>
  <si>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</si>
  <si>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</si>
  <si>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</si>
  <si>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</si>
  <si>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</si>
  <si>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</si>
  <si>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</si>
  <si>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</si>
  <si>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</si>
  <si>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</si>
  <si>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</si>
  <si>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</si>
  <si>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</si>
  <si>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</si>
  <si>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</si>
  <si>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</si>
  <si>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</si>
  <si>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</si>
  <si>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</si>
  <si>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</si>
  <si>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</si>
  <si>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</si>
  <si>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</si>
  <si>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</si>
  <si>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</si>
  <si>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</si>
  <si>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</si>
  <si>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</si>
  <si>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</si>
  <si>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</si>
  <si>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</si>
  <si>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</si>
  <si>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</si>
  <si>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</si>
  <si>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</si>
  <si>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</si>
  <si>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</si>
  <si>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</si>
  <si>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</si>
  <si>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</si>
  <si>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</si>
  <si>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</si>
  <si>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</si>
  <si>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</si>
  <si>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</si>
  <si>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</si>
  <si>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</si>
  <si>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</si>
  <si>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</si>
  <si>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</si>
  <si>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</si>
  <si>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</si>
  <si>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</si>
  <si>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</si>
  <si>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</si>
  <si>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</si>
  <si>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</si>
  <si>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</si>
  <si>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</si>
  <si>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</si>
  <si>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</si>
  <si>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</si>
  <si>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</si>
  <si>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</si>
  <si>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</si>
  <si>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</si>
  <si>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</si>
  <si>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</si>
  <si>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</si>
  <si>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</si>
  <si>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</si>
  <si>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</si>
  <si>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</si>
  <si>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</si>
  <si>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</si>
  <si>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</si>
  <si>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</si>
  <si>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</si>
  <si>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</si>
  <si>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</si>
  <si>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</si>
  <si>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</si>
  <si>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</si>
  <si>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</si>
  <si>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</si>
  <si>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</si>
  <si>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</si>
  <si>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</si>
  <si>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</si>
  <si>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</si>
  <si>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</si>
  <si>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</si>
  <si>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</si>
  <si>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</si>
  <si>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</si>
  <si>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</si>
  <si>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</si>
  <si>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</si>
  <si>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</si>
  <si>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</si>
  <si>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</si>
  <si>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</si>
  <si>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</si>
  <si>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</si>
  <si>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</si>
  <si>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</si>
  <si>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</si>
  <si>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</si>
  <si>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</si>
  <si>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</si>
  <si>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</si>
  <si>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</si>
  <si>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</si>
  <si>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</si>
  <si>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</si>
  <si>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</si>
  <si>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</si>
  <si>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</si>
  <si>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</si>
  <si>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</si>
  <si>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</si>
  <si>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</si>
  <si>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</si>
  <si>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</si>
  <si>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</si>
  <si>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</si>
  <si>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</si>
  <si>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</si>
  <si>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</si>
  <si>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</si>
  <si>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</si>
  <si>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</si>
  <si>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</si>
  <si>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</si>
  <si>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</si>
  <si>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</si>
  <si>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</si>
  <si>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</si>
  <si>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</si>
  <si>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</si>
  <si>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</si>
  <si>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</si>
  <si>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</si>
  <si>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</si>
  <si>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</si>
  <si>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</si>
  <si>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</si>
  <si>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</si>
  <si>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</si>
  <si>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</si>
  <si>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</si>
  <si>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</si>
  <si>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</si>
  <si>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</si>
  <si>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</si>
  <si>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</si>
  <si>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</si>
  <si>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</si>
  <si>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</si>
  <si>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</si>
  <si>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</si>
  <si>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</si>
  <si>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</si>
  <si>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</si>
  <si>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</si>
  <si>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</si>
  <si>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</si>
  <si>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</si>
  <si>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</si>
  <si>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</si>
  <si>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</si>
  <si>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</si>
  <si>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</si>
  <si>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</si>
  <si>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</si>
  <si>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</si>
  <si>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</si>
  <si>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</si>
  <si>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</si>
  <si>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</si>
  <si>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</si>
  <si>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</si>
  <si>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</si>
  <si>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</si>
  <si>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</si>
  <si>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</si>
  <si>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</si>
  <si>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</si>
  <si>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</si>
  <si>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</si>
  <si>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</si>
  <si>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</si>
  <si>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</si>
  <si>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</si>
  <si>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</si>
  <si>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</si>
  <si>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</si>
  <si>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</si>
  <si>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</si>
  <si>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</si>
  <si>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</si>
  <si>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</si>
  <si>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</si>
  <si>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</si>
  <si>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</si>
  <si>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</si>
  <si>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</si>
  <si>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</si>
  <si>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</si>
  <si>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</si>
  <si>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</si>
  <si>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</si>
  <si>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</si>
  <si>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</si>
  <si>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</si>
  <si>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</si>
  <si>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</si>
  <si>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</si>
  <si>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</si>
  <si>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</si>
  <si>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</si>
  <si>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</si>
  <si>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</si>
  <si>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</si>
  <si>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</si>
  <si>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</si>
  <si>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</si>
  <si>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</si>
  <si>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</si>
  <si>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</si>
  <si>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</si>
  <si>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</si>
  <si>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</si>
  <si>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</si>
  <si>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</si>
  <si>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</si>
  <si>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</si>
  <si>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</si>
  <si>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</si>
  <si>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</si>
  <si>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</si>
  <si>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</si>
  <si>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</si>
  <si>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</si>
  <si>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</si>
  <si>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</si>
  <si>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</si>
  <si>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</si>
  <si>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</si>
  <si>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</si>
  <si>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</si>
  <si>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</si>
  <si>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</si>
  <si>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</si>
  <si>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</si>
  <si>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</si>
  <si>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</si>
  <si>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</si>
  <si>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</si>
  <si>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</si>
  <si>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</si>
  <si>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</si>
  <si>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</si>
  <si>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</si>
  <si>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</si>
  <si>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</si>
  <si>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</si>
  <si>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</si>
  <si>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</si>
  <si>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</si>
  <si>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</si>
  <si>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</si>
  <si>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</si>
  <si>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</si>
  <si>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</si>
  <si>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</si>
  <si>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</si>
  <si>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</si>
  <si>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</si>
  <si>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</si>
  <si>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</si>
  <si>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</si>
  <si>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</si>
  <si>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</si>
  <si>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</si>
  <si>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</si>
  <si>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</si>
  <si>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</si>
  <si>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</si>
  <si>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</si>
  <si>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</si>
  <si>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</si>
  <si>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</si>
  <si>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</si>
  <si>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</si>
  <si>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</si>
  <si>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</si>
  <si>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</si>
  <si>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</si>
  <si>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</si>
  <si>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</si>
  <si>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</si>
  <si>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</si>
  <si>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</si>
  <si>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</si>
  <si>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</si>
  <si>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</si>
  <si>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</si>
  <si>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</si>
  <si>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</si>
  <si>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</si>
  <si>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</si>
  <si>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</si>
  <si>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</si>
  <si>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</si>
  <si>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</si>
  <si>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</si>
  <si>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</si>
  <si>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</si>
  <si>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</si>
  <si>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</si>
  <si>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</si>
  <si>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</si>
  <si>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</si>
  <si>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</si>
  <si>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Vi</t>
    <phoneticPr fontId="29" type="noConversion"/>
  </si>
  <si>
    <t>Vi</t>
    <phoneticPr fontId="29" type="noConversion"/>
  </si>
  <si>
    <t>BMin</t>
    <phoneticPr fontId="29" type="noConversion"/>
  </si>
  <si>
    <t>A1 (fast)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</si>
  <si>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</si>
  <si>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</si>
  <si>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</si>
  <si>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</si>
  <si>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</si>
  <si>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</si>
  <si>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</si>
  <si>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</si>
  <si>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</si>
  <si>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</si>
  <si>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[0.385824]</t>
  </si>
  <si>
    <t>1 [0.793752]</t>
  </si>
  <si>
    <t>1 [1.195689]</t>
  </si>
  <si>
    <t>1 [1.605814]</t>
  </si>
  <si>
    <t>1 [2.007380]</t>
  </si>
  <si>
    <t>1 [2.419606]</t>
  </si>
  <si>
    <t>1 [2.822509]</t>
  </si>
  <si>
    <t>1 [3.230229]</t>
  </si>
  <si>
    <t>1 [3.635479]</t>
  </si>
  <si>
    <t>1 [4.044071]</t>
  </si>
  <si>
    <t>1 [4.448024]</t>
  </si>
  <si>
    <t>1 [4.857927]</t>
  </si>
  <si>
    <t>1 [5.260797]</t>
  </si>
  <si>
    <t>1 [5.666701]</t>
  </si>
  <si>
    <t>1 [6.071759]</t>
  </si>
  <si>
    <t>1 [6.480618]</t>
  </si>
  <si>
    <t>1 [6.884541]</t>
  </si>
  <si>
    <t>1 [7.291361]</t>
  </si>
  <si>
    <t>1 [7.695246]</t>
  </si>
  <si>
    <t>1 [8.101405]</t>
  </si>
  <si>
    <t>1 [8.508093]</t>
  </si>
  <si>
    <t>1 [8.915995]</t>
  </si>
  <si>
    <t>1 [9.322029]</t>
  </si>
  <si>
    <t>1 [9.727933]</t>
  </si>
  <si>
    <t>1 [10.134780]</t>
  </si>
  <si>
    <t>1 [10.540729]</t>
  </si>
  <si>
    <t>1 [10.946606]</t>
  </si>
  <si>
    <t>1 [11.353489]</t>
  </si>
  <si>
    <t>1 [11.762508]</t>
  </si>
  <si>
    <t>1 [12.168354]</t>
  </si>
  <si>
    <t>1 [12.573721]</t>
  </si>
  <si>
    <t>1 [12.979345]</t>
  </si>
  <si>
    <t>1 [13.384220]</t>
  </si>
  <si>
    <t>1 [13.793979]</t>
  </si>
  <si>
    <t>1 [14.197983]</t>
  </si>
  <si>
    <t>1 [14.606048]</t>
  </si>
  <si>
    <t>1 [15.008848]</t>
  </si>
  <si>
    <t>1 [15.416666]</t>
  </si>
  <si>
    <t>1 [15.823732]</t>
  </si>
  <si>
    <t>1 [16.229500]</t>
  </si>
  <si>
    <t>1 [16.635380]</t>
  </si>
  <si>
    <t>1 [17.040301]</t>
  </si>
  <si>
    <t>1 [17.446578]</t>
  </si>
  <si>
    <t>1 [17.858101]</t>
  </si>
  <si>
    <t>1 [18.259142]</t>
  </si>
  <si>
    <t>1 [18.666898]</t>
  </si>
  <si>
    <t>1 [19.073143]</t>
  </si>
  <si>
    <t>1 [19.478982]</t>
  </si>
  <si>
    <t>1 [19.885655]</t>
  </si>
  <si>
    <t>1 [20.291620]</t>
  </si>
  <si>
    <t>1 [20.697640]</t>
  </si>
  <si>
    <t>1 [21.102513]</t>
  </si>
  <si>
    <t>1 [21.508399]</t>
  </si>
  <si>
    <t>1 [21.919205]</t>
  </si>
  <si>
    <t>1 [22.324199]</t>
  </si>
  <si>
    <t>1 [22.728072]</t>
  </si>
  <si>
    <t>1 [23.132088]</t>
  </si>
  <si>
    <t>1 [23.539319]</t>
  </si>
  <si>
    <t>1 [23.945840]</t>
  </si>
  <si>
    <t>1 [24.358441]</t>
  </si>
  <si>
    <t>1 [24.763599]</t>
  </si>
  <si>
    <t>1 [25.165625]</t>
  </si>
  <si>
    <t>1 [25.571817]</t>
  </si>
  <si>
    <t>1 [25.979394]</t>
  </si>
  <si>
    <t>1 [26.386341]</t>
  </si>
  <si>
    <t>1 [26.793226]</t>
  </si>
  <si>
    <t>1 [27.195128]</t>
  </si>
  <si>
    <t>1 [27.604336]</t>
  </si>
  <si>
    <t>1 [28.009978]</t>
  </si>
  <si>
    <t>1 [28.416836]</t>
  </si>
  <si>
    <t>1 [28.823046]</t>
  </si>
  <si>
    <t>1 [29.229680]</t>
  </si>
  <si>
    <t>1 [29.633628]</t>
  </si>
  <si>
    <t>1 [30.044592]</t>
  </si>
  <si>
    <t>2 [30.638456]</t>
  </si>
  <si>
    <t>2 [31.009985]</t>
  </si>
  <si>
    <t>2 [31.384935]</t>
  </si>
  <si>
    <t>2 [31.757232]</t>
  </si>
  <si>
    <t>2 [32.133920]</t>
  </si>
  <si>
    <t>2 [32.542906]</t>
  </si>
  <si>
    <t>2 [32.948125]</t>
  </si>
  <si>
    <t>2 [33.352678]</t>
  </si>
  <si>
    <t>2 [33.760611]</t>
  </si>
  <si>
    <t>2 [34.167594]</t>
  </si>
  <si>
    <t>2 [34.571477]</t>
  </si>
  <si>
    <t>2 [34.977485]</t>
  </si>
  <si>
    <t>2 [35.388279]</t>
  </si>
  <si>
    <t>2 [35.795294]</t>
  </si>
  <si>
    <t>2 [36.197068]</t>
  </si>
  <si>
    <t>2 [36.604988]</t>
  </si>
  <si>
    <t>2 [37.007288]</t>
  </si>
  <si>
    <t>2 [37.414925]</t>
  </si>
  <si>
    <t>2 [37.826744]</t>
  </si>
  <si>
    <t>2 [38.230695]</t>
  </si>
  <si>
    <t>2 [38.635589]</t>
  </si>
  <si>
    <t>2 [39.039838]</t>
  </si>
  <si>
    <t>2 [39.444457]</t>
  </si>
  <si>
    <t>2 [39.855259]</t>
  </si>
  <si>
    <t>2 [40.262257]</t>
  </si>
  <si>
    <t>2 [40.667211]</t>
  </si>
  <si>
    <t>2 [41.070036]</t>
  </si>
  <si>
    <t>2 [41.478775]</t>
  </si>
  <si>
    <t>2 [41.885874]</t>
  </si>
  <si>
    <t>2 [42.294765]</t>
  </si>
  <si>
    <t>2 [42.698683]</t>
  </si>
  <si>
    <t>2 [43.102612]</t>
  </si>
  <si>
    <t>2 [43.508855]</t>
  </si>
  <si>
    <t>2 [43.915445]</t>
  </si>
  <si>
    <t>2 [44.324388]</t>
  </si>
  <si>
    <t>2 [44.730196]</t>
  </si>
  <si>
    <t>2 [45.136193]</t>
  </si>
  <si>
    <t>2 [45.538136]</t>
  </si>
  <si>
    <t>2 [45.948114]</t>
  </si>
  <si>
    <t>2 [46.354043]</t>
  </si>
  <si>
    <t>2 [46.762820]</t>
  </si>
  <si>
    <t>2 [47.163745]</t>
  </si>
  <si>
    <t>2 [47.575135]</t>
  </si>
  <si>
    <t>2 [47.975673]</t>
  </si>
  <si>
    <t>2 [48.386517]</t>
  </si>
  <si>
    <t>2 [48.792407]</t>
  </si>
  <si>
    <t>2 [49.197522]</t>
  </si>
  <si>
    <t>2 [49.603538]</t>
  </si>
  <si>
    <t>2 [50.012184]</t>
  </si>
  <si>
    <t>2 [50.414440]</t>
  </si>
  <si>
    <t>2 [50.821940]</t>
  </si>
  <si>
    <t>2 [51.226970]</t>
  </si>
  <si>
    <t>2 [51.635060]</t>
  </si>
  <si>
    <t>2 [52.041689]</t>
  </si>
  <si>
    <t>2 [52.449618]</t>
  </si>
  <si>
    <t>2 [52.857696]</t>
  </si>
  <si>
    <t>2 [53.261409]</t>
  </si>
  <si>
    <t>2 [53.664304]</t>
  </si>
  <si>
    <t>2 [54.075487]</t>
  </si>
  <si>
    <t>2 [54.481155]</t>
  </si>
  <si>
    <t>2 [54.887210]</t>
  </si>
  <si>
    <t>2 [55.292121]</t>
  </si>
  <si>
    <t>2 [55.695009]</t>
  </si>
  <si>
    <t>2 [56.104194]</t>
  </si>
  <si>
    <t>2 [56.511897]</t>
  </si>
  <si>
    <t>2 [56.917737]</t>
  </si>
  <si>
    <t>2 [57.325555]</t>
  </si>
  <si>
    <t>2 [57.725579]</t>
  </si>
  <si>
    <t>2 [58.133464]</t>
  </si>
  <si>
    <t>2 [58.543364]</t>
  </si>
  <si>
    <t>2 [58.949465]</t>
  </si>
  <si>
    <t>2 [59.352350]</t>
  </si>
  <si>
    <t>2 [59.758177]</t>
  </si>
  <si>
    <t>2 [60.170018]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</si>
  <si>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</si>
  <si>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</si>
  <si>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</si>
  <si>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</si>
  <si>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</si>
  <si>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</si>
  <si>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</si>
  <si>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</si>
  <si>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</si>
  <si>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</si>
  <si>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</si>
  <si>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</si>
  <si>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</si>
  <si>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</si>
  <si>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张凯玲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</si>
</sst>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36.553100000000001</c:v>
                </c:pt>
                <c:pt idx="1">
                  <c:v>30.850200000000001</c:v>
                </c:pt>
                <c:pt idx="2">
                  <c:v>26.690300000000001</c:v>
                </c:pt>
                <c:pt idx="3">
                  <c:v>31.759799999999998</c:v>
                </c:pt>
                <c:pt idx="4">
                  <c:v>59.555399999999999</c:v>
                </c:pt>
                <c:pt idx="5">
                  <c:v>75.575100000000006</c:v>
                </c:pt>
                <c:pt idx="6">
                  <c:v>15.4414</c:v>
                </c:pt>
                <c:pt idx="7">
                  <c:v>67.9696</c:v>
                </c:pt>
                <c:pt idx="8">
                  <c:v>23.001999999999999</c:v>
                </c:pt>
                <c:pt idx="9">
                  <c:v>24.311299999999999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0.49779224935453042</c:v>
                </c:pt>
                <c:pt idx="1">
                  <c:v>0.28666796500854741</c:v>
                </c:pt>
                <c:pt idx="2">
                  <c:v>0.21553978563692211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9021</c:v>
                </c:pt>
                <c:pt idx="7">
                  <c:v>0</c:v>
                </c:pt>
                <c:pt idx="8">
                  <c:v>15382</c:v>
                </c:pt>
                <c:pt idx="9">
                  <c:v>0</c:v>
                </c:pt>
                <c:pt idx="10">
                  <c:v>0</c:v>
                </c:pt>
                <c:pt idx="11">
                  <c:v>16608</c:v>
                </c:pt>
                <c:pt idx="12">
                  <c:v>0</c:v>
                </c:pt>
                <c:pt idx="13">
                  <c:v>21657</c:v>
                </c:pt>
                <c:pt idx="14">
                  <c:v>0</c:v>
                </c:pt>
                <c:pt idx="15">
                  <c:v>0</c:v>
                </c:pt>
                <c:pt idx="16">
                  <c:v>35159</c:v>
                </c:pt>
                <c:pt idx="17">
                  <c:v>0</c:v>
                </c:pt>
                <c:pt idx="18">
                  <c:v>0</c:v>
                </c:pt>
                <c:pt idx="19">
                  <c:v>45401</c:v>
                </c:pt>
                <c:pt idx="20">
                  <c:v>0</c:v>
                </c:pt>
                <c:pt idx="21">
                  <c:v>52998</c:v>
                </c:pt>
                <c:pt idx="22">
                  <c:v>0</c:v>
                </c:pt>
                <c:pt idx="23">
                  <c:v>0</c:v>
                </c:pt>
                <c:pt idx="24">
                  <c:v>62080</c:v>
                </c:pt>
                <c:pt idx="25">
                  <c:v>0</c:v>
                </c:pt>
                <c:pt idx="26">
                  <c:v>83567</c:v>
                </c:pt>
                <c:pt idx="27">
                  <c:v>0</c:v>
                </c:pt>
                <c:pt idx="28">
                  <c:v>0</c:v>
                </c:pt>
                <c:pt idx="29">
                  <c:v>85819</c:v>
                </c:pt>
                <c:pt idx="30">
                  <c:v>0</c:v>
                </c:pt>
                <c:pt idx="31">
                  <c:v>99554</c:v>
                </c:pt>
                <c:pt idx="32">
                  <c:v>0</c:v>
                </c:pt>
                <c:pt idx="33">
                  <c:v>0</c:v>
                </c:pt>
                <c:pt idx="34">
                  <c:v>113366</c:v>
                </c:pt>
                <c:pt idx="35">
                  <c:v>0</c:v>
                </c:pt>
                <c:pt idx="36">
                  <c:v>0</c:v>
                </c:pt>
                <c:pt idx="37">
                  <c:v>112718</c:v>
                </c:pt>
                <c:pt idx="38">
                  <c:v>0</c:v>
                </c:pt>
                <c:pt idx="39">
                  <c:v>116076</c:v>
                </c:pt>
                <c:pt idx="40">
                  <c:v>0</c:v>
                </c:pt>
                <c:pt idx="41">
                  <c:v>0</c:v>
                </c:pt>
                <c:pt idx="42">
                  <c:v>115195</c:v>
                </c:pt>
                <c:pt idx="43">
                  <c:v>0</c:v>
                </c:pt>
                <c:pt idx="44">
                  <c:v>121428</c:v>
                </c:pt>
                <c:pt idx="45">
                  <c:v>0</c:v>
                </c:pt>
                <c:pt idx="46">
                  <c:v>0</c:v>
                </c:pt>
                <c:pt idx="47">
                  <c:v>115830</c:v>
                </c:pt>
                <c:pt idx="48">
                  <c:v>0</c:v>
                </c:pt>
                <c:pt idx="49">
                  <c:v>116667</c:v>
                </c:pt>
                <c:pt idx="50">
                  <c:v>0</c:v>
                </c:pt>
                <c:pt idx="51">
                  <c:v>0</c:v>
                </c:pt>
                <c:pt idx="52">
                  <c:v>126144</c:v>
                </c:pt>
                <c:pt idx="53">
                  <c:v>0</c:v>
                </c:pt>
                <c:pt idx="54">
                  <c:v>0</c:v>
                </c:pt>
                <c:pt idx="55">
                  <c:v>121569</c:v>
                </c:pt>
                <c:pt idx="56">
                  <c:v>0</c:v>
                </c:pt>
                <c:pt idx="57">
                  <c:v>118865</c:v>
                </c:pt>
                <c:pt idx="58">
                  <c:v>0</c:v>
                </c:pt>
                <c:pt idx="59">
                  <c:v>0</c:v>
                </c:pt>
                <c:pt idx="60">
                  <c:v>105204</c:v>
                </c:pt>
                <c:pt idx="61">
                  <c:v>0</c:v>
                </c:pt>
                <c:pt idx="62">
                  <c:v>106164</c:v>
                </c:pt>
                <c:pt idx="63">
                  <c:v>0</c:v>
                </c:pt>
                <c:pt idx="64">
                  <c:v>0</c:v>
                </c:pt>
                <c:pt idx="65">
                  <c:v>99491</c:v>
                </c:pt>
                <c:pt idx="66">
                  <c:v>0</c:v>
                </c:pt>
                <c:pt idx="67">
                  <c:v>91535</c:v>
                </c:pt>
                <c:pt idx="68">
                  <c:v>0</c:v>
                </c:pt>
                <c:pt idx="69">
                  <c:v>0</c:v>
                </c:pt>
                <c:pt idx="70">
                  <c:v>94964</c:v>
                </c:pt>
                <c:pt idx="71">
                  <c:v>0</c:v>
                </c:pt>
                <c:pt idx="72">
                  <c:v>0</c:v>
                </c:pt>
                <c:pt idx="73">
                  <c:v>89940</c:v>
                </c:pt>
                <c:pt idx="74">
                  <c:v>0</c:v>
                </c:pt>
                <c:pt idx="75">
                  <c:v>87314</c:v>
                </c:pt>
                <c:pt idx="76">
                  <c:v>0</c:v>
                </c:pt>
                <c:pt idx="77">
                  <c:v>0</c:v>
                </c:pt>
                <c:pt idx="78">
                  <c:v>79089</c:v>
                </c:pt>
                <c:pt idx="79">
                  <c:v>0</c:v>
                </c:pt>
                <c:pt idx="80">
                  <c:v>81119</c:v>
                </c:pt>
                <c:pt idx="81">
                  <c:v>0</c:v>
                </c:pt>
                <c:pt idx="82">
                  <c:v>0</c:v>
                </c:pt>
                <c:pt idx="83">
                  <c:v>82486</c:v>
                </c:pt>
                <c:pt idx="84">
                  <c:v>0</c:v>
                </c:pt>
                <c:pt idx="85">
                  <c:v>0</c:v>
                </c:pt>
                <c:pt idx="86">
                  <c:v>87377</c:v>
                </c:pt>
                <c:pt idx="87">
                  <c:v>0</c:v>
                </c:pt>
                <c:pt idx="88">
                  <c:v>81007</c:v>
                </c:pt>
                <c:pt idx="89">
                  <c:v>0</c:v>
                </c:pt>
                <c:pt idx="90">
                  <c:v>0</c:v>
                </c:pt>
                <c:pt idx="91">
                  <c:v>84702</c:v>
                </c:pt>
                <c:pt idx="92">
                  <c:v>0</c:v>
                </c:pt>
                <c:pt idx="93">
                  <c:v>84803</c:v>
                </c:pt>
                <c:pt idx="94">
                  <c:v>0</c:v>
                </c:pt>
                <c:pt idx="95">
                  <c:v>0</c:v>
                </c:pt>
                <c:pt idx="96">
                  <c:v>86516</c:v>
                </c:pt>
                <c:pt idx="97">
                  <c:v>0</c:v>
                </c:pt>
                <c:pt idx="98">
                  <c:v>85787</c:v>
                </c:pt>
                <c:pt idx="99">
                  <c:v>0</c:v>
                </c:pt>
                <c:pt idx="100">
                  <c:v>0</c:v>
                </c:pt>
                <c:pt idx="101">
                  <c:v>81992</c:v>
                </c:pt>
                <c:pt idx="102">
                  <c:v>0</c:v>
                </c:pt>
                <c:pt idx="103">
                  <c:v>0</c:v>
                </c:pt>
                <c:pt idx="104">
                  <c:v>85983</c:v>
                </c:pt>
                <c:pt idx="105">
                  <c:v>0</c:v>
                </c:pt>
                <c:pt idx="106">
                  <c:v>80413</c:v>
                </c:pt>
                <c:pt idx="107">
                  <c:v>0</c:v>
                </c:pt>
                <c:pt idx="108">
                  <c:v>0</c:v>
                </c:pt>
                <c:pt idx="109">
                  <c:v>70192</c:v>
                </c:pt>
                <c:pt idx="110">
                  <c:v>0</c:v>
                </c:pt>
                <c:pt idx="111">
                  <c:v>67610</c:v>
                </c:pt>
                <c:pt idx="112">
                  <c:v>0</c:v>
                </c:pt>
                <c:pt idx="113">
                  <c:v>0</c:v>
                </c:pt>
                <c:pt idx="114">
                  <c:v>66325</c:v>
                </c:pt>
                <c:pt idx="115">
                  <c:v>0</c:v>
                </c:pt>
                <c:pt idx="116">
                  <c:v>59351</c:v>
                </c:pt>
                <c:pt idx="117">
                  <c:v>0</c:v>
                </c:pt>
                <c:pt idx="118">
                  <c:v>0</c:v>
                </c:pt>
                <c:pt idx="119">
                  <c:v>49052</c:v>
                </c:pt>
                <c:pt idx="120">
                  <c:v>0</c:v>
                </c:pt>
                <c:pt idx="121">
                  <c:v>0</c:v>
                </c:pt>
                <c:pt idx="122">
                  <c:v>40016</c:v>
                </c:pt>
                <c:pt idx="123">
                  <c:v>0</c:v>
                </c:pt>
                <c:pt idx="124">
                  <c:v>32737</c:v>
                </c:pt>
                <c:pt idx="125">
                  <c:v>0</c:v>
                </c:pt>
                <c:pt idx="126">
                  <c:v>0</c:v>
                </c:pt>
                <c:pt idx="127">
                  <c:v>31520</c:v>
                </c:pt>
                <c:pt idx="128">
                  <c:v>0</c:v>
                </c:pt>
                <c:pt idx="129">
                  <c:v>29431</c:v>
                </c:pt>
                <c:pt idx="130">
                  <c:v>0</c:v>
                </c:pt>
                <c:pt idx="131">
                  <c:v>0</c:v>
                </c:pt>
                <c:pt idx="132">
                  <c:v>31085</c:v>
                </c:pt>
                <c:pt idx="133">
                  <c:v>0</c:v>
                </c:pt>
                <c:pt idx="134">
                  <c:v>27103</c:v>
                </c:pt>
                <c:pt idx="135">
                  <c:v>0</c:v>
                </c:pt>
                <c:pt idx="136">
                  <c:v>0</c:v>
                </c:pt>
                <c:pt idx="137">
                  <c:v>23175</c:v>
                </c:pt>
                <c:pt idx="138">
                  <c:v>0</c:v>
                </c:pt>
                <c:pt idx="139">
                  <c:v>0</c:v>
                </c:pt>
                <c:pt idx="140">
                  <c:v>22774</c:v>
                </c:pt>
                <c:pt idx="141">
                  <c:v>0</c:v>
                </c:pt>
                <c:pt idx="142">
                  <c:v>21679</c:v>
                </c:pt>
                <c:pt idx="143">
                  <c:v>0</c:v>
                </c:pt>
                <c:pt idx="144">
                  <c:v>0</c:v>
                </c:pt>
                <c:pt idx="145">
                  <c:v>18097</c:v>
                </c:pt>
                <c:pt idx="146">
                  <c:v>0</c:v>
                </c:pt>
                <c:pt idx="147">
                  <c:v>16884</c:v>
                </c:pt>
                <c:pt idx="148">
                  <c:v>0</c:v>
                </c:pt>
                <c:pt idx="149">
                  <c:v>0</c:v>
                </c:pt>
                <c:pt idx="150">
                  <c:v>14086</c:v>
                </c:pt>
                <c:pt idx="151">
                  <c:v>0</c:v>
                </c:pt>
                <c:pt idx="152">
                  <c:v>11944</c:v>
                </c:pt>
                <c:pt idx="153">
                  <c:v>0</c:v>
                </c:pt>
                <c:pt idx="154">
                  <c:v>0</c:v>
                </c:pt>
                <c:pt idx="155">
                  <c:v>6442</c:v>
                </c:pt>
                <c:pt idx="156">
                  <c:v>0</c:v>
                </c:pt>
                <c:pt idx="157">
                  <c:v>0</c:v>
                </c:pt>
                <c:pt idx="158">
                  <c:v>4521</c:v>
                </c:pt>
                <c:pt idx="159">
                  <c:v>0</c:v>
                </c:pt>
                <c:pt idx="160">
                  <c:v>3008</c:v>
                </c:pt>
                <c:pt idx="161">
                  <c:v>0</c:v>
                </c:pt>
                <c:pt idx="162">
                  <c:v>0</c:v>
                </c:pt>
                <c:pt idx="163">
                  <c:v>1943</c:v>
                </c:pt>
                <c:pt idx="164">
                  <c:v>0</c:v>
                </c:pt>
                <c:pt idx="165">
                  <c:v>1499</c:v>
                </c:pt>
                <c:pt idx="166">
                  <c:v>0</c:v>
                </c:pt>
                <c:pt idx="167">
                  <c:v>0</c:v>
                </c:pt>
                <c:pt idx="168">
                  <c:v>628</c:v>
                </c:pt>
                <c:pt idx="169">
                  <c:v>0</c:v>
                </c:pt>
                <c:pt idx="170">
                  <c:v>0</c:v>
                </c:pt>
                <c:pt idx="171">
                  <c:v>475</c:v>
                </c:pt>
                <c:pt idx="172">
                  <c:v>0</c:v>
                </c:pt>
                <c:pt idx="173">
                  <c:v>471</c:v>
                </c:pt>
                <c:pt idx="174">
                  <c:v>0</c:v>
                </c:pt>
                <c:pt idx="175">
                  <c:v>0</c:v>
                </c:pt>
                <c:pt idx="176">
                  <c:v>104</c:v>
                </c:pt>
                <c:pt idx="177">
                  <c:v>0</c:v>
                </c:pt>
                <c:pt idx="178">
                  <c:v>156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1.94655</c:v>
                </c:pt>
                <c:pt idx="1">
                  <c:v>2.0201199999999999</c:v>
                </c:pt>
                <c:pt idx="2">
                  <c:v>2.0923600000000002</c:v>
                </c:pt>
                <c:pt idx="3">
                  <c:v>2.1636800000000003</c:v>
                </c:pt>
                <c:pt idx="4">
                  <c:v>2.2323299999999997</c:v>
                </c:pt>
                <c:pt idx="5">
                  <c:v>2.3031299999999999</c:v>
                </c:pt>
                <c:pt idx="6">
                  <c:v>2.3732899999999999</c:v>
                </c:pt>
                <c:pt idx="7">
                  <c:v>2.44096</c:v>
                </c:pt>
                <c:pt idx="8">
                  <c:v>2.5070399999999999</c:v>
                </c:pt>
                <c:pt idx="9">
                  <c:v>2.5708599999999997</c:v>
                </c:pt>
                <c:pt idx="10">
                  <c:v>2.6321499999999998</c:v>
                </c:pt>
                <c:pt idx="11">
                  <c:v>2.6898899999999997</c:v>
                </c:pt>
                <c:pt idx="12">
                  <c:v>2.7465800000000002</c:v>
                </c:pt>
                <c:pt idx="13">
                  <c:v>2.8014399999999999</c:v>
                </c:pt>
                <c:pt idx="14">
                  <c:v>2.8540399999999999</c:v>
                </c:pt>
                <c:pt idx="15">
                  <c:v>2.9027099999999999</c:v>
                </c:pt>
                <c:pt idx="16">
                  <c:v>2.9452800000000003</c:v>
                </c:pt>
                <c:pt idx="17">
                  <c:v>2.9814600000000002</c:v>
                </c:pt>
                <c:pt idx="18">
                  <c:v>3.0120100000000001</c:v>
                </c:pt>
                <c:pt idx="19">
                  <c:v>3.0376500000000002</c:v>
                </c:pt>
                <c:pt idx="20">
                  <c:v>3.0600399999999999</c:v>
                </c:pt>
                <c:pt idx="21">
                  <c:v>3.07979</c:v>
                </c:pt>
                <c:pt idx="22">
                  <c:v>3.0965799999999999</c:v>
                </c:pt>
                <c:pt idx="23">
                  <c:v>3.1094899999999996</c:v>
                </c:pt>
                <c:pt idx="24">
                  <c:v>3.1187500000000004</c:v>
                </c:pt>
                <c:pt idx="25">
                  <c:v>3.1253399999999996</c:v>
                </c:pt>
                <c:pt idx="26">
                  <c:v>3.1296400000000002</c:v>
                </c:pt>
                <c:pt idx="27">
                  <c:v>3.1320199999999998</c:v>
                </c:pt>
                <c:pt idx="28">
                  <c:v>3.1316600000000001</c:v>
                </c:pt>
                <c:pt idx="29">
                  <c:v>3.1288100000000001</c:v>
                </c:pt>
                <c:pt idx="30">
                  <c:v>3.12188</c:v>
                </c:pt>
                <c:pt idx="31">
                  <c:v>3.1110700000000002</c:v>
                </c:pt>
                <c:pt idx="32">
                  <c:v>3.09707</c:v>
                </c:pt>
                <c:pt idx="33">
                  <c:v>3.08223</c:v>
                </c:pt>
                <c:pt idx="34">
                  <c:v>3.0664200000000004</c:v>
                </c:pt>
                <c:pt idx="35">
                  <c:v>3.0492999999999997</c:v>
                </c:pt>
                <c:pt idx="36">
                  <c:v>3.0314299999999998</c:v>
                </c:pt>
                <c:pt idx="37">
                  <c:v>3.0110999999999999</c:v>
                </c:pt>
                <c:pt idx="38">
                  <c:v>2.9875499999999997</c:v>
                </c:pt>
                <c:pt idx="39">
                  <c:v>2.9628500000000004</c:v>
                </c:pt>
                <c:pt idx="40">
                  <c:v>2.93865</c:v>
                </c:pt>
                <c:pt idx="41">
                  <c:v>2.9174699999999998</c:v>
                </c:pt>
                <c:pt idx="42">
                  <c:v>2.9024200000000002</c:v>
                </c:pt>
                <c:pt idx="43">
                  <c:v>2.8913100000000003</c:v>
                </c:pt>
                <c:pt idx="44">
                  <c:v>2.8846100000000003</c:v>
                </c:pt>
                <c:pt idx="45">
                  <c:v>2.8803800000000002</c:v>
                </c:pt>
                <c:pt idx="46">
                  <c:v>2.8782999999999999</c:v>
                </c:pt>
                <c:pt idx="47">
                  <c:v>2.8773999999999997</c:v>
                </c:pt>
                <c:pt idx="48">
                  <c:v>2.8774899999999999</c:v>
                </c:pt>
                <c:pt idx="49">
                  <c:v>2.8783300000000001</c:v>
                </c:pt>
                <c:pt idx="50">
                  <c:v>2.8766999999999996</c:v>
                </c:pt>
                <c:pt idx="51">
                  <c:v>2.8783799999999999</c:v>
                </c:pt>
                <c:pt idx="52">
                  <c:v>2.88008</c:v>
                </c:pt>
                <c:pt idx="53">
                  <c:v>2.8831899999999999</c:v>
                </c:pt>
                <c:pt idx="54">
                  <c:v>2.8907799999999999</c:v>
                </c:pt>
                <c:pt idx="55">
                  <c:v>2.8984100000000002</c:v>
                </c:pt>
                <c:pt idx="56">
                  <c:v>2.90909</c:v>
                </c:pt>
                <c:pt idx="57">
                  <c:v>2.9218600000000001</c:v>
                </c:pt>
                <c:pt idx="58">
                  <c:v>2.93438</c:v>
                </c:pt>
                <c:pt idx="59">
                  <c:v>2.9468899999999998</c:v>
                </c:pt>
                <c:pt idx="60">
                  <c:v>2.9604999999999997</c:v>
                </c:pt>
                <c:pt idx="61">
                  <c:v>2.9763000000000002</c:v>
                </c:pt>
                <c:pt idx="62">
                  <c:v>2.9938900000000004</c:v>
                </c:pt>
                <c:pt idx="63">
                  <c:v>3.0174400000000001</c:v>
                </c:pt>
                <c:pt idx="64">
                  <c:v>3.0420799999999999</c:v>
                </c:pt>
                <c:pt idx="65">
                  <c:v>3.0619400000000003</c:v>
                </c:pt>
                <c:pt idx="66">
                  <c:v>3.0789800000000001</c:v>
                </c:pt>
                <c:pt idx="67">
                  <c:v>3.0942399999999997</c:v>
                </c:pt>
                <c:pt idx="68">
                  <c:v>3.1058699999999999</c:v>
                </c:pt>
                <c:pt idx="69">
                  <c:v>3.11416</c:v>
                </c:pt>
                <c:pt idx="70">
                  <c:v>3.1186399999999996</c:v>
                </c:pt>
                <c:pt idx="71">
                  <c:v>3.1229899999999997</c:v>
                </c:pt>
                <c:pt idx="72">
                  <c:v>3.1252499999999999</c:v>
                </c:pt>
                <c:pt idx="73">
                  <c:v>3.1252499999999999</c:v>
                </c:pt>
                <c:pt idx="74">
                  <c:v>3.1227899999999997</c:v>
                </c:pt>
                <c:pt idx="75">
                  <c:v>3.1145</c:v>
                </c:pt>
                <c:pt idx="76">
                  <c:v>3.1079600000000003</c:v>
                </c:pt>
                <c:pt idx="77">
                  <c:v>3.1000399999999999</c:v>
                </c:pt>
                <c:pt idx="78">
                  <c:v>3.0876999999999999</c:v>
                </c:pt>
                <c:pt idx="79">
                  <c:v>3.07226</c:v>
                </c:pt>
                <c:pt idx="80">
                  <c:v>3.0563699999999998</c:v>
                </c:pt>
                <c:pt idx="81">
                  <c:v>3.03647</c:v>
                </c:pt>
                <c:pt idx="82">
                  <c:v>3.0152600000000001</c:v>
                </c:pt>
                <c:pt idx="83">
                  <c:v>2.9940600000000002</c:v>
                </c:pt>
                <c:pt idx="84">
                  <c:v>2.9723699999999997</c:v>
                </c:pt>
                <c:pt idx="85">
                  <c:v>2.9473700000000003</c:v>
                </c:pt>
                <c:pt idx="86">
                  <c:v>2.91927</c:v>
                </c:pt>
                <c:pt idx="87">
                  <c:v>2.8870299999999998</c:v>
                </c:pt>
                <c:pt idx="88">
                  <c:v>2.8490700000000002</c:v>
                </c:pt>
                <c:pt idx="89">
                  <c:v>2.81209</c:v>
                </c:pt>
                <c:pt idx="90">
                  <c:v>2.7794999999999996</c:v>
                </c:pt>
                <c:pt idx="91">
                  <c:v>2.74912</c:v>
                </c:pt>
                <c:pt idx="92">
                  <c:v>2.72105</c:v>
                </c:pt>
                <c:pt idx="93">
                  <c:v>2.6990999999999996</c:v>
                </c:pt>
                <c:pt idx="94">
                  <c:v>2.6802299999999999</c:v>
                </c:pt>
                <c:pt idx="95">
                  <c:v>2.6600200000000003</c:v>
                </c:pt>
                <c:pt idx="96">
                  <c:v>2.6418699999999999</c:v>
                </c:pt>
                <c:pt idx="97">
                  <c:v>2.6247599999999998</c:v>
                </c:pt>
                <c:pt idx="98">
                  <c:v>2.6113300000000002</c:v>
                </c:pt>
                <c:pt idx="99">
                  <c:v>2.6015899999999998</c:v>
                </c:pt>
                <c:pt idx="100">
                  <c:v>2.5942500000000002</c:v>
                </c:pt>
                <c:pt idx="101">
                  <c:v>2.5889000000000002</c:v>
                </c:pt>
                <c:pt idx="102">
                  <c:v>2.58413</c:v>
                </c:pt>
                <c:pt idx="103">
                  <c:v>2.5801800000000004</c:v>
                </c:pt>
                <c:pt idx="104">
                  <c:v>2.5780799999999999</c:v>
                </c:pt>
                <c:pt idx="105">
                  <c:v>2.5775399999999999</c:v>
                </c:pt>
                <c:pt idx="106">
                  <c:v>2.5809100000000003</c:v>
                </c:pt>
                <c:pt idx="107">
                  <c:v>2.5867</c:v>
                </c:pt>
                <c:pt idx="108">
                  <c:v>2.5957000000000003</c:v>
                </c:pt>
                <c:pt idx="109">
                  <c:v>2.6053700000000002</c:v>
                </c:pt>
                <c:pt idx="110">
                  <c:v>2.6163599999999998</c:v>
                </c:pt>
                <c:pt idx="111">
                  <c:v>2.6281700000000003</c:v>
                </c:pt>
                <c:pt idx="112">
                  <c:v>2.63747</c:v>
                </c:pt>
                <c:pt idx="113">
                  <c:v>2.6467600000000004</c:v>
                </c:pt>
                <c:pt idx="114">
                  <c:v>2.6554000000000002</c:v>
                </c:pt>
                <c:pt idx="115">
                  <c:v>2.6633599999999999</c:v>
                </c:pt>
                <c:pt idx="116">
                  <c:v>2.6684600000000005</c:v>
                </c:pt>
                <c:pt idx="117">
                  <c:v>2.6728299999999998</c:v>
                </c:pt>
                <c:pt idx="118">
                  <c:v>2.6764700000000001</c:v>
                </c:pt>
                <c:pt idx="119">
                  <c:v>2.6791199999999997</c:v>
                </c:pt>
                <c:pt idx="120">
                  <c:v>2.6797</c:v>
                </c:pt>
                <c:pt idx="121">
                  <c:v>2.6819799999999998</c:v>
                </c:pt>
                <c:pt idx="122">
                  <c:v>2.6879399999999998</c:v>
                </c:pt>
                <c:pt idx="123">
                  <c:v>2.6945100000000002</c:v>
                </c:pt>
                <c:pt idx="124">
                  <c:v>2.6981999999999999</c:v>
                </c:pt>
                <c:pt idx="125">
                  <c:v>2.6986100000000004</c:v>
                </c:pt>
                <c:pt idx="126">
                  <c:v>2.6992899999999995</c:v>
                </c:pt>
                <c:pt idx="127">
                  <c:v>2.7003599999999999</c:v>
                </c:pt>
                <c:pt idx="128">
                  <c:v>2.7027800000000002</c:v>
                </c:pt>
                <c:pt idx="129">
                  <c:v>2.7060299999999997</c:v>
                </c:pt>
                <c:pt idx="130">
                  <c:v>2.7092399999999999</c:v>
                </c:pt>
                <c:pt idx="131">
                  <c:v>2.7108700000000003</c:v>
                </c:pt>
                <c:pt idx="132">
                  <c:v>2.7110300000000001</c:v>
                </c:pt>
                <c:pt idx="133">
                  <c:v>2.7069399999999999</c:v>
                </c:pt>
                <c:pt idx="134">
                  <c:v>2.7011699999999998</c:v>
                </c:pt>
                <c:pt idx="135">
                  <c:v>2.6949800000000002</c:v>
                </c:pt>
                <c:pt idx="136">
                  <c:v>2.6873900000000002</c:v>
                </c:pt>
                <c:pt idx="137">
                  <c:v>2.6832000000000003</c:v>
                </c:pt>
                <c:pt idx="138">
                  <c:v>2.68052</c:v>
                </c:pt>
                <c:pt idx="139">
                  <c:v>2.67638</c:v>
                </c:pt>
                <c:pt idx="140">
                  <c:v>2.67354</c:v>
                </c:pt>
                <c:pt idx="141">
                  <c:v>2.6727099999999999</c:v>
                </c:pt>
                <c:pt idx="142">
                  <c:v>2.6737300000000004</c:v>
                </c:pt>
                <c:pt idx="143">
                  <c:v>2.6742500000000002</c:v>
                </c:pt>
                <c:pt idx="144">
                  <c:v>2.67896</c:v>
                </c:pt>
                <c:pt idx="145">
                  <c:v>2.7063700000000002</c:v>
                </c:pt>
                <c:pt idx="146">
                  <c:v>2.7397300000000002</c:v>
                </c:pt>
                <c:pt idx="147">
                  <c:v>2.7616899999999998</c:v>
                </c:pt>
                <c:pt idx="148">
                  <c:v>2.7811599999999999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51.420699999999997</c:v>
                </c:pt>
                <c:pt idx="1">
                  <c:v>50.0501</c:v>
                </c:pt>
                <c:pt idx="2">
                  <c:v>48.826000000000001</c:v>
                </c:pt>
                <c:pt idx="3">
                  <c:v>47.699100000000001</c:v>
                </c:pt>
                <c:pt idx="4">
                  <c:v>46.682600000000001</c:v>
                </c:pt>
                <c:pt idx="5">
                  <c:v>45.539200000000001</c:v>
                </c:pt>
                <c:pt idx="6">
                  <c:v>44.509599999999999</c:v>
                </c:pt>
                <c:pt idx="7">
                  <c:v>43.544699999999999</c:v>
                </c:pt>
                <c:pt idx="8">
                  <c:v>42.688800000000001</c:v>
                </c:pt>
                <c:pt idx="9">
                  <c:v>41.945300000000003</c:v>
                </c:pt>
                <c:pt idx="10">
                  <c:v>41.335599999999999</c:v>
                </c:pt>
                <c:pt idx="11">
                  <c:v>40.762300000000003</c:v>
                </c:pt>
                <c:pt idx="12">
                  <c:v>40.182600000000001</c:v>
                </c:pt>
                <c:pt idx="13">
                  <c:v>39.511200000000002</c:v>
                </c:pt>
                <c:pt idx="14">
                  <c:v>38.756399999999999</c:v>
                </c:pt>
                <c:pt idx="15">
                  <c:v>37.9467</c:v>
                </c:pt>
                <c:pt idx="16">
                  <c:v>37.205300000000001</c:v>
                </c:pt>
                <c:pt idx="17">
                  <c:v>36.581099999999999</c:v>
                </c:pt>
                <c:pt idx="18">
                  <c:v>36.016399999999997</c:v>
                </c:pt>
                <c:pt idx="19">
                  <c:v>35.532299999999999</c:v>
                </c:pt>
                <c:pt idx="20">
                  <c:v>35.061399999999999</c:v>
                </c:pt>
                <c:pt idx="21">
                  <c:v>34.651800000000001</c:v>
                </c:pt>
                <c:pt idx="22">
                  <c:v>34.230699999999999</c:v>
                </c:pt>
                <c:pt idx="23">
                  <c:v>33.8155</c:v>
                </c:pt>
                <c:pt idx="24">
                  <c:v>33.427399999999999</c:v>
                </c:pt>
                <c:pt idx="25">
                  <c:v>33.070399999999999</c:v>
                </c:pt>
                <c:pt idx="26">
                  <c:v>32.751100000000001</c:v>
                </c:pt>
                <c:pt idx="27">
                  <c:v>32.427</c:v>
                </c:pt>
                <c:pt idx="28">
                  <c:v>32.151400000000002</c:v>
                </c:pt>
                <c:pt idx="29">
                  <c:v>31.845099999999999</c:v>
                </c:pt>
                <c:pt idx="30">
                  <c:v>31.554100000000002</c:v>
                </c:pt>
                <c:pt idx="31">
                  <c:v>31.244100000000003</c:v>
                </c:pt>
                <c:pt idx="32">
                  <c:v>30.9316</c:v>
                </c:pt>
                <c:pt idx="33">
                  <c:v>30.635200000000001</c:v>
                </c:pt>
                <c:pt idx="34">
                  <c:v>30.379899999999999</c:v>
                </c:pt>
                <c:pt idx="35">
                  <c:v>30.152099999999997</c:v>
                </c:pt>
                <c:pt idx="36">
                  <c:v>29.945500000000003</c:v>
                </c:pt>
                <c:pt idx="37">
                  <c:v>29.696400000000001</c:v>
                </c:pt>
                <c:pt idx="38">
                  <c:v>29.458499999999997</c:v>
                </c:pt>
                <c:pt idx="39">
                  <c:v>29.274000000000001</c:v>
                </c:pt>
                <c:pt idx="40">
                  <c:v>29.200500000000002</c:v>
                </c:pt>
                <c:pt idx="41">
                  <c:v>29.145500000000002</c:v>
                </c:pt>
                <c:pt idx="42">
                  <c:v>29.078199999999999</c:v>
                </c:pt>
                <c:pt idx="43">
                  <c:v>29.028599999999997</c:v>
                </c:pt>
                <c:pt idx="44">
                  <c:v>28.9255</c:v>
                </c:pt>
                <c:pt idx="45">
                  <c:v>28.772300000000001</c:v>
                </c:pt>
                <c:pt idx="46">
                  <c:v>28.580400000000001</c:v>
                </c:pt>
                <c:pt idx="47">
                  <c:v>28.396000000000001</c:v>
                </c:pt>
                <c:pt idx="48">
                  <c:v>28.186</c:v>
                </c:pt>
                <c:pt idx="49">
                  <c:v>27.9773</c:v>
                </c:pt>
                <c:pt idx="50">
                  <c:v>27.799299999999999</c:v>
                </c:pt>
                <c:pt idx="51">
                  <c:v>27.590500000000002</c:v>
                </c:pt>
                <c:pt idx="52">
                  <c:v>27.385199999999998</c:v>
                </c:pt>
                <c:pt idx="53">
                  <c:v>27.168599999999998</c:v>
                </c:pt>
                <c:pt idx="54">
                  <c:v>26.961299999999998</c:v>
                </c:pt>
                <c:pt idx="55">
                  <c:v>26.8324</c:v>
                </c:pt>
                <c:pt idx="56">
                  <c:v>26.733800000000002</c:v>
                </c:pt>
                <c:pt idx="57">
                  <c:v>26.6633</c:v>
                </c:pt>
                <c:pt idx="58">
                  <c:v>26.633499999999998</c:v>
                </c:pt>
                <c:pt idx="59">
                  <c:v>26.621099999999998</c:v>
                </c:pt>
                <c:pt idx="60">
                  <c:v>26.6052</c:v>
                </c:pt>
                <c:pt idx="61">
                  <c:v>26.553799999999999</c:v>
                </c:pt>
                <c:pt idx="62">
                  <c:v>26.580300000000001</c:v>
                </c:pt>
                <c:pt idx="63">
                  <c:v>26.6111</c:v>
                </c:pt>
                <c:pt idx="64">
                  <c:v>26.692</c:v>
                </c:pt>
                <c:pt idx="65">
                  <c:v>26.796199999999999</c:v>
                </c:pt>
                <c:pt idx="66">
                  <c:v>26.847199999999997</c:v>
                </c:pt>
                <c:pt idx="67">
                  <c:v>26.850600000000004</c:v>
                </c:pt>
                <c:pt idx="68">
                  <c:v>26.909100000000002</c:v>
                </c:pt>
                <c:pt idx="69">
                  <c:v>27.005699999999997</c:v>
                </c:pt>
                <c:pt idx="70">
                  <c:v>27.150500000000001</c:v>
                </c:pt>
                <c:pt idx="71">
                  <c:v>27.256200000000003</c:v>
                </c:pt>
                <c:pt idx="72">
                  <c:v>27.398</c:v>
                </c:pt>
                <c:pt idx="73">
                  <c:v>27.594200000000001</c:v>
                </c:pt>
                <c:pt idx="74">
                  <c:v>27.806100000000001</c:v>
                </c:pt>
                <c:pt idx="75">
                  <c:v>28.091899999999999</c:v>
                </c:pt>
                <c:pt idx="76">
                  <c:v>28.314099999999996</c:v>
                </c:pt>
                <c:pt idx="77">
                  <c:v>28.5578</c:v>
                </c:pt>
                <c:pt idx="78">
                  <c:v>28.812500000000004</c:v>
                </c:pt>
                <c:pt idx="79">
                  <c:v>29.081000000000003</c:v>
                </c:pt>
                <c:pt idx="80">
                  <c:v>29.367700000000003</c:v>
                </c:pt>
                <c:pt idx="81">
                  <c:v>29.697299999999998</c:v>
                </c:pt>
                <c:pt idx="82">
                  <c:v>30.068200000000001</c:v>
                </c:pt>
                <c:pt idx="83">
                  <c:v>30.429600000000001</c:v>
                </c:pt>
                <c:pt idx="84">
                  <c:v>30.819299999999998</c:v>
                </c:pt>
                <c:pt idx="85">
                  <c:v>31.248100000000001</c:v>
                </c:pt>
                <c:pt idx="86">
                  <c:v>31.769199999999998</c:v>
                </c:pt>
                <c:pt idx="87">
                  <c:v>32.440400000000004</c:v>
                </c:pt>
                <c:pt idx="88">
                  <c:v>33.273699999999998</c:v>
                </c:pt>
                <c:pt idx="89">
                  <c:v>34.185000000000002</c:v>
                </c:pt>
                <c:pt idx="90">
                  <c:v>35.069400000000002</c:v>
                </c:pt>
                <c:pt idx="91">
                  <c:v>36.054700000000004</c:v>
                </c:pt>
                <c:pt idx="92">
                  <c:v>36.9681</c:v>
                </c:pt>
                <c:pt idx="93">
                  <c:v>37.755300000000005</c:v>
                </c:pt>
                <c:pt idx="94">
                  <c:v>38.520400000000002</c:v>
                </c:pt>
                <c:pt idx="95">
                  <c:v>39.297800000000002</c:v>
                </c:pt>
                <c:pt idx="96">
                  <c:v>40.024300000000004</c:v>
                </c:pt>
                <c:pt idx="97">
                  <c:v>40.719699999999996</c:v>
                </c:pt>
                <c:pt idx="98">
                  <c:v>41.373699999999999</c:v>
                </c:pt>
                <c:pt idx="99">
                  <c:v>41.981699999999996</c:v>
                </c:pt>
                <c:pt idx="100">
                  <c:v>42.566800000000001</c:v>
                </c:pt>
                <c:pt idx="101">
                  <c:v>43.096800000000002</c:v>
                </c:pt>
                <c:pt idx="102">
                  <c:v>43.590699999999998</c:v>
                </c:pt>
                <c:pt idx="103">
                  <c:v>44.024700000000003</c:v>
                </c:pt>
                <c:pt idx="104">
                  <c:v>44.420200000000001</c:v>
                </c:pt>
                <c:pt idx="105">
                  <c:v>44.743200000000002</c:v>
                </c:pt>
                <c:pt idx="106">
                  <c:v>44.992199999999997</c:v>
                </c:pt>
                <c:pt idx="107">
                  <c:v>45.1098</c:v>
                </c:pt>
                <c:pt idx="108">
                  <c:v>45.141399999999997</c:v>
                </c:pt>
                <c:pt idx="109">
                  <c:v>45.133099999999999</c:v>
                </c:pt>
                <c:pt idx="110">
                  <c:v>45.0779</c:v>
                </c:pt>
                <c:pt idx="111">
                  <c:v>44.951799999999999</c:v>
                </c:pt>
                <c:pt idx="112">
                  <c:v>44.755499999999998</c:v>
                </c:pt>
                <c:pt idx="113">
                  <c:v>44.5336</c:v>
                </c:pt>
                <c:pt idx="114">
                  <c:v>44.307900000000004</c:v>
                </c:pt>
                <c:pt idx="115">
                  <c:v>44.176500000000004</c:v>
                </c:pt>
                <c:pt idx="116">
                  <c:v>44.081600000000002</c:v>
                </c:pt>
                <c:pt idx="117">
                  <c:v>44.016100000000002</c:v>
                </c:pt>
                <c:pt idx="118">
                  <c:v>43.964100000000002</c:v>
                </c:pt>
                <c:pt idx="119">
                  <c:v>43.8949</c:v>
                </c:pt>
                <c:pt idx="120">
                  <c:v>43.8339</c:v>
                </c:pt>
                <c:pt idx="121">
                  <c:v>43.847500000000004</c:v>
                </c:pt>
                <c:pt idx="122">
                  <c:v>43.8889</c:v>
                </c:pt>
                <c:pt idx="123">
                  <c:v>43.898600000000002</c:v>
                </c:pt>
                <c:pt idx="124">
                  <c:v>43.869799999999998</c:v>
                </c:pt>
                <c:pt idx="125">
                  <c:v>43.782600000000002</c:v>
                </c:pt>
                <c:pt idx="126">
                  <c:v>43.655300000000004</c:v>
                </c:pt>
                <c:pt idx="127">
                  <c:v>43.528099999999995</c:v>
                </c:pt>
                <c:pt idx="128">
                  <c:v>43.405999999999999</c:v>
                </c:pt>
                <c:pt idx="129">
                  <c:v>43.2333</c:v>
                </c:pt>
                <c:pt idx="130">
                  <c:v>43.044700000000006</c:v>
                </c:pt>
                <c:pt idx="131">
                  <c:v>42.823699999999995</c:v>
                </c:pt>
                <c:pt idx="132">
                  <c:v>42.6554</c:v>
                </c:pt>
                <c:pt idx="133">
                  <c:v>42.562800000000003</c:v>
                </c:pt>
                <c:pt idx="134">
                  <c:v>42.5105</c:v>
                </c:pt>
                <c:pt idx="135">
                  <c:v>42.529299999999999</c:v>
                </c:pt>
                <c:pt idx="136">
                  <c:v>42.662700000000001</c:v>
                </c:pt>
                <c:pt idx="137">
                  <c:v>42.919899999999998</c:v>
                </c:pt>
                <c:pt idx="138">
                  <c:v>43.2361</c:v>
                </c:pt>
                <c:pt idx="139">
                  <c:v>43.566600000000001</c:v>
                </c:pt>
                <c:pt idx="140">
                  <c:v>43.838899999999995</c:v>
                </c:pt>
                <c:pt idx="141">
                  <c:v>44.098799999999997</c:v>
                </c:pt>
                <c:pt idx="142">
                  <c:v>44.370399999999997</c:v>
                </c:pt>
                <c:pt idx="143">
                  <c:v>44.728000000000002</c:v>
                </c:pt>
                <c:pt idx="144">
                  <c:v>45.158200000000001</c:v>
                </c:pt>
                <c:pt idx="145">
                  <c:v>45.741799999999998</c:v>
                </c:pt>
                <c:pt idx="146">
                  <c:v>46.2181</c:v>
                </c:pt>
                <c:pt idx="147">
                  <c:v>46.310600000000001</c:v>
                </c:pt>
                <c:pt idx="148">
                  <c:v>46.599299999999999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1.94655</c:v>
                </c:pt>
                <c:pt idx="1">
                  <c:v>2.0201199999999999</c:v>
                </c:pt>
                <c:pt idx="2">
                  <c:v>2.0923600000000002</c:v>
                </c:pt>
                <c:pt idx="3">
                  <c:v>2.1636800000000003</c:v>
                </c:pt>
                <c:pt idx="4">
                  <c:v>2.2323299999999997</c:v>
                </c:pt>
                <c:pt idx="5">
                  <c:v>2.3031299999999999</c:v>
                </c:pt>
                <c:pt idx="6">
                  <c:v>2.3732899999999999</c:v>
                </c:pt>
                <c:pt idx="7">
                  <c:v>2.44096</c:v>
                </c:pt>
                <c:pt idx="8">
                  <c:v>2.5070399999999999</c:v>
                </c:pt>
                <c:pt idx="9">
                  <c:v>2.5708599999999997</c:v>
                </c:pt>
                <c:pt idx="10">
                  <c:v>2.6321499999999998</c:v>
                </c:pt>
                <c:pt idx="11">
                  <c:v>2.6898899999999997</c:v>
                </c:pt>
                <c:pt idx="12">
                  <c:v>2.7465800000000002</c:v>
                </c:pt>
                <c:pt idx="13">
                  <c:v>2.8014399999999999</c:v>
                </c:pt>
                <c:pt idx="14">
                  <c:v>2.8540399999999999</c:v>
                </c:pt>
                <c:pt idx="15">
                  <c:v>2.9027099999999999</c:v>
                </c:pt>
                <c:pt idx="16">
                  <c:v>2.9452800000000003</c:v>
                </c:pt>
                <c:pt idx="17">
                  <c:v>2.9814600000000002</c:v>
                </c:pt>
                <c:pt idx="18">
                  <c:v>3.0120100000000001</c:v>
                </c:pt>
                <c:pt idx="19">
                  <c:v>3.0376500000000002</c:v>
                </c:pt>
                <c:pt idx="20">
                  <c:v>3.0600399999999999</c:v>
                </c:pt>
                <c:pt idx="21">
                  <c:v>3.07979</c:v>
                </c:pt>
                <c:pt idx="22">
                  <c:v>3.0965799999999999</c:v>
                </c:pt>
                <c:pt idx="23">
                  <c:v>3.1094899999999996</c:v>
                </c:pt>
                <c:pt idx="24">
                  <c:v>3.1187500000000004</c:v>
                </c:pt>
                <c:pt idx="25">
                  <c:v>3.1253399999999996</c:v>
                </c:pt>
                <c:pt idx="26">
                  <c:v>3.1296400000000002</c:v>
                </c:pt>
                <c:pt idx="27">
                  <c:v>3.1320199999999998</c:v>
                </c:pt>
                <c:pt idx="28">
                  <c:v>3.1316600000000001</c:v>
                </c:pt>
                <c:pt idx="29">
                  <c:v>3.1288100000000001</c:v>
                </c:pt>
                <c:pt idx="30">
                  <c:v>3.12188</c:v>
                </c:pt>
                <c:pt idx="31">
                  <c:v>3.1110700000000002</c:v>
                </c:pt>
                <c:pt idx="32">
                  <c:v>3.09707</c:v>
                </c:pt>
                <c:pt idx="33">
                  <c:v>3.08223</c:v>
                </c:pt>
                <c:pt idx="34">
                  <c:v>3.0664200000000004</c:v>
                </c:pt>
                <c:pt idx="35">
                  <c:v>3.0492999999999997</c:v>
                </c:pt>
                <c:pt idx="36">
                  <c:v>3.0314299999999998</c:v>
                </c:pt>
                <c:pt idx="37">
                  <c:v>3.0110999999999999</c:v>
                </c:pt>
                <c:pt idx="38">
                  <c:v>2.9875499999999997</c:v>
                </c:pt>
                <c:pt idx="39">
                  <c:v>2.9628500000000004</c:v>
                </c:pt>
                <c:pt idx="40">
                  <c:v>2.93865</c:v>
                </c:pt>
                <c:pt idx="41">
                  <c:v>2.9174699999999998</c:v>
                </c:pt>
                <c:pt idx="42">
                  <c:v>2.9024200000000002</c:v>
                </c:pt>
                <c:pt idx="43">
                  <c:v>2.8913100000000003</c:v>
                </c:pt>
                <c:pt idx="44">
                  <c:v>2.8846100000000003</c:v>
                </c:pt>
                <c:pt idx="45">
                  <c:v>2.8803800000000002</c:v>
                </c:pt>
                <c:pt idx="46">
                  <c:v>2.8782999999999999</c:v>
                </c:pt>
                <c:pt idx="47">
                  <c:v>2.8773999999999997</c:v>
                </c:pt>
                <c:pt idx="48">
                  <c:v>2.8774899999999999</c:v>
                </c:pt>
                <c:pt idx="49">
                  <c:v>2.8783300000000001</c:v>
                </c:pt>
                <c:pt idx="50">
                  <c:v>2.8766999999999996</c:v>
                </c:pt>
                <c:pt idx="51">
                  <c:v>2.8783799999999999</c:v>
                </c:pt>
                <c:pt idx="52">
                  <c:v>2.88008</c:v>
                </c:pt>
                <c:pt idx="53">
                  <c:v>2.8831899999999999</c:v>
                </c:pt>
                <c:pt idx="54">
                  <c:v>2.8907799999999999</c:v>
                </c:pt>
                <c:pt idx="55">
                  <c:v>2.8984100000000002</c:v>
                </c:pt>
                <c:pt idx="56">
                  <c:v>2.90909</c:v>
                </c:pt>
                <c:pt idx="57">
                  <c:v>2.9218600000000001</c:v>
                </c:pt>
                <c:pt idx="58">
                  <c:v>2.93438</c:v>
                </c:pt>
                <c:pt idx="59">
                  <c:v>2.9468899999999998</c:v>
                </c:pt>
                <c:pt idx="60">
                  <c:v>2.9604999999999997</c:v>
                </c:pt>
                <c:pt idx="61">
                  <c:v>2.9763000000000002</c:v>
                </c:pt>
                <c:pt idx="62">
                  <c:v>2.9938900000000004</c:v>
                </c:pt>
                <c:pt idx="63">
                  <c:v>3.0174400000000001</c:v>
                </c:pt>
                <c:pt idx="64">
                  <c:v>3.0420799999999999</c:v>
                </c:pt>
                <c:pt idx="65">
                  <c:v>3.0619400000000003</c:v>
                </c:pt>
                <c:pt idx="66">
                  <c:v>3.0789800000000001</c:v>
                </c:pt>
                <c:pt idx="67">
                  <c:v>3.0942399999999997</c:v>
                </c:pt>
                <c:pt idx="68">
                  <c:v>3.1058699999999999</c:v>
                </c:pt>
                <c:pt idx="69">
                  <c:v>3.11416</c:v>
                </c:pt>
                <c:pt idx="70">
                  <c:v>3.1186399999999996</c:v>
                </c:pt>
                <c:pt idx="71">
                  <c:v>3.1229899999999997</c:v>
                </c:pt>
                <c:pt idx="72">
                  <c:v>3.1252499999999999</c:v>
                </c:pt>
                <c:pt idx="73">
                  <c:v>3.1252499999999999</c:v>
                </c:pt>
                <c:pt idx="74">
                  <c:v>3.1227899999999997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51.420699999999997</c:v>
                </c:pt>
                <c:pt idx="1">
                  <c:v>50.0501</c:v>
                </c:pt>
                <c:pt idx="2">
                  <c:v>48.826000000000001</c:v>
                </c:pt>
                <c:pt idx="3">
                  <c:v>47.699100000000001</c:v>
                </c:pt>
                <c:pt idx="4">
                  <c:v>46.682600000000001</c:v>
                </c:pt>
                <c:pt idx="5">
                  <c:v>45.539200000000001</c:v>
                </c:pt>
                <c:pt idx="6">
                  <c:v>44.509599999999999</c:v>
                </c:pt>
                <c:pt idx="7">
                  <c:v>43.544699999999999</c:v>
                </c:pt>
                <c:pt idx="8">
                  <c:v>42.688800000000001</c:v>
                </c:pt>
                <c:pt idx="9">
                  <c:v>41.945300000000003</c:v>
                </c:pt>
                <c:pt idx="10">
                  <c:v>41.335599999999999</c:v>
                </c:pt>
                <c:pt idx="11">
                  <c:v>40.762300000000003</c:v>
                </c:pt>
                <c:pt idx="12">
                  <c:v>40.182600000000001</c:v>
                </c:pt>
                <c:pt idx="13">
                  <c:v>39.511200000000002</c:v>
                </c:pt>
                <c:pt idx="14">
                  <c:v>38.756399999999999</c:v>
                </c:pt>
                <c:pt idx="15">
                  <c:v>37.9467</c:v>
                </c:pt>
                <c:pt idx="16">
                  <c:v>37.205300000000001</c:v>
                </c:pt>
                <c:pt idx="17">
                  <c:v>36.581099999999999</c:v>
                </c:pt>
                <c:pt idx="18">
                  <c:v>36.016399999999997</c:v>
                </c:pt>
                <c:pt idx="19">
                  <c:v>35.532299999999999</c:v>
                </c:pt>
                <c:pt idx="20">
                  <c:v>35.061399999999999</c:v>
                </c:pt>
                <c:pt idx="21">
                  <c:v>34.651800000000001</c:v>
                </c:pt>
                <c:pt idx="22">
                  <c:v>34.230699999999999</c:v>
                </c:pt>
                <c:pt idx="23">
                  <c:v>33.8155</c:v>
                </c:pt>
                <c:pt idx="24">
                  <c:v>33.427399999999999</c:v>
                </c:pt>
                <c:pt idx="25">
                  <c:v>33.070399999999999</c:v>
                </c:pt>
                <c:pt idx="26">
                  <c:v>32.751100000000001</c:v>
                </c:pt>
                <c:pt idx="27">
                  <c:v>32.427</c:v>
                </c:pt>
                <c:pt idx="28">
                  <c:v>32.151400000000002</c:v>
                </c:pt>
                <c:pt idx="29">
                  <c:v>31.845099999999999</c:v>
                </c:pt>
                <c:pt idx="30">
                  <c:v>31.554100000000002</c:v>
                </c:pt>
                <c:pt idx="31">
                  <c:v>31.244100000000003</c:v>
                </c:pt>
                <c:pt idx="32">
                  <c:v>30.9316</c:v>
                </c:pt>
                <c:pt idx="33">
                  <c:v>30.635200000000001</c:v>
                </c:pt>
                <c:pt idx="34">
                  <c:v>30.379899999999999</c:v>
                </c:pt>
                <c:pt idx="35">
                  <c:v>30.152099999999997</c:v>
                </c:pt>
                <c:pt idx="36">
                  <c:v>29.945500000000003</c:v>
                </c:pt>
                <c:pt idx="37">
                  <c:v>29.696400000000001</c:v>
                </c:pt>
                <c:pt idx="38">
                  <c:v>29.458499999999997</c:v>
                </c:pt>
                <c:pt idx="39">
                  <c:v>29.274000000000001</c:v>
                </c:pt>
                <c:pt idx="40">
                  <c:v>29.200500000000002</c:v>
                </c:pt>
                <c:pt idx="41">
                  <c:v>29.145500000000002</c:v>
                </c:pt>
                <c:pt idx="42">
                  <c:v>29.078199999999999</c:v>
                </c:pt>
                <c:pt idx="43">
                  <c:v>29.028599999999997</c:v>
                </c:pt>
                <c:pt idx="44">
                  <c:v>28.9255</c:v>
                </c:pt>
                <c:pt idx="45">
                  <c:v>28.772300000000001</c:v>
                </c:pt>
                <c:pt idx="46">
                  <c:v>28.580400000000001</c:v>
                </c:pt>
                <c:pt idx="47">
                  <c:v>28.396000000000001</c:v>
                </c:pt>
                <c:pt idx="48">
                  <c:v>28.186</c:v>
                </c:pt>
                <c:pt idx="49">
                  <c:v>27.9773</c:v>
                </c:pt>
                <c:pt idx="50">
                  <c:v>27.799299999999999</c:v>
                </c:pt>
                <c:pt idx="51">
                  <c:v>27.590500000000002</c:v>
                </c:pt>
                <c:pt idx="52">
                  <c:v>27.385199999999998</c:v>
                </c:pt>
                <c:pt idx="53">
                  <c:v>27.168599999999998</c:v>
                </c:pt>
                <c:pt idx="54">
                  <c:v>26.961299999999998</c:v>
                </c:pt>
                <c:pt idx="55">
                  <c:v>26.8324</c:v>
                </c:pt>
                <c:pt idx="56">
                  <c:v>26.733800000000002</c:v>
                </c:pt>
                <c:pt idx="57">
                  <c:v>26.6633</c:v>
                </c:pt>
                <c:pt idx="58">
                  <c:v>26.633499999999998</c:v>
                </c:pt>
                <c:pt idx="59">
                  <c:v>26.621099999999998</c:v>
                </c:pt>
                <c:pt idx="60">
                  <c:v>26.6052</c:v>
                </c:pt>
                <c:pt idx="61">
                  <c:v>26.553799999999999</c:v>
                </c:pt>
                <c:pt idx="62">
                  <c:v>26.580300000000001</c:v>
                </c:pt>
                <c:pt idx="63">
                  <c:v>26.6111</c:v>
                </c:pt>
                <c:pt idx="64">
                  <c:v>26.692</c:v>
                </c:pt>
                <c:pt idx="65">
                  <c:v>26.796199999999999</c:v>
                </c:pt>
                <c:pt idx="66">
                  <c:v>26.847199999999997</c:v>
                </c:pt>
                <c:pt idx="67">
                  <c:v>26.850600000000004</c:v>
                </c:pt>
                <c:pt idx="68">
                  <c:v>26.909100000000002</c:v>
                </c:pt>
                <c:pt idx="69">
                  <c:v>27.005699999999997</c:v>
                </c:pt>
                <c:pt idx="70">
                  <c:v>27.150500000000001</c:v>
                </c:pt>
                <c:pt idx="71">
                  <c:v>27.256200000000003</c:v>
                </c:pt>
                <c:pt idx="72">
                  <c:v>27.398</c:v>
                </c:pt>
                <c:pt idx="73">
                  <c:v>27.594200000000001</c:v>
                </c:pt>
                <c:pt idx="74">
                  <c:v>27.806100000000001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3.1227899999999997</c:v>
                </c:pt>
                <c:pt idx="1">
                  <c:v>3.1145</c:v>
                </c:pt>
                <c:pt idx="2">
                  <c:v>3.1079600000000003</c:v>
                </c:pt>
                <c:pt idx="3">
                  <c:v>3.1000399999999999</c:v>
                </c:pt>
                <c:pt idx="4">
                  <c:v>3.0876999999999999</c:v>
                </c:pt>
                <c:pt idx="5">
                  <c:v>3.07226</c:v>
                </c:pt>
                <c:pt idx="6">
                  <c:v>3.0563699999999998</c:v>
                </c:pt>
                <c:pt idx="7">
                  <c:v>3.03647</c:v>
                </c:pt>
                <c:pt idx="8">
                  <c:v>3.0152600000000001</c:v>
                </c:pt>
                <c:pt idx="9">
                  <c:v>2.9940600000000002</c:v>
                </c:pt>
                <c:pt idx="10">
                  <c:v>2.9723699999999997</c:v>
                </c:pt>
                <c:pt idx="11">
                  <c:v>2.9473700000000003</c:v>
                </c:pt>
                <c:pt idx="12">
                  <c:v>2.91927</c:v>
                </c:pt>
                <c:pt idx="13">
                  <c:v>2.8870299999999998</c:v>
                </c:pt>
                <c:pt idx="14">
                  <c:v>2.8490700000000002</c:v>
                </c:pt>
                <c:pt idx="15">
                  <c:v>2.81209</c:v>
                </c:pt>
                <c:pt idx="16">
                  <c:v>2.7794999999999996</c:v>
                </c:pt>
                <c:pt idx="17">
                  <c:v>2.74912</c:v>
                </c:pt>
                <c:pt idx="18">
                  <c:v>2.72105</c:v>
                </c:pt>
                <c:pt idx="19">
                  <c:v>2.6990999999999996</c:v>
                </c:pt>
                <c:pt idx="20">
                  <c:v>2.6802299999999999</c:v>
                </c:pt>
                <c:pt idx="21">
                  <c:v>2.6600200000000003</c:v>
                </c:pt>
                <c:pt idx="22">
                  <c:v>2.6418699999999999</c:v>
                </c:pt>
                <c:pt idx="23">
                  <c:v>2.6247599999999998</c:v>
                </c:pt>
                <c:pt idx="24">
                  <c:v>2.6113300000000002</c:v>
                </c:pt>
                <c:pt idx="25">
                  <c:v>2.6015899999999998</c:v>
                </c:pt>
                <c:pt idx="26">
                  <c:v>2.5942500000000002</c:v>
                </c:pt>
                <c:pt idx="27">
                  <c:v>2.5889000000000002</c:v>
                </c:pt>
                <c:pt idx="28">
                  <c:v>2.58413</c:v>
                </c:pt>
                <c:pt idx="29">
                  <c:v>2.5801800000000004</c:v>
                </c:pt>
                <c:pt idx="30">
                  <c:v>2.5780799999999999</c:v>
                </c:pt>
                <c:pt idx="31">
                  <c:v>2.5775399999999999</c:v>
                </c:pt>
                <c:pt idx="32">
                  <c:v>2.5809100000000003</c:v>
                </c:pt>
                <c:pt idx="33">
                  <c:v>2.5867</c:v>
                </c:pt>
                <c:pt idx="34">
                  <c:v>2.5957000000000003</c:v>
                </c:pt>
                <c:pt idx="35">
                  <c:v>2.6053700000000002</c:v>
                </c:pt>
                <c:pt idx="36">
                  <c:v>2.6163599999999998</c:v>
                </c:pt>
                <c:pt idx="37">
                  <c:v>2.6281700000000003</c:v>
                </c:pt>
                <c:pt idx="38">
                  <c:v>2.63747</c:v>
                </c:pt>
                <c:pt idx="39">
                  <c:v>2.6467600000000004</c:v>
                </c:pt>
                <c:pt idx="40">
                  <c:v>2.6554000000000002</c:v>
                </c:pt>
                <c:pt idx="41">
                  <c:v>2.6633599999999999</c:v>
                </c:pt>
                <c:pt idx="42">
                  <c:v>2.6684600000000005</c:v>
                </c:pt>
                <c:pt idx="43">
                  <c:v>2.6728299999999998</c:v>
                </c:pt>
                <c:pt idx="44">
                  <c:v>2.6764700000000001</c:v>
                </c:pt>
                <c:pt idx="45">
                  <c:v>2.6791199999999997</c:v>
                </c:pt>
                <c:pt idx="46">
                  <c:v>2.6797</c:v>
                </c:pt>
                <c:pt idx="47">
                  <c:v>2.6819799999999998</c:v>
                </c:pt>
                <c:pt idx="48">
                  <c:v>2.6879399999999998</c:v>
                </c:pt>
                <c:pt idx="49">
                  <c:v>2.6945100000000002</c:v>
                </c:pt>
                <c:pt idx="50">
                  <c:v>2.6981999999999999</c:v>
                </c:pt>
                <c:pt idx="51">
                  <c:v>2.6986100000000004</c:v>
                </c:pt>
                <c:pt idx="52">
                  <c:v>2.6992899999999995</c:v>
                </c:pt>
                <c:pt idx="53">
                  <c:v>2.7003599999999999</c:v>
                </c:pt>
                <c:pt idx="54">
                  <c:v>2.7027800000000002</c:v>
                </c:pt>
                <c:pt idx="55">
                  <c:v>2.7060299999999997</c:v>
                </c:pt>
                <c:pt idx="56">
                  <c:v>2.7092399999999999</c:v>
                </c:pt>
                <c:pt idx="57">
                  <c:v>2.7108700000000003</c:v>
                </c:pt>
                <c:pt idx="58">
                  <c:v>2.7110300000000001</c:v>
                </c:pt>
                <c:pt idx="59">
                  <c:v>2.7069399999999999</c:v>
                </c:pt>
                <c:pt idx="60">
                  <c:v>2.7011699999999998</c:v>
                </c:pt>
                <c:pt idx="61">
                  <c:v>2.6949800000000002</c:v>
                </c:pt>
                <c:pt idx="62">
                  <c:v>2.6873900000000002</c:v>
                </c:pt>
                <c:pt idx="63">
                  <c:v>2.6832000000000003</c:v>
                </c:pt>
                <c:pt idx="64">
                  <c:v>2.68052</c:v>
                </c:pt>
                <c:pt idx="65">
                  <c:v>2.67638</c:v>
                </c:pt>
                <c:pt idx="66">
                  <c:v>2.67354</c:v>
                </c:pt>
                <c:pt idx="67">
                  <c:v>2.6727099999999999</c:v>
                </c:pt>
                <c:pt idx="68">
                  <c:v>2.6737300000000004</c:v>
                </c:pt>
                <c:pt idx="69">
                  <c:v>2.6742500000000002</c:v>
                </c:pt>
                <c:pt idx="70">
                  <c:v>2.67896</c:v>
                </c:pt>
                <c:pt idx="71">
                  <c:v>2.7063700000000002</c:v>
                </c:pt>
                <c:pt idx="72">
                  <c:v>2.7397300000000002</c:v>
                </c:pt>
                <c:pt idx="73">
                  <c:v>2.7616899999999998</c:v>
                </c:pt>
                <c:pt idx="74">
                  <c:v>2.7811599999999999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27.806100000000001</c:v>
                </c:pt>
                <c:pt idx="1">
                  <c:v>28.091899999999999</c:v>
                </c:pt>
                <c:pt idx="2">
                  <c:v>28.314099999999996</c:v>
                </c:pt>
                <c:pt idx="3">
                  <c:v>28.5578</c:v>
                </c:pt>
                <c:pt idx="4">
                  <c:v>28.812500000000004</c:v>
                </c:pt>
                <c:pt idx="5">
                  <c:v>29.081000000000003</c:v>
                </c:pt>
                <c:pt idx="6">
                  <c:v>29.367700000000003</c:v>
                </c:pt>
                <c:pt idx="7">
                  <c:v>29.697299999999998</c:v>
                </c:pt>
                <c:pt idx="8">
                  <c:v>30.068200000000001</c:v>
                </c:pt>
                <c:pt idx="9">
                  <c:v>30.429600000000001</c:v>
                </c:pt>
                <c:pt idx="10">
                  <c:v>30.819299999999998</c:v>
                </c:pt>
                <c:pt idx="11">
                  <c:v>31.248100000000001</c:v>
                </c:pt>
                <c:pt idx="12">
                  <c:v>31.769199999999998</c:v>
                </c:pt>
                <c:pt idx="13">
                  <c:v>32.440400000000004</c:v>
                </c:pt>
                <c:pt idx="14">
                  <c:v>33.273699999999998</c:v>
                </c:pt>
                <c:pt idx="15">
                  <c:v>34.185000000000002</c:v>
                </c:pt>
                <c:pt idx="16">
                  <c:v>35.069400000000002</c:v>
                </c:pt>
                <c:pt idx="17">
                  <c:v>36.054700000000004</c:v>
                </c:pt>
                <c:pt idx="18">
                  <c:v>36.9681</c:v>
                </c:pt>
                <c:pt idx="19">
                  <c:v>37.755300000000005</c:v>
                </c:pt>
                <c:pt idx="20">
                  <c:v>38.520400000000002</c:v>
                </c:pt>
                <c:pt idx="21">
                  <c:v>39.297800000000002</c:v>
                </c:pt>
                <c:pt idx="22">
                  <c:v>40.024300000000004</c:v>
                </c:pt>
                <c:pt idx="23">
                  <c:v>40.719699999999996</c:v>
                </c:pt>
                <c:pt idx="24">
                  <c:v>41.373699999999999</c:v>
                </c:pt>
                <c:pt idx="25">
                  <c:v>41.981699999999996</c:v>
                </c:pt>
                <c:pt idx="26">
                  <c:v>42.566800000000001</c:v>
                </c:pt>
                <c:pt idx="27">
                  <c:v>43.096800000000002</c:v>
                </c:pt>
                <c:pt idx="28">
                  <c:v>43.590699999999998</c:v>
                </c:pt>
                <c:pt idx="29">
                  <c:v>44.024700000000003</c:v>
                </c:pt>
                <c:pt idx="30">
                  <c:v>44.420200000000001</c:v>
                </c:pt>
                <c:pt idx="31">
                  <c:v>44.743200000000002</c:v>
                </c:pt>
                <c:pt idx="32">
                  <c:v>44.992199999999997</c:v>
                </c:pt>
                <c:pt idx="33">
                  <c:v>45.1098</c:v>
                </c:pt>
                <c:pt idx="34">
                  <c:v>45.141399999999997</c:v>
                </c:pt>
                <c:pt idx="35">
                  <c:v>45.133099999999999</c:v>
                </c:pt>
                <c:pt idx="36">
                  <c:v>45.0779</c:v>
                </c:pt>
                <c:pt idx="37">
                  <c:v>44.951799999999999</c:v>
                </c:pt>
                <c:pt idx="38">
                  <c:v>44.755499999999998</c:v>
                </c:pt>
                <c:pt idx="39">
                  <c:v>44.5336</c:v>
                </c:pt>
                <c:pt idx="40">
                  <c:v>44.307900000000004</c:v>
                </c:pt>
                <c:pt idx="41">
                  <c:v>44.176500000000004</c:v>
                </c:pt>
                <c:pt idx="42">
                  <c:v>44.081600000000002</c:v>
                </c:pt>
                <c:pt idx="43">
                  <c:v>44.016100000000002</c:v>
                </c:pt>
                <c:pt idx="44">
                  <c:v>43.964100000000002</c:v>
                </c:pt>
                <c:pt idx="45">
                  <c:v>43.8949</c:v>
                </c:pt>
                <c:pt idx="46">
                  <c:v>43.8339</c:v>
                </c:pt>
                <c:pt idx="47">
                  <c:v>43.847500000000004</c:v>
                </c:pt>
                <c:pt idx="48">
                  <c:v>43.8889</c:v>
                </c:pt>
                <c:pt idx="49">
                  <c:v>43.898600000000002</c:v>
                </c:pt>
                <c:pt idx="50">
                  <c:v>43.869799999999998</c:v>
                </c:pt>
                <c:pt idx="51">
                  <c:v>43.782600000000002</c:v>
                </c:pt>
                <c:pt idx="52">
                  <c:v>43.655300000000004</c:v>
                </c:pt>
                <c:pt idx="53">
                  <c:v>43.528099999999995</c:v>
                </c:pt>
                <c:pt idx="54">
                  <c:v>43.405999999999999</c:v>
                </c:pt>
                <c:pt idx="55">
                  <c:v>43.2333</c:v>
                </c:pt>
                <c:pt idx="56">
                  <c:v>43.044700000000006</c:v>
                </c:pt>
                <c:pt idx="57">
                  <c:v>42.823699999999995</c:v>
                </c:pt>
                <c:pt idx="58">
                  <c:v>42.6554</c:v>
                </c:pt>
                <c:pt idx="59">
                  <c:v>42.562800000000003</c:v>
                </c:pt>
                <c:pt idx="60">
                  <c:v>42.5105</c:v>
                </c:pt>
                <c:pt idx="61">
                  <c:v>42.529299999999999</c:v>
                </c:pt>
                <c:pt idx="62">
                  <c:v>42.662700000000001</c:v>
                </c:pt>
                <c:pt idx="63">
                  <c:v>42.919899999999998</c:v>
                </c:pt>
                <c:pt idx="64">
                  <c:v>43.2361</c:v>
                </c:pt>
                <c:pt idx="65">
                  <c:v>43.566600000000001</c:v>
                </c:pt>
                <c:pt idx="66">
                  <c:v>43.838899999999995</c:v>
                </c:pt>
                <c:pt idx="67">
                  <c:v>44.098799999999997</c:v>
                </c:pt>
                <c:pt idx="68">
                  <c:v>44.370399999999997</c:v>
                </c:pt>
                <c:pt idx="69">
                  <c:v>44.728000000000002</c:v>
                </c:pt>
                <c:pt idx="70">
                  <c:v>45.158200000000001</c:v>
                </c:pt>
                <c:pt idx="71">
                  <c:v>45.741799999999998</c:v>
                </c:pt>
                <c:pt idx="72">
                  <c:v>46.2181</c:v>
                </c:pt>
                <c:pt idx="73">
                  <c:v>46.310600000000001</c:v>
                </c:pt>
                <c:pt idx="74">
                  <c:v>46.599299999999999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1.94655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2.8887864864864876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32.675251351351335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2.7401545945945944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40.327382432432429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2.7401545945945944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40.327382432432429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0.20437722004735451</c:v>
                </c:pt>
                <c:pt idx="1">
                  <c:v>0.38642599214234824</c:v>
                </c:pt>
                <c:pt idx="2">
                  <c:v>0.40919678781029717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0.385824</c:v>
                </c:pt>
                <c:pt idx="2">
                  <c:v>0.79375200000000001</c:v>
                </c:pt>
                <c:pt idx="3">
                  <c:v>1.1956899999999999</c:v>
                </c:pt>
                <c:pt idx="4">
                  <c:v>1.60581</c:v>
                </c:pt>
                <c:pt idx="5">
                  <c:v>2.0073799999999999</c:v>
                </c:pt>
                <c:pt idx="6">
                  <c:v>2.41961</c:v>
                </c:pt>
                <c:pt idx="7">
                  <c:v>2.8225099999999999</c:v>
                </c:pt>
                <c:pt idx="8">
                  <c:v>3.2302300000000002</c:v>
                </c:pt>
                <c:pt idx="9">
                  <c:v>3.6354799999999998</c:v>
                </c:pt>
                <c:pt idx="10">
                  <c:v>4.0440699999999996</c:v>
                </c:pt>
                <c:pt idx="11">
                  <c:v>4.4480199999999996</c:v>
                </c:pt>
                <c:pt idx="12">
                  <c:v>4.8579299999999996</c:v>
                </c:pt>
                <c:pt idx="13">
                  <c:v>5.2607999999999997</c:v>
                </c:pt>
                <c:pt idx="14">
                  <c:v>5.6666999999999996</c:v>
                </c:pt>
                <c:pt idx="15">
                  <c:v>6.0717600000000003</c:v>
                </c:pt>
                <c:pt idx="16">
                  <c:v>6.48062</c:v>
                </c:pt>
                <c:pt idx="17">
                  <c:v>6.8845400000000003</c:v>
                </c:pt>
                <c:pt idx="18">
                  <c:v>7.2913600000000001</c:v>
                </c:pt>
                <c:pt idx="19">
                  <c:v>7.6952499999999997</c:v>
                </c:pt>
                <c:pt idx="20">
                  <c:v>8.1014099999999996</c:v>
                </c:pt>
                <c:pt idx="21">
                  <c:v>8.5080899999999993</c:v>
                </c:pt>
                <c:pt idx="22">
                  <c:v>8.9160000000000004</c:v>
                </c:pt>
                <c:pt idx="23">
                  <c:v>9.3220299999999998</c:v>
                </c:pt>
                <c:pt idx="24">
                  <c:v>9.7279300000000006</c:v>
                </c:pt>
                <c:pt idx="25">
                  <c:v>10.1348</c:v>
                </c:pt>
                <c:pt idx="26">
                  <c:v>10.540699999999999</c:v>
                </c:pt>
                <c:pt idx="27">
                  <c:v>10.9466</c:v>
                </c:pt>
                <c:pt idx="28">
                  <c:v>11.3535</c:v>
                </c:pt>
                <c:pt idx="29">
                  <c:v>11.762499999999999</c:v>
                </c:pt>
                <c:pt idx="30">
                  <c:v>12.1684</c:v>
                </c:pt>
                <c:pt idx="31">
                  <c:v>12.573700000000001</c:v>
                </c:pt>
                <c:pt idx="32">
                  <c:v>12.9793</c:v>
                </c:pt>
                <c:pt idx="33">
                  <c:v>13.3842</c:v>
                </c:pt>
                <c:pt idx="34">
                  <c:v>13.794</c:v>
                </c:pt>
                <c:pt idx="35">
                  <c:v>14.198</c:v>
                </c:pt>
                <c:pt idx="36">
                  <c:v>14.606</c:v>
                </c:pt>
                <c:pt idx="37">
                  <c:v>15.008800000000001</c:v>
                </c:pt>
                <c:pt idx="38">
                  <c:v>15.416700000000001</c:v>
                </c:pt>
                <c:pt idx="39">
                  <c:v>15.823700000000001</c:v>
                </c:pt>
                <c:pt idx="40">
                  <c:v>16.229500000000002</c:v>
                </c:pt>
                <c:pt idx="41">
                  <c:v>16.635400000000001</c:v>
                </c:pt>
                <c:pt idx="42">
                  <c:v>17.040299999999998</c:v>
                </c:pt>
                <c:pt idx="43">
                  <c:v>17.4466</c:v>
                </c:pt>
                <c:pt idx="44">
                  <c:v>17.8581</c:v>
                </c:pt>
                <c:pt idx="45">
                  <c:v>18.2591</c:v>
                </c:pt>
                <c:pt idx="46">
                  <c:v>18.666899999999998</c:v>
                </c:pt>
                <c:pt idx="47">
                  <c:v>19.0731</c:v>
                </c:pt>
                <c:pt idx="48">
                  <c:v>19.478999999999999</c:v>
                </c:pt>
                <c:pt idx="49">
                  <c:v>19.8857</c:v>
                </c:pt>
                <c:pt idx="50">
                  <c:v>20.291599999999999</c:v>
                </c:pt>
                <c:pt idx="51">
                  <c:v>20.697600000000001</c:v>
                </c:pt>
                <c:pt idx="52">
                  <c:v>21.102499999999999</c:v>
                </c:pt>
                <c:pt idx="53">
                  <c:v>21.508400000000002</c:v>
                </c:pt>
                <c:pt idx="54">
                  <c:v>21.9192</c:v>
                </c:pt>
                <c:pt idx="55">
                  <c:v>22.324200000000001</c:v>
                </c:pt>
                <c:pt idx="56">
                  <c:v>22.728100000000001</c:v>
                </c:pt>
                <c:pt idx="57">
                  <c:v>23.132100000000001</c:v>
                </c:pt>
                <c:pt idx="58">
                  <c:v>23.539300000000001</c:v>
                </c:pt>
                <c:pt idx="59">
                  <c:v>23.945799999999998</c:v>
                </c:pt>
                <c:pt idx="60">
                  <c:v>24.3584</c:v>
                </c:pt>
                <c:pt idx="61">
                  <c:v>24.7636</c:v>
                </c:pt>
                <c:pt idx="62">
                  <c:v>25.165600000000001</c:v>
                </c:pt>
                <c:pt idx="63">
                  <c:v>25.5718</c:v>
                </c:pt>
                <c:pt idx="64">
                  <c:v>25.979399999999998</c:v>
                </c:pt>
                <c:pt idx="65">
                  <c:v>26.386299999999999</c:v>
                </c:pt>
                <c:pt idx="66">
                  <c:v>26.793199999999999</c:v>
                </c:pt>
                <c:pt idx="67">
                  <c:v>27.1951</c:v>
                </c:pt>
                <c:pt idx="68">
                  <c:v>27.604299999999999</c:v>
                </c:pt>
                <c:pt idx="69">
                  <c:v>28.01</c:v>
                </c:pt>
                <c:pt idx="70">
                  <c:v>28.416799999999999</c:v>
                </c:pt>
                <c:pt idx="71">
                  <c:v>28.823</c:v>
                </c:pt>
                <c:pt idx="72">
                  <c:v>29.229700000000001</c:v>
                </c:pt>
                <c:pt idx="73">
                  <c:v>29.633600000000001</c:v>
                </c:pt>
                <c:pt idx="74">
                  <c:v>30.044599999999999</c:v>
                </c:pt>
                <c:pt idx="75">
                  <c:v>30.638500000000001</c:v>
                </c:pt>
                <c:pt idx="76">
                  <c:v>31.01</c:v>
                </c:pt>
                <c:pt idx="77">
                  <c:v>31.384899999999998</c:v>
                </c:pt>
                <c:pt idx="78">
                  <c:v>31.757200000000001</c:v>
                </c:pt>
                <c:pt idx="79">
                  <c:v>32.133899999999997</c:v>
                </c:pt>
                <c:pt idx="80">
                  <c:v>32.542900000000003</c:v>
                </c:pt>
                <c:pt idx="81">
                  <c:v>32.948099999999997</c:v>
                </c:pt>
                <c:pt idx="82">
                  <c:v>33.352699999999999</c:v>
                </c:pt>
                <c:pt idx="83">
                  <c:v>33.760599999999997</c:v>
                </c:pt>
                <c:pt idx="84">
                  <c:v>34.1676</c:v>
                </c:pt>
                <c:pt idx="85">
                  <c:v>34.5715</c:v>
                </c:pt>
                <c:pt idx="86">
                  <c:v>34.977499999999999</c:v>
                </c:pt>
                <c:pt idx="87">
                  <c:v>35.388300000000001</c:v>
                </c:pt>
                <c:pt idx="88">
                  <c:v>35.795299999999997</c:v>
                </c:pt>
                <c:pt idx="89">
                  <c:v>36.197099999999999</c:v>
                </c:pt>
                <c:pt idx="90">
                  <c:v>36.604999999999997</c:v>
                </c:pt>
                <c:pt idx="91">
                  <c:v>37.007300000000001</c:v>
                </c:pt>
                <c:pt idx="92">
                  <c:v>37.414900000000003</c:v>
                </c:pt>
                <c:pt idx="93">
                  <c:v>37.826700000000002</c:v>
                </c:pt>
                <c:pt idx="94">
                  <c:v>38.230699999999999</c:v>
                </c:pt>
                <c:pt idx="95">
                  <c:v>38.635599999999997</c:v>
                </c:pt>
                <c:pt idx="96">
                  <c:v>39.0398</c:v>
                </c:pt>
                <c:pt idx="97">
                  <c:v>39.444499999999998</c:v>
                </c:pt>
                <c:pt idx="98">
                  <c:v>39.8553</c:v>
                </c:pt>
                <c:pt idx="99">
                  <c:v>40.262300000000003</c:v>
                </c:pt>
                <c:pt idx="100">
                  <c:v>40.667200000000001</c:v>
                </c:pt>
                <c:pt idx="101">
                  <c:v>41.07</c:v>
                </c:pt>
                <c:pt idx="102">
                  <c:v>41.4788</c:v>
                </c:pt>
                <c:pt idx="103">
                  <c:v>41.885899999999999</c:v>
                </c:pt>
                <c:pt idx="104">
                  <c:v>42.294800000000002</c:v>
                </c:pt>
                <c:pt idx="105">
                  <c:v>42.698700000000002</c:v>
                </c:pt>
                <c:pt idx="106">
                  <c:v>43.102600000000002</c:v>
                </c:pt>
                <c:pt idx="107">
                  <c:v>43.508899999999997</c:v>
                </c:pt>
                <c:pt idx="108">
                  <c:v>43.915399999999998</c:v>
                </c:pt>
                <c:pt idx="109">
                  <c:v>44.324399999999997</c:v>
                </c:pt>
                <c:pt idx="110">
                  <c:v>44.730200000000004</c:v>
                </c:pt>
                <c:pt idx="111">
                  <c:v>45.136200000000002</c:v>
                </c:pt>
                <c:pt idx="112">
                  <c:v>45.5381</c:v>
                </c:pt>
                <c:pt idx="113">
                  <c:v>45.948099999999997</c:v>
                </c:pt>
                <c:pt idx="114">
                  <c:v>46.353999999999999</c:v>
                </c:pt>
                <c:pt idx="115">
                  <c:v>46.762799999999999</c:v>
                </c:pt>
                <c:pt idx="116">
                  <c:v>47.163699999999999</c:v>
                </c:pt>
                <c:pt idx="117">
                  <c:v>47.575099999999999</c:v>
                </c:pt>
                <c:pt idx="118">
                  <c:v>47.975700000000003</c:v>
                </c:pt>
                <c:pt idx="119">
                  <c:v>48.386499999999998</c:v>
                </c:pt>
                <c:pt idx="120">
                  <c:v>48.792400000000001</c:v>
                </c:pt>
                <c:pt idx="121">
                  <c:v>49.197499999999998</c:v>
                </c:pt>
                <c:pt idx="122">
                  <c:v>49.603499999999997</c:v>
                </c:pt>
                <c:pt idx="123">
                  <c:v>50.0122</c:v>
                </c:pt>
                <c:pt idx="124">
                  <c:v>50.414400000000001</c:v>
                </c:pt>
                <c:pt idx="125">
                  <c:v>50.821899999999999</c:v>
                </c:pt>
                <c:pt idx="126">
                  <c:v>51.226999999999997</c:v>
                </c:pt>
                <c:pt idx="127">
                  <c:v>51.635100000000001</c:v>
                </c:pt>
                <c:pt idx="128">
                  <c:v>52.041699999999999</c:v>
                </c:pt>
                <c:pt idx="129">
                  <c:v>52.449599999999997</c:v>
                </c:pt>
                <c:pt idx="130">
                  <c:v>52.857700000000001</c:v>
                </c:pt>
                <c:pt idx="131">
                  <c:v>53.261400000000002</c:v>
                </c:pt>
                <c:pt idx="132">
                  <c:v>53.664299999999997</c:v>
                </c:pt>
                <c:pt idx="133">
                  <c:v>54.075499999999998</c:v>
                </c:pt>
                <c:pt idx="134">
                  <c:v>54.481200000000001</c:v>
                </c:pt>
                <c:pt idx="135">
                  <c:v>54.8872</c:v>
                </c:pt>
                <c:pt idx="136">
                  <c:v>55.292099999999998</c:v>
                </c:pt>
                <c:pt idx="137">
                  <c:v>55.695</c:v>
                </c:pt>
                <c:pt idx="138">
                  <c:v>56.104199999999999</c:v>
                </c:pt>
                <c:pt idx="139">
                  <c:v>56.511899999999997</c:v>
                </c:pt>
                <c:pt idx="140">
                  <c:v>56.917700000000004</c:v>
                </c:pt>
                <c:pt idx="141">
                  <c:v>57.325600000000001</c:v>
                </c:pt>
                <c:pt idx="142">
                  <c:v>57.7256</c:v>
                </c:pt>
                <c:pt idx="143">
                  <c:v>58.133499999999998</c:v>
                </c:pt>
                <c:pt idx="144">
                  <c:v>58.543399999999998</c:v>
                </c:pt>
                <c:pt idx="145">
                  <c:v>58.9495</c:v>
                </c:pt>
                <c:pt idx="146">
                  <c:v>59.3523</c:v>
                </c:pt>
                <c:pt idx="147">
                  <c:v>59.758200000000002</c:v>
                </c:pt>
                <c:pt idx="148">
                  <c:v>60.17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1.94655</c:v>
                </c:pt>
                <c:pt idx="1">
                  <c:v>2.0201199999999999</c:v>
                </c:pt>
                <c:pt idx="2">
                  <c:v>2.0923600000000002</c:v>
                </c:pt>
                <c:pt idx="3">
                  <c:v>2.1636800000000003</c:v>
                </c:pt>
                <c:pt idx="4">
                  <c:v>2.2323299999999997</c:v>
                </c:pt>
                <c:pt idx="5">
                  <c:v>2.3031299999999999</c:v>
                </c:pt>
                <c:pt idx="6">
                  <c:v>2.3732899999999999</c:v>
                </c:pt>
                <c:pt idx="7">
                  <c:v>2.44096</c:v>
                </c:pt>
                <c:pt idx="8">
                  <c:v>2.5070399999999999</c:v>
                </c:pt>
                <c:pt idx="9">
                  <c:v>2.5708599999999997</c:v>
                </c:pt>
                <c:pt idx="10">
                  <c:v>2.6321499999999998</c:v>
                </c:pt>
                <c:pt idx="11">
                  <c:v>2.6898899999999997</c:v>
                </c:pt>
                <c:pt idx="12">
                  <c:v>2.7465800000000002</c:v>
                </c:pt>
                <c:pt idx="13">
                  <c:v>2.8014399999999999</c:v>
                </c:pt>
                <c:pt idx="14">
                  <c:v>2.8540399999999999</c:v>
                </c:pt>
                <c:pt idx="15">
                  <c:v>2.9027099999999999</c:v>
                </c:pt>
                <c:pt idx="16">
                  <c:v>2.9452800000000003</c:v>
                </c:pt>
                <c:pt idx="17">
                  <c:v>2.9814600000000002</c:v>
                </c:pt>
                <c:pt idx="18">
                  <c:v>3.0120100000000001</c:v>
                </c:pt>
                <c:pt idx="19">
                  <c:v>3.0376500000000002</c:v>
                </c:pt>
                <c:pt idx="20">
                  <c:v>3.0600399999999999</c:v>
                </c:pt>
                <c:pt idx="21">
                  <c:v>3.07979</c:v>
                </c:pt>
                <c:pt idx="22">
                  <c:v>3.0965799999999999</c:v>
                </c:pt>
                <c:pt idx="23">
                  <c:v>3.1094899999999996</c:v>
                </c:pt>
                <c:pt idx="24">
                  <c:v>3.1187500000000004</c:v>
                </c:pt>
                <c:pt idx="25">
                  <c:v>3.1253399999999996</c:v>
                </c:pt>
                <c:pt idx="26">
                  <c:v>3.1296400000000002</c:v>
                </c:pt>
                <c:pt idx="27">
                  <c:v>3.1320199999999998</c:v>
                </c:pt>
                <c:pt idx="28">
                  <c:v>3.1316600000000001</c:v>
                </c:pt>
                <c:pt idx="29">
                  <c:v>3.1288100000000001</c:v>
                </c:pt>
                <c:pt idx="30">
                  <c:v>3.12188</c:v>
                </c:pt>
                <c:pt idx="31">
                  <c:v>3.1110700000000002</c:v>
                </c:pt>
                <c:pt idx="32">
                  <c:v>3.09707</c:v>
                </c:pt>
                <c:pt idx="33">
                  <c:v>3.08223</c:v>
                </c:pt>
                <c:pt idx="34">
                  <c:v>3.0664200000000004</c:v>
                </c:pt>
                <c:pt idx="35">
                  <c:v>3.0492999999999997</c:v>
                </c:pt>
                <c:pt idx="36">
                  <c:v>3.0314299999999998</c:v>
                </c:pt>
                <c:pt idx="37">
                  <c:v>3.0110999999999999</c:v>
                </c:pt>
                <c:pt idx="38">
                  <c:v>2.9875499999999997</c:v>
                </c:pt>
                <c:pt idx="39">
                  <c:v>2.9628500000000004</c:v>
                </c:pt>
                <c:pt idx="40">
                  <c:v>2.93865</c:v>
                </c:pt>
                <c:pt idx="41">
                  <c:v>2.9174699999999998</c:v>
                </c:pt>
                <c:pt idx="42">
                  <c:v>2.9024200000000002</c:v>
                </c:pt>
                <c:pt idx="43">
                  <c:v>2.8913100000000003</c:v>
                </c:pt>
                <c:pt idx="44">
                  <c:v>2.8846100000000003</c:v>
                </c:pt>
                <c:pt idx="45">
                  <c:v>2.8803800000000002</c:v>
                </c:pt>
                <c:pt idx="46">
                  <c:v>2.8782999999999999</c:v>
                </c:pt>
                <c:pt idx="47">
                  <c:v>2.8773999999999997</c:v>
                </c:pt>
                <c:pt idx="48">
                  <c:v>2.8774899999999999</c:v>
                </c:pt>
                <c:pt idx="49">
                  <c:v>2.8783300000000001</c:v>
                </c:pt>
                <c:pt idx="50">
                  <c:v>2.8766999999999996</c:v>
                </c:pt>
                <c:pt idx="51">
                  <c:v>2.8783799999999999</c:v>
                </c:pt>
                <c:pt idx="52">
                  <c:v>2.88008</c:v>
                </c:pt>
                <c:pt idx="53">
                  <c:v>2.8831899999999999</c:v>
                </c:pt>
                <c:pt idx="54">
                  <c:v>2.8907799999999999</c:v>
                </c:pt>
                <c:pt idx="55">
                  <c:v>2.8984100000000002</c:v>
                </c:pt>
                <c:pt idx="56">
                  <c:v>2.90909</c:v>
                </c:pt>
                <c:pt idx="57">
                  <c:v>2.9218600000000001</c:v>
                </c:pt>
                <c:pt idx="58">
                  <c:v>2.93438</c:v>
                </c:pt>
                <c:pt idx="59">
                  <c:v>2.9468899999999998</c:v>
                </c:pt>
                <c:pt idx="60">
                  <c:v>2.9604999999999997</c:v>
                </c:pt>
                <c:pt idx="61">
                  <c:v>2.9763000000000002</c:v>
                </c:pt>
                <c:pt idx="62">
                  <c:v>2.9938900000000004</c:v>
                </c:pt>
                <c:pt idx="63">
                  <c:v>3.0174400000000001</c:v>
                </c:pt>
                <c:pt idx="64">
                  <c:v>3.0420799999999999</c:v>
                </c:pt>
                <c:pt idx="65">
                  <c:v>3.0619400000000003</c:v>
                </c:pt>
                <c:pt idx="66">
                  <c:v>3.0789800000000001</c:v>
                </c:pt>
                <c:pt idx="67">
                  <c:v>3.0942399999999997</c:v>
                </c:pt>
                <c:pt idx="68">
                  <c:v>3.1058699999999999</c:v>
                </c:pt>
                <c:pt idx="69">
                  <c:v>3.11416</c:v>
                </c:pt>
                <c:pt idx="70">
                  <c:v>3.1186399999999996</c:v>
                </c:pt>
                <c:pt idx="71">
                  <c:v>3.1229899999999997</c:v>
                </c:pt>
                <c:pt idx="72">
                  <c:v>3.1252499999999999</c:v>
                </c:pt>
                <c:pt idx="73">
                  <c:v>3.1252499999999999</c:v>
                </c:pt>
                <c:pt idx="74">
                  <c:v>3.1227899999999997</c:v>
                </c:pt>
                <c:pt idx="75">
                  <c:v>3.1145</c:v>
                </c:pt>
                <c:pt idx="76">
                  <c:v>3.1079600000000003</c:v>
                </c:pt>
                <c:pt idx="77">
                  <c:v>3.1000399999999999</c:v>
                </c:pt>
                <c:pt idx="78">
                  <c:v>3.0876999999999999</c:v>
                </c:pt>
                <c:pt idx="79">
                  <c:v>3.07226</c:v>
                </c:pt>
                <c:pt idx="80">
                  <c:v>3.0563699999999998</c:v>
                </c:pt>
                <c:pt idx="81">
                  <c:v>3.03647</c:v>
                </c:pt>
                <c:pt idx="82">
                  <c:v>3.0152600000000001</c:v>
                </c:pt>
                <c:pt idx="83">
                  <c:v>2.9940600000000002</c:v>
                </c:pt>
                <c:pt idx="84">
                  <c:v>2.9723699999999997</c:v>
                </c:pt>
                <c:pt idx="85">
                  <c:v>2.9473700000000003</c:v>
                </c:pt>
                <c:pt idx="86">
                  <c:v>2.91927</c:v>
                </c:pt>
                <c:pt idx="87">
                  <c:v>2.8870299999999998</c:v>
                </c:pt>
                <c:pt idx="88">
                  <c:v>2.8490700000000002</c:v>
                </c:pt>
                <c:pt idx="89">
                  <c:v>2.81209</c:v>
                </c:pt>
                <c:pt idx="90">
                  <c:v>2.7794999999999996</c:v>
                </c:pt>
                <c:pt idx="91">
                  <c:v>2.74912</c:v>
                </c:pt>
                <c:pt idx="92">
                  <c:v>2.72105</c:v>
                </c:pt>
                <c:pt idx="93">
                  <c:v>2.6990999999999996</c:v>
                </c:pt>
                <c:pt idx="94">
                  <c:v>2.6802299999999999</c:v>
                </c:pt>
                <c:pt idx="95">
                  <c:v>2.6600200000000003</c:v>
                </c:pt>
                <c:pt idx="96">
                  <c:v>2.6418699999999999</c:v>
                </c:pt>
                <c:pt idx="97">
                  <c:v>2.6247599999999998</c:v>
                </c:pt>
                <c:pt idx="98">
                  <c:v>2.6113300000000002</c:v>
                </c:pt>
                <c:pt idx="99">
                  <c:v>2.6015899999999998</c:v>
                </c:pt>
                <c:pt idx="100">
                  <c:v>2.5942500000000002</c:v>
                </c:pt>
                <c:pt idx="101">
                  <c:v>2.5889000000000002</c:v>
                </c:pt>
                <c:pt idx="102">
                  <c:v>2.58413</c:v>
                </c:pt>
                <c:pt idx="103">
                  <c:v>2.5801800000000004</c:v>
                </c:pt>
                <c:pt idx="104">
                  <c:v>2.5780799999999999</c:v>
                </c:pt>
                <c:pt idx="105">
                  <c:v>2.5775399999999999</c:v>
                </c:pt>
                <c:pt idx="106">
                  <c:v>2.5809100000000003</c:v>
                </c:pt>
                <c:pt idx="107">
                  <c:v>2.5867</c:v>
                </c:pt>
                <c:pt idx="108">
                  <c:v>2.5957000000000003</c:v>
                </c:pt>
                <c:pt idx="109">
                  <c:v>2.6053700000000002</c:v>
                </c:pt>
                <c:pt idx="110">
                  <c:v>2.6163599999999998</c:v>
                </c:pt>
                <c:pt idx="111">
                  <c:v>2.6281700000000003</c:v>
                </c:pt>
                <c:pt idx="112">
                  <c:v>2.63747</c:v>
                </c:pt>
                <c:pt idx="113">
                  <c:v>2.6467600000000004</c:v>
                </c:pt>
                <c:pt idx="114">
                  <c:v>2.6554000000000002</c:v>
                </c:pt>
                <c:pt idx="115">
                  <c:v>2.6633599999999999</c:v>
                </c:pt>
                <c:pt idx="116">
                  <c:v>2.6684600000000005</c:v>
                </c:pt>
                <c:pt idx="117">
                  <c:v>2.6728299999999998</c:v>
                </c:pt>
                <c:pt idx="118">
                  <c:v>2.6764700000000001</c:v>
                </c:pt>
                <c:pt idx="119">
                  <c:v>2.6791199999999997</c:v>
                </c:pt>
                <c:pt idx="120">
                  <c:v>2.6797</c:v>
                </c:pt>
                <c:pt idx="121">
                  <c:v>2.6819799999999998</c:v>
                </c:pt>
                <c:pt idx="122">
                  <c:v>2.6879399999999998</c:v>
                </c:pt>
                <c:pt idx="123">
                  <c:v>2.6945100000000002</c:v>
                </c:pt>
                <c:pt idx="124">
                  <c:v>2.6981999999999999</c:v>
                </c:pt>
                <c:pt idx="125">
                  <c:v>2.6986100000000004</c:v>
                </c:pt>
                <c:pt idx="126">
                  <c:v>2.6992899999999995</c:v>
                </c:pt>
                <c:pt idx="127">
                  <c:v>2.7003599999999999</c:v>
                </c:pt>
                <c:pt idx="128">
                  <c:v>2.7027800000000002</c:v>
                </c:pt>
                <c:pt idx="129">
                  <c:v>2.7060299999999997</c:v>
                </c:pt>
                <c:pt idx="130">
                  <c:v>2.7092399999999999</c:v>
                </c:pt>
                <c:pt idx="131">
                  <c:v>2.7108700000000003</c:v>
                </c:pt>
                <c:pt idx="132">
                  <c:v>2.7110300000000001</c:v>
                </c:pt>
                <c:pt idx="133">
                  <c:v>2.7069399999999999</c:v>
                </c:pt>
                <c:pt idx="134">
                  <c:v>2.7011699999999998</c:v>
                </c:pt>
                <c:pt idx="135">
                  <c:v>2.6949800000000002</c:v>
                </c:pt>
                <c:pt idx="136">
                  <c:v>2.6873900000000002</c:v>
                </c:pt>
                <c:pt idx="137">
                  <c:v>2.6832000000000003</c:v>
                </c:pt>
                <c:pt idx="138">
                  <c:v>2.68052</c:v>
                </c:pt>
                <c:pt idx="139">
                  <c:v>2.67638</c:v>
                </c:pt>
                <c:pt idx="140">
                  <c:v>2.67354</c:v>
                </c:pt>
                <c:pt idx="141">
                  <c:v>2.6727099999999999</c:v>
                </c:pt>
                <c:pt idx="142">
                  <c:v>2.6737300000000004</c:v>
                </c:pt>
                <c:pt idx="143">
                  <c:v>2.6742500000000002</c:v>
                </c:pt>
                <c:pt idx="144">
                  <c:v>2.67896</c:v>
                </c:pt>
                <c:pt idx="145">
                  <c:v>2.7063700000000002</c:v>
                </c:pt>
                <c:pt idx="146">
                  <c:v>2.7397300000000002</c:v>
                </c:pt>
                <c:pt idx="147">
                  <c:v>2.7616899999999998</c:v>
                </c:pt>
                <c:pt idx="148">
                  <c:v>2.7811599999999999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0.385824</c:v>
                </c:pt>
                <c:pt idx="2">
                  <c:v>0.79375200000000001</c:v>
                </c:pt>
                <c:pt idx="3">
                  <c:v>1.1956899999999999</c:v>
                </c:pt>
                <c:pt idx="4">
                  <c:v>1.60581</c:v>
                </c:pt>
                <c:pt idx="5">
                  <c:v>2.0073799999999999</c:v>
                </c:pt>
                <c:pt idx="6">
                  <c:v>2.41961</c:v>
                </c:pt>
                <c:pt idx="7">
                  <c:v>2.8225099999999999</c:v>
                </c:pt>
                <c:pt idx="8">
                  <c:v>3.2302300000000002</c:v>
                </c:pt>
                <c:pt idx="9">
                  <c:v>3.6354799999999998</c:v>
                </c:pt>
                <c:pt idx="10">
                  <c:v>4.0440699999999996</c:v>
                </c:pt>
                <c:pt idx="11">
                  <c:v>4.4480199999999996</c:v>
                </c:pt>
                <c:pt idx="12">
                  <c:v>4.8579299999999996</c:v>
                </c:pt>
                <c:pt idx="13">
                  <c:v>5.2607999999999997</c:v>
                </c:pt>
                <c:pt idx="14">
                  <c:v>5.6666999999999996</c:v>
                </c:pt>
                <c:pt idx="15">
                  <c:v>6.0717600000000003</c:v>
                </c:pt>
                <c:pt idx="16">
                  <c:v>6.48062</c:v>
                </c:pt>
                <c:pt idx="17">
                  <c:v>6.8845400000000003</c:v>
                </c:pt>
                <c:pt idx="18">
                  <c:v>7.2913600000000001</c:v>
                </c:pt>
                <c:pt idx="19">
                  <c:v>7.6952499999999997</c:v>
                </c:pt>
                <c:pt idx="20">
                  <c:v>8.1014099999999996</c:v>
                </c:pt>
                <c:pt idx="21">
                  <c:v>8.5080899999999993</c:v>
                </c:pt>
                <c:pt idx="22">
                  <c:v>8.9160000000000004</c:v>
                </c:pt>
                <c:pt idx="23">
                  <c:v>9.3220299999999998</c:v>
                </c:pt>
                <c:pt idx="24">
                  <c:v>9.7279300000000006</c:v>
                </c:pt>
                <c:pt idx="25">
                  <c:v>10.1348</c:v>
                </c:pt>
                <c:pt idx="26">
                  <c:v>10.540699999999999</c:v>
                </c:pt>
                <c:pt idx="27">
                  <c:v>10.9466</c:v>
                </c:pt>
                <c:pt idx="28">
                  <c:v>11.3535</c:v>
                </c:pt>
                <c:pt idx="29">
                  <c:v>11.762499999999999</c:v>
                </c:pt>
                <c:pt idx="30">
                  <c:v>12.1684</c:v>
                </c:pt>
                <c:pt idx="31">
                  <c:v>12.573700000000001</c:v>
                </c:pt>
                <c:pt idx="32">
                  <c:v>12.9793</c:v>
                </c:pt>
                <c:pt idx="33">
                  <c:v>13.3842</c:v>
                </c:pt>
                <c:pt idx="34">
                  <c:v>13.794</c:v>
                </c:pt>
                <c:pt idx="35">
                  <c:v>14.198</c:v>
                </c:pt>
                <c:pt idx="36">
                  <c:v>14.606</c:v>
                </c:pt>
                <c:pt idx="37">
                  <c:v>15.008800000000001</c:v>
                </c:pt>
                <c:pt idx="38">
                  <c:v>15.416700000000001</c:v>
                </c:pt>
                <c:pt idx="39">
                  <c:v>15.823700000000001</c:v>
                </c:pt>
                <c:pt idx="40">
                  <c:v>16.229500000000002</c:v>
                </c:pt>
                <c:pt idx="41">
                  <c:v>16.635400000000001</c:v>
                </c:pt>
                <c:pt idx="42">
                  <c:v>17.040299999999998</c:v>
                </c:pt>
                <c:pt idx="43">
                  <c:v>17.4466</c:v>
                </c:pt>
                <c:pt idx="44">
                  <c:v>17.8581</c:v>
                </c:pt>
                <c:pt idx="45">
                  <c:v>18.2591</c:v>
                </c:pt>
                <c:pt idx="46">
                  <c:v>18.666899999999998</c:v>
                </c:pt>
                <c:pt idx="47">
                  <c:v>19.0731</c:v>
                </c:pt>
                <c:pt idx="48">
                  <c:v>19.478999999999999</c:v>
                </c:pt>
                <c:pt idx="49">
                  <c:v>19.8857</c:v>
                </c:pt>
                <c:pt idx="50">
                  <c:v>20.291599999999999</c:v>
                </c:pt>
                <c:pt idx="51">
                  <c:v>20.697600000000001</c:v>
                </c:pt>
                <c:pt idx="52">
                  <c:v>21.102499999999999</c:v>
                </c:pt>
                <c:pt idx="53">
                  <c:v>21.508400000000002</c:v>
                </c:pt>
                <c:pt idx="54">
                  <c:v>21.9192</c:v>
                </c:pt>
                <c:pt idx="55">
                  <c:v>22.324200000000001</c:v>
                </c:pt>
                <c:pt idx="56">
                  <c:v>22.728100000000001</c:v>
                </c:pt>
                <c:pt idx="57">
                  <c:v>23.132100000000001</c:v>
                </c:pt>
                <c:pt idx="58">
                  <c:v>23.539300000000001</c:v>
                </c:pt>
                <c:pt idx="59">
                  <c:v>23.945799999999998</c:v>
                </c:pt>
                <c:pt idx="60">
                  <c:v>24.3584</c:v>
                </c:pt>
                <c:pt idx="61">
                  <c:v>24.7636</c:v>
                </c:pt>
                <c:pt idx="62">
                  <c:v>25.165600000000001</c:v>
                </c:pt>
                <c:pt idx="63">
                  <c:v>25.5718</c:v>
                </c:pt>
                <c:pt idx="64">
                  <c:v>25.979399999999998</c:v>
                </c:pt>
                <c:pt idx="65">
                  <c:v>26.386299999999999</c:v>
                </c:pt>
                <c:pt idx="66">
                  <c:v>26.793199999999999</c:v>
                </c:pt>
                <c:pt idx="67">
                  <c:v>27.1951</c:v>
                </c:pt>
                <c:pt idx="68">
                  <c:v>27.604299999999999</c:v>
                </c:pt>
                <c:pt idx="69">
                  <c:v>28.01</c:v>
                </c:pt>
                <c:pt idx="70">
                  <c:v>28.416799999999999</c:v>
                </c:pt>
                <c:pt idx="71">
                  <c:v>28.823</c:v>
                </c:pt>
                <c:pt idx="72">
                  <c:v>29.229700000000001</c:v>
                </c:pt>
                <c:pt idx="73">
                  <c:v>29.633600000000001</c:v>
                </c:pt>
                <c:pt idx="74">
                  <c:v>30.044599999999999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1.94655</c:v>
                </c:pt>
                <c:pt idx="1">
                  <c:v>2.0201199999999999</c:v>
                </c:pt>
                <c:pt idx="2">
                  <c:v>2.0923600000000002</c:v>
                </c:pt>
                <c:pt idx="3">
                  <c:v>2.1636800000000003</c:v>
                </c:pt>
                <c:pt idx="4">
                  <c:v>2.2323299999999997</c:v>
                </c:pt>
                <c:pt idx="5">
                  <c:v>2.3031299999999999</c:v>
                </c:pt>
                <c:pt idx="6">
                  <c:v>2.3732899999999999</c:v>
                </c:pt>
                <c:pt idx="7">
                  <c:v>2.44096</c:v>
                </c:pt>
                <c:pt idx="8">
                  <c:v>2.5070399999999999</c:v>
                </c:pt>
                <c:pt idx="9">
                  <c:v>2.5708599999999997</c:v>
                </c:pt>
                <c:pt idx="10">
                  <c:v>2.6321499999999998</c:v>
                </c:pt>
                <c:pt idx="11">
                  <c:v>2.6898899999999997</c:v>
                </c:pt>
                <c:pt idx="12">
                  <c:v>2.7465800000000002</c:v>
                </c:pt>
                <c:pt idx="13">
                  <c:v>2.8014399999999999</c:v>
                </c:pt>
                <c:pt idx="14">
                  <c:v>2.8540399999999999</c:v>
                </c:pt>
                <c:pt idx="15">
                  <c:v>2.9027099999999999</c:v>
                </c:pt>
                <c:pt idx="16">
                  <c:v>2.9452800000000003</c:v>
                </c:pt>
                <c:pt idx="17">
                  <c:v>2.9814600000000002</c:v>
                </c:pt>
                <c:pt idx="18">
                  <c:v>3.0120100000000001</c:v>
                </c:pt>
                <c:pt idx="19">
                  <c:v>3.0376500000000002</c:v>
                </c:pt>
                <c:pt idx="20">
                  <c:v>3.0600399999999999</c:v>
                </c:pt>
                <c:pt idx="21">
                  <c:v>3.07979</c:v>
                </c:pt>
                <c:pt idx="22">
                  <c:v>3.0965799999999999</c:v>
                </c:pt>
                <c:pt idx="23">
                  <c:v>3.1094899999999996</c:v>
                </c:pt>
                <c:pt idx="24">
                  <c:v>3.1187500000000004</c:v>
                </c:pt>
                <c:pt idx="25">
                  <c:v>3.1253399999999996</c:v>
                </c:pt>
                <c:pt idx="26">
                  <c:v>3.1296400000000002</c:v>
                </c:pt>
                <c:pt idx="27">
                  <c:v>3.1320199999999998</c:v>
                </c:pt>
                <c:pt idx="28">
                  <c:v>3.1316600000000001</c:v>
                </c:pt>
                <c:pt idx="29">
                  <c:v>3.1288100000000001</c:v>
                </c:pt>
                <c:pt idx="30">
                  <c:v>3.12188</c:v>
                </c:pt>
                <c:pt idx="31">
                  <c:v>3.1110700000000002</c:v>
                </c:pt>
                <c:pt idx="32">
                  <c:v>3.09707</c:v>
                </c:pt>
                <c:pt idx="33">
                  <c:v>3.08223</c:v>
                </c:pt>
                <c:pt idx="34">
                  <c:v>3.0664200000000004</c:v>
                </c:pt>
                <c:pt idx="35">
                  <c:v>3.0492999999999997</c:v>
                </c:pt>
                <c:pt idx="36">
                  <c:v>3.0314299999999998</c:v>
                </c:pt>
                <c:pt idx="37">
                  <c:v>3.0110999999999999</c:v>
                </c:pt>
                <c:pt idx="38">
                  <c:v>2.9875499999999997</c:v>
                </c:pt>
                <c:pt idx="39">
                  <c:v>2.9628500000000004</c:v>
                </c:pt>
                <c:pt idx="40">
                  <c:v>2.93865</c:v>
                </c:pt>
                <c:pt idx="41">
                  <c:v>2.9174699999999998</c:v>
                </c:pt>
                <c:pt idx="42">
                  <c:v>2.9024200000000002</c:v>
                </c:pt>
                <c:pt idx="43">
                  <c:v>2.8913100000000003</c:v>
                </c:pt>
                <c:pt idx="44">
                  <c:v>2.8846100000000003</c:v>
                </c:pt>
                <c:pt idx="45">
                  <c:v>2.8803800000000002</c:v>
                </c:pt>
                <c:pt idx="46">
                  <c:v>2.8782999999999999</c:v>
                </c:pt>
                <c:pt idx="47">
                  <c:v>2.8773999999999997</c:v>
                </c:pt>
                <c:pt idx="48">
                  <c:v>2.8774899999999999</c:v>
                </c:pt>
                <c:pt idx="49">
                  <c:v>2.8783300000000001</c:v>
                </c:pt>
                <c:pt idx="50">
                  <c:v>2.8766999999999996</c:v>
                </c:pt>
                <c:pt idx="51">
                  <c:v>2.8783799999999999</c:v>
                </c:pt>
                <c:pt idx="52">
                  <c:v>2.88008</c:v>
                </c:pt>
                <c:pt idx="53">
                  <c:v>2.8831899999999999</c:v>
                </c:pt>
                <c:pt idx="54">
                  <c:v>2.8907799999999999</c:v>
                </c:pt>
                <c:pt idx="55">
                  <c:v>2.8984100000000002</c:v>
                </c:pt>
                <c:pt idx="56">
                  <c:v>2.90909</c:v>
                </c:pt>
                <c:pt idx="57">
                  <c:v>2.9218600000000001</c:v>
                </c:pt>
                <c:pt idx="58">
                  <c:v>2.93438</c:v>
                </c:pt>
                <c:pt idx="59">
                  <c:v>2.9468899999999998</c:v>
                </c:pt>
                <c:pt idx="60">
                  <c:v>2.9604999999999997</c:v>
                </c:pt>
                <c:pt idx="61">
                  <c:v>2.9763000000000002</c:v>
                </c:pt>
                <c:pt idx="62">
                  <c:v>2.9938900000000004</c:v>
                </c:pt>
                <c:pt idx="63">
                  <c:v>3.0174400000000001</c:v>
                </c:pt>
                <c:pt idx="64">
                  <c:v>3.0420799999999999</c:v>
                </c:pt>
                <c:pt idx="65">
                  <c:v>3.0619400000000003</c:v>
                </c:pt>
                <c:pt idx="66">
                  <c:v>3.0789800000000001</c:v>
                </c:pt>
                <c:pt idx="67">
                  <c:v>3.0942399999999997</c:v>
                </c:pt>
                <c:pt idx="68">
                  <c:v>3.1058699999999999</c:v>
                </c:pt>
                <c:pt idx="69">
                  <c:v>3.11416</c:v>
                </c:pt>
                <c:pt idx="70">
                  <c:v>3.1186399999999996</c:v>
                </c:pt>
                <c:pt idx="71">
                  <c:v>3.1229899999999997</c:v>
                </c:pt>
                <c:pt idx="72">
                  <c:v>3.1252499999999999</c:v>
                </c:pt>
                <c:pt idx="73">
                  <c:v>3.1252499999999999</c:v>
                </c:pt>
                <c:pt idx="74">
                  <c:v>3.1227899999999997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30.044599999999999</c:v>
                </c:pt>
                <c:pt idx="1">
                  <c:v>30.638500000000001</c:v>
                </c:pt>
                <c:pt idx="2">
                  <c:v>31.01</c:v>
                </c:pt>
                <c:pt idx="3">
                  <c:v>31.384899999999998</c:v>
                </c:pt>
                <c:pt idx="4">
                  <c:v>31.757200000000001</c:v>
                </c:pt>
                <c:pt idx="5">
                  <c:v>32.133899999999997</c:v>
                </c:pt>
                <c:pt idx="6">
                  <c:v>32.542900000000003</c:v>
                </c:pt>
                <c:pt idx="7">
                  <c:v>32.948099999999997</c:v>
                </c:pt>
                <c:pt idx="8">
                  <c:v>33.352699999999999</c:v>
                </c:pt>
                <c:pt idx="9">
                  <c:v>33.760599999999997</c:v>
                </c:pt>
                <c:pt idx="10">
                  <c:v>34.1676</c:v>
                </c:pt>
                <c:pt idx="11">
                  <c:v>34.5715</c:v>
                </c:pt>
                <c:pt idx="12">
                  <c:v>34.977499999999999</c:v>
                </c:pt>
                <c:pt idx="13">
                  <c:v>35.388300000000001</c:v>
                </c:pt>
                <c:pt idx="14">
                  <c:v>35.795299999999997</c:v>
                </c:pt>
                <c:pt idx="15">
                  <c:v>36.197099999999999</c:v>
                </c:pt>
                <c:pt idx="16">
                  <c:v>36.604999999999997</c:v>
                </c:pt>
                <c:pt idx="17">
                  <c:v>37.007300000000001</c:v>
                </c:pt>
                <c:pt idx="18">
                  <c:v>37.414900000000003</c:v>
                </c:pt>
                <c:pt idx="19">
                  <c:v>37.826700000000002</c:v>
                </c:pt>
                <c:pt idx="20">
                  <c:v>38.230699999999999</c:v>
                </c:pt>
                <c:pt idx="21">
                  <c:v>38.635599999999997</c:v>
                </c:pt>
                <c:pt idx="22">
                  <c:v>39.0398</c:v>
                </c:pt>
                <c:pt idx="23">
                  <c:v>39.444499999999998</c:v>
                </c:pt>
                <c:pt idx="24">
                  <c:v>39.8553</c:v>
                </c:pt>
                <c:pt idx="25">
                  <c:v>40.262300000000003</c:v>
                </c:pt>
                <c:pt idx="26">
                  <c:v>40.667200000000001</c:v>
                </c:pt>
                <c:pt idx="27">
                  <c:v>41.07</c:v>
                </c:pt>
                <c:pt idx="28">
                  <c:v>41.4788</c:v>
                </c:pt>
                <c:pt idx="29">
                  <c:v>41.885899999999999</c:v>
                </c:pt>
                <c:pt idx="30">
                  <c:v>42.294800000000002</c:v>
                </c:pt>
                <c:pt idx="31">
                  <c:v>42.698700000000002</c:v>
                </c:pt>
                <c:pt idx="32">
                  <c:v>43.102600000000002</c:v>
                </c:pt>
                <c:pt idx="33">
                  <c:v>43.508899999999997</c:v>
                </c:pt>
                <c:pt idx="34">
                  <c:v>43.915399999999998</c:v>
                </c:pt>
                <c:pt idx="35">
                  <c:v>44.324399999999997</c:v>
                </c:pt>
                <c:pt idx="36">
                  <c:v>44.730200000000004</c:v>
                </c:pt>
                <c:pt idx="37">
                  <c:v>45.136200000000002</c:v>
                </c:pt>
                <c:pt idx="38">
                  <c:v>45.5381</c:v>
                </c:pt>
                <c:pt idx="39">
                  <c:v>45.948099999999997</c:v>
                </c:pt>
                <c:pt idx="40">
                  <c:v>46.353999999999999</c:v>
                </c:pt>
                <c:pt idx="41">
                  <c:v>46.762799999999999</c:v>
                </c:pt>
                <c:pt idx="42">
                  <c:v>47.163699999999999</c:v>
                </c:pt>
                <c:pt idx="43">
                  <c:v>47.575099999999999</c:v>
                </c:pt>
                <c:pt idx="44">
                  <c:v>47.975700000000003</c:v>
                </c:pt>
                <c:pt idx="45">
                  <c:v>48.386499999999998</c:v>
                </c:pt>
                <c:pt idx="46">
                  <c:v>48.792400000000001</c:v>
                </c:pt>
                <c:pt idx="47">
                  <c:v>49.197499999999998</c:v>
                </c:pt>
                <c:pt idx="48">
                  <c:v>49.603499999999997</c:v>
                </c:pt>
                <c:pt idx="49">
                  <c:v>50.0122</c:v>
                </c:pt>
                <c:pt idx="50">
                  <c:v>50.414400000000001</c:v>
                </c:pt>
                <c:pt idx="51">
                  <c:v>50.821899999999999</c:v>
                </c:pt>
                <c:pt idx="52">
                  <c:v>51.226999999999997</c:v>
                </c:pt>
                <c:pt idx="53">
                  <c:v>51.635100000000001</c:v>
                </c:pt>
                <c:pt idx="54">
                  <c:v>52.041699999999999</c:v>
                </c:pt>
                <c:pt idx="55">
                  <c:v>52.449599999999997</c:v>
                </c:pt>
                <c:pt idx="56">
                  <c:v>52.857700000000001</c:v>
                </c:pt>
                <c:pt idx="57">
                  <c:v>53.261400000000002</c:v>
                </c:pt>
                <c:pt idx="58">
                  <c:v>53.664299999999997</c:v>
                </c:pt>
                <c:pt idx="59">
                  <c:v>54.075499999999998</c:v>
                </c:pt>
                <c:pt idx="60">
                  <c:v>54.481200000000001</c:v>
                </c:pt>
                <c:pt idx="61">
                  <c:v>54.8872</c:v>
                </c:pt>
                <c:pt idx="62">
                  <c:v>55.292099999999998</c:v>
                </c:pt>
                <c:pt idx="63">
                  <c:v>55.695</c:v>
                </c:pt>
                <c:pt idx="64">
                  <c:v>56.104199999999999</c:v>
                </c:pt>
                <c:pt idx="65">
                  <c:v>56.511899999999997</c:v>
                </c:pt>
                <c:pt idx="66">
                  <c:v>56.917700000000004</c:v>
                </c:pt>
                <c:pt idx="67">
                  <c:v>57.325600000000001</c:v>
                </c:pt>
                <c:pt idx="68">
                  <c:v>57.7256</c:v>
                </c:pt>
                <c:pt idx="69">
                  <c:v>58.133499999999998</c:v>
                </c:pt>
                <c:pt idx="70">
                  <c:v>58.543399999999998</c:v>
                </c:pt>
                <c:pt idx="71">
                  <c:v>58.9495</c:v>
                </c:pt>
                <c:pt idx="72">
                  <c:v>59.3523</c:v>
                </c:pt>
                <c:pt idx="73">
                  <c:v>59.758200000000002</c:v>
                </c:pt>
                <c:pt idx="74">
                  <c:v>60.17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3.1227899999999997</c:v>
                </c:pt>
                <c:pt idx="1">
                  <c:v>3.1145</c:v>
                </c:pt>
                <c:pt idx="2">
                  <c:v>3.1079600000000003</c:v>
                </c:pt>
                <c:pt idx="3">
                  <c:v>3.1000399999999999</c:v>
                </c:pt>
                <c:pt idx="4">
                  <c:v>3.0876999999999999</c:v>
                </c:pt>
                <c:pt idx="5">
                  <c:v>3.07226</c:v>
                </c:pt>
                <c:pt idx="6">
                  <c:v>3.0563699999999998</c:v>
                </c:pt>
                <c:pt idx="7">
                  <c:v>3.03647</c:v>
                </c:pt>
                <c:pt idx="8">
                  <c:v>3.0152600000000001</c:v>
                </c:pt>
                <c:pt idx="9">
                  <c:v>2.9940600000000002</c:v>
                </c:pt>
                <c:pt idx="10">
                  <c:v>2.9723699999999997</c:v>
                </c:pt>
                <c:pt idx="11">
                  <c:v>2.9473700000000003</c:v>
                </c:pt>
                <c:pt idx="12">
                  <c:v>2.91927</c:v>
                </c:pt>
                <c:pt idx="13">
                  <c:v>2.8870299999999998</c:v>
                </c:pt>
                <c:pt idx="14">
                  <c:v>2.8490700000000002</c:v>
                </c:pt>
                <c:pt idx="15">
                  <c:v>2.81209</c:v>
                </c:pt>
                <c:pt idx="16">
                  <c:v>2.7794999999999996</c:v>
                </c:pt>
                <c:pt idx="17">
                  <c:v>2.74912</c:v>
                </c:pt>
                <c:pt idx="18">
                  <c:v>2.72105</c:v>
                </c:pt>
                <c:pt idx="19">
                  <c:v>2.6990999999999996</c:v>
                </c:pt>
                <c:pt idx="20">
                  <c:v>2.6802299999999999</c:v>
                </c:pt>
                <c:pt idx="21">
                  <c:v>2.6600200000000003</c:v>
                </c:pt>
                <c:pt idx="22">
                  <c:v>2.6418699999999999</c:v>
                </c:pt>
                <c:pt idx="23">
                  <c:v>2.6247599999999998</c:v>
                </c:pt>
                <c:pt idx="24">
                  <c:v>2.6113300000000002</c:v>
                </c:pt>
                <c:pt idx="25">
                  <c:v>2.6015899999999998</c:v>
                </c:pt>
                <c:pt idx="26">
                  <c:v>2.5942500000000002</c:v>
                </c:pt>
                <c:pt idx="27">
                  <c:v>2.5889000000000002</c:v>
                </c:pt>
                <c:pt idx="28">
                  <c:v>2.58413</c:v>
                </c:pt>
                <c:pt idx="29">
                  <c:v>2.5801800000000004</c:v>
                </c:pt>
                <c:pt idx="30">
                  <c:v>2.5780799999999999</c:v>
                </c:pt>
                <c:pt idx="31">
                  <c:v>2.5775399999999999</c:v>
                </c:pt>
                <c:pt idx="32">
                  <c:v>2.5809100000000003</c:v>
                </c:pt>
                <c:pt idx="33">
                  <c:v>2.5867</c:v>
                </c:pt>
                <c:pt idx="34">
                  <c:v>2.5957000000000003</c:v>
                </c:pt>
                <c:pt idx="35">
                  <c:v>2.6053700000000002</c:v>
                </c:pt>
                <c:pt idx="36">
                  <c:v>2.6163599999999998</c:v>
                </c:pt>
                <c:pt idx="37">
                  <c:v>2.6281700000000003</c:v>
                </c:pt>
                <c:pt idx="38">
                  <c:v>2.63747</c:v>
                </c:pt>
                <c:pt idx="39">
                  <c:v>2.6467600000000004</c:v>
                </c:pt>
                <c:pt idx="40">
                  <c:v>2.6554000000000002</c:v>
                </c:pt>
                <c:pt idx="41">
                  <c:v>2.6633599999999999</c:v>
                </c:pt>
                <c:pt idx="42">
                  <c:v>2.6684600000000005</c:v>
                </c:pt>
                <c:pt idx="43">
                  <c:v>2.6728299999999998</c:v>
                </c:pt>
                <c:pt idx="44">
                  <c:v>2.6764700000000001</c:v>
                </c:pt>
                <c:pt idx="45">
                  <c:v>2.6791199999999997</c:v>
                </c:pt>
                <c:pt idx="46">
                  <c:v>2.6797</c:v>
                </c:pt>
                <c:pt idx="47">
                  <c:v>2.6819799999999998</c:v>
                </c:pt>
                <c:pt idx="48">
                  <c:v>2.6879399999999998</c:v>
                </c:pt>
                <c:pt idx="49">
                  <c:v>2.6945100000000002</c:v>
                </c:pt>
                <c:pt idx="50">
                  <c:v>2.6981999999999999</c:v>
                </c:pt>
                <c:pt idx="51">
                  <c:v>2.6986100000000004</c:v>
                </c:pt>
                <c:pt idx="52">
                  <c:v>2.6992899999999995</c:v>
                </c:pt>
                <c:pt idx="53">
                  <c:v>2.7003599999999999</c:v>
                </c:pt>
                <c:pt idx="54">
                  <c:v>2.7027800000000002</c:v>
                </c:pt>
                <c:pt idx="55">
                  <c:v>2.7060299999999997</c:v>
                </c:pt>
                <c:pt idx="56">
                  <c:v>2.7092399999999999</c:v>
                </c:pt>
                <c:pt idx="57">
                  <c:v>2.7108700000000003</c:v>
                </c:pt>
                <c:pt idx="58">
                  <c:v>2.7110300000000001</c:v>
                </c:pt>
                <c:pt idx="59">
                  <c:v>2.7069399999999999</c:v>
                </c:pt>
                <c:pt idx="60">
                  <c:v>2.7011699999999998</c:v>
                </c:pt>
                <c:pt idx="61">
                  <c:v>2.6949800000000002</c:v>
                </c:pt>
                <c:pt idx="62">
                  <c:v>2.6873900000000002</c:v>
                </c:pt>
                <c:pt idx="63">
                  <c:v>2.6832000000000003</c:v>
                </c:pt>
                <c:pt idx="64">
                  <c:v>2.68052</c:v>
                </c:pt>
                <c:pt idx="65">
                  <c:v>2.67638</c:v>
                </c:pt>
                <c:pt idx="66">
                  <c:v>2.67354</c:v>
                </c:pt>
                <c:pt idx="67">
                  <c:v>2.6727099999999999</c:v>
                </c:pt>
                <c:pt idx="68">
                  <c:v>2.6737300000000004</c:v>
                </c:pt>
                <c:pt idx="69">
                  <c:v>2.6742500000000002</c:v>
                </c:pt>
                <c:pt idx="70">
                  <c:v>2.67896</c:v>
                </c:pt>
                <c:pt idx="71">
                  <c:v>2.7063700000000002</c:v>
                </c:pt>
                <c:pt idx="72">
                  <c:v>2.7397300000000002</c:v>
                </c:pt>
                <c:pt idx="73">
                  <c:v>2.7616899999999998</c:v>
                </c:pt>
                <c:pt idx="74">
                  <c:v>2.7811599999999999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15.0425</c:v>
                </c:pt>
                <c:pt idx="1">
                  <c:v>45.127499999999998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2.8887864864864876</c:v>
                </c:pt>
                <c:pt idx="1">
                  <c:v>2.7401545945945944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0.385824</c:v>
                </c:pt>
                <c:pt idx="2">
                  <c:v>0.79375200000000001</c:v>
                </c:pt>
                <c:pt idx="3">
                  <c:v>1.1956899999999999</c:v>
                </c:pt>
                <c:pt idx="4">
                  <c:v>1.60581</c:v>
                </c:pt>
                <c:pt idx="5">
                  <c:v>2.0073799999999999</c:v>
                </c:pt>
                <c:pt idx="6">
                  <c:v>2.41961</c:v>
                </c:pt>
                <c:pt idx="7">
                  <c:v>2.8225099999999999</c:v>
                </c:pt>
                <c:pt idx="8">
                  <c:v>3.2302300000000002</c:v>
                </c:pt>
                <c:pt idx="9">
                  <c:v>3.6354799999999998</c:v>
                </c:pt>
                <c:pt idx="10">
                  <c:v>4.0440699999999996</c:v>
                </c:pt>
                <c:pt idx="11">
                  <c:v>4.4480199999999996</c:v>
                </c:pt>
                <c:pt idx="12">
                  <c:v>4.8579299999999996</c:v>
                </c:pt>
                <c:pt idx="13">
                  <c:v>5.2607999999999997</c:v>
                </c:pt>
                <c:pt idx="14">
                  <c:v>5.6666999999999996</c:v>
                </c:pt>
                <c:pt idx="15">
                  <c:v>6.0717600000000003</c:v>
                </c:pt>
                <c:pt idx="16">
                  <c:v>6.48062</c:v>
                </c:pt>
                <c:pt idx="17">
                  <c:v>6.8845400000000003</c:v>
                </c:pt>
                <c:pt idx="18">
                  <c:v>7.2913600000000001</c:v>
                </c:pt>
                <c:pt idx="19">
                  <c:v>7.6952499999999997</c:v>
                </c:pt>
                <c:pt idx="20">
                  <c:v>8.1014099999999996</c:v>
                </c:pt>
                <c:pt idx="21">
                  <c:v>8.5080899999999993</c:v>
                </c:pt>
                <c:pt idx="22">
                  <c:v>8.9160000000000004</c:v>
                </c:pt>
                <c:pt idx="23">
                  <c:v>9.3220299999999998</c:v>
                </c:pt>
                <c:pt idx="24">
                  <c:v>9.7279300000000006</c:v>
                </c:pt>
                <c:pt idx="25">
                  <c:v>10.1348</c:v>
                </c:pt>
                <c:pt idx="26">
                  <c:v>10.540699999999999</c:v>
                </c:pt>
                <c:pt idx="27">
                  <c:v>10.9466</c:v>
                </c:pt>
                <c:pt idx="28">
                  <c:v>11.3535</c:v>
                </c:pt>
                <c:pt idx="29">
                  <c:v>11.762499999999999</c:v>
                </c:pt>
                <c:pt idx="30">
                  <c:v>12.1684</c:v>
                </c:pt>
                <c:pt idx="31">
                  <c:v>12.573700000000001</c:v>
                </c:pt>
                <c:pt idx="32">
                  <c:v>12.9793</c:v>
                </c:pt>
                <c:pt idx="33">
                  <c:v>13.3842</c:v>
                </c:pt>
                <c:pt idx="34">
                  <c:v>13.794</c:v>
                </c:pt>
                <c:pt idx="35">
                  <c:v>14.198</c:v>
                </c:pt>
                <c:pt idx="36">
                  <c:v>14.606</c:v>
                </c:pt>
                <c:pt idx="37">
                  <c:v>15.008800000000001</c:v>
                </c:pt>
                <c:pt idx="38">
                  <c:v>15.416700000000001</c:v>
                </c:pt>
                <c:pt idx="39">
                  <c:v>15.823700000000001</c:v>
                </c:pt>
                <c:pt idx="40">
                  <c:v>16.229500000000002</c:v>
                </c:pt>
                <c:pt idx="41">
                  <c:v>16.635400000000001</c:v>
                </c:pt>
                <c:pt idx="42">
                  <c:v>17.040299999999998</c:v>
                </c:pt>
                <c:pt idx="43">
                  <c:v>17.4466</c:v>
                </c:pt>
                <c:pt idx="44">
                  <c:v>17.8581</c:v>
                </c:pt>
                <c:pt idx="45">
                  <c:v>18.2591</c:v>
                </c:pt>
                <c:pt idx="46">
                  <c:v>18.666899999999998</c:v>
                </c:pt>
                <c:pt idx="47">
                  <c:v>19.0731</c:v>
                </c:pt>
                <c:pt idx="48">
                  <c:v>19.478999999999999</c:v>
                </c:pt>
                <c:pt idx="49">
                  <c:v>19.8857</c:v>
                </c:pt>
                <c:pt idx="50">
                  <c:v>20.291599999999999</c:v>
                </c:pt>
                <c:pt idx="51">
                  <c:v>20.697600000000001</c:v>
                </c:pt>
                <c:pt idx="52">
                  <c:v>21.102499999999999</c:v>
                </c:pt>
                <c:pt idx="53">
                  <c:v>21.508400000000002</c:v>
                </c:pt>
                <c:pt idx="54">
                  <c:v>21.9192</c:v>
                </c:pt>
                <c:pt idx="55">
                  <c:v>22.324200000000001</c:v>
                </c:pt>
                <c:pt idx="56">
                  <c:v>22.728100000000001</c:v>
                </c:pt>
                <c:pt idx="57">
                  <c:v>23.132100000000001</c:v>
                </c:pt>
                <c:pt idx="58">
                  <c:v>23.539300000000001</c:v>
                </c:pt>
                <c:pt idx="59">
                  <c:v>23.945799999999998</c:v>
                </c:pt>
                <c:pt idx="60">
                  <c:v>24.3584</c:v>
                </c:pt>
                <c:pt idx="61">
                  <c:v>24.7636</c:v>
                </c:pt>
                <c:pt idx="62">
                  <c:v>25.165600000000001</c:v>
                </c:pt>
                <c:pt idx="63">
                  <c:v>25.5718</c:v>
                </c:pt>
                <c:pt idx="64">
                  <c:v>25.979399999999998</c:v>
                </c:pt>
                <c:pt idx="65">
                  <c:v>26.386299999999999</c:v>
                </c:pt>
                <c:pt idx="66">
                  <c:v>26.793199999999999</c:v>
                </c:pt>
                <c:pt idx="67">
                  <c:v>27.1951</c:v>
                </c:pt>
                <c:pt idx="68">
                  <c:v>27.604299999999999</c:v>
                </c:pt>
                <c:pt idx="69">
                  <c:v>28.01</c:v>
                </c:pt>
                <c:pt idx="70">
                  <c:v>28.416799999999999</c:v>
                </c:pt>
                <c:pt idx="71">
                  <c:v>28.823</c:v>
                </c:pt>
                <c:pt idx="72">
                  <c:v>29.229700000000001</c:v>
                </c:pt>
                <c:pt idx="73">
                  <c:v>29.633600000000001</c:v>
                </c:pt>
                <c:pt idx="74">
                  <c:v>30.044599999999999</c:v>
                </c:pt>
                <c:pt idx="75">
                  <c:v>30.638500000000001</c:v>
                </c:pt>
                <c:pt idx="76">
                  <c:v>31.01</c:v>
                </c:pt>
                <c:pt idx="77">
                  <c:v>31.384899999999998</c:v>
                </c:pt>
                <c:pt idx="78">
                  <c:v>31.757200000000001</c:v>
                </c:pt>
                <c:pt idx="79">
                  <c:v>32.133899999999997</c:v>
                </c:pt>
                <c:pt idx="80">
                  <c:v>32.542900000000003</c:v>
                </c:pt>
                <c:pt idx="81">
                  <c:v>32.948099999999997</c:v>
                </c:pt>
                <c:pt idx="82">
                  <c:v>33.352699999999999</c:v>
                </c:pt>
                <c:pt idx="83">
                  <c:v>33.760599999999997</c:v>
                </c:pt>
                <c:pt idx="84">
                  <c:v>34.1676</c:v>
                </c:pt>
                <c:pt idx="85">
                  <c:v>34.5715</c:v>
                </c:pt>
                <c:pt idx="86">
                  <c:v>34.977499999999999</c:v>
                </c:pt>
                <c:pt idx="87">
                  <c:v>35.388300000000001</c:v>
                </c:pt>
                <c:pt idx="88">
                  <c:v>35.795299999999997</c:v>
                </c:pt>
                <c:pt idx="89">
                  <c:v>36.197099999999999</c:v>
                </c:pt>
                <c:pt idx="90">
                  <c:v>36.604999999999997</c:v>
                </c:pt>
                <c:pt idx="91">
                  <c:v>37.007300000000001</c:v>
                </c:pt>
                <c:pt idx="92">
                  <c:v>37.414900000000003</c:v>
                </c:pt>
                <c:pt idx="93">
                  <c:v>37.826700000000002</c:v>
                </c:pt>
                <c:pt idx="94">
                  <c:v>38.230699999999999</c:v>
                </c:pt>
                <c:pt idx="95">
                  <c:v>38.635599999999997</c:v>
                </c:pt>
                <c:pt idx="96">
                  <c:v>39.0398</c:v>
                </c:pt>
                <c:pt idx="97">
                  <c:v>39.444499999999998</c:v>
                </c:pt>
                <c:pt idx="98">
                  <c:v>39.8553</c:v>
                </c:pt>
                <c:pt idx="99">
                  <c:v>40.262300000000003</c:v>
                </c:pt>
                <c:pt idx="100">
                  <c:v>40.667200000000001</c:v>
                </c:pt>
                <c:pt idx="101">
                  <c:v>41.07</c:v>
                </c:pt>
                <c:pt idx="102">
                  <c:v>41.4788</c:v>
                </c:pt>
                <c:pt idx="103">
                  <c:v>41.885899999999999</c:v>
                </c:pt>
                <c:pt idx="104">
                  <c:v>42.294800000000002</c:v>
                </c:pt>
                <c:pt idx="105">
                  <c:v>42.698700000000002</c:v>
                </c:pt>
                <c:pt idx="106">
                  <c:v>43.102600000000002</c:v>
                </c:pt>
                <c:pt idx="107">
                  <c:v>43.508899999999997</c:v>
                </c:pt>
                <c:pt idx="108">
                  <c:v>43.915399999999998</c:v>
                </c:pt>
                <c:pt idx="109">
                  <c:v>44.324399999999997</c:v>
                </c:pt>
                <c:pt idx="110">
                  <c:v>44.730200000000004</c:v>
                </c:pt>
                <c:pt idx="111">
                  <c:v>45.136200000000002</c:v>
                </c:pt>
                <c:pt idx="112">
                  <c:v>45.5381</c:v>
                </c:pt>
                <c:pt idx="113">
                  <c:v>45.948099999999997</c:v>
                </c:pt>
                <c:pt idx="114">
                  <c:v>46.353999999999999</c:v>
                </c:pt>
                <c:pt idx="115">
                  <c:v>46.762799999999999</c:v>
                </c:pt>
                <c:pt idx="116">
                  <c:v>47.163699999999999</c:v>
                </c:pt>
                <c:pt idx="117">
                  <c:v>47.575099999999999</c:v>
                </c:pt>
                <c:pt idx="118">
                  <c:v>47.975700000000003</c:v>
                </c:pt>
                <c:pt idx="119">
                  <c:v>48.386499999999998</c:v>
                </c:pt>
                <c:pt idx="120">
                  <c:v>48.792400000000001</c:v>
                </c:pt>
                <c:pt idx="121">
                  <c:v>49.197499999999998</c:v>
                </c:pt>
                <c:pt idx="122">
                  <c:v>49.603499999999997</c:v>
                </c:pt>
                <c:pt idx="123">
                  <c:v>50.0122</c:v>
                </c:pt>
                <c:pt idx="124">
                  <c:v>50.414400000000001</c:v>
                </c:pt>
                <c:pt idx="125">
                  <c:v>50.821899999999999</c:v>
                </c:pt>
                <c:pt idx="126">
                  <c:v>51.226999999999997</c:v>
                </c:pt>
                <c:pt idx="127">
                  <c:v>51.635100000000001</c:v>
                </c:pt>
                <c:pt idx="128">
                  <c:v>52.041699999999999</c:v>
                </c:pt>
                <c:pt idx="129">
                  <c:v>52.449599999999997</c:v>
                </c:pt>
                <c:pt idx="130">
                  <c:v>52.857700000000001</c:v>
                </c:pt>
                <c:pt idx="131">
                  <c:v>53.261400000000002</c:v>
                </c:pt>
                <c:pt idx="132">
                  <c:v>53.664299999999997</c:v>
                </c:pt>
                <c:pt idx="133">
                  <c:v>54.075499999999998</c:v>
                </c:pt>
                <c:pt idx="134">
                  <c:v>54.481200000000001</c:v>
                </c:pt>
                <c:pt idx="135">
                  <c:v>54.8872</c:v>
                </c:pt>
                <c:pt idx="136">
                  <c:v>55.292099999999998</c:v>
                </c:pt>
                <c:pt idx="137">
                  <c:v>55.695</c:v>
                </c:pt>
                <c:pt idx="138">
                  <c:v>56.104199999999999</c:v>
                </c:pt>
                <c:pt idx="139">
                  <c:v>56.511899999999997</c:v>
                </c:pt>
                <c:pt idx="140">
                  <c:v>56.917700000000004</c:v>
                </c:pt>
                <c:pt idx="141">
                  <c:v>57.325600000000001</c:v>
                </c:pt>
                <c:pt idx="142">
                  <c:v>57.7256</c:v>
                </c:pt>
                <c:pt idx="143">
                  <c:v>58.133499999999998</c:v>
                </c:pt>
                <c:pt idx="144">
                  <c:v>58.543399999999998</c:v>
                </c:pt>
                <c:pt idx="145">
                  <c:v>58.9495</c:v>
                </c:pt>
                <c:pt idx="146">
                  <c:v>59.3523</c:v>
                </c:pt>
                <c:pt idx="147">
                  <c:v>59.758200000000002</c:v>
                </c:pt>
                <c:pt idx="148">
                  <c:v>60.17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51.420699999999997</c:v>
                </c:pt>
                <c:pt idx="1">
                  <c:v>50.0501</c:v>
                </c:pt>
                <c:pt idx="2">
                  <c:v>48.826000000000001</c:v>
                </c:pt>
                <c:pt idx="3">
                  <c:v>47.699100000000001</c:v>
                </c:pt>
                <c:pt idx="4">
                  <c:v>46.682600000000001</c:v>
                </c:pt>
                <c:pt idx="5">
                  <c:v>45.539200000000001</c:v>
                </c:pt>
                <c:pt idx="6">
                  <c:v>44.509599999999999</c:v>
                </c:pt>
                <c:pt idx="7">
                  <c:v>43.544699999999999</c:v>
                </c:pt>
                <c:pt idx="8">
                  <c:v>42.688800000000001</c:v>
                </c:pt>
                <c:pt idx="9">
                  <c:v>41.945300000000003</c:v>
                </c:pt>
                <c:pt idx="10">
                  <c:v>41.335599999999999</c:v>
                </c:pt>
                <c:pt idx="11">
                  <c:v>40.762300000000003</c:v>
                </c:pt>
                <c:pt idx="12">
                  <c:v>40.182600000000001</c:v>
                </c:pt>
                <c:pt idx="13">
                  <c:v>39.511200000000002</c:v>
                </c:pt>
                <c:pt idx="14">
                  <c:v>38.756399999999999</c:v>
                </c:pt>
                <c:pt idx="15">
                  <c:v>37.9467</c:v>
                </c:pt>
                <c:pt idx="16">
                  <c:v>37.205300000000001</c:v>
                </c:pt>
                <c:pt idx="17">
                  <c:v>36.581099999999999</c:v>
                </c:pt>
                <c:pt idx="18">
                  <c:v>36.016399999999997</c:v>
                </c:pt>
                <c:pt idx="19">
                  <c:v>35.532299999999999</c:v>
                </c:pt>
                <c:pt idx="20">
                  <c:v>35.061399999999999</c:v>
                </c:pt>
                <c:pt idx="21">
                  <c:v>34.651800000000001</c:v>
                </c:pt>
                <c:pt idx="22">
                  <c:v>34.230699999999999</c:v>
                </c:pt>
                <c:pt idx="23">
                  <c:v>33.8155</c:v>
                </c:pt>
                <c:pt idx="24">
                  <c:v>33.427399999999999</c:v>
                </c:pt>
                <c:pt idx="25">
                  <c:v>33.070399999999999</c:v>
                </c:pt>
                <c:pt idx="26">
                  <c:v>32.751100000000001</c:v>
                </c:pt>
                <c:pt idx="27">
                  <c:v>32.427</c:v>
                </c:pt>
                <c:pt idx="28">
                  <c:v>32.151400000000002</c:v>
                </c:pt>
                <c:pt idx="29">
                  <c:v>31.845099999999999</c:v>
                </c:pt>
                <c:pt idx="30">
                  <c:v>31.554100000000002</c:v>
                </c:pt>
                <c:pt idx="31">
                  <c:v>31.244100000000003</c:v>
                </c:pt>
                <c:pt idx="32">
                  <c:v>30.9316</c:v>
                </c:pt>
                <c:pt idx="33">
                  <c:v>30.635200000000001</c:v>
                </c:pt>
                <c:pt idx="34">
                  <c:v>30.379899999999999</c:v>
                </c:pt>
                <c:pt idx="35">
                  <c:v>30.152099999999997</c:v>
                </c:pt>
                <c:pt idx="36">
                  <c:v>29.945500000000003</c:v>
                </c:pt>
                <c:pt idx="37">
                  <c:v>29.696400000000001</c:v>
                </c:pt>
                <c:pt idx="38">
                  <c:v>29.458499999999997</c:v>
                </c:pt>
                <c:pt idx="39">
                  <c:v>29.274000000000001</c:v>
                </c:pt>
                <c:pt idx="40">
                  <c:v>29.200500000000002</c:v>
                </c:pt>
                <c:pt idx="41">
                  <c:v>29.145500000000002</c:v>
                </c:pt>
                <c:pt idx="42">
                  <c:v>29.078199999999999</c:v>
                </c:pt>
                <c:pt idx="43">
                  <c:v>29.028599999999997</c:v>
                </c:pt>
                <c:pt idx="44">
                  <c:v>28.9255</c:v>
                </c:pt>
                <c:pt idx="45">
                  <c:v>28.772300000000001</c:v>
                </c:pt>
                <c:pt idx="46">
                  <c:v>28.580400000000001</c:v>
                </c:pt>
                <c:pt idx="47">
                  <c:v>28.396000000000001</c:v>
                </c:pt>
                <c:pt idx="48">
                  <c:v>28.186</c:v>
                </c:pt>
                <c:pt idx="49">
                  <c:v>27.9773</c:v>
                </c:pt>
                <c:pt idx="50">
                  <c:v>27.799299999999999</c:v>
                </c:pt>
                <c:pt idx="51">
                  <c:v>27.590500000000002</c:v>
                </c:pt>
                <c:pt idx="52">
                  <c:v>27.385199999999998</c:v>
                </c:pt>
                <c:pt idx="53">
                  <c:v>27.168599999999998</c:v>
                </c:pt>
                <c:pt idx="54">
                  <c:v>26.961299999999998</c:v>
                </c:pt>
                <c:pt idx="55">
                  <c:v>26.8324</c:v>
                </c:pt>
                <c:pt idx="56">
                  <c:v>26.733800000000002</c:v>
                </c:pt>
                <c:pt idx="57">
                  <c:v>26.6633</c:v>
                </c:pt>
                <c:pt idx="58">
                  <c:v>26.633499999999998</c:v>
                </c:pt>
                <c:pt idx="59">
                  <c:v>26.621099999999998</c:v>
                </c:pt>
                <c:pt idx="60">
                  <c:v>26.6052</c:v>
                </c:pt>
                <c:pt idx="61">
                  <c:v>26.553799999999999</c:v>
                </c:pt>
                <c:pt idx="62">
                  <c:v>26.580300000000001</c:v>
                </c:pt>
                <c:pt idx="63">
                  <c:v>26.6111</c:v>
                </c:pt>
                <c:pt idx="64">
                  <c:v>26.692</c:v>
                </c:pt>
                <c:pt idx="65">
                  <c:v>26.796199999999999</c:v>
                </c:pt>
                <c:pt idx="66">
                  <c:v>26.847199999999997</c:v>
                </c:pt>
                <c:pt idx="67">
                  <c:v>26.850600000000004</c:v>
                </c:pt>
                <c:pt idx="68">
                  <c:v>26.909100000000002</c:v>
                </c:pt>
                <c:pt idx="69">
                  <c:v>27.005699999999997</c:v>
                </c:pt>
                <c:pt idx="70">
                  <c:v>27.150500000000001</c:v>
                </c:pt>
                <c:pt idx="71">
                  <c:v>27.256200000000003</c:v>
                </c:pt>
                <c:pt idx="72">
                  <c:v>27.398</c:v>
                </c:pt>
                <c:pt idx="73">
                  <c:v>27.594200000000001</c:v>
                </c:pt>
                <c:pt idx="74">
                  <c:v>27.806100000000001</c:v>
                </c:pt>
                <c:pt idx="75">
                  <c:v>28.091899999999999</c:v>
                </c:pt>
                <c:pt idx="76">
                  <c:v>28.314099999999996</c:v>
                </c:pt>
                <c:pt idx="77">
                  <c:v>28.5578</c:v>
                </c:pt>
                <c:pt idx="78">
                  <c:v>28.812500000000004</c:v>
                </c:pt>
                <c:pt idx="79">
                  <c:v>29.081000000000003</c:v>
                </c:pt>
                <c:pt idx="80">
                  <c:v>29.367700000000003</c:v>
                </c:pt>
                <c:pt idx="81">
                  <c:v>29.697299999999998</c:v>
                </c:pt>
                <c:pt idx="82">
                  <c:v>30.068200000000001</c:v>
                </c:pt>
                <c:pt idx="83">
                  <c:v>30.429600000000001</c:v>
                </c:pt>
                <c:pt idx="84">
                  <c:v>30.819299999999998</c:v>
                </c:pt>
                <c:pt idx="85">
                  <c:v>31.248100000000001</c:v>
                </c:pt>
                <c:pt idx="86">
                  <c:v>31.769199999999998</c:v>
                </c:pt>
                <c:pt idx="87">
                  <c:v>32.440400000000004</c:v>
                </c:pt>
                <c:pt idx="88">
                  <c:v>33.273699999999998</c:v>
                </c:pt>
                <c:pt idx="89">
                  <c:v>34.185000000000002</c:v>
                </c:pt>
                <c:pt idx="90">
                  <c:v>35.069400000000002</c:v>
                </c:pt>
                <c:pt idx="91">
                  <c:v>36.054700000000004</c:v>
                </c:pt>
                <c:pt idx="92">
                  <c:v>36.9681</c:v>
                </c:pt>
                <c:pt idx="93">
                  <c:v>37.755300000000005</c:v>
                </c:pt>
                <c:pt idx="94">
                  <c:v>38.520400000000002</c:v>
                </c:pt>
                <c:pt idx="95">
                  <c:v>39.297800000000002</c:v>
                </c:pt>
                <c:pt idx="96">
                  <c:v>40.024300000000004</c:v>
                </c:pt>
                <c:pt idx="97">
                  <c:v>40.719699999999996</c:v>
                </c:pt>
                <c:pt idx="98">
                  <c:v>41.373699999999999</c:v>
                </c:pt>
                <c:pt idx="99">
                  <c:v>41.981699999999996</c:v>
                </c:pt>
                <c:pt idx="100">
                  <c:v>42.566800000000001</c:v>
                </c:pt>
                <c:pt idx="101">
                  <c:v>43.096800000000002</c:v>
                </c:pt>
                <c:pt idx="102">
                  <c:v>43.590699999999998</c:v>
                </c:pt>
                <c:pt idx="103">
                  <c:v>44.024700000000003</c:v>
                </c:pt>
                <c:pt idx="104">
                  <c:v>44.420200000000001</c:v>
                </c:pt>
                <c:pt idx="105">
                  <c:v>44.743200000000002</c:v>
                </c:pt>
                <c:pt idx="106">
                  <c:v>44.992199999999997</c:v>
                </c:pt>
                <c:pt idx="107">
                  <c:v>45.1098</c:v>
                </c:pt>
                <c:pt idx="108">
                  <c:v>45.141399999999997</c:v>
                </c:pt>
                <c:pt idx="109">
                  <c:v>45.133099999999999</c:v>
                </c:pt>
                <c:pt idx="110">
                  <c:v>45.0779</c:v>
                </c:pt>
                <c:pt idx="111">
                  <c:v>44.951799999999999</c:v>
                </c:pt>
                <c:pt idx="112">
                  <c:v>44.755499999999998</c:v>
                </c:pt>
                <c:pt idx="113">
                  <c:v>44.5336</c:v>
                </c:pt>
                <c:pt idx="114">
                  <c:v>44.307900000000004</c:v>
                </c:pt>
                <c:pt idx="115">
                  <c:v>44.176500000000004</c:v>
                </c:pt>
                <c:pt idx="116">
                  <c:v>44.081600000000002</c:v>
                </c:pt>
                <c:pt idx="117">
                  <c:v>44.016100000000002</c:v>
                </c:pt>
                <c:pt idx="118">
                  <c:v>43.964100000000002</c:v>
                </c:pt>
                <c:pt idx="119">
                  <c:v>43.8949</c:v>
                </c:pt>
                <c:pt idx="120">
                  <c:v>43.8339</c:v>
                </c:pt>
                <c:pt idx="121">
                  <c:v>43.847500000000004</c:v>
                </c:pt>
                <c:pt idx="122">
                  <c:v>43.8889</c:v>
                </c:pt>
                <c:pt idx="123">
                  <c:v>43.898600000000002</c:v>
                </c:pt>
                <c:pt idx="124">
                  <c:v>43.869799999999998</c:v>
                </c:pt>
                <c:pt idx="125">
                  <c:v>43.782600000000002</c:v>
                </c:pt>
                <c:pt idx="126">
                  <c:v>43.655300000000004</c:v>
                </c:pt>
                <c:pt idx="127">
                  <c:v>43.528099999999995</c:v>
                </c:pt>
                <c:pt idx="128">
                  <c:v>43.405999999999999</c:v>
                </c:pt>
                <c:pt idx="129">
                  <c:v>43.2333</c:v>
                </c:pt>
                <c:pt idx="130">
                  <c:v>43.044700000000006</c:v>
                </c:pt>
                <c:pt idx="131">
                  <c:v>42.823699999999995</c:v>
                </c:pt>
                <c:pt idx="132">
                  <c:v>42.6554</c:v>
                </c:pt>
                <c:pt idx="133">
                  <c:v>42.562800000000003</c:v>
                </c:pt>
                <c:pt idx="134">
                  <c:v>42.5105</c:v>
                </c:pt>
                <c:pt idx="135">
                  <c:v>42.529299999999999</c:v>
                </c:pt>
                <c:pt idx="136">
                  <c:v>42.662700000000001</c:v>
                </c:pt>
                <c:pt idx="137">
                  <c:v>42.919899999999998</c:v>
                </c:pt>
                <c:pt idx="138">
                  <c:v>43.2361</c:v>
                </c:pt>
                <c:pt idx="139">
                  <c:v>43.566600000000001</c:v>
                </c:pt>
                <c:pt idx="140">
                  <c:v>43.838899999999995</c:v>
                </c:pt>
                <c:pt idx="141">
                  <c:v>44.098799999999997</c:v>
                </c:pt>
                <c:pt idx="142">
                  <c:v>44.370399999999997</c:v>
                </c:pt>
                <c:pt idx="143">
                  <c:v>44.728000000000002</c:v>
                </c:pt>
                <c:pt idx="144">
                  <c:v>45.158200000000001</c:v>
                </c:pt>
                <c:pt idx="145">
                  <c:v>45.741799999999998</c:v>
                </c:pt>
                <c:pt idx="146">
                  <c:v>46.2181</c:v>
                </c:pt>
                <c:pt idx="147">
                  <c:v>46.310600000000001</c:v>
                </c:pt>
                <c:pt idx="148">
                  <c:v>46.599299999999999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0.385824</c:v>
                </c:pt>
                <c:pt idx="2">
                  <c:v>0.79375200000000001</c:v>
                </c:pt>
                <c:pt idx="3">
                  <c:v>1.1956899999999999</c:v>
                </c:pt>
                <c:pt idx="4">
                  <c:v>1.60581</c:v>
                </c:pt>
                <c:pt idx="5">
                  <c:v>2.0073799999999999</c:v>
                </c:pt>
                <c:pt idx="6">
                  <c:v>2.41961</c:v>
                </c:pt>
                <c:pt idx="7">
                  <c:v>2.8225099999999999</c:v>
                </c:pt>
                <c:pt idx="8">
                  <c:v>3.2302300000000002</c:v>
                </c:pt>
                <c:pt idx="9">
                  <c:v>3.6354799999999998</c:v>
                </c:pt>
                <c:pt idx="10">
                  <c:v>4.0440699999999996</c:v>
                </c:pt>
                <c:pt idx="11">
                  <c:v>4.4480199999999996</c:v>
                </c:pt>
                <c:pt idx="12">
                  <c:v>4.8579299999999996</c:v>
                </c:pt>
                <c:pt idx="13">
                  <c:v>5.2607999999999997</c:v>
                </c:pt>
                <c:pt idx="14">
                  <c:v>5.6666999999999996</c:v>
                </c:pt>
                <c:pt idx="15">
                  <c:v>6.0717600000000003</c:v>
                </c:pt>
                <c:pt idx="16">
                  <c:v>6.48062</c:v>
                </c:pt>
                <c:pt idx="17">
                  <c:v>6.8845400000000003</c:v>
                </c:pt>
                <c:pt idx="18">
                  <c:v>7.2913600000000001</c:v>
                </c:pt>
                <c:pt idx="19">
                  <c:v>7.6952499999999997</c:v>
                </c:pt>
                <c:pt idx="20">
                  <c:v>8.1014099999999996</c:v>
                </c:pt>
                <c:pt idx="21">
                  <c:v>8.5080899999999993</c:v>
                </c:pt>
                <c:pt idx="22">
                  <c:v>8.9160000000000004</c:v>
                </c:pt>
                <c:pt idx="23">
                  <c:v>9.3220299999999998</c:v>
                </c:pt>
                <c:pt idx="24">
                  <c:v>9.7279300000000006</c:v>
                </c:pt>
                <c:pt idx="25">
                  <c:v>10.1348</c:v>
                </c:pt>
                <c:pt idx="26">
                  <c:v>10.540699999999999</c:v>
                </c:pt>
                <c:pt idx="27">
                  <c:v>10.9466</c:v>
                </c:pt>
                <c:pt idx="28">
                  <c:v>11.3535</c:v>
                </c:pt>
                <c:pt idx="29">
                  <c:v>11.762499999999999</c:v>
                </c:pt>
                <c:pt idx="30">
                  <c:v>12.1684</c:v>
                </c:pt>
                <c:pt idx="31">
                  <c:v>12.573700000000001</c:v>
                </c:pt>
                <c:pt idx="32">
                  <c:v>12.9793</c:v>
                </c:pt>
                <c:pt idx="33">
                  <c:v>13.3842</c:v>
                </c:pt>
                <c:pt idx="34">
                  <c:v>13.794</c:v>
                </c:pt>
                <c:pt idx="35">
                  <c:v>14.198</c:v>
                </c:pt>
                <c:pt idx="36">
                  <c:v>14.606</c:v>
                </c:pt>
                <c:pt idx="37">
                  <c:v>15.008800000000001</c:v>
                </c:pt>
                <c:pt idx="38">
                  <c:v>15.416700000000001</c:v>
                </c:pt>
                <c:pt idx="39">
                  <c:v>15.823700000000001</c:v>
                </c:pt>
                <c:pt idx="40">
                  <c:v>16.229500000000002</c:v>
                </c:pt>
                <c:pt idx="41">
                  <c:v>16.635400000000001</c:v>
                </c:pt>
                <c:pt idx="42">
                  <c:v>17.040299999999998</c:v>
                </c:pt>
                <c:pt idx="43">
                  <c:v>17.4466</c:v>
                </c:pt>
                <c:pt idx="44">
                  <c:v>17.8581</c:v>
                </c:pt>
                <c:pt idx="45">
                  <c:v>18.2591</c:v>
                </c:pt>
                <c:pt idx="46">
                  <c:v>18.666899999999998</c:v>
                </c:pt>
                <c:pt idx="47">
                  <c:v>19.0731</c:v>
                </c:pt>
                <c:pt idx="48">
                  <c:v>19.478999999999999</c:v>
                </c:pt>
                <c:pt idx="49">
                  <c:v>19.8857</c:v>
                </c:pt>
                <c:pt idx="50">
                  <c:v>20.291599999999999</c:v>
                </c:pt>
                <c:pt idx="51">
                  <c:v>20.697600000000001</c:v>
                </c:pt>
                <c:pt idx="52">
                  <c:v>21.102499999999999</c:v>
                </c:pt>
                <c:pt idx="53">
                  <c:v>21.508400000000002</c:v>
                </c:pt>
                <c:pt idx="54">
                  <c:v>21.9192</c:v>
                </c:pt>
                <c:pt idx="55">
                  <c:v>22.324200000000001</c:v>
                </c:pt>
                <c:pt idx="56">
                  <c:v>22.728100000000001</c:v>
                </c:pt>
                <c:pt idx="57">
                  <c:v>23.132100000000001</c:v>
                </c:pt>
                <c:pt idx="58">
                  <c:v>23.539300000000001</c:v>
                </c:pt>
                <c:pt idx="59">
                  <c:v>23.945799999999998</c:v>
                </c:pt>
                <c:pt idx="60">
                  <c:v>24.3584</c:v>
                </c:pt>
                <c:pt idx="61">
                  <c:v>24.7636</c:v>
                </c:pt>
                <c:pt idx="62">
                  <c:v>25.165600000000001</c:v>
                </c:pt>
                <c:pt idx="63">
                  <c:v>25.5718</c:v>
                </c:pt>
                <c:pt idx="64">
                  <c:v>25.979399999999998</c:v>
                </c:pt>
                <c:pt idx="65">
                  <c:v>26.386299999999999</c:v>
                </c:pt>
                <c:pt idx="66">
                  <c:v>26.793199999999999</c:v>
                </c:pt>
                <c:pt idx="67">
                  <c:v>27.1951</c:v>
                </c:pt>
                <c:pt idx="68">
                  <c:v>27.604299999999999</c:v>
                </c:pt>
                <c:pt idx="69">
                  <c:v>28.01</c:v>
                </c:pt>
                <c:pt idx="70">
                  <c:v>28.416799999999999</c:v>
                </c:pt>
                <c:pt idx="71">
                  <c:v>28.823</c:v>
                </c:pt>
                <c:pt idx="72">
                  <c:v>29.229700000000001</c:v>
                </c:pt>
                <c:pt idx="73">
                  <c:v>29.633600000000001</c:v>
                </c:pt>
                <c:pt idx="74">
                  <c:v>30.044599999999999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51.420699999999997</c:v>
                </c:pt>
                <c:pt idx="1">
                  <c:v>50.0501</c:v>
                </c:pt>
                <c:pt idx="2">
                  <c:v>48.826000000000001</c:v>
                </c:pt>
                <c:pt idx="3">
                  <c:v>47.699100000000001</c:v>
                </c:pt>
                <c:pt idx="4">
                  <c:v>46.682600000000001</c:v>
                </c:pt>
                <c:pt idx="5">
                  <c:v>45.539200000000001</c:v>
                </c:pt>
                <c:pt idx="6">
                  <c:v>44.509599999999999</c:v>
                </c:pt>
                <c:pt idx="7">
                  <c:v>43.544699999999999</c:v>
                </c:pt>
                <c:pt idx="8">
                  <c:v>42.688800000000001</c:v>
                </c:pt>
                <c:pt idx="9">
                  <c:v>41.945300000000003</c:v>
                </c:pt>
                <c:pt idx="10">
                  <c:v>41.335599999999999</c:v>
                </c:pt>
                <c:pt idx="11">
                  <c:v>40.762300000000003</c:v>
                </c:pt>
                <c:pt idx="12">
                  <c:v>40.182600000000001</c:v>
                </c:pt>
                <c:pt idx="13">
                  <c:v>39.511200000000002</c:v>
                </c:pt>
                <c:pt idx="14">
                  <c:v>38.756399999999999</c:v>
                </c:pt>
                <c:pt idx="15">
                  <c:v>37.9467</c:v>
                </c:pt>
                <c:pt idx="16">
                  <c:v>37.205300000000001</c:v>
                </c:pt>
                <c:pt idx="17">
                  <c:v>36.581099999999999</c:v>
                </c:pt>
                <c:pt idx="18">
                  <c:v>36.016399999999997</c:v>
                </c:pt>
                <c:pt idx="19">
                  <c:v>35.532299999999999</c:v>
                </c:pt>
                <c:pt idx="20">
                  <c:v>35.061399999999999</c:v>
                </c:pt>
                <c:pt idx="21">
                  <c:v>34.651800000000001</c:v>
                </c:pt>
                <c:pt idx="22">
                  <c:v>34.230699999999999</c:v>
                </c:pt>
                <c:pt idx="23">
                  <c:v>33.8155</c:v>
                </c:pt>
                <c:pt idx="24">
                  <c:v>33.427399999999999</c:v>
                </c:pt>
                <c:pt idx="25">
                  <c:v>33.070399999999999</c:v>
                </c:pt>
                <c:pt idx="26">
                  <c:v>32.751100000000001</c:v>
                </c:pt>
                <c:pt idx="27">
                  <c:v>32.427</c:v>
                </c:pt>
                <c:pt idx="28">
                  <c:v>32.151400000000002</c:v>
                </c:pt>
                <c:pt idx="29">
                  <c:v>31.845099999999999</c:v>
                </c:pt>
                <c:pt idx="30">
                  <c:v>31.554100000000002</c:v>
                </c:pt>
                <c:pt idx="31">
                  <c:v>31.244100000000003</c:v>
                </c:pt>
                <c:pt idx="32">
                  <c:v>30.9316</c:v>
                </c:pt>
                <c:pt idx="33">
                  <c:v>30.635200000000001</c:v>
                </c:pt>
                <c:pt idx="34">
                  <c:v>30.379899999999999</c:v>
                </c:pt>
                <c:pt idx="35">
                  <c:v>30.152099999999997</c:v>
                </c:pt>
                <c:pt idx="36">
                  <c:v>29.945500000000003</c:v>
                </c:pt>
                <c:pt idx="37">
                  <c:v>29.696400000000001</c:v>
                </c:pt>
                <c:pt idx="38">
                  <c:v>29.458499999999997</c:v>
                </c:pt>
                <c:pt idx="39">
                  <c:v>29.274000000000001</c:v>
                </c:pt>
                <c:pt idx="40">
                  <c:v>29.200500000000002</c:v>
                </c:pt>
                <c:pt idx="41">
                  <c:v>29.145500000000002</c:v>
                </c:pt>
                <c:pt idx="42">
                  <c:v>29.078199999999999</c:v>
                </c:pt>
                <c:pt idx="43">
                  <c:v>29.028599999999997</c:v>
                </c:pt>
                <c:pt idx="44">
                  <c:v>28.9255</c:v>
                </c:pt>
                <c:pt idx="45">
                  <c:v>28.772300000000001</c:v>
                </c:pt>
                <c:pt idx="46">
                  <c:v>28.580400000000001</c:v>
                </c:pt>
                <c:pt idx="47">
                  <c:v>28.396000000000001</c:v>
                </c:pt>
                <c:pt idx="48">
                  <c:v>28.186</c:v>
                </c:pt>
                <c:pt idx="49">
                  <c:v>27.9773</c:v>
                </c:pt>
                <c:pt idx="50">
                  <c:v>27.799299999999999</c:v>
                </c:pt>
                <c:pt idx="51">
                  <c:v>27.590500000000002</c:v>
                </c:pt>
                <c:pt idx="52">
                  <c:v>27.385199999999998</c:v>
                </c:pt>
                <c:pt idx="53">
                  <c:v>27.168599999999998</c:v>
                </c:pt>
                <c:pt idx="54">
                  <c:v>26.961299999999998</c:v>
                </c:pt>
                <c:pt idx="55">
                  <c:v>26.8324</c:v>
                </c:pt>
                <c:pt idx="56">
                  <c:v>26.733800000000002</c:v>
                </c:pt>
                <c:pt idx="57">
                  <c:v>26.6633</c:v>
                </c:pt>
                <c:pt idx="58">
                  <c:v>26.633499999999998</c:v>
                </c:pt>
                <c:pt idx="59">
                  <c:v>26.621099999999998</c:v>
                </c:pt>
                <c:pt idx="60">
                  <c:v>26.6052</c:v>
                </c:pt>
                <c:pt idx="61">
                  <c:v>26.553799999999999</c:v>
                </c:pt>
                <c:pt idx="62">
                  <c:v>26.580300000000001</c:v>
                </c:pt>
                <c:pt idx="63">
                  <c:v>26.6111</c:v>
                </c:pt>
                <c:pt idx="64">
                  <c:v>26.692</c:v>
                </c:pt>
                <c:pt idx="65">
                  <c:v>26.796199999999999</c:v>
                </c:pt>
                <c:pt idx="66">
                  <c:v>26.847199999999997</c:v>
                </c:pt>
                <c:pt idx="67">
                  <c:v>26.850600000000004</c:v>
                </c:pt>
                <c:pt idx="68">
                  <c:v>26.909100000000002</c:v>
                </c:pt>
                <c:pt idx="69">
                  <c:v>27.005699999999997</c:v>
                </c:pt>
                <c:pt idx="70">
                  <c:v>27.150500000000001</c:v>
                </c:pt>
                <c:pt idx="71">
                  <c:v>27.256200000000003</c:v>
                </c:pt>
                <c:pt idx="72">
                  <c:v>27.398</c:v>
                </c:pt>
                <c:pt idx="73">
                  <c:v>27.594200000000001</c:v>
                </c:pt>
                <c:pt idx="74">
                  <c:v>27.806100000000001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30.044599999999999</c:v>
                </c:pt>
                <c:pt idx="1">
                  <c:v>30.638500000000001</c:v>
                </c:pt>
                <c:pt idx="2">
                  <c:v>31.01</c:v>
                </c:pt>
                <c:pt idx="3">
                  <c:v>31.384899999999998</c:v>
                </c:pt>
                <c:pt idx="4">
                  <c:v>31.757200000000001</c:v>
                </c:pt>
                <c:pt idx="5">
                  <c:v>32.133899999999997</c:v>
                </c:pt>
                <c:pt idx="6">
                  <c:v>32.542900000000003</c:v>
                </c:pt>
                <c:pt idx="7">
                  <c:v>32.948099999999997</c:v>
                </c:pt>
                <c:pt idx="8">
                  <c:v>33.352699999999999</c:v>
                </c:pt>
                <c:pt idx="9">
                  <c:v>33.760599999999997</c:v>
                </c:pt>
                <c:pt idx="10">
                  <c:v>34.1676</c:v>
                </c:pt>
                <c:pt idx="11">
                  <c:v>34.5715</c:v>
                </c:pt>
                <c:pt idx="12">
                  <c:v>34.977499999999999</c:v>
                </c:pt>
                <c:pt idx="13">
                  <c:v>35.388300000000001</c:v>
                </c:pt>
                <c:pt idx="14">
                  <c:v>35.795299999999997</c:v>
                </c:pt>
                <c:pt idx="15">
                  <c:v>36.197099999999999</c:v>
                </c:pt>
                <c:pt idx="16">
                  <c:v>36.604999999999997</c:v>
                </c:pt>
                <c:pt idx="17">
                  <c:v>37.007300000000001</c:v>
                </c:pt>
                <c:pt idx="18">
                  <c:v>37.414900000000003</c:v>
                </c:pt>
                <c:pt idx="19">
                  <c:v>37.826700000000002</c:v>
                </c:pt>
                <c:pt idx="20">
                  <c:v>38.230699999999999</c:v>
                </c:pt>
                <c:pt idx="21">
                  <c:v>38.635599999999997</c:v>
                </c:pt>
                <c:pt idx="22">
                  <c:v>39.0398</c:v>
                </c:pt>
                <c:pt idx="23">
                  <c:v>39.444499999999998</c:v>
                </c:pt>
                <c:pt idx="24">
                  <c:v>39.8553</c:v>
                </c:pt>
                <c:pt idx="25">
                  <c:v>40.262300000000003</c:v>
                </c:pt>
                <c:pt idx="26">
                  <c:v>40.667200000000001</c:v>
                </c:pt>
                <c:pt idx="27">
                  <c:v>41.07</c:v>
                </c:pt>
                <c:pt idx="28">
                  <c:v>41.4788</c:v>
                </c:pt>
                <c:pt idx="29">
                  <c:v>41.885899999999999</c:v>
                </c:pt>
                <c:pt idx="30">
                  <c:v>42.294800000000002</c:v>
                </c:pt>
                <c:pt idx="31">
                  <c:v>42.698700000000002</c:v>
                </c:pt>
                <c:pt idx="32">
                  <c:v>43.102600000000002</c:v>
                </c:pt>
                <c:pt idx="33">
                  <c:v>43.508899999999997</c:v>
                </c:pt>
                <c:pt idx="34">
                  <c:v>43.915399999999998</c:v>
                </c:pt>
                <c:pt idx="35">
                  <c:v>44.324399999999997</c:v>
                </c:pt>
                <c:pt idx="36">
                  <c:v>44.730200000000004</c:v>
                </c:pt>
                <c:pt idx="37">
                  <c:v>45.136200000000002</c:v>
                </c:pt>
                <c:pt idx="38">
                  <c:v>45.5381</c:v>
                </c:pt>
                <c:pt idx="39">
                  <c:v>45.948099999999997</c:v>
                </c:pt>
                <c:pt idx="40">
                  <c:v>46.353999999999999</c:v>
                </c:pt>
                <c:pt idx="41">
                  <c:v>46.762799999999999</c:v>
                </c:pt>
                <c:pt idx="42">
                  <c:v>47.163699999999999</c:v>
                </c:pt>
                <c:pt idx="43">
                  <c:v>47.575099999999999</c:v>
                </c:pt>
                <c:pt idx="44">
                  <c:v>47.975700000000003</c:v>
                </c:pt>
                <c:pt idx="45">
                  <c:v>48.386499999999998</c:v>
                </c:pt>
                <c:pt idx="46">
                  <c:v>48.792400000000001</c:v>
                </c:pt>
                <c:pt idx="47">
                  <c:v>49.197499999999998</c:v>
                </c:pt>
                <c:pt idx="48">
                  <c:v>49.603499999999997</c:v>
                </c:pt>
                <c:pt idx="49">
                  <c:v>50.0122</c:v>
                </c:pt>
                <c:pt idx="50">
                  <c:v>50.414400000000001</c:v>
                </c:pt>
                <c:pt idx="51">
                  <c:v>50.821899999999999</c:v>
                </c:pt>
                <c:pt idx="52">
                  <c:v>51.226999999999997</c:v>
                </c:pt>
                <c:pt idx="53">
                  <c:v>51.635100000000001</c:v>
                </c:pt>
                <c:pt idx="54">
                  <c:v>52.041699999999999</c:v>
                </c:pt>
                <c:pt idx="55">
                  <c:v>52.449599999999997</c:v>
                </c:pt>
                <c:pt idx="56">
                  <c:v>52.857700000000001</c:v>
                </c:pt>
                <c:pt idx="57">
                  <c:v>53.261400000000002</c:v>
                </c:pt>
                <c:pt idx="58">
                  <c:v>53.664299999999997</c:v>
                </c:pt>
                <c:pt idx="59">
                  <c:v>54.075499999999998</c:v>
                </c:pt>
                <c:pt idx="60">
                  <c:v>54.481200000000001</c:v>
                </c:pt>
                <c:pt idx="61">
                  <c:v>54.8872</c:v>
                </c:pt>
                <c:pt idx="62">
                  <c:v>55.292099999999998</c:v>
                </c:pt>
                <c:pt idx="63">
                  <c:v>55.695</c:v>
                </c:pt>
                <c:pt idx="64">
                  <c:v>56.104199999999999</c:v>
                </c:pt>
                <c:pt idx="65">
                  <c:v>56.511899999999997</c:v>
                </c:pt>
                <c:pt idx="66">
                  <c:v>56.917700000000004</c:v>
                </c:pt>
                <c:pt idx="67">
                  <c:v>57.325600000000001</c:v>
                </c:pt>
                <c:pt idx="68">
                  <c:v>57.7256</c:v>
                </c:pt>
                <c:pt idx="69">
                  <c:v>58.133499999999998</c:v>
                </c:pt>
                <c:pt idx="70">
                  <c:v>58.543399999999998</c:v>
                </c:pt>
                <c:pt idx="71">
                  <c:v>58.9495</c:v>
                </c:pt>
                <c:pt idx="72">
                  <c:v>59.3523</c:v>
                </c:pt>
                <c:pt idx="73">
                  <c:v>59.758200000000002</c:v>
                </c:pt>
                <c:pt idx="74">
                  <c:v>60.17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27.806100000000001</c:v>
                </c:pt>
                <c:pt idx="1">
                  <c:v>28.091899999999999</c:v>
                </c:pt>
                <c:pt idx="2">
                  <c:v>28.314099999999996</c:v>
                </c:pt>
                <c:pt idx="3">
                  <c:v>28.5578</c:v>
                </c:pt>
                <c:pt idx="4">
                  <c:v>28.812500000000004</c:v>
                </c:pt>
                <c:pt idx="5">
                  <c:v>29.081000000000003</c:v>
                </c:pt>
                <c:pt idx="6">
                  <c:v>29.367700000000003</c:v>
                </c:pt>
                <c:pt idx="7">
                  <c:v>29.697299999999998</c:v>
                </c:pt>
                <c:pt idx="8">
                  <c:v>30.068200000000001</c:v>
                </c:pt>
                <c:pt idx="9">
                  <c:v>30.429600000000001</c:v>
                </c:pt>
                <c:pt idx="10">
                  <c:v>30.819299999999998</c:v>
                </c:pt>
                <c:pt idx="11">
                  <c:v>31.248100000000001</c:v>
                </c:pt>
                <c:pt idx="12">
                  <c:v>31.769199999999998</c:v>
                </c:pt>
                <c:pt idx="13">
                  <c:v>32.440400000000004</c:v>
                </c:pt>
                <c:pt idx="14">
                  <c:v>33.273699999999998</c:v>
                </c:pt>
                <c:pt idx="15">
                  <c:v>34.185000000000002</c:v>
                </c:pt>
                <c:pt idx="16">
                  <c:v>35.069400000000002</c:v>
                </c:pt>
                <c:pt idx="17">
                  <c:v>36.054700000000004</c:v>
                </c:pt>
                <c:pt idx="18">
                  <c:v>36.9681</c:v>
                </c:pt>
                <c:pt idx="19">
                  <c:v>37.755300000000005</c:v>
                </c:pt>
                <c:pt idx="20">
                  <c:v>38.520400000000002</c:v>
                </c:pt>
                <c:pt idx="21">
                  <c:v>39.297800000000002</c:v>
                </c:pt>
                <c:pt idx="22">
                  <c:v>40.024300000000004</c:v>
                </c:pt>
                <c:pt idx="23">
                  <c:v>40.719699999999996</c:v>
                </c:pt>
                <c:pt idx="24">
                  <c:v>41.373699999999999</c:v>
                </c:pt>
                <c:pt idx="25">
                  <c:v>41.981699999999996</c:v>
                </c:pt>
                <c:pt idx="26">
                  <c:v>42.566800000000001</c:v>
                </c:pt>
                <c:pt idx="27">
                  <c:v>43.096800000000002</c:v>
                </c:pt>
                <c:pt idx="28">
                  <c:v>43.590699999999998</c:v>
                </c:pt>
                <c:pt idx="29">
                  <c:v>44.024700000000003</c:v>
                </c:pt>
                <c:pt idx="30">
                  <c:v>44.420200000000001</c:v>
                </c:pt>
                <c:pt idx="31">
                  <c:v>44.743200000000002</c:v>
                </c:pt>
                <c:pt idx="32">
                  <c:v>44.992199999999997</c:v>
                </c:pt>
                <c:pt idx="33">
                  <c:v>45.1098</c:v>
                </c:pt>
                <c:pt idx="34">
                  <c:v>45.141399999999997</c:v>
                </c:pt>
                <c:pt idx="35">
                  <c:v>45.133099999999999</c:v>
                </c:pt>
                <c:pt idx="36">
                  <c:v>45.0779</c:v>
                </c:pt>
                <c:pt idx="37">
                  <c:v>44.951799999999999</c:v>
                </c:pt>
                <c:pt idx="38">
                  <c:v>44.755499999999998</c:v>
                </c:pt>
                <c:pt idx="39">
                  <c:v>44.5336</c:v>
                </c:pt>
                <c:pt idx="40">
                  <c:v>44.307900000000004</c:v>
                </c:pt>
                <c:pt idx="41">
                  <c:v>44.176500000000004</c:v>
                </c:pt>
                <c:pt idx="42">
                  <c:v>44.081600000000002</c:v>
                </c:pt>
                <c:pt idx="43">
                  <c:v>44.016100000000002</c:v>
                </c:pt>
                <c:pt idx="44">
                  <c:v>43.964100000000002</c:v>
                </c:pt>
                <c:pt idx="45">
                  <c:v>43.8949</c:v>
                </c:pt>
                <c:pt idx="46">
                  <c:v>43.8339</c:v>
                </c:pt>
                <c:pt idx="47">
                  <c:v>43.847500000000004</c:v>
                </c:pt>
                <c:pt idx="48">
                  <c:v>43.8889</c:v>
                </c:pt>
                <c:pt idx="49">
                  <c:v>43.898600000000002</c:v>
                </c:pt>
                <c:pt idx="50">
                  <c:v>43.869799999999998</c:v>
                </c:pt>
                <c:pt idx="51">
                  <c:v>43.782600000000002</c:v>
                </c:pt>
                <c:pt idx="52">
                  <c:v>43.655300000000004</c:v>
                </c:pt>
                <c:pt idx="53">
                  <c:v>43.528099999999995</c:v>
                </c:pt>
                <c:pt idx="54">
                  <c:v>43.405999999999999</c:v>
                </c:pt>
                <c:pt idx="55">
                  <c:v>43.2333</c:v>
                </c:pt>
                <c:pt idx="56">
                  <c:v>43.044700000000006</c:v>
                </c:pt>
                <c:pt idx="57">
                  <c:v>42.823699999999995</c:v>
                </c:pt>
                <c:pt idx="58">
                  <c:v>42.6554</c:v>
                </c:pt>
                <c:pt idx="59">
                  <c:v>42.562800000000003</c:v>
                </c:pt>
                <c:pt idx="60">
                  <c:v>42.5105</c:v>
                </c:pt>
                <c:pt idx="61">
                  <c:v>42.529299999999999</c:v>
                </c:pt>
                <c:pt idx="62">
                  <c:v>42.662700000000001</c:v>
                </c:pt>
                <c:pt idx="63">
                  <c:v>42.919899999999998</c:v>
                </c:pt>
                <c:pt idx="64">
                  <c:v>43.2361</c:v>
                </c:pt>
                <c:pt idx="65">
                  <c:v>43.566600000000001</c:v>
                </c:pt>
                <c:pt idx="66">
                  <c:v>43.838899999999995</c:v>
                </c:pt>
                <c:pt idx="67">
                  <c:v>44.098799999999997</c:v>
                </c:pt>
                <c:pt idx="68">
                  <c:v>44.370399999999997</c:v>
                </c:pt>
                <c:pt idx="69">
                  <c:v>44.728000000000002</c:v>
                </c:pt>
                <c:pt idx="70">
                  <c:v>45.158200000000001</c:v>
                </c:pt>
                <c:pt idx="71">
                  <c:v>45.741799999999998</c:v>
                </c:pt>
                <c:pt idx="72">
                  <c:v>46.2181</c:v>
                </c:pt>
                <c:pt idx="73">
                  <c:v>46.310600000000001</c:v>
                </c:pt>
                <c:pt idx="74">
                  <c:v>46.599299999999999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15.0425</c:v>
                </c:pt>
                <c:pt idx="1">
                  <c:v>45.127499999999998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32.675251351351335</c:v>
                </c:pt>
                <c:pt idx="1">
                  <c:v>40.327382432432429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37.809699999999999</c:v>
                </c:pt>
                <c:pt idx="1">
                  <c:v>32.842799999999997</c:v>
                </c:pt>
                <c:pt idx="2">
                  <c:v>29.170300000000001</c:v>
                </c:pt>
                <c:pt idx="3">
                  <c:v>33.453699999999998</c:v>
                </c:pt>
                <c:pt idx="4">
                  <c:v>59.615099999999998</c:v>
                </c:pt>
                <c:pt idx="5">
                  <c:v>74.965699999999998</c:v>
                </c:pt>
                <c:pt idx="6">
                  <c:v>14.8805</c:v>
                </c:pt>
                <c:pt idx="7">
                  <c:v>67.088200000000001</c:v>
                </c:pt>
                <c:pt idx="8">
                  <c:v>23.231400000000001</c:v>
                </c:pt>
                <c:pt idx="9">
                  <c:v>20.5093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34.613900000000001</c:v>
                </c:pt>
                <c:pt idx="1">
                  <c:v>25.5777</c:v>
                </c:pt>
                <c:pt idx="2">
                  <c:v>24.244599999999998</c:v>
                </c:pt>
                <c:pt idx="3">
                  <c:v>29.8992</c:v>
                </c:pt>
                <c:pt idx="4">
                  <c:v>59.222000000000001</c:v>
                </c:pt>
                <c:pt idx="5">
                  <c:v>80.977999999999994</c:v>
                </c:pt>
                <c:pt idx="6">
                  <c:v>15.7692</c:v>
                </c:pt>
                <c:pt idx="7">
                  <c:v>70.057000000000002</c:v>
                </c:pt>
                <c:pt idx="8">
                  <c:v>22.504000000000001</c:v>
                </c:pt>
                <c:pt idx="9">
                  <c:v>27.117699999999999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0.49518828174414614</c:v>
                </c:pt>
                <c:pt idx="1">
                  <c:v>0.30476616677421875</c:v>
                </c:pt>
                <c:pt idx="2">
                  <c:v>0.20004555148163511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5801</c:v>
                </c:pt>
                <c:pt idx="7">
                  <c:v>0</c:v>
                </c:pt>
                <c:pt idx="8">
                  <c:v>9586</c:v>
                </c:pt>
                <c:pt idx="9">
                  <c:v>0</c:v>
                </c:pt>
                <c:pt idx="10">
                  <c:v>0</c:v>
                </c:pt>
                <c:pt idx="11">
                  <c:v>9650</c:v>
                </c:pt>
                <c:pt idx="12">
                  <c:v>0</c:v>
                </c:pt>
                <c:pt idx="13">
                  <c:v>14841</c:v>
                </c:pt>
                <c:pt idx="14">
                  <c:v>0</c:v>
                </c:pt>
                <c:pt idx="15">
                  <c:v>0</c:v>
                </c:pt>
                <c:pt idx="16">
                  <c:v>24712</c:v>
                </c:pt>
                <c:pt idx="17">
                  <c:v>0</c:v>
                </c:pt>
                <c:pt idx="18">
                  <c:v>0</c:v>
                </c:pt>
                <c:pt idx="19">
                  <c:v>30865</c:v>
                </c:pt>
                <c:pt idx="20">
                  <c:v>0</c:v>
                </c:pt>
                <c:pt idx="21">
                  <c:v>33104</c:v>
                </c:pt>
                <c:pt idx="22">
                  <c:v>0</c:v>
                </c:pt>
                <c:pt idx="23">
                  <c:v>0</c:v>
                </c:pt>
                <c:pt idx="24">
                  <c:v>38745</c:v>
                </c:pt>
                <c:pt idx="25">
                  <c:v>0</c:v>
                </c:pt>
                <c:pt idx="26">
                  <c:v>49414</c:v>
                </c:pt>
                <c:pt idx="27">
                  <c:v>0</c:v>
                </c:pt>
                <c:pt idx="28">
                  <c:v>0</c:v>
                </c:pt>
                <c:pt idx="29">
                  <c:v>49049</c:v>
                </c:pt>
                <c:pt idx="30">
                  <c:v>0</c:v>
                </c:pt>
                <c:pt idx="31">
                  <c:v>52722</c:v>
                </c:pt>
                <c:pt idx="32">
                  <c:v>0</c:v>
                </c:pt>
                <c:pt idx="33">
                  <c:v>0</c:v>
                </c:pt>
                <c:pt idx="34">
                  <c:v>57815</c:v>
                </c:pt>
                <c:pt idx="35">
                  <c:v>0</c:v>
                </c:pt>
                <c:pt idx="36">
                  <c:v>0</c:v>
                </c:pt>
                <c:pt idx="37">
                  <c:v>55239</c:v>
                </c:pt>
                <c:pt idx="38">
                  <c:v>0</c:v>
                </c:pt>
                <c:pt idx="39">
                  <c:v>57910</c:v>
                </c:pt>
                <c:pt idx="40">
                  <c:v>0</c:v>
                </c:pt>
                <c:pt idx="41">
                  <c:v>0</c:v>
                </c:pt>
                <c:pt idx="42">
                  <c:v>56696</c:v>
                </c:pt>
                <c:pt idx="43">
                  <c:v>0</c:v>
                </c:pt>
                <c:pt idx="44">
                  <c:v>59029</c:v>
                </c:pt>
                <c:pt idx="45">
                  <c:v>0</c:v>
                </c:pt>
                <c:pt idx="46">
                  <c:v>0</c:v>
                </c:pt>
                <c:pt idx="47">
                  <c:v>52948</c:v>
                </c:pt>
                <c:pt idx="48">
                  <c:v>0</c:v>
                </c:pt>
                <c:pt idx="49">
                  <c:v>51961</c:v>
                </c:pt>
                <c:pt idx="50">
                  <c:v>0</c:v>
                </c:pt>
                <c:pt idx="51">
                  <c:v>0</c:v>
                </c:pt>
                <c:pt idx="52">
                  <c:v>53388</c:v>
                </c:pt>
                <c:pt idx="53">
                  <c:v>0</c:v>
                </c:pt>
                <c:pt idx="54">
                  <c:v>0</c:v>
                </c:pt>
                <c:pt idx="55">
                  <c:v>51578</c:v>
                </c:pt>
                <c:pt idx="56">
                  <c:v>0</c:v>
                </c:pt>
                <c:pt idx="57">
                  <c:v>47905</c:v>
                </c:pt>
                <c:pt idx="58">
                  <c:v>0</c:v>
                </c:pt>
                <c:pt idx="59">
                  <c:v>0</c:v>
                </c:pt>
                <c:pt idx="60">
                  <c:v>41929</c:v>
                </c:pt>
                <c:pt idx="61">
                  <c:v>0</c:v>
                </c:pt>
                <c:pt idx="62">
                  <c:v>48402</c:v>
                </c:pt>
                <c:pt idx="63">
                  <c:v>0</c:v>
                </c:pt>
                <c:pt idx="64">
                  <c:v>0</c:v>
                </c:pt>
                <c:pt idx="65">
                  <c:v>46908</c:v>
                </c:pt>
                <c:pt idx="66">
                  <c:v>0</c:v>
                </c:pt>
                <c:pt idx="67">
                  <c:v>43133</c:v>
                </c:pt>
                <c:pt idx="68">
                  <c:v>0</c:v>
                </c:pt>
                <c:pt idx="69">
                  <c:v>0</c:v>
                </c:pt>
                <c:pt idx="70">
                  <c:v>44223</c:v>
                </c:pt>
                <c:pt idx="71">
                  <c:v>0</c:v>
                </c:pt>
                <c:pt idx="72">
                  <c:v>0</c:v>
                </c:pt>
                <c:pt idx="73">
                  <c:v>44576</c:v>
                </c:pt>
                <c:pt idx="74">
                  <c:v>0</c:v>
                </c:pt>
                <c:pt idx="75">
                  <c:v>41232</c:v>
                </c:pt>
                <c:pt idx="76">
                  <c:v>0</c:v>
                </c:pt>
                <c:pt idx="77">
                  <c:v>0</c:v>
                </c:pt>
                <c:pt idx="78">
                  <c:v>36475</c:v>
                </c:pt>
                <c:pt idx="79">
                  <c:v>0</c:v>
                </c:pt>
                <c:pt idx="80">
                  <c:v>35842</c:v>
                </c:pt>
                <c:pt idx="81">
                  <c:v>0</c:v>
                </c:pt>
                <c:pt idx="82">
                  <c:v>0</c:v>
                </c:pt>
                <c:pt idx="83">
                  <c:v>36824</c:v>
                </c:pt>
                <c:pt idx="84">
                  <c:v>0</c:v>
                </c:pt>
                <c:pt idx="85">
                  <c:v>0</c:v>
                </c:pt>
                <c:pt idx="86">
                  <c:v>42221</c:v>
                </c:pt>
                <c:pt idx="87">
                  <c:v>0</c:v>
                </c:pt>
                <c:pt idx="88">
                  <c:v>36802</c:v>
                </c:pt>
                <c:pt idx="89">
                  <c:v>0</c:v>
                </c:pt>
                <c:pt idx="90">
                  <c:v>0</c:v>
                </c:pt>
                <c:pt idx="91">
                  <c:v>35634</c:v>
                </c:pt>
                <c:pt idx="92">
                  <c:v>0</c:v>
                </c:pt>
                <c:pt idx="93">
                  <c:v>34206</c:v>
                </c:pt>
                <c:pt idx="94">
                  <c:v>0</c:v>
                </c:pt>
                <c:pt idx="95">
                  <c:v>0</c:v>
                </c:pt>
                <c:pt idx="96">
                  <c:v>36942</c:v>
                </c:pt>
                <c:pt idx="97">
                  <c:v>0</c:v>
                </c:pt>
                <c:pt idx="98">
                  <c:v>35484</c:v>
                </c:pt>
                <c:pt idx="99">
                  <c:v>0</c:v>
                </c:pt>
                <c:pt idx="100">
                  <c:v>0</c:v>
                </c:pt>
                <c:pt idx="101">
                  <c:v>35489</c:v>
                </c:pt>
                <c:pt idx="102">
                  <c:v>0</c:v>
                </c:pt>
                <c:pt idx="103">
                  <c:v>0</c:v>
                </c:pt>
                <c:pt idx="104">
                  <c:v>39913</c:v>
                </c:pt>
                <c:pt idx="105">
                  <c:v>0</c:v>
                </c:pt>
                <c:pt idx="106">
                  <c:v>37725</c:v>
                </c:pt>
                <c:pt idx="107">
                  <c:v>0</c:v>
                </c:pt>
                <c:pt idx="108">
                  <c:v>0</c:v>
                </c:pt>
                <c:pt idx="109">
                  <c:v>34221</c:v>
                </c:pt>
                <c:pt idx="110">
                  <c:v>0</c:v>
                </c:pt>
                <c:pt idx="111">
                  <c:v>36054</c:v>
                </c:pt>
                <c:pt idx="112">
                  <c:v>0</c:v>
                </c:pt>
                <c:pt idx="113">
                  <c:v>0</c:v>
                </c:pt>
                <c:pt idx="114">
                  <c:v>36488</c:v>
                </c:pt>
                <c:pt idx="115">
                  <c:v>0</c:v>
                </c:pt>
                <c:pt idx="116">
                  <c:v>33021</c:v>
                </c:pt>
                <c:pt idx="117">
                  <c:v>0</c:v>
                </c:pt>
                <c:pt idx="118">
                  <c:v>0</c:v>
                </c:pt>
                <c:pt idx="119">
                  <c:v>25691</c:v>
                </c:pt>
                <c:pt idx="120">
                  <c:v>0</c:v>
                </c:pt>
                <c:pt idx="121">
                  <c:v>0</c:v>
                </c:pt>
                <c:pt idx="122">
                  <c:v>20502</c:v>
                </c:pt>
                <c:pt idx="123">
                  <c:v>0</c:v>
                </c:pt>
                <c:pt idx="124">
                  <c:v>18834</c:v>
                </c:pt>
                <c:pt idx="125">
                  <c:v>0</c:v>
                </c:pt>
                <c:pt idx="126">
                  <c:v>0</c:v>
                </c:pt>
                <c:pt idx="127">
                  <c:v>18545</c:v>
                </c:pt>
                <c:pt idx="128">
                  <c:v>0</c:v>
                </c:pt>
                <c:pt idx="129">
                  <c:v>17115</c:v>
                </c:pt>
                <c:pt idx="130">
                  <c:v>0</c:v>
                </c:pt>
                <c:pt idx="131">
                  <c:v>0</c:v>
                </c:pt>
                <c:pt idx="132">
                  <c:v>18998</c:v>
                </c:pt>
                <c:pt idx="133">
                  <c:v>0</c:v>
                </c:pt>
                <c:pt idx="134">
                  <c:v>15950</c:v>
                </c:pt>
                <c:pt idx="135">
                  <c:v>0</c:v>
                </c:pt>
                <c:pt idx="136">
                  <c:v>0</c:v>
                </c:pt>
                <c:pt idx="137">
                  <c:v>14161</c:v>
                </c:pt>
                <c:pt idx="138">
                  <c:v>0</c:v>
                </c:pt>
                <c:pt idx="139">
                  <c:v>0</c:v>
                </c:pt>
                <c:pt idx="140">
                  <c:v>14051</c:v>
                </c:pt>
                <c:pt idx="141">
                  <c:v>0</c:v>
                </c:pt>
                <c:pt idx="142">
                  <c:v>11710</c:v>
                </c:pt>
                <c:pt idx="143">
                  <c:v>0</c:v>
                </c:pt>
                <c:pt idx="144">
                  <c:v>0</c:v>
                </c:pt>
                <c:pt idx="145">
                  <c:v>10218</c:v>
                </c:pt>
                <c:pt idx="146">
                  <c:v>0</c:v>
                </c:pt>
                <c:pt idx="147">
                  <c:v>9030</c:v>
                </c:pt>
                <c:pt idx="148">
                  <c:v>0</c:v>
                </c:pt>
                <c:pt idx="149">
                  <c:v>0</c:v>
                </c:pt>
                <c:pt idx="150">
                  <c:v>6609</c:v>
                </c:pt>
                <c:pt idx="151">
                  <c:v>0</c:v>
                </c:pt>
                <c:pt idx="152">
                  <c:v>4643</c:v>
                </c:pt>
                <c:pt idx="153">
                  <c:v>0</c:v>
                </c:pt>
                <c:pt idx="154">
                  <c:v>0</c:v>
                </c:pt>
                <c:pt idx="155">
                  <c:v>2195</c:v>
                </c:pt>
                <c:pt idx="156">
                  <c:v>0</c:v>
                </c:pt>
                <c:pt idx="157">
                  <c:v>0</c:v>
                </c:pt>
                <c:pt idx="158">
                  <c:v>1227</c:v>
                </c:pt>
                <c:pt idx="159">
                  <c:v>0</c:v>
                </c:pt>
                <c:pt idx="160">
                  <c:v>742</c:v>
                </c:pt>
                <c:pt idx="161">
                  <c:v>0</c:v>
                </c:pt>
                <c:pt idx="162">
                  <c:v>0</c:v>
                </c:pt>
                <c:pt idx="163">
                  <c:v>554</c:v>
                </c:pt>
                <c:pt idx="164">
                  <c:v>0</c:v>
                </c:pt>
                <c:pt idx="165">
                  <c:v>149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3521</c:v>
                </c:pt>
                <c:pt idx="7">
                  <c:v>0</c:v>
                </c:pt>
                <c:pt idx="8">
                  <c:v>6323</c:v>
                </c:pt>
                <c:pt idx="9">
                  <c:v>0</c:v>
                </c:pt>
                <c:pt idx="10">
                  <c:v>0</c:v>
                </c:pt>
                <c:pt idx="11">
                  <c:v>7284</c:v>
                </c:pt>
                <c:pt idx="12">
                  <c:v>0</c:v>
                </c:pt>
                <c:pt idx="13">
                  <c:v>7163</c:v>
                </c:pt>
                <c:pt idx="14">
                  <c:v>0</c:v>
                </c:pt>
                <c:pt idx="15">
                  <c:v>0</c:v>
                </c:pt>
                <c:pt idx="16">
                  <c:v>11321</c:v>
                </c:pt>
                <c:pt idx="17">
                  <c:v>0</c:v>
                </c:pt>
                <c:pt idx="18">
                  <c:v>0</c:v>
                </c:pt>
                <c:pt idx="19">
                  <c:v>15177</c:v>
                </c:pt>
                <c:pt idx="20">
                  <c:v>0</c:v>
                </c:pt>
                <c:pt idx="21">
                  <c:v>20664</c:v>
                </c:pt>
                <c:pt idx="22">
                  <c:v>0</c:v>
                </c:pt>
                <c:pt idx="23">
                  <c:v>0</c:v>
                </c:pt>
                <c:pt idx="24">
                  <c:v>24891</c:v>
                </c:pt>
                <c:pt idx="25">
                  <c:v>0</c:v>
                </c:pt>
                <c:pt idx="26">
                  <c:v>35519</c:v>
                </c:pt>
                <c:pt idx="27">
                  <c:v>0</c:v>
                </c:pt>
                <c:pt idx="28">
                  <c:v>0</c:v>
                </c:pt>
                <c:pt idx="29">
                  <c:v>38737</c:v>
                </c:pt>
                <c:pt idx="30">
                  <c:v>0</c:v>
                </c:pt>
                <c:pt idx="31">
                  <c:v>48418</c:v>
                </c:pt>
                <c:pt idx="32">
                  <c:v>0</c:v>
                </c:pt>
                <c:pt idx="33">
                  <c:v>0</c:v>
                </c:pt>
                <c:pt idx="34">
                  <c:v>57205</c:v>
                </c:pt>
                <c:pt idx="35">
                  <c:v>0</c:v>
                </c:pt>
                <c:pt idx="36">
                  <c:v>0</c:v>
                </c:pt>
                <c:pt idx="37">
                  <c:v>59213</c:v>
                </c:pt>
                <c:pt idx="38">
                  <c:v>0</c:v>
                </c:pt>
                <c:pt idx="39">
                  <c:v>59725</c:v>
                </c:pt>
                <c:pt idx="40">
                  <c:v>0</c:v>
                </c:pt>
                <c:pt idx="41">
                  <c:v>0</c:v>
                </c:pt>
                <c:pt idx="42">
                  <c:v>59480</c:v>
                </c:pt>
                <c:pt idx="43">
                  <c:v>0</c:v>
                </c:pt>
                <c:pt idx="44">
                  <c:v>64372</c:v>
                </c:pt>
                <c:pt idx="45">
                  <c:v>0</c:v>
                </c:pt>
                <c:pt idx="46">
                  <c:v>0</c:v>
                </c:pt>
                <c:pt idx="47">
                  <c:v>64478</c:v>
                </c:pt>
                <c:pt idx="48">
                  <c:v>0</c:v>
                </c:pt>
                <c:pt idx="49">
                  <c:v>66606</c:v>
                </c:pt>
                <c:pt idx="50">
                  <c:v>0</c:v>
                </c:pt>
                <c:pt idx="51">
                  <c:v>0</c:v>
                </c:pt>
                <c:pt idx="52">
                  <c:v>74361</c:v>
                </c:pt>
                <c:pt idx="53">
                  <c:v>0</c:v>
                </c:pt>
                <c:pt idx="54">
                  <c:v>0</c:v>
                </c:pt>
                <c:pt idx="55">
                  <c:v>71610</c:v>
                </c:pt>
                <c:pt idx="56">
                  <c:v>0</c:v>
                </c:pt>
                <c:pt idx="57">
                  <c:v>72678</c:v>
                </c:pt>
                <c:pt idx="58">
                  <c:v>0</c:v>
                </c:pt>
                <c:pt idx="59">
                  <c:v>0</c:v>
                </c:pt>
                <c:pt idx="60">
                  <c:v>64593</c:v>
                </c:pt>
                <c:pt idx="61">
                  <c:v>0</c:v>
                </c:pt>
                <c:pt idx="62">
                  <c:v>59772</c:v>
                </c:pt>
                <c:pt idx="63">
                  <c:v>0</c:v>
                </c:pt>
                <c:pt idx="64">
                  <c:v>0</c:v>
                </c:pt>
                <c:pt idx="65">
                  <c:v>53762</c:v>
                </c:pt>
                <c:pt idx="66">
                  <c:v>0</c:v>
                </c:pt>
                <c:pt idx="67">
                  <c:v>49626</c:v>
                </c:pt>
                <c:pt idx="68">
                  <c:v>0</c:v>
                </c:pt>
                <c:pt idx="69">
                  <c:v>0</c:v>
                </c:pt>
                <c:pt idx="70">
                  <c:v>51904</c:v>
                </c:pt>
                <c:pt idx="71">
                  <c:v>0</c:v>
                </c:pt>
                <c:pt idx="72">
                  <c:v>0</c:v>
                </c:pt>
                <c:pt idx="73">
                  <c:v>46185</c:v>
                </c:pt>
                <c:pt idx="74">
                  <c:v>0</c:v>
                </c:pt>
                <c:pt idx="75">
                  <c:v>47225</c:v>
                </c:pt>
                <c:pt idx="76">
                  <c:v>0</c:v>
                </c:pt>
                <c:pt idx="77">
                  <c:v>0</c:v>
                </c:pt>
                <c:pt idx="78">
                  <c:v>43618</c:v>
                </c:pt>
                <c:pt idx="79">
                  <c:v>0</c:v>
                </c:pt>
                <c:pt idx="80">
                  <c:v>46093</c:v>
                </c:pt>
                <c:pt idx="81">
                  <c:v>0</c:v>
                </c:pt>
                <c:pt idx="82">
                  <c:v>0</c:v>
                </c:pt>
                <c:pt idx="83">
                  <c:v>47077</c:v>
                </c:pt>
                <c:pt idx="84">
                  <c:v>0</c:v>
                </c:pt>
                <c:pt idx="85">
                  <c:v>0</c:v>
                </c:pt>
                <c:pt idx="86">
                  <c:v>46950</c:v>
                </c:pt>
                <c:pt idx="87">
                  <c:v>0</c:v>
                </c:pt>
                <c:pt idx="88">
                  <c:v>45771</c:v>
                </c:pt>
                <c:pt idx="89">
                  <c:v>0</c:v>
                </c:pt>
                <c:pt idx="90">
                  <c:v>0</c:v>
                </c:pt>
                <c:pt idx="91">
                  <c:v>51129</c:v>
                </c:pt>
                <c:pt idx="92">
                  <c:v>0</c:v>
                </c:pt>
                <c:pt idx="93">
                  <c:v>53175</c:v>
                </c:pt>
                <c:pt idx="94">
                  <c:v>0</c:v>
                </c:pt>
                <c:pt idx="95">
                  <c:v>0</c:v>
                </c:pt>
                <c:pt idx="96">
                  <c:v>51370</c:v>
                </c:pt>
                <c:pt idx="97">
                  <c:v>0</c:v>
                </c:pt>
                <c:pt idx="98">
                  <c:v>53024</c:v>
                </c:pt>
                <c:pt idx="99">
                  <c:v>0</c:v>
                </c:pt>
                <c:pt idx="100">
                  <c:v>0</c:v>
                </c:pt>
                <c:pt idx="101">
                  <c:v>48104</c:v>
                </c:pt>
                <c:pt idx="102">
                  <c:v>0</c:v>
                </c:pt>
                <c:pt idx="103">
                  <c:v>0</c:v>
                </c:pt>
                <c:pt idx="104">
                  <c:v>47982</c:v>
                </c:pt>
                <c:pt idx="105">
                  <c:v>0</c:v>
                </c:pt>
                <c:pt idx="106">
                  <c:v>43992</c:v>
                </c:pt>
                <c:pt idx="107">
                  <c:v>0</c:v>
                </c:pt>
                <c:pt idx="108">
                  <c:v>0</c:v>
                </c:pt>
                <c:pt idx="109">
                  <c:v>37091</c:v>
                </c:pt>
                <c:pt idx="110">
                  <c:v>0</c:v>
                </c:pt>
                <c:pt idx="111">
                  <c:v>32906</c:v>
                </c:pt>
                <c:pt idx="112">
                  <c:v>0</c:v>
                </c:pt>
                <c:pt idx="113">
                  <c:v>0</c:v>
                </c:pt>
                <c:pt idx="114">
                  <c:v>31013</c:v>
                </c:pt>
                <c:pt idx="115">
                  <c:v>0</c:v>
                </c:pt>
                <c:pt idx="116">
                  <c:v>27802</c:v>
                </c:pt>
                <c:pt idx="117">
                  <c:v>0</c:v>
                </c:pt>
                <c:pt idx="118">
                  <c:v>0</c:v>
                </c:pt>
                <c:pt idx="119">
                  <c:v>24304</c:v>
                </c:pt>
                <c:pt idx="120">
                  <c:v>0</c:v>
                </c:pt>
                <c:pt idx="121">
                  <c:v>0</c:v>
                </c:pt>
                <c:pt idx="122">
                  <c:v>20521</c:v>
                </c:pt>
                <c:pt idx="123">
                  <c:v>0</c:v>
                </c:pt>
                <c:pt idx="124">
                  <c:v>14625</c:v>
                </c:pt>
                <c:pt idx="125">
                  <c:v>0</c:v>
                </c:pt>
                <c:pt idx="126">
                  <c:v>0</c:v>
                </c:pt>
                <c:pt idx="127">
                  <c:v>13681</c:v>
                </c:pt>
                <c:pt idx="128">
                  <c:v>0</c:v>
                </c:pt>
                <c:pt idx="129">
                  <c:v>13328</c:v>
                </c:pt>
                <c:pt idx="130">
                  <c:v>0</c:v>
                </c:pt>
                <c:pt idx="131">
                  <c:v>0</c:v>
                </c:pt>
                <c:pt idx="132">
                  <c:v>12752</c:v>
                </c:pt>
                <c:pt idx="133">
                  <c:v>0</c:v>
                </c:pt>
                <c:pt idx="134">
                  <c:v>11631</c:v>
                </c:pt>
                <c:pt idx="135">
                  <c:v>0</c:v>
                </c:pt>
                <c:pt idx="136">
                  <c:v>0</c:v>
                </c:pt>
                <c:pt idx="137">
                  <c:v>9357</c:v>
                </c:pt>
                <c:pt idx="138">
                  <c:v>0</c:v>
                </c:pt>
                <c:pt idx="139">
                  <c:v>0</c:v>
                </c:pt>
                <c:pt idx="140">
                  <c:v>9544</c:v>
                </c:pt>
                <c:pt idx="141">
                  <c:v>0</c:v>
                </c:pt>
                <c:pt idx="142">
                  <c:v>10838</c:v>
                </c:pt>
                <c:pt idx="143">
                  <c:v>0</c:v>
                </c:pt>
                <c:pt idx="144">
                  <c:v>0</c:v>
                </c:pt>
                <c:pt idx="145">
                  <c:v>9327</c:v>
                </c:pt>
                <c:pt idx="146">
                  <c:v>0</c:v>
                </c:pt>
                <c:pt idx="147">
                  <c:v>8643</c:v>
                </c:pt>
                <c:pt idx="148">
                  <c:v>0</c:v>
                </c:pt>
                <c:pt idx="149">
                  <c:v>0</c:v>
                </c:pt>
                <c:pt idx="150">
                  <c:v>7788</c:v>
                </c:pt>
                <c:pt idx="151">
                  <c:v>0</c:v>
                </c:pt>
                <c:pt idx="152">
                  <c:v>8019</c:v>
                </c:pt>
                <c:pt idx="153">
                  <c:v>0</c:v>
                </c:pt>
                <c:pt idx="154">
                  <c:v>0</c:v>
                </c:pt>
                <c:pt idx="155">
                  <c:v>4504</c:v>
                </c:pt>
                <c:pt idx="156">
                  <c:v>0</c:v>
                </c:pt>
                <c:pt idx="157">
                  <c:v>0</c:v>
                </c:pt>
                <c:pt idx="158">
                  <c:v>3398</c:v>
                </c:pt>
                <c:pt idx="159">
                  <c:v>0</c:v>
                </c:pt>
                <c:pt idx="160">
                  <c:v>2266</c:v>
                </c:pt>
                <c:pt idx="161">
                  <c:v>0</c:v>
                </c:pt>
                <c:pt idx="162">
                  <c:v>0</c:v>
                </c:pt>
                <c:pt idx="163">
                  <c:v>1389</c:v>
                </c:pt>
                <c:pt idx="164">
                  <c:v>0</c:v>
                </c:pt>
                <c:pt idx="165">
                  <c:v>1350</c:v>
                </c:pt>
                <c:pt idx="166">
                  <c:v>0</c:v>
                </c:pt>
                <c:pt idx="167">
                  <c:v>0</c:v>
                </c:pt>
                <c:pt idx="168">
                  <c:v>628</c:v>
                </c:pt>
                <c:pt idx="169">
                  <c:v>0</c:v>
                </c:pt>
                <c:pt idx="170">
                  <c:v>0</c:v>
                </c:pt>
                <c:pt idx="171">
                  <c:v>475</c:v>
                </c:pt>
                <c:pt idx="172">
                  <c:v>0</c:v>
                </c:pt>
                <c:pt idx="173">
                  <c:v>471</c:v>
                </c:pt>
                <c:pt idx="174">
                  <c:v>0</c:v>
                </c:pt>
                <c:pt idx="175">
                  <c:v>0</c:v>
                </c:pt>
                <c:pt idx="176">
                  <c:v>104</c:v>
                </c:pt>
                <c:pt idx="177">
                  <c:v>0</c:v>
                </c:pt>
                <c:pt idx="178">
                  <c:v>156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0.20641617691895245</c:v>
                </c:pt>
                <c:pt idx="1">
                  <c:v>0.36306788360246212</c:v>
                </c:pt>
                <c:pt idx="2">
                  <c:v>0.43051593947858552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0.51415748228523339</c:v>
                </c:pt>
                <c:pt idx="1">
                  <c:v>0.26008666871395908</c:v>
                </c:pt>
                <c:pt idx="2">
                  <c:v>0.22575584900080756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8.2018799999999992</c:v>
                </c:pt>
                <c:pt idx="1">
                  <c:v>18.141124999999999</c:v>
                </c:pt>
                <c:pt idx="2">
                  <c:v>19.360700000000001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0.385824</c:v>
                </c:pt>
                <c:pt idx="2">
                  <c:v>0.79375200000000001</c:v>
                </c:pt>
                <c:pt idx="3">
                  <c:v>1.1956899999999999</c:v>
                </c:pt>
                <c:pt idx="4">
                  <c:v>1.60581</c:v>
                </c:pt>
                <c:pt idx="5">
                  <c:v>2.0073799999999999</c:v>
                </c:pt>
                <c:pt idx="6">
                  <c:v>2.41961</c:v>
                </c:pt>
                <c:pt idx="7">
                  <c:v>2.8225099999999999</c:v>
                </c:pt>
                <c:pt idx="8">
                  <c:v>3.2302300000000002</c:v>
                </c:pt>
                <c:pt idx="9">
                  <c:v>3.6354799999999998</c:v>
                </c:pt>
                <c:pt idx="10">
                  <c:v>4.0440699999999996</c:v>
                </c:pt>
                <c:pt idx="11">
                  <c:v>4.4480199999999996</c:v>
                </c:pt>
                <c:pt idx="12">
                  <c:v>4.8579299999999996</c:v>
                </c:pt>
                <c:pt idx="13">
                  <c:v>5.2607999999999997</c:v>
                </c:pt>
                <c:pt idx="14">
                  <c:v>5.6666999999999996</c:v>
                </c:pt>
                <c:pt idx="15">
                  <c:v>6.0717600000000003</c:v>
                </c:pt>
                <c:pt idx="16">
                  <c:v>6.48062</c:v>
                </c:pt>
                <c:pt idx="17">
                  <c:v>6.8845400000000003</c:v>
                </c:pt>
                <c:pt idx="18">
                  <c:v>7.2913600000000001</c:v>
                </c:pt>
                <c:pt idx="19">
                  <c:v>7.6952499999999997</c:v>
                </c:pt>
                <c:pt idx="20">
                  <c:v>8.1014099999999996</c:v>
                </c:pt>
                <c:pt idx="21">
                  <c:v>8.5080899999999993</c:v>
                </c:pt>
                <c:pt idx="22">
                  <c:v>8.9160000000000004</c:v>
                </c:pt>
                <c:pt idx="23">
                  <c:v>9.3220299999999998</c:v>
                </c:pt>
                <c:pt idx="24">
                  <c:v>9.7279300000000006</c:v>
                </c:pt>
                <c:pt idx="25">
                  <c:v>10.1348</c:v>
                </c:pt>
                <c:pt idx="26">
                  <c:v>10.540699999999999</c:v>
                </c:pt>
                <c:pt idx="27">
                  <c:v>10.9466</c:v>
                </c:pt>
                <c:pt idx="28">
                  <c:v>11.3535</c:v>
                </c:pt>
                <c:pt idx="29">
                  <c:v>11.762499999999999</c:v>
                </c:pt>
                <c:pt idx="30">
                  <c:v>12.1684</c:v>
                </c:pt>
                <c:pt idx="31">
                  <c:v>12.573700000000001</c:v>
                </c:pt>
                <c:pt idx="32">
                  <c:v>12.9793</c:v>
                </c:pt>
                <c:pt idx="33">
                  <c:v>13.3842</c:v>
                </c:pt>
                <c:pt idx="34">
                  <c:v>13.794</c:v>
                </c:pt>
                <c:pt idx="35">
                  <c:v>14.198</c:v>
                </c:pt>
                <c:pt idx="36">
                  <c:v>14.606</c:v>
                </c:pt>
                <c:pt idx="37">
                  <c:v>15.008800000000001</c:v>
                </c:pt>
                <c:pt idx="38">
                  <c:v>15.416700000000001</c:v>
                </c:pt>
                <c:pt idx="39">
                  <c:v>15.823700000000001</c:v>
                </c:pt>
                <c:pt idx="40">
                  <c:v>16.229500000000002</c:v>
                </c:pt>
                <c:pt idx="41">
                  <c:v>16.635400000000001</c:v>
                </c:pt>
                <c:pt idx="42">
                  <c:v>17.040299999999998</c:v>
                </c:pt>
                <c:pt idx="43">
                  <c:v>17.4466</c:v>
                </c:pt>
                <c:pt idx="44">
                  <c:v>17.8581</c:v>
                </c:pt>
                <c:pt idx="45">
                  <c:v>18.2591</c:v>
                </c:pt>
                <c:pt idx="46">
                  <c:v>18.666899999999998</c:v>
                </c:pt>
                <c:pt idx="47">
                  <c:v>19.0731</c:v>
                </c:pt>
                <c:pt idx="48">
                  <c:v>19.478999999999999</c:v>
                </c:pt>
                <c:pt idx="49">
                  <c:v>19.8857</c:v>
                </c:pt>
                <c:pt idx="50">
                  <c:v>20.291599999999999</c:v>
                </c:pt>
                <c:pt idx="51">
                  <c:v>20.697600000000001</c:v>
                </c:pt>
                <c:pt idx="52">
                  <c:v>21.102499999999999</c:v>
                </c:pt>
                <c:pt idx="53">
                  <c:v>21.508400000000002</c:v>
                </c:pt>
                <c:pt idx="54">
                  <c:v>21.9192</c:v>
                </c:pt>
                <c:pt idx="55">
                  <c:v>22.324200000000001</c:v>
                </c:pt>
                <c:pt idx="56">
                  <c:v>22.728100000000001</c:v>
                </c:pt>
                <c:pt idx="57">
                  <c:v>23.132100000000001</c:v>
                </c:pt>
                <c:pt idx="58">
                  <c:v>23.539300000000001</c:v>
                </c:pt>
                <c:pt idx="59">
                  <c:v>23.945799999999998</c:v>
                </c:pt>
                <c:pt idx="60">
                  <c:v>24.3584</c:v>
                </c:pt>
                <c:pt idx="61">
                  <c:v>24.7636</c:v>
                </c:pt>
                <c:pt idx="62">
                  <c:v>25.165600000000001</c:v>
                </c:pt>
                <c:pt idx="63">
                  <c:v>25.5718</c:v>
                </c:pt>
                <c:pt idx="64">
                  <c:v>25.979399999999998</c:v>
                </c:pt>
                <c:pt idx="65">
                  <c:v>26.386299999999999</c:v>
                </c:pt>
                <c:pt idx="66">
                  <c:v>26.793199999999999</c:v>
                </c:pt>
                <c:pt idx="67">
                  <c:v>27.1951</c:v>
                </c:pt>
                <c:pt idx="68">
                  <c:v>27.604299999999999</c:v>
                </c:pt>
                <c:pt idx="69">
                  <c:v>28.01</c:v>
                </c:pt>
                <c:pt idx="70">
                  <c:v>28.416799999999999</c:v>
                </c:pt>
                <c:pt idx="71">
                  <c:v>28.823</c:v>
                </c:pt>
                <c:pt idx="72">
                  <c:v>29.229700000000001</c:v>
                </c:pt>
                <c:pt idx="73">
                  <c:v>29.633600000000001</c:v>
                </c:pt>
                <c:pt idx="74">
                  <c:v>30.044599999999999</c:v>
                </c:pt>
                <c:pt idx="75">
                  <c:v>30.638500000000001</c:v>
                </c:pt>
                <c:pt idx="76">
                  <c:v>31.01</c:v>
                </c:pt>
                <c:pt idx="77">
                  <c:v>31.384899999999998</c:v>
                </c:pt>
                <c:pt idx="78">
                  <c:v>31.757200000000001</c:v>
                </c:pt>
                <c:pt idx="79">
                  <c:v>32.133899999999997</c:v>
                </c:pt>
                <c:pt idx="80">
                  <c:v>32.542900000000003</c:v>
                </c:pt>
                <c:pt idx="81">
                  <c:v>32.948099999999997</c:v>
                </c:pt>
                <c:pt idx="82">
                  <c:v>33.352699999999999</c:v>
                </c:pt>
                <c:pt idx="83">
                  <c:v>33.760599999999997</c:v>
                </c:pt>
                <c:pt idx="84">
                  <c:v>34.1676</c:v>
                </c:pt>
                <c:pt idx="85">
                  <c:v>34.5715</c:v>
                </c:pt>
                <c:pt idx="86">
                  <c:v>34.977499999999999</c:v>
                </c:pt>
                <c:pt idx="87">
                  <c:v>35.388300000000001</c:v>
                </c:pt>
                <c:pt idx="88">
                  <c:v>35.795299999999997</c:v>
                </c:pt>
                <c:pt idx="89">
                  <c:v>36.197099999999999</c:v>
                </c:pt>
                <c:pt idx="90">
                  <c:v>36.604999999999997</c:v>
                </c:pt>
                <c:pt idx="91">
                  <c:v>37.007300000000001</c:v>
                </c:pt>
                <c:pt idx="92">
                  <c:v>37.414900000000003</c:v>
                </c:pt>
                <c:pt idx="93">
                  <c:v>37.826700000000002</c:v>
                </c:pt>
                <c:pt idx="94">
                  <c:v>38.230699999999999</c:v>
                </c:pt>
                <c:pt idx="95">
                  <c:v>38.635599999999997</c:v>
                </c:pt>
                <c:pt idx="96">
                  <c:v>39.0398</c:v>
                </c:pt>
                <c:pt idx="97">
                  <c:v>39.444499999999998</c:v>
                </c:pt>
                <c:pt idx="98">
                  <c:v>39.8553</c:v>
                </c:pt>
                <c:pt idx="99">
                  <c:v>40.262300000000003</c:v>
                </c:pt>
                <c:pt idx="100">
                  <c:v>40.667200000000001</c:v>
                </c:pt>
                <c:pt idx="101">
                  <c:v>41.07</c:v>
                </c:pt>
                <c:pt idx="102">
                  <c:v>41.4788</c:v>
                </c:pt>
                <c:pt idx="103">
                  <c:v>41.885899999999999</c:v>
                </c:pt>
                <c:pt idx="104">
                  <c:v>42.294800000000002</c:v>
                </c:pt>
                <c:pt idx="105">
                  <c:v>42.698700000000002</c:v>
                </c:pt>
                <c:pt idx="106">
                  <c:v>43.102600000000002</c:v>
                </c:pt>
                <c:pt idx="107">
                  <c:v>43.508899999999997</c:v>
                </c:pt>
                <c:pt idx="108">
                  <c:v>43.915399999999998</c:v>
                </c:pt>
                <c:pt idx="109">
                  <c:v>44.324399999999997</c:v>
                </c:pt>
                <c:pt idx="110">
                  <c:v>44.730200000000004</c:v>
                </c:pt>
                <c:pt idx="111">
                  <c:v>45.136200000000002</c:v>
                </c:pt>
                <c:pt idx="112">
                  <c:v>45.5381</c:v>
                </c:pt>
                <c:pt idx="113">
                  <c:v>45.948099999999997</c:v>
                </c:pt>
                <c:pt idx="114">
                  <c:v>46.353999999999999</c:v>
                </c:pt>
                <c:pt idx="115">
                  <c:v>46.762799999999999</c:v>
                </c:pt>
                <c:pt idx="116">
                  <c:v>47.163699999999999</c:v>
                </c:pt>
                <c:pt idx="117">
                  <c:v>47.575099999999999</c:v>
                </c:pt>
                <c:pt idx="118">
                  <c:v>47.975700000000003</c:v>
                </c:pt>
                <c:pt idx="119">
                  <c:v>48.386499999999998</c:v>
                </c:pt>
                <c:pt idx="120">
                  <c:v>48.792400000000001</c:v>
                </c:pt>
                <c:pt idx="121">
                  <c:v>49.197499999999998</c:v>
                </c:pt>
                <c:pt idx="122">
                  <c:v>49.603499999999997</c:v>
                </c:pt>
                <c:pt idx="123">
                  <c:v>50.0122</c:v>
                </c:pt>
                <c:pt idx="124">
                  <c:v>50.414400000000001</c:v>
                </c:pt>
                <c:pt idx="125">
                  <c:v>50.821899999999999</c:v>
                </c:pt>
                <c:pt idx="126">
                  <c:v>51.226999999999997</c:v>
                </c:pt>
                <c:pt idx="127">
                  <c:v>51.635100000000001</c:v>
                </c:pt>
                <c:pt idx="128">
                  <c:v>52.041699999999999</c:v>
                </c:pt>
                <c:pt idx="129">
                  <c:v>52.449599999999997</c:v>
                </c:pt>
                <c:pt idx="130">
                  <c:v>52.857700000000001</c:v>
                </c:pt>
                <c:pt idx="131">
                  <c:v>53.261400000000002</c:v>
                </c:pt>
                <c:pt idx="132">
                  <c:v>53.664299999999997</c:v>
                </c:pt>
                <c:pt idx="133">
                  <c:v>54.075499999999998</c:v>
                </c:pt>
                <c:pt idx="134">
                  <c:v>54.481200000000001</c:v>
                </c:pt>
                <c:pt idx="135">
                  <c:v>54.8872</c:v>
                </c:pt>
                <c:pt idx="136">
                  <c:v>55.292099999999998</c:v>
                </c:pt>
                <c:pt idx="137">
                  <c:v>55.695</c:v>
                </c:pt>
                <c:pt idx="138">
                  <c:v>56.104199999999999</c:v>
                </c:pt>
                <c:pt idx="139">
                  <c:v>56.511899999999997</c:v>
                </c:pt>
                <c:pt idx="140">
                  <c:v>56.917700000000004</c:v>
                </c:pt>
                <c:pt idx="141">
                  <c:v>57.325600000000001</c:v>
                </c:pt>
                <c:pt idx="142">
                  <c:v>57.7256</c:v>
                </c:pt>
                <c:pt idx="143">
                  <c:v>58.133499999999998</c:v>
                </c:pt>
                <c:pt idx="144">
                  <c:v>58.543399999999998</c:v>
                </c:pt>
                <c:pt idx="145">
                  <c:v>58.9495</c:v>
                </c:pt>
                <c:pt idx="146">
                  <c:v>59.3523</c:v>
                </c:pt>
                <c:pt idx="147">
                  <c:v>59.758200000000002</c:v>
                </c:pt>
                <c:pt idx="148">
                  <c:v>60.17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1.94655</c:v>
                </c:pt>
                <c:pt idx="1">
                  <c:v>2.0201199999999999</c:v>
                </c:pt>
                <c:pt idx="2">
                  <c:v>2.0923600000000002</c:v>
                </c:pt>
                <c:pt idx="3">
                  <c:v>2.1636800000000003</c:v>
                </c:pt>
                <c:pt idx="4">
                  <c:v>2.2323299999999997</c:v>
                </c:pt>
                <c:pt idx="5">
                  <c:v>2.3031299999999999</c:v>
                </c:pt>
                <c:pt idx="6">
                  <c:v>2.3732899999999999</c:v>
                </c:pt>
                <c:pt idx="7">
                  <c:v>2.44096</c:v>
                </c:pt>
                <c:pt idx="8">
                  <c:v>2.5070399999999999</c:v>
                </c:pt>
                <c:pt idx="9">
                  <c:v>2.5708599999999997</c:v>
                </c:pt>
                <c:pt idx="10">
                  <c:v>2.6321499999999998</c:v>
                </c:pt>
                <c:pt idx="11">
                  <c:v>2.6898899999999997</c:v>
                </c:pt>
                <c:pt idx="12">
                  <c:v>2.7465800000000002</c:v>
                </c:pt>
                <c:pt idx="13">
                  <c:v>2.8014399999999999</c:v>
                </c:pt>
                <c:pt idx="14">
                  <c:v>2.8540399999999999</c:v>
                </c:pt>
                <c:pt idx="15">
                  <c:v>2.9027099999999999</c:v>
                </c:pt>
                <c:pt idx="16">
                  <c:v>2.9452800000000003</c:v>
                </c:pt>
                <c:pt idx="17">
                  <c:v>2.9814600000000002</c:v>
                </c:pt>
                <c:pt idx="18">
                  <c:v>3.0120100000000001</c:v>
                </c:pt>
                <c:pt idx="19">
                  <c:v>3.0376500000000002</c:v>
                </c:pt>
                <c:pt idx="20">
                  <c:v>3.0600399999999999</c:v>
                </c:pt>
                <c:pt idx="21">
                  <c:v>3.07979</c:v>
                </c:pt>
                <c:pt idx="22">
                  <c:v>3.0965799999999999</c:v>
                </c:pt>
                <c:pt idx="23">
                  <c:v>3.1094899999999996</c:v>
                </c:pt>
                <c:pt idx="24">
                  <c:v>3.1187500000000004</c:v>
                </c:pt>
                <c:pt idx="25">
                  <c:v>3.1253399999999996</c:v>
                </c:pt>
                <c:pt idx="26">
                  <c:v>3.1296400000000002</c:v>
                </c:pt>
                <c:pt idx="27">
                  <c:v>3.1320199999999998</c:v>
                </c:pt>
                <c:pt idx="28">
                  <c:v>3.1316600000000001</c:v>
                </c:pt>
                <c:pt idx="29">
                  <c:v>3.1288100000000001</c:v>
                </c:pt>
                <c:pt idx="30">
                  <c:v>3.12188</c:v>
                </c:pt>
                <c:pt idx="31">
                  <c:v>3.1110700000000002</c:v>
                </c:pt>
                <c:pt idx="32">
                  <c:v>3.09707</c:v>
                </c:pt>
                <c:pt idx="33">
                  <c:v>3.08223</c:v>
                </c:pt>
                <c:pt idx="34">
                  <c:v>3.0664200000000004</c:v>
                </c:pt>
                <c:pt idx="35">
                  <c:v>3.0492999999999997</c:v>
                </c:pt>
                <c:pt idx="36">
                  <c:v>3.0314299999999998</c:v>
                </c:pt>
                <c:pt idx="37">
                  <c:v>3.0110999999999999</c:v>
                </c:pt>
                <c:pt idx="38">
                  <c:v>2.9875499999999997</c:v>
                </c:pt>
                <c:pt idx="39">
                  <c:v>2.9628500000000004</c:v>
                </c:pt>
                <c:pt idx="40">
                  <c:v>2.93865</c:v>
                </c:pt>
                <c:pt idx="41">
                  <c:v>2.9174699999999998</c:v>
                </c:pt>
                <c:pt idx="42">
                  <c:v>2.9024200000000002</c:v>
                </c:pt>
                <c:pt idx="43">
                  <c:v>2.8913100000000003</c:v>
                </c:pt>
                <c:pt idx="44">
                  <c:v>2.8846100000000003</c:v>
                </c:pt>
                <c:pt idx="45">
                  <c:v>2.8803800000000002</c:v>
                </c:pt>
                <c:pt idx="46">
                  <c:v>2.8782999999999999</c:v>
                </c:pt>
                <c:pt idx="47">
                  <c:v>2.8773999999999997</c:v>
                </c:pt>
                <c:pt idx="48">
                  <c:v>2.8774899999999999</c:v>
                </c:pt>
                <c:pt idx="49">
                  <c:v>2.8783300000000001</c:v>
                </c:pt>
                <c:pt idx="50">
                  <c:v>2.8766999999999996</c:v>
                </c:pt>
                <c:pt idx="51">
                  <c:v>2.8783799999999999</c:v>
                </c:pt>
                <c:pt idx="52">
                  <c:v>2.88008</c:v>
                </c:pt>
                <c:pt idx="53">
                  <c:v>2.8831899999999999</c:v>
                </c:pt>
                <c:pt idx="54">
                  <c:v>2.8907799999999999</c:v>
                </c:pt>
                <c:pt idx="55">
                  <c:v>2.8984100000000002</c:v>
                </c:pt>
                <c:pt idx="56">
                  <c:v>2.90909</c:v>
                </c:pt>
                <c:pt idx="57">
                  <c:v>2.9218600000000001</c:v>
                </c:pt>
                <c:pt idx="58">
                  <c:v>2.93438</c:v>
                </c:pt>
                <c:pt idx="59">
                  <c:v>2.9468899999999998</c:v>
                </c:pt>
                <c:pt idx="60">
                  <c:v>2.9604999999999997</c:v>
                </c:pt>
                <c:pt idx="61">
                  <c:v>2.9763000000000002</c:v>
                </c:pt>
                <c:pt idx="62">
                  <c:v>2.9938900000000004</c:v>
                </c:pt>
                <c:pt idx="63">
                  <c:v>3.0174400000000001</c:v>
                </c:pt>
                <c:pt idx="64">
                  <c:v>3.0420799999999999</c:v>
                </c:pt>
                <c:pt idx="65">
                  <c:v>3.0619400000000003</c:v>
                </c:pt>
                <c:pt idx="66">
                  <c:v>3.0789800000000001</c:v>
                </c:pt>
                <c:pt idx="67">
                  <c:v>3.0942399999999997</c:v>
                </c:pt>
                <c:pt idx="68">
                  <c:v>3.1058699999999999</c:v>
                </c:pt>
                <c:pt idx="69">
                  <c:v>3.11416</c:v>
                </c:pt>
                <c:pt idx="70">
                  <c:v>3.1186399999999996</c:v>
                </c:pt>
                <c:pt idx="71">
                  <c:v>3.1229899999999997</c:v>
                </c:pt>
                <c:pt idx="72">
                  <c:v>3.1252499999999999</c:v>
                </c:pt>
                <c:pt idx="73">
                  <c:v>3.1252499999999999</c:v>
                </c:pt>
                <c:pt idx="74">
                  <c:v>3.1227899999999997</c:v>
                </c:pt>
                <c:pt idx="75">
                  <c:v>3.1145</c:v>
                </c:pt>
                <c:pt idx="76">
                  <c:v>3.1079600000000003</c:v>
                </c:pt>
                <c:pt idx="77">
                  <c:v>3.1000399999999999</c:v>
                </c:pt>
                <c:pt idx="78">
                  <c:v>3.0876999999999999</c:v>
                </c:pt>
                <c:pt idx="79">
                  <c:v>3.07226</c:v>
                </c:pt>
                <c:pt idx="80">
                  <c:v>3.0563699999999998</c:v>
                </c:pt>
                <c:pt idx="81">
                  <c:v>3.03647</c:v>
                </c:pt>
                <c:pt idx="82">
                  <c:v>3.0152600000000001</c:v>
                </c:pt>
                <c:pt idx="83">
                  <c:v>2.9940600000000002</c:v>
                </c:pt>
                <c:pt idx="84">
                  <c:v>2.9723699999999997</c:v>
                </c:pt>
                <c:pt idx="85">
                  <c:v>2.9473700000000003</c:v>
                </c:pt>
                <c:pt idx="86">
                  <c:v>2.91927</c:v>
                </c:pt>
                <c:pt idx="87">
                  <c:v>2.8870299999999998</c:v>
                </c:pt>
                <c:pt idx="88">
                  <c:v>2.8490700000000002</c:v>
                </c:pt>
                <c:pt idx="89">
                  <c:v>2.81209</c:v>
                </c:pt>
                <c:pt idx="90">
                  <c:v>2.7794999999999996</c:v>
                </c:pt>
                <c:pt idx="91">
                  <c:v>2.74912</c:v>
                </c:pt>
                <c:pt idx="92">
                  <c:v>2.72105</c:v>
                </c:pt>
                <c:pt idx="93">
                  <c:v>2.6990999999999996</c:v>
                </c:pt>
                <c:pt idx="94">
                  <c:v>2.6802299999999999</c:v>
                </c:pt>
                <c:pt idx="95">
                  <c:v>2.6600200000000003</c:v>
                </c:pt>
                <c:pt idx="96">
                  <c:v>2.6418699999999999</c:v>
                </c:pt>
                <c:pt idx="97">
                  <c:v>2.6247599999999998</c:v>
                </c:pt>
                <c:pt idx="98">
                  <c:v>2.6113300000000002</c:v>
                </c:pt>
                <c:pt idx="99">
                  <c:v>2.6015899999999998</c:v>
                </c:pt>
                <c:pt idx="100">
                  <c:v>2.5942500000000002</c:v>
                </c:pt>
                <c:pt idx="101">
                  <c:v>2.5889000000000002</c:v>
                </c:pt>
                <c:pt idx="102">
                  <c:v>2.58413</c:v>
                </c:pt>
                <c:pt idx="103">
                  <c:v>2.5801800000000004</c:v>
                </c:pt>
                <c:pt idx="104">
                  <c:v>2.5780799999999999</c:v>
                </c:pt>
                <c:pt idx="105">
                  <c:v>2.5775399999999999</c:v>
                </c:pt>
                <c:pt idx="106">
                  <c:v>2.5809100000000003</c:v>
                </c:pt>
                <c:pt idx="107">
                  <c:v>2.5867</c:v>
                </c:pt>
                <c:pt idx="108">
                  <c:v>2.5957000000000003</c:v>
                </c:pt>
                <c:pt idx="109">
                  <c:v>2.6053700000000002</c:v>
                </c:pt>
                <c:pt idx="110">
                  <c:v>2.6163599999999998</c:v>
                </c:pt>
                <c:pt idx="111">
                  <c:v>2.6281700000000003</c:v>
                </c:pt>
                <c:pt idx="112">
                  <c:v>2.63747</c:v>
                </c:pt>
                <c:pt idx="113">
                  <c:v>2.6467600000000004</c:v>
                </c:pt>
                <c:pt idx="114">
                  <c:v>2.6554000000000002</c:v>
                </c:pt>
                <c:pt idx="115">
                  <c:v>2.6633599999999999</c:v>
                </c:pt>
                <c:pt idx="116">
                  <c:v>2.6684600000000005</c:v>
                </c:pt>
                <c:pt idx="117">
                  <c:v>2.6728299999999998</c:v>
                </c:pt>
                <c:pt idx="118">
                  <c:v>2.6764700000000001</c:v>
                </c:pt>
                <c:pt idx="119">
                  <c:v>2.6791199999999997</c:v>
                </c:pt>
                <c:pt idx="120">
                  <c:v>2.6797</c:v>
                </c:pt>
                <c:pt idx="121">
                  <c:v>2.6819799999999998</c:v>
                </c:pt>
                <c:pt idx="122">
                  <c:v>2.6879399999999998</c:v>
                </c:pt>
                <c:pt idx="123">
                  <c:v>2.6945100000000002</c:v>
                </c:pt>
                <c:pt idx="124">
                  <c:v>2.6981999999999999</c:v>
                </c:pt>
                <c:pt idx="125">
                  <c:v>2.6986100000000004</c:v>
                </c:pt>
                <c:pt idx="126">
                  <c:v>2.6992899999999995</c:v>
                </c:pt>
                <c:pt idx="127">
                  <c:v>2.7003599999999999</c:v>
                </c:pt>
                <c:pt idx="128">
                  <c:v>2.7027800000000002</c:v>
                </c:pt>
                <c:pt idx="129">
                  <c:v>2.7060299999999997</c:v>
                </c:pt>
                <c:pt idx="130">
                  <c:v>2.7092399999999999</c:v>
                </c:pt>
                <c:pt idx="131">
                  <c:v>2.7108700000000003</c:v>
                </c:pt>
                <c:pt idx="132">
                  <c:v>2.7110300000000001</c:v>
                </c:pt>
                <c:pt idx="133">
                  <c:v>2.7069399999999999</c:v>
                </c:pt>
                <c:pt idx="134">
                  <c:v>2.7011699999999998</c:v>
                </c:pt>
                <c:pt idx="135">
                  <c:v>2.6949800000000002</c:v>
                </c:pt>
                <c:pt idx="136">
                  <c:v>2.6873900000000002</c:v>
                </c:pt>
                <c:pt idx="137">
                  <c:v>2.6832000000000003</c:v>
                </c:pt>
                <c:pt idx="138">
                  <c:v>2.68052</c:v>
                </c:pt>
                <c:pt idx="139">
                  <c:v>2.67638</c:v>
                </c:pt>
                <c:pt idx="140">
                  <c:v>2.67354</c:v>
                </c:pt>
                <c:pt idx="141">
                  <c:v>2.6727099999999999</c:v>
                </c:pt>
                <c:pt idx="142">
                  <c:v>2.6737300000000004</c:v>
                </c:pt>
                <c:pt idx="143">
                  <c:v>2.6742500000000002</c:v>
                </c:pt>
                <c:pt idx="144">
                  <c:v>2.67896</c:v>
                </c:pt>
                <c:pt idx="145">
                  <c:v>2.7063700000000002</c:v>
                </c:pt>
                <c:pt idx="146">
                  <c:v>2.7397300000000002</c:v>
                </c:pt>
                <c:pt idx="147">
                  <c:v>2.7616899999999998</c:v>
                </c:pt>
                <c:pt idx="148">
                  <c:v>2.7811599999999999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0.385824</c:v>
                </c:pt>
                <c:pt idx="2">
                  <c:v>0.79375200000000001</c:v>
                </c:pt>
                <c:pt idx="3">
                  <c:v>1.1956899999999999</c:v>
                </c:pt>
                <c:pt idx="4">
                  <c:v>1.60581</c:v>
                </c:pt>
                <c:pt idx="5">
                  <c:v>2.0073799999999999</c:v>
                </c:pt>
                <c:pt idx="6">
                  <c:v>2.41961</c:v>
                </c:pt>
                <c:pt idx="7">
                  <c:v>2.8225099999999999</c:v>
                </c:pt>
                <c:pt idx="8">
                  <c:v>3.2302300000000002</c:v>
                </c:pt>
                <c:pt idx="9">
                  <c:v>3.6354799999999998</c:v>
                </c:pt>
                <c:pt idx="10">
                  <c:v>4.0440699999999996</c:v>
                </c:pt>
                <c:pt idx="11">
                  <c:v>4.4480199999999996</c:v>
                </c:pt>
                <c:pt idx="12">
                  <c:v>4.8579299999999996</c:v>
                </c:pt>
                <c:pt idx="13">
                  <c:v>5.2607999999999997</c:v>
                </c:pt>
                <c:pt idx="14">
                  <c:v>5.6666999999999996</c:v>
                </c:pt>
                <c:pt idx="15">
                  <c:v>6.0717600000000003</c:v>
                </c:pt>
                <c:pt idx="16">
                  <c:v>6.48062</c:v>
                </c:pt>
                <c:pt idx="17">
                  <c:v>6.8845400000000003</c:v>
                </c:pt>
                <c:pt idx="18">
                  <c:v>7.2913600000000001</c:v>
                </c:pt>
                <c:pt idx="19">
                  <c:v>7.6952499999999997</c:v>
                </c:pt>
                <c:pt idx="20">
                  <c:v>8.1014099999999996</c:v>
                </c:pt>
                <c:pt idx="21">
                  <c:v>8.5080899999999993</c:v>
                </c:pt>
                <c:pt idx="22">
                  <c:v>8.9160000000000004</c:v>
                </c:pt>
                <c:pt idx="23">
                  <c:v>9.3220299999999998</c:v>
                </c:pt>
                <c:pt idx="24">
                  <c:v>9.7279300000000006</c:v>
                </c:pt>
                <c:pt idx="25">
                  <c:v>10.1348</c:v>
                </c:pt>
                <c:pt idx="26">
                  <c:v>10.540699999999999</c:v>
                </c:pt>
                <c:pt idx="27">
                  <c:v>10.9466</c:v>
                </c:pt>
                <c:pt idx="28">
                  <c:v>11.3535</c:v>
                </c:pt>
                <c:pt idx="29">
                  <c:v>11.762499999999999</c:v>
                </c:pt>
                <c:pt idx="30">
                  <c:v>12.1684</c:v>
                </c:pt>
                <c:pt idx="31">
                  <c:v>12.573700000000001</c:v>
                </c:pt>
                <c:pt idx="32">
                  <c:v>12.9793</c:v>
                </c:pt>
                <c:pt idx="33">
                  <c:v>13.3842</c:v>
                </c:pt>
                <c:pt idx="34">
                  <c:v>13.794</c:v>
                </c:pt>
                <c:pt idx="35">
                  <c:v>14.198</c:v>
                </c:pt>
                <c:pt idx="36">
                  <c:v>14.606</c:v>
                </c:pt>
                <c:pt idx="37">
                  <c:v>15.008800000000001</c:v>
                </c:pt>
                <c:pt idx="38">
                  <c:v>15.416700000000001</c:v>
                </c:pt>
                <c:pt idx="39">
                  <c:v>15.823700000000001</c:v>
                </c:pt>
                <c:pt idx="40">
                  <c:v>16.229500000000002</c:v>
                </c:pt>
                <c:pt idx="41">
                  <c:v>16.635400000000001</c:v>
                </c:pt>
                <c:pt idx="42">
                  <c:v>17.040299999999998</c:v>
                </c:pt>
                <c:pt idx="43">
                  <c:v>17.4466</c:v>
                </c:pt>
                <c:pt idx="44">
                  <c:v>17.8581</c:v>
                </c:pt>
                <c:pt idx="45">
                  <c:v>18.2591</c:v>
                </c:pt>
                <c:pt idx="46">
                  <c:v>18.666899999999998</c:v>
                </c:pt>
                <c:pt idx="47">
                  <c:v>19.0731</c:v>
                </c:pt>
                <c:pt idx="48">
                  <c:v>19.478999999999999</c:v>
                </c:pt>
                <c:pt idx="49">
                  <c:v>19.8857</c:v>
                </c:pt>
                <c:pt idx="50">
                  <c:v>20.291599999999999</c:v>
                </c:pt>
                <c:pt idx="51">
                  <c:v>20.697600000000001</c:v>
                </c:pt>
                <c:pt idx="52">
                  <c:v>21.102499999999999</c:v>
                </c:pt>
                <c:pt idx="53">
                  <c:v>21.508400000000002</c:v>
                </c:pt>
                <c:pt idx="54">
                  <c:v>21.9192</c:v>
                </c:pt>
                <c:pt idx="55">
                  <c:v>22.324200000000001</c:v>
                </c:pt>
                <c:pt idx="56">
                  <c:v>22.728100000000001</c:v>
                </c:pt>
                <c:pt idx="57">
                  <c:v>23.132100000000001</c:v>
                </c:pt>
                <c:pt idx="58">
                  <c:v>23.539300000000001</c:v>
                </c:pt>
                <c:pt idx="59">
                  <c:v>23.945799999999998</c:v>
                </c:pt>
                <c:pt idx="60">
                  <c:v>24.3584</c:v>
                </c:pt>
                <c:pt idx="61">
                  <c:v>24.7636</c:v>
                </c:pt>
                <c:pt idx="62">
                  <c:v>25.165600000000001</c:v>
                </c:pt>
                <c:pt idx="63">
                  <c:v>25.5718</c:v>
                </c:pt>
                <c:pt idx="64">
                  <c:v>25.979399999999998</c:v>
                </c:pt>
                <c:pt idx="65">
                  <c:v>26.386299999999999</c:v>
                </c:pt>
                <c:pt idx="66">
                  <c:v>26.793199999999999</c:v>
                </c:pt>
                <c:pt idx="67">
                  <c:v>27.1951</c:v>
                </c:pt>
                <c:pt idx="68">
                  <c:v>27.604299999999999</c:v>
                </c:pt>
                <c:pt idx="69">
                  <c:v>28.01</c:v>
                </c:pt>
                <c:pt idx="70">
                  <c:v>28.416799999999999</c:v>
                </c:pt>
                <c:pt idx="71">
                  <c:v>28.823</c:v>
                </c:pt>
                <c:pt idx="72">
                  <c:v>29.229700000000001</c:v>
                </c:pt>
                <c:pt idx="73">
                  <c:v>29.633600000000001</c:v>
                </c:pt>
                <c:pt idx="74">
                  <c:v>30.044599999999999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1.94655</c:v>
                </c:pt>
                <c:pt idx="1">
                  <c:v>2.0201199999999999</c:v>
                </c:pt>
                <c:pt idx="2">
                  <c:v>2.0923600000000002</c:v>
                </c:pt>
                <c:pt idx="3">
                  <c:v>2.1636800000000003</c:v>
                </c:pt>
                <c:pt idx="4">
                  <c:v>2.2323299999999997</c:v>
                </c:pt>
                <c:pt idx="5">
                  <c:v>2.3031299999999999</c:v>
                </c:pt>
                <c:pt idx="6">
                  <c:v>2.3732899999999999</c:v>
                </c:pt>
                <c:pt idx="7">
                  <c:v>2.44096</c:v>
                </c:pt>
                <c:pt idx="8">
                  <c:v>2.5070399999999999</c:v>
                </c:pt>
                <c:pt idx="9">
                  <c:v>2.5708599999999997</c:v>
                </c:pt>
                <c:pt idx="10">
                  <c:v>2.6321499999999998</c:v>
                </c:pt>
                <c:pt idx="11">
                  <c:v>2.6898899999999997</c:v>
                </c:pt>
                <c:pt idx="12">
                  <c:v>2.7465800000000002</c:v>
                </c:pt>
                <c:pt idx="13">
                  <c:v>2.8014399999999999</c:v>
                </c:pt>
                <c:pt idx="14">
                  <c:v>2.8540399999999999</c:v>
                </c:pt>
                <c:pt idx="15">
                  <c:v>2.9027099999999999</c:v>
                </c:pt>
                <c:pt idx="16">
                  <c:v>2.9452800000000003</c:v>
                </c:pt>
                <c:pt idx="17">
                  <c:v>2.9814600000000002</c:v>
                </c:pt>
                <c:pt idx="18">
                  <c:v>3.0120100000000001</c:v>
                </c:pt>
                <c:pt idx="19">
                  <c:v>3.0376500000000002</c:v>
                </c:pt>
                <c:pt idx="20">
                  <c:v>3.0600399999999999</c:v>
                </c:pt>
                <c:pt idx="21">
                  <c:v>3.07979</c:v>
                </c:pt>
                <c:pt idx="22">
                  <c:v>3.0965799999999999</c:v>
                </c:pt>
                <c:pt idx="23">
                  <c:v>3.1094899999999996</c:v>
                </c:pt>
                <c:pt idx="24">
                  <c:v>3.1187500000000004</c:v>
                </c:pt>
                <c:pt idx="25">
                  <c:v>3.1253399999999996</c:v>
                </c:pt>
                <c:pt idx="26">
                  <c:v>3.1296400000000002</c:v>
                </c:pt>
                <c:pt idx="27">
                  <c:v>3.1320199999999998</c:v>
                </c:pt>
                <c:pt idx="28">
                  <c:v>3.1316600000000001</c:v>
                </c:pt>
                <c:pt idx="29">
                  <c:v>3.1288100000000001</c:v>
                </c:pt>
                <c:pt idx="30">
                  <c:v>3.12188</c:v>
                </c:pt>
                <c:pt idx="31">
                  <c:v>3.1110700000000002</c:v>
                </c:pt>
                <c:pt idx="32">
                  <c:v>3.09707</c:v>
                </c:pt>
                <c:pt idx="33">
                  <c:v>3.08223</c:v>
                </c:pt>
                <c:pt idx="34">
                  <c:v>3.0664200000000004</c:v>
                </c:pt>
                <c:pt idx="35">
                  <c:v>3.0492999999999997</c:v>
                </c:pt>
                <c:pt idx="36">
                  <c:v>3.0314299999999998</c:v>
                </c:pt>
                <c:pt idx="37">
                  <c:v>3.0110999999999999</c:v>
                </c:pt>
                <c:pt idx="38">
                  <c:v>2.9875499999999997</c:v>
                </c:pt>
                <c:pt idx="39">
                  <c:v>2.9628500000000004</c:v>
                </c:pt>
                <c:pt idx="40">
                  <c:v>2.93865</c:v>
                </c:pt>
                <c:pt idx="41">
                  <c:v>2.9174699999999998</c:v>
                </c:pt>
                <c:pt idx="42">
                  <c:v>2.9024200000000002</c:v>
                </c:pt>
                <c:pt idx="43">
                  <c:v>2.8913100000000003</c:v>
                </c:pt>
                <c:pt idx="44">
                  <c:v>2.8846100000000003</c:v>
                </c:pt>
                <c:pt idx="45">
                  <c:v>2.8803800000000002</c:v>
                </c:pt>
                <c:pt idx="46">
                  <c:v>2.8782999999999999</c:v>
                </c:pt>
                <c:pt idx="47">
                  <c:v>2.8773999999999997</c:v>
                </c:pt>
                <c:pt idx="48">
                  <c:v>2.8774899999999999</c:v>
                </c:pt>
                <c:pt idx="49">
                  <c:v>2.8783300000000001</c:v>
                </c:pt>
                <c:pt idx="50">
                  <c:v>2.8766999999999996</c:v>
                </c:pt>
                <c:pt idx="51">
                  <c:v>2.8783799999999999</c:v>
                </c:pt>
                <c:pt idx="52">
                  <c:v>2.88008</c:v>
                </c:pt>
                <c:pt idx="53">
                  <c:v>2.8831899999999999</c:v>
                </c:pt>
                <c:pt idx="54">
                  <c:v>2.8907799999999999</c:v>
                </c:pt>
                <c:pt idx="55">
                  <c:v>2.8984100000000002</c:v>
                </c:pt>
                <c:pt idx="56">
                  <c:v>2.90909</c:v>
                </c:pt>
                <c:pt idx="57">
                  <c:v>2.9218600000000001</c:v>
                </c:pt>
                <c:pt idx="58">
                  <c:v>2.93438</c:v>
                </c:pt>
                <c:pt idx="59">
                  <c:v>2.9468899999999998</c:v>
                </c:pt>
                <c:pt idx="60">
                  <c:v>2.9604999999999997</c:v>
                </c:pt>
                <c:pt idx="61">
                  <c:v>2.9763000000000002</c:v>
                </c:pt>
                <c:pt idx="62">
                  <c:v>2.9938900000000004</c:v>
                </c:pt>
                <c:pt idx="63">
                  <c:v>3.0174400000000001</c:v>
                </c:pt>
                <c:pt idx="64">
                  <c:v>3.0420799999999999</c:v>
                </c:pt>
                <c:pt idx="65">
                  <c:v>3.0619400000000003</c:v>
                </c:pt>
                <c:pt idx="66">
                  <c:v>3.0789800000000001</c:v>
                </c:pt>
                <c:pt idx="67">
                  <c:v>3.0942399999999997</c:v>
                </c:pt>
                <c:pt idx="68">
                  <c:v>3.1058699999999999</c:v>
                </c:pt>
                <c:pt idx="69">
                  <c:v>3.11416</c:v>
                </c:pt>
                <c:pt idx="70">
                  <c:v>3.1186399999999996</c:v>
                </c:pt>
                <c:pt idx="71">
                  <c:v>3.1229899999999997</c:v>
                </c:pt>
                <c:pt idx="72">
                  <c:v>3.1252499999999999</c:v>
                </c:pt>
                <c:pt idx="73">
                  <c:v>3.1252499999999999</c:v>
                </c:pt>
                <c:pt idx="74">
                  <c:v>3.1227899999999997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30.044599999999999</c:v>
                </c:pt>
                <c:pt idx="1">
                  <c:v>30.638500000000001</c:v>
                </c:pt>
                <c:pt idx="2">
                  <c:v>31.01</c:v>
                </c:pt>
                <c:pt idx="3">
                  <c:v>31.384899999999998</c:v>
                </c:pt>
                <c:pt idx="4">
                  <c:v>31.757200000000001</c:v>
                </c:pt>
                <c:pt idx="5">
                  <c:v>32.133899999999997</c:v>
                </c:pt>
                <c:pt idx="6">
                  <c:v>32.542900000000003</c:v>
                </c:pt>
                <c:pt idx="7">
                  <c:v>32.948099999999997</c:v>
                </c:pt>
                <c:pt idx="8">
                  <c:v>33.352699999999999</c:v>
                </c:pt>
                <c:pt idx="9">
                  <c:v>33.760599999999997</c:v>
                </c:pt>
                <c:pt idx="10">
                  <c:v>34.1676</c:v>
                </c:pt>
                <c:pt idx="11">
                  <c:v>34.5715</c:v>
                </c:pt>
                <c:pt idx="12">
                  <c:v>34.977499999999999</c:v>
                </c:pt>
                <c:pt idx="13">
                  <c:v>35.388300000000001</c:v>
                </c:pt>
                <c:pt idx="14">
                  <c:v>35.795299999999997</c:v>
                </c:pt>
                <c:pt idx="15">
                  <c:v>36.197099999999999</c:v>
                </c:pt>
                <c:pt idx="16">
                  <c:v>36.604999999999997</c:v>
                </c:pt>
                <c:pt idx="17">
                  <c:v>37.007300000000001</c:v>
                </c:pt>
                <c:pt idx="18">
                  <c:v>37.414900000000003</c:v>
                </c:pt>
                <c:pt idx="19">
                  <c:v>37.826700000000002</c:v>
                </c:pt>
                <c:pt idx="20">
                  <c:v>38.230699999999999</c:v>
                </c:pt>
                <c:pt idx="21">
                  <c:v>38.635599999999997</c:v>
                </c:pt>
                <c:pt idx="22">
                  <c:v>39.0398</c:v>
                </c:pt>
                <c:pt idx="23">
                  <c:v>39.444499999999998</c:v>
                </c:pt>
                <c:pt idx="24">
                  <c:v>39.8553</c:v>
                </c:pt>
                <c:pt idx="25">
                  <c:v>40.262300000000003</c:v>
                </c:pt>
                <c:pt idx="26">
                  <c:v>40.667200000000001</c:v>
                </c:pt>
                <c:pt idx="27">
                  <c:v>41.07</c:v>
                </c:pt>
                <c:pt idx="28">
                  <c:v>41.4788</c:v>
                </c:pt>
                <c:pt idx="29">
                  <c:v>41.885899999999999</c:v>
                </c:pt>
                <c:pt idx="30">
                  <c:v>42.294800000000002</c:v>
                </c:pt>
                <c:pt idx="31">
                  <c:v>42.698700000000002</c:v>
                </c:pt>
                <c:pt idx="32">
                  <c:v>43.102600000000002</c:v>
                </c:pt>
                <c:pt idx="33">
                  <c:v>43.508899999999997</c:v>
                </c:pt>
                <c:pt idx="34">
                  <c:v>43.915399999999998</c:v>
                </c:pt>
                <c:pt idx="35">
                  <c:v>44.324399999999997</c:v>
                </c:pt>
                <c:pt idx="36">
                  <c:v>44.730200000000004</c:v>
                </c:pt>
                <c:pt idx="37">
                  <c:v>45.136200000000002</c:v>
                </c:pt>
                <c:pt idx="38">
                  <c:v>45.5381</c:v>
                </c:pt>
                <c:pt idx="39">
                  <c:v>45.948099999999997</c:v>
                </c:pt>
                <c:pt idx="40">
                  <c:v>46.353999999999999</c:v>
                </c:pt>
                <c:pt idx="41">
                  <c:v>46.762799999999999</c:v>
                </c:pt>
                <c:pt idx="42">
                  <c:v>47.163699999999999</c:v>
                </c:pt>
                <c:pt idx="43">
                  <c:v>47.575099999999999</c:v>
                </c:pt>
                <c:pt idx="44">
                  <c:v>47.975700000000003</c:v>
                </c:pt>
                <c:pt idx="45">
                  <c:v>48.386499999999998</c:v>
                </c:pt>
                <c:pt idx="46">
                  <c:v>48.792400000000001</c:v>
                </c:pt>
                <c:pt idx="47">
                  <c:v>49.197499999999998</c:v>
                </c:pt>
                <c:pt idx="48">
                  <c:v>49.603499999999997</c:v>
                </c:pt>
                <c:pt idx="49">
                  <c:v>50.0122</c:v>
                </c:pt>
                <c:pt idx="50">
                  <c:v>50.414400000000001</c:v>
                </c:pt>
                <c:pt idx="51">
                  <c:v>50.821899999999999</c:v>
                </c:pt>
                <c:pt idx="52">
                  <c:v>51.226999999999997</c:v>
                </c:pt>
                <c:pt idx="53">
                  <c:v>51.635100000000001</c:v>
                </c:pt>
                <c:pt idx="54">
                  <c:v>52.041699999999999</c:v>
                </c:pt>
                <c:pt idx="55">
                  <c:v>52.449599999999997</c:v>
                </c:pt>
                <c:pt idx="56">
                  <c:v>52.857700000000001</c:v>
                </c:pt>
                <c:pt idx="57">
                  <c:v>53.261400000000002</c:v>
                </c:pt>
                <c:pt idx="58">
                  <c:v>53.664299999999997</c:v>
                </c:pt>
                <c:pt idx="59">
                  <c:v>54.075499999999998</c:v>
                </c:pt>
                <c:pt idx="60">
                  <c:v>54.481200000000001</c:v>
                </c:pt>
                <c:pt idx="61">
                  <c:v>54.8872</c:v>
                </c:pt>
                <c:pt idx="62">
                  <c:v>55.292099999999998</c:v>
                </c:pt>
                <c:pt idx="63">
                  <c:v>55.695</c:v>
                </c:pt>
                <c:pt idx="64">
                  <c:v>56.104199999999999</c:v>
                </c:pt>
                <c:pt idx="65">
                  <c:v>56.511899999999997</c:v>
                </c:pt>
                <c:pt idx="66">
                  <c:v>56.917700000000004</c:v>
                </c:pt>
                <c:pt idx="67">
                  <c:v>57.325600000000001</c:v>
                </c:pt>
                <c:pt idx="68">
                  <c:v>57.7256</c:v>
                </c:pt>
                <c:pt idx="69">
                  <c:v>58.133499999999998</c:v>
                </c:pt>
                <c:pt idx="70">
                  <c:v>58.543399999999998</c:v>
                </c:pt>
                <c:pt idx="71">
                  <c:v>58.9495</c:v>
                </c:pt>
                <c:pt idx="72">
                  <c:v>59.3523</c:v>
                </c:pt>
                <c:pt idx="73">
                  <c:v>59.758200000000002</c:v>
                </c:pt>
                <c:pt idx="74">
                  <c:v>60.17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3.1227899999999997</c:v>
                </c:pt>
                <c:pt idx="1">
                  <c:v>3.1145</c:v>
                </c:pt>
                <c:pt idx="2">
                  <c:v>3.1079600000000003</c:v>
                </c:pt>
                <c:pt idx="3">
                  <c:v>3.1000399999999999</c:v>
                </c:pt>
                <c:pt idx="4">
                  <c:v>3.0876999999999999</c:v>
                </c:pt>
                <c:pt idx="5">
                  <c:v>3.07226</c:v>
                </c:pt>
                <c:pt idx="6">
                  <c:v>3.0563699999999998</c:v>
                </c:pt>
                <c:pt idx="7">
                  <c:v>3.03647</c:v>
                </c:pt>
                <c:pt idx="8">
                  <c:v>3.0152600000000001</c:v>
                </c:pt>
                <c:pt idx="9">
                  <c:v>2.9940600000000002</c:v>
                </c:pt>
                <c:pt idx="10">
                  <c:v>2.9723699999999997</c:v>
                </c:pt>
                <c:pt idx="11">
                  <c:v>2.9473700000000003</c:v>
                </c:pt>
                <c:pt idx="12">
                  <c:v>2.91927</c:v>
                </c:pt>
                <c:pt idx="13">
                  <c:v>2.8870299999999998</c:v>
                </c:pt>
                <c:pt idx="14">
                  <c:v>2.8490700000000002</c:v>
                </c:pt>
                <c:pt idx="15">
                  <c:v>2.81209</c:v>
                </c:pt>
                <c:pt idx="16">
                  <c:v>2.7794999999999996</c:v>
                </c:pt>
                <c:pt idx="17">
                  <c:v>2.74912</c:v>
                </c:pt>
                <c:pt idx="18">
                  <c:v>2.72105</c:v>
                </c:pt>
                <c:pt idx="19">
                  <c:v>2.6990999999999996</c:v>
                </c:pt>
                <c:pt idx="20">
                  <c:v>2.6802299999999999</c:v>
                </c:pt>
                <c:pt idx="21">
                  <c:v>2.6600200000000003</c:v>
                </c:pt>
                <c:pt idx="22">
                  <c:v>2.6418699999999999</c:v>
                </c:pt>
                <c:pt idx="23">
                  <c:v>2.6247599999999998</c:v>
                </c:pt>
                <c:pt idx="24">
                  <c:v>2.6113300000000002</c:v>
                </c:pt>
                <c:pt idx="25">
                  <c:v>2.6015899999999998</c:v>
                </c:pt>
                <c:pt idx="26">
                  <c:v>2.5942500000000002</c:v>
                </c:pt>
                <c:pt idx="27">
                  <c:v>2.5889000000000002</c:v>
                </c:pt>
                <c:pt idx="28">
                  <c:v>2.58413</c:v>
                </c:pt>
                <c:pt idx="29">
                  <c:v>2.5801800000000004</c:v>
                </c:pt>
                <c:pt idx="30">
                  <c:v>2.5780799999999999</c:v>
                </c:pt>
                <c:pt idx="31">
                  <c:v>2.5775399999999999</c:v>
                </c:pt>
                <c:pt idx="32">
                  <c:v>2.5809100000000003</c:v>
                </c:pt>
                <c:pt idx="33">
                  <c:v>2.5867</c:v>
                </c:pt>
                <c:pt idx="34">
                  <c:v>2.5957000000000003</c:v>
                </c:pt>
                <c:pt idx="35">
                  <c:v>2.6053700000000002</c:v>
                </c:pt>
                <c:pt idx="36">
                  <c:v>2.6163599999999998</c:v>
                </c:pt>
                <c:pt idx="37">
                  <c:v>2.6281700000000003</c:v>
                </c:pt>
                <c:pt idx="38">
                  <c:v>2.63747</c:v>
                </c:pt>
                <c:pt idx="39">
                  <c:v>2.6467600000000004</c:v>
                </c:pt>
                <c:pt idx="40">
                  <c:v>2.6554000000000002</c:v>
                </c:pt>
                <c:pt idx="41">
                  <c:v>2.6633599999999999</c:v>
                </c:pt>
                <c:pt idx="42">
                  <c:v>2.6684600000000005</c:v>
                </c:pt>
                <c:pt idx="43">
                  <c:v>2.6728299999999998</c:v>
                </c:pt>
                <c:pt idx="44">
                  <c:v>2.6764700000000001</c:v>
                </c:pt>
                <c:pt idx="45">
                  <c:v>2.6791199999999997</c:v>
                </c:pt>
                <c:pt idx="46">
                  <c:v>2.6797</c:v>
                </c:pt>
                <c:pt idx="47">
                  <c:v>2.6819799999999998</c:v>
                </c:pt>
                <c:pt idx="48">
                  <c:v>2.6879399999999998</c:v>
                </c:pt>
                <c:pt idx="49">
                  <c:v>2.6945100000000002</c:v>
                </c:pt>
                <c:pt idx="50">
                  <c:v>2.6981999999999999</c:v>
                </c:pt>
                <c:pt idx="51">
                  <c:v>2.6986100000000004</c:v>
                </c:pt>
                <c:pt idx="52">
                  <c:v>2.6992899999999995</c:v>
                </c:pt>
                <c:pt idx="53">
                  <c:v>2.7003599999999999</c:v>
                </c:pt>
                <c:pt idx="54">
                  <c:v>2.7027800000000002</c:v>
                </c:pt>
                <c:pt idx="55">
                  <c:v>2.7060299999999997</c:v>
                </c:pt>
                <c:pt idx="56">
                  <c:v>2.7092399999999999</c:v>
                </c:pt>
                <c:pt idx="57">
                  <c:v>2.7108700000000003</c:v>
                </c:pt>
                <c:pt idx="58">
                  <c:v>2.7110300000000001</c:v>
                </c:pt>
                <c:pt idx="59">
                  <c:v>2.7069399999999999</c:v>
                </c:pt>
                <c:pt idx="60">
                  <c:v>2.7011699999999998</c:v>
                </c:pt>
                <c:pt idx="61">
                  <c:v>2.6949800000000002</c:v>
                </c:pt>
                <c:pt idx="62">
                  <c:v>2.6873900000000002</c:v>
                </c:pt>
                <c:pt idx="63">
                  <c:v>2.6832000000000003</c:v>
                </c:pt>
                <c:pt idx="64">
                  <c:v>2.68052</c:v>
                </c:pt>
                <c:pt idx="65">
                  <c:v>2.67638</c:v>
                </c:pt>
                <c:pt idx="66">
                  <c:v>2.67354</c:v>
                </c:pt>
                <c:pt idx="67">
                  <c:v>2.6727099999999999</c:v>
                </c:pt>
                <c:pt idx="68">
                  <c:v>2.6737300000000004</c:v>
                </c:pt>
                <c:pt idx="69">
                  <c:v>2.6742500000000002</c:v>
                </c:pt>
                <c:pt idx="70">
                  <c:v>2.67896</c:v>
                </c:pt>
                <c:pt idx="71">
                  <c:v>2.7063700000000002</c:v>
                </c:pt>
                <c:pt idx="72">
                  <c:v>2.7397300000000002</c:v>
                </c:pt>
                <c:pt idx="73">
                  <c:v>2.7616899999999998</c:v>
                </c:pt>
                <c:pt idx="74">
                  <c:v>2.7811599999999999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1.94655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15.0425</c:v>
                </c:pt>
                <c:pt idx="1">
                  <c:v>45.127499999999998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2.8887864864864876</c:v>
                </c:pt>
                <c:pt idx="1">
                  <c:v>2.7401545945945944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0.385824</c:v>
                </c:pt>
                <c:pt idx="2">
                  <c:v>0.79375200000000001</c:v>
                </c:pt>
                <c:pt idx="3">
                  <c:v>1.1956899999999999</c:v>
                </c:pt>
                <c:pt idx="4">
                  <c:v>1.60581</c:v>
                </c:pt>
                <c:pt idx="5">
                  <c:v>2.0073799999999999</c:v>
                </c:pt>
                <c:pt idx="6">
                  <c:v>2.41961</c:v>
                </c:pt>
                <c:pt idx="7">
                  <c:v>2.8225099999999999</c:v>
                </c:pt>
                <c:pt idx="8">
                  <c:v>3.2302300000000002</c:v>
                </c:pt>
                <c:pt idx="9">
                  <c:v>3.6354799999999998</c:v>
                </c:pt>
                <c:pt idx="10">
                  <c:v>4.0440699999999996</c:v>
                </c:pt>
                <c:pt idx="11">
                  <c:v>4.4480199999999996</c:v>
                </c:pt>
                <c:pt idx="12">
                  <c:v>4.8579299999999996</c:v>
                </c:pt>
                <c:pt idx="13">
                  <c:v>5.2607999999999997</c:v>
                </c:pt>
                <c:pt idx="14">
                  <c:v>5.6666999999999996</c:v>
                </c:pt>
                <c:pt idx="15">
                  <c:v>6.0717600000000003</c:v>
                </c:pt>
                <c:pt idx="16">
                  <c:v>6.48062</c:v>
                </c:pt>
                <c:pt idx="17">
                  <c:v>6.8845400000000003</c:v>
                </c:pt>
                <c:pt idx="18">
                  <c:v>7.2913600000000001</c:v>
                </c:pt>
                <c:pt idx="19">
                  <c:v>7.6952499999999997</c:v>
                </c:pt>
                <c:pt idx="20">
                  <c:v>8.1014099999999996</c:v>
                </c:pt>
                <c:pt idx="21">
                  <c:v>8.5080899999999993</c:v>
                </c:pt>
                <c:pt idx="22">
                  <c:v>8.9160000000000004</c:v>
                </c:pt>
                <c:pt idx="23">
                  <c:v>9.3220299999999998</c:v>
                </c:pt>
                <c:pt idx="24">
                  <c:v>9.7279300000000006</c:v>
                </c:pt>
                <c:pt idx="25">
                  <c:v>10.1348</c:v>
                </c:pt>
                <c:pt idx="26">
                  <c:v>10.540699999999999</c:v>
                </c:pt>
                <c:pt idx="27">
                  <c:v>10.9466</c:v>
                </c:pt>
                <c:pt idx="28">
                  <c:v>11.3535</c:v>
                </c:pt>
                <c:pt idx="29">
                  <c:v>11.762499999999999</c:v>
                </c:pt>
                <c:pt idx="30">
                  <c:v>12.1684</c:v>
                </c:pt>
                <c:pt idx="31">
                  <c:v>12.573700000000001</c:v>
                </c:pt>
                <c:pt idx="32">
                  <c:v>12.9793</c:v>
                </c:pt>
                <c:pt idx="33">
                  <c:v>13.3842</c:v>
                </c:pt>
                <c:pt idx="34">
                  <c:v>13.794</c:v>
                </c:pt>
                <c:pt idx="35">
                  <c:v>14.198</c:v>
                </c:pt>
                <c:pt idx="36">
                  <c:v>14.606</c:v>
                </c:pt>
                <c:pt idx="37">
                  <c:v>15.008800000000001</c:v>
                </c:pt>
                <c:pt idx="38">
                  <c:v>15.416700000000001</c:v>
                </c:pt>
                <c:pt idx="39">
                  <c:v>15.823700000000001</c:v>
                </c:pt>
                <c:pt idx="40">
                  <c:v>16.229500000000002</c:v>
                </c:pt>
                <c:pt idx="41">
                  <c:v>16.635400000000001</c:v>
                </c:pt>
                <c:pt idx="42">
                  <c:v>17.040299999999998</c:v>
                </c:pt>
                <c:pt idx="43">
                  <c:v>17.4466</c:v>
                </c:pt>
                <c:pt idx="44">
                  <c:v>17.8581</c:v>
                </c:pt>
                <c:pt idx="45">
                  <c:v>18.2591</c:v>
                </c:pt>
                <c:pt idx="46">
                  <c:v>18.666899999999998</c:v>
                </c:pt>
                <c:pt idx="47">
                  <c:v>19.0731</c:v>
                </c:pt>
                <c:pt idx="48">
                  <c:v>19.478999999999999</c:v>
                </c:pt>
                <c:pt idx="49">
                  <c:v>19.8857</c:v>
                </c:pt>
                <c:pt idx="50">
                  <c:v>20.291599999999999</c:v>
                </c:pt>
                <c:pt idx="51">
                  <c:v>20.697600000000001</c:v>
                </c:pt>
                <c:pt idx="52">
                  <c:v>21.102499999999999</c:v>
                </c:pt>
                <c:pt idx="53">
                  <c:v>21.508400000000002</c:v>
                </c:pt>
                <c:pt idx="54">
                  <c:v>21.9192</c:v>
                </c:pt>
                <c:pt idx="55">
                  <c:v>22.324200000000001</c:v>
                </c:pt>
                <c:pt idx="56">
                  <c:v>22.728100000000001</c:v>
                </c:pt>
                <c:pt idx="57">
                  <c:v>23.132100000000001</c:v>
                </c:pt>
                <c:pt idx="58">
                  <c:v>23.539300000000001</c:v>
                </c:pt>
                <c:pt idx="59">
                  <c:v>23.945799999999998</c:v>
                </c:pt>
                <c:pt idx="60">
                  <c:v>24.3584</c:v>
                </c:pt>
                <c:pt idx="61">
                  <c:v>24.7636</c:v>
                </c:pt>
                <c:pt idx="62">
                  <c:v>25.165600000000001</c:v>
                </c:pt>
                <c:pt idx="63">
                  <c:v>25.5718</c:v>
                </c:pt>
                <c:pt idx="64">
                  <c:v>25.979399999999998</c:v>
                </c:pt>
                <c:pt idx="65">
                  <c:v>26.386299999999999</c:v>
                </c:pt>
                <c:pt idx="66">
                  <c:v>26.793199999999999</c:v>
                </c:pt>
                <c:pt idx="67">
                  <c:v>27.1951</c:v>
                </c:pt>
                <c:pt idx="68">
                  <c:v>27.604299999999999</c:v>
                </c:pt>
                <c:pt idx="69">
                  <c:v>28.01</c:v>
                </c:pt>
                <c:pt idx="70">
                  <c:v>28.416799999999999</c:v>
                </c:pt>
                <c:pt idx="71">
                  <c:v>28.823</c:v>
                </c:pt>
                <c:pt idx="72">
                  <c:v>29.229700000000001</c:v>
                </c:pt>
                <c:pt idx="73">
                  <c:v>29.633600000000001</c:v>
                </c:pt>
                <c:pt idx="74">
                  <c:v>30.044599999999999</c:v>
                </c:pt>
                <c:pt idx="75">
                  <c:v>30.638500000000001</c:v>
                </c:pt>
                <c:pt idx="76">
                  <c:v>31.01</c:v>
                </c:pt>
                <c:pt idx="77">
                  <c:v>31.384899999999998</c:v>
                </c:pt>
                <c:pt idx="78">
                  <c:v>31.757200000000001</c:v>
                </c:pt>
                <c:pt idx="79">
                  <c:v>32.133899999999997</c:v>
                </c:pt>
                <c:pt idx="80">
                  <c:v>32.542900000000003</c:v>
                </c:pt>
                <c:pt idx="81">
                  <c:v>32.948099999999997</c:v>
                </c:pt>
                <c:pt idx="82">
                  <c:v>33.352699999999999</c:v>
                </c:pt>
                <c:pt idx="83">
                  <c:v>33.760599999999997</c:v>
                </c:pt>
                <c:pt idx="84">
                  <c:v>34.1676</c:v>
                </c:pt>
                <c:pt idx="85">
                  <c:v>34.5715</c:v>
                </c:pt>
                <c:pt idx="86">
                  <c:v>34.977499999999999</c:v>
                </c:pt>
                <c:pt idx="87">
                  <c:v>35.388300000000001</c:v>
                </c:pt>
                <c:pt idx="88">
                  <c:v>35.795299999999997</c:v>
                </c:pt>
                <c:pt idx="89">
                  <c:v>36.197099999999999</c:v>
                </c:pt>
                <c:pt idx="90">
                  <c:v>36.604999999999997</c:v>
                </c:pt>
                <c:pt idx="91">
                  <c:v>37.007300000000001</c:v>
                </c:pt>
                <c:pt idx="92">
                  <c:v>37.414900000000003</c:v>
                </c:pt>
                <c:pt idx="93">
                  <c:v>37.826700000000002</c:v>
                </c:pt>
                <c:pt idx="94">
                  <c:v>38.230699999999999</c:v>
                </c:pt>
                <c:pt idx="95">
                  <c:v>38.635599999999997</c:v>
                </c:pt>
                <c:pt idx="96">
                  <c:v>39.0398</c:v>
                </c:pt>
                <c:pt idx="97">
                  <c:v>39.444499999999998</c:v>
                </c:pt>
                <c:pt idx="98">
                  <c:v>39.8553</c:v>
                </c:pt>
                <c:pt idx="99">
                  <c:v>40.262300000000003</c:v>
                </c:pt>
                <c:pt idx="100">
                  <c:v>40.667200000000001</c:v>
                </c:pt>
                <c:pt idx="101">
                  <c:v>41.07</c:v>
                </c:pt>
                <c:pt idx="102">
                  <c:v>41.4788</c:v>
                </c:pt>
                <c:pt idx="103">
                  <c:v>41.885899999999999</c:v>
                </c:pt>
                <c:pt idx="104">
                  <c:v>42.294800000000002</c:v>
                </c:pt>
                <c:pt idx="105">
                  <c:v>42.698700000000002</c:v>
                </c:pt>
                <c:pt idx="106">
                  <c:v>43.102600000000002</c:v>
                </c:pt>
                <c:pt idx="107">
                  <c:v>43.508899999999997</c:v>
                </c:pt>
                <c:pt idx="108">
                  <c:v>43.915399999999998</c:v>
                </c:pt>
                <c:pt idx="109">
                  <c:v>44.324399999999997</c:v>
                </c:pt>
                <c:pt idx="110">
                  <c:v>44.730200000000004</c:v>
                </c:pt>
                <c:pt idx="111">
                  <c:v>45.136200000000002</c:v>
                </c:pt>
                <c:pt idx="112">
                  <c:v>45.5381</c:v>
                </c:pt>
                <c:pt idx="113">
                  <c:v>45.948099999999997</c:v>
                </c:pt>
                <c:pt idx="114">
                  <c:v>46.353999999999999</c:v>
                </c:pt>
                <c:pt idx="115">
                  <c:v>46.762799999999999</c:v>
                </c:pt>
                <c:pt idx="116">
                  <c:v>47.163699999999999</c:v>
                </c:pt>
                <c:pt idx="117">
                  <c:v>47.575099999999999</c:v>
                </c:pt>
                <c:pt idx="118">
                  <c:v>47.975700000000003</c:v>
                </c:pt>
                <c:pt idx="119">
                  <c:v>48.386499999999998</c:v>
                </c:pt>
                <c:pt idx="120">
                  <c:v>48.792400000000001</c:v>
                </c:pt>
                <c:pt idx="121">
                  <c:v>49.197499999999998</c:v>
                </c:pt>
                <c:pt idx="122">
                  <c:v>49.603499999999997</c:v>
                </c:pt>
                <c:pt idx="123">
                  <c:v>50.0122</c:v>
                </c:pt>
                <c:pt idx="124">
                  <c:v>50.414400000000001</c:v>
                </c:pt>
                <c:pt idx="125">
                  <c:v>50.821899999999999</c:v>
                </c:pt>
                <c:pt idx="126">
                  <c:v>51.226999999999997</c:v>
                </c:pt>
                <c:pt idx="127">
                  <c:v>51.635100000000001</c:v>
                </c:pt>
                <c:pt idx="128">
                  <c:v>52.041699999999999</c:v>
                </c:pt>
                <c:pt idx="129">
                  <c:v>52.449599999999997</c:v>
                </c:pt>
                <c:pt idx="130">
                  <c:v>52.857700000000001</c:v>
                </c:pt>
                <c:pt idx="131">
                  <c:v>53.261400000000002</c:v>
                </c:pt>
                <c:pt idx="132">
                  <c:v>53.664299999999997</c:v>
                </c:pt>
                <c:pt idx="133">
                  <c:v>54.075499999999998</c:v>
                </c:pt>
                <c:pt idx="134">
                  <c:v>54.481200000000001</c:v>
                </c:pt>
                <c:pt idx="135">
                  <c:v>54.8872</c:v>
                </c:pt>
                <c:pt idx="136">
                  <c:v>55.292099999999998</c:v>
                </c:pt>
                <c:pt idx="137">
                  <c:v>55.695</c:v>
                </c:pt>
                <c:pt idx="138">
                  <c:v>56.104199999999999</c:v>
                </c:pt>
                <c:pt idx="139">
                  <c:v>56.511899999999997</c:v>
                </c:pt>
                <c:pt idx="140">
                  <c:v>56.917700000000004</c:v>
                </c:pt>
                <c:pt idx="141">
                  <c:v>57.325600000000001</c:v>
                </c:pt>
                <c:pt idx="142">
                  <c:v>57.7256</c:v>
                </c:pt>
                <c:pt idx="143">
                  <c:v>58.133499999999998</c:v>
                </c:pt>
                <c:pt idx="144">
                  <c:v>58.543399999999998</c:v>
                </c:pt>
                <c:pt idx="145">
                  <c:v>58.9495</c:v>
                </c:pt>
                <c:pt idx="146">
                  <c:v>59.3523</c:v>
                </c:pt>
                <c:pt idx="147">
                  <c:v>59.758200000000002</c:v>
                </c:pt>
                <c:pt idx="148">
                  <c:v>60.17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51.420699999999997</c:v>
                </c:pt>
                <c:pt idx="1">
                  <c:v>50.0501</c:v>
                </c:pt>
                <c:pt idx="2">
                  <c:v>48.826000000000001</c:v>
                </c:pt>
                <c:pt idx="3">
                  <c:v>47.699100000000001</c:v>
                </c:pt>
                <c:pt idx="4">
                  <c:v>46.682600000000001</c:v>
                </c:pt>
                <c:pt idx="5">
                  <c:v>45.539200000000001</c:v>
                </c:pt>
                <c:pt idx="6">
                  <c:v>44.509599999999999</c:v>
                </c:pt>
                <c:pt idx="7">
                  <c:v>43.544699999999999</c:v>
                </c:pt>
                <c:pt idx="8">
                  <c:v>42.688800000000001</c:v>
                </c:pt>
                <c:pt idx="9">
                  <c:v>41.945300000000003</c:v>
                </c:pt>
                <c:pt idx="10">
                  <c:v>41.335599999999999</c:v>
                </c:pt>
                <c:pt idx="11">
                  <c:v>40.762300000000003</c:v>
                </c:pt>
                <c:pt idx="12">
                  <c:v>40.182600000000001</c:v>
                </c:pt>
                <c:pt idx="13">
                  <c:v>39.511200000000002</c:v>
                </c:pt>
                <c:pt idx="14">
                  <c:v>38.756399999999999</c:v>
                </c:pt>
                <c:pt idx="15">
                  <c:v>37.9467</c:v>
                </c:pt>
                <c:pt idx="16">
                  <c:v>37.205300000000001</c:v>
                </c:pt>
                <c:pt idx="17">
                  <c:v>36.581099999999999</c:v>
                </c:pt>
                <c:pt idx="18">
                  <c:v>36.016399999999997</c:v>
                </c:pt>
                <c:pt idx="19">
                  <c:v>35.532299999999999</c:v>
                </c:pt>
                <c:pt idx="20">
                  <c:v>35.061399999999999</c:v>
                </c:pt>
                <c:pt idx="21">
                  <c:v>34.651800000000001</c:v>
                </c:pt>
                <c:pt idx="22">
                  <c:v>34.230699999999999</c:v>
                </c:pt>
                <c:pt idx="23">
                  <c:v>33.8155</c:v>
                </c:pt>
                <c:pt idx="24">
                  <c:v>33.427399999999999</c:v>
                </c:pt>
                <c:pt idx="25">
                  <c:v>33.070399999999999</c:v>
                </c:pt>
                <c:pt idx="26">
                  <c:v>32.751100000000001</c:v>
                </c:pt>
                <c:pt idx="27">
                  <c:v>32.427</c:v>
                </c:pt>
                <c:pt idx="28">
                  <c:v>32.151400000000002</c:v>
                </c:pt>
                <c:pt idx="29">
                  <c:v>31.845099999999999</c:v>
                </c:pt>
                <c:pt idx="30">
                  <c:v>31.554100000000002</c:v>
                </c:pt>
                <c:pt idx="31">
                  <c:v>31.244100000000003</c:v>
                </c:pt>
                <c:pt idx="32">
                  <c:v>30.9316</c:v>
                </c:pt>
                <c:pt idx="33">
                  <c:v>30.635200000000001</c:v>
                </c:pt>
                <c:pt idx="34">
                  <c:v>30.379899999999999</c:v>
                </c:pt>
                <c:pt idx="35">
                  <c:v>30.152099999999997</c:v>
                </c:pt>
                <c:pt idx="36">
                  <c:v>29.945500000000003</c:v>
                </c:pt>
                <c:pt idx="37">
                  <c:v>29.696400000000001</c:v>
                </c:pt>
                <c:pt idx="38">
                  <c:v>29.458499999999997</c:v>
                </c:pt>
                <c:pt idx="39">
                  <c:v>29.274000000000001</c:v>
                </c:pt>
                <c:pt idx="40">
                  <c:v>29.200500000000002</c:v>
                </c:pt>
                <c:pt idx="41">
                  <c:v>29.145500000000002</c:v>
                </c:pt>
                <c:pt idx="42">
                  <c:v>29.078199999999999</c:v>
                </c:pt>
                <c:pt idx="43">
                  <c:v>29.028599999999997</c:v>
                </c:pt>
                <c:pt idx="44">
                  <c:v>28.9255</c:v>
                </c:pt>
                <c:pt idx="45">
                  <c:v>28.772300000000001</c:v>
                </c:pt>
                <c:pt idx="46">
                  <c:v>28.580400000000001</c:v>
                </c:pt>
                <c:pt idx="47">
                  <c:v>28.396000000000001</c:v>
                </c:pt>
                <c:pt idx="48">
                  <c:v>28.186</c:v>
                </c:pt>
                <c:pt idx="49">
                  <c:v>27.9773</c:v>
                </c:pt>
                <c:pt idx="50">
                  <c:v>27.799299999999999</c:v>
                </c:pt>
                <c:pt idx="51">
                  <c:v>27.590500000000002</c:v>
                </c:pt>
                <c:pt idx="52">
                  <c:v>27.385199999999998</c:v>
                </c:pt>
                <c:pt idx="53">
                  <c:v>27.168599999999998</c:v>
                </c:pt>
                <c:pt idx="54">
                  <c:v>26.961299999999998</c:v>
                </c:pt>
                <c:pt idx="55">
                  <c:v>26.8324</c:v>
                </c:pt>
                <c:pt idx="56">
                  <c:v>26.733800000000002</c:v>
                </c:pt>
                <c:pt idx="57">
                  <c:v>26.6633</c:v>
                </c:pt>
                <c:pt idx="58">
                  <c:v>26.633499999999998</c:v>
                </c:pt>
                <c:pt idx="59">
                  <c:v>26.621099999999998</c:v>
                </c:pt>
                <c:pt idx="60">
                  <c:v>26.6052</c:v>
                </c:pt>
                <c:pt idx="61">
                  <c:v>26.553799999999999</c:v>
                </c:pt>
                <c:pt idx="62">
                  <c:v>26.580300000000001</c:v>
                </c:pt>
                <c:pt idx="63">
                  <c:v>26.6111</c:v>
                </c:pt>
                <c:pt idx="64">
                  <c:v>26.692</c:v>
                </c:pt>
                <c:pt idx="65">
                  <c:v>26.796199999999999</c:v>
                </c:pt>
                <c:pt idx="66">
                  <c:v>26.847199999999997</c:v>
                </c:pt>
                <c:pt idx="67">
                  <c:v>26.850600000000004</c:v>
                </c:pt>
                <c:pt idx="68">
                  <c:v>26.909100000000002</c:v>
                </c:pt>
                <c:pt idx="69">
                  <c:v>27.005699999999997</c:v>
                </c:pt>
                <c:pt idx="70">
                  <c:v>27.150500000000001</c:v>
                </c:pt>
                <c:pt idx="71">
                  <c:v>27.256200000000003</c:v>
                </c:pt>
                <c:pt idx="72">
                  <c:v>27.398</c:v>
                </c:pt>
                <c:pt idx="73">
                  <c:v>27.594200000000001</c:v>
                </c:pt>
                <c:pt idx="74">
                  <c:v>27.806100000000001</c:v>
                </c:pt>
                <c:pt idx="75">
                  <c:v>28.091899999999999</c:v>
                </c:pt>
                <c:pt idx="76">
                  <c:v>28.314099999999996</c:v>
                </c:pt>
                <c:pt idx="77">
                  <c:v>28.5578</c:v>
                </c:pt>
                <c:pt idx="78">
                  <c:v>28.812500000000004</c:v>
                </c:pt>
                <c:pt idx="79">
                  <c:v>29.081000000000003</c:v>
                </c:pt>
                <c:pt idx="80">
                  <c:v>29.367700000000003</c:v>
                </c:pt>
                <c:pt idx="81">
                  <c:v>29.697299999999998</c:v>
                </c:pt>
                <c:pt idx="82">
                  <c:v>30.068200000000001</c:v>
                </c:pt>
                <c:pt idx="83">
                  <c:v>30.429600000000001</c:v>
                </c:pt>
                <c:pt idx="84">
                  <c:v>30.819299999999998</c:v>
                </c:pt>
                <c:pt idx="85">
                  <c:v>31.248100000000001</c:v>
                </c:pt>
                <c:pt idx="86">
                  <c:v>31.769199999999998</c:v>
                </c:pt>
                <c:pt idx="87">
                  <c:v>32.440400000000004</c:v>
                </c:pt>
                <c:pt idx="88">
                  <c:v>33.273699999999998</c:v>
                </c:pt>
                <c:pt idx="89">
                  <c:v>34.185000000000002</c:v>
                </c:pt>
                <c:pt idx="90">
                  <c:v>35.069400000000002</c:v>
                </c:pt>
                <c:pt idx="91">
                  <c:v>36.054700000000004</c:v>
                </c:pt>
                <c:pt idx="92">
                  <c:v>36.9681</c:v>
                </c:pt>
                <c:pt idx="93">
                  <c:v>37.755300000000005</c:v>
                </c:pt>
                <c:pt idx="94">
                  <c:v>38.520400000000002</c:v>
                </c:pt>
                <c:pt idx="95">
                  <c:v>39.297800000000002</c:v>
                </c:pt>
                <c:pt idx="96">
                  <c:v>40.024300000000004</c:v>
                </c:pt>
                <c:pt idx="97">
                  <c:v>40.719699999999996</c:v>
                </c:pt>
                <c:pt idx="98">
                  <c:v>41.373699999999999</c:v>
                </c:pt>
                <c:pt idx="99">
                  <c:v>41.981699999999996</c:v>
                </c:pt>
                <c:pt idx="100">
                  <c:v>42.566800000000001</c:v>
                </c:pt>
                <c:pt idx="101">
                  <c:v>43.096800000000002</c:v>
                </c:pt>
                <c:pt idx="102">
                  <c:v>43.590699999999998</c:v>
                </c:pt>
                <c:pt idx="103">
                  <c:v>44.024700000000003</c:v>
                </c:pt>
                <c:pt idx="104">
                  <c:v>44.420200000000001</c:v>
                </c:pt>
                <c:pt idx="105">
                  <c:v>44.743200000000002</c:v>
                </c:pt>
                <c:pt idx="106">
                  <c:v>44.992199999999997</c:v>
                </c:pt>
                <c:pt idx="107">
                  <c:v>45.1098</c:v>
                </c:pt>
                <c:pt idx="108">
                  <c:v>45.141399999999997</c:v>
                </c:pt>
                <c:pt idx="109">
                  <c:v>45.133099999999999</c:v>
                </c:pt>
                <c:pt idx="110">
                  <c:v>45.0779</c:v>
                </c:pt>
                <c:pt idx="111">
                  <c:v>44.951799999999999</c:v>
                </c:pt>
                <c:pt idx="112">
                  <c:v>44.755499999999998</c:v>
                </c:pt>
                <c:pt idx="113">
                  <c:v>44.5336</c:v>
                </c:pt>
                <c:pt idx="114">
                  <c:v>44.307900000000004</c:v>
                </c:pt>
                <c:pt idx="115">
                  <c:v>44.176500000000004</c:v>
                </c:pt>
                <c:pt idx="116">
                  <c:v>44.081600000000002</c:v>
                </c:pt>
                <c:pt idx="117">
                  <c:v>44.016100000000002</c:v>
                </c:pt>
                <c:pt idx="118">
                  <c:v>43.964100000000002</c:v>
                </c:pt>
                <c:pt idx="119">
                  <c:v>43.8949</c:v>
                </c:pt>
                <c:pt idx="120">
                  <c:v>43.8339</c:v>
                </c:pt>
                <c:pt idx="121">
                  <c:v>43.847500000000004</c:v>
                </c:pt>
                <c:pt idx="122">
                  <c:v>43.8889</c:v>
                </c:pt>
                <c:pt idx="123">
                  <c:v>43.898600000000002</c:v>
                </c:pt>
                <c:pt idx="124">
                  <c:v>43.869799999999998</c:v>
                </c:pt>
                <c:pt idx="125">
                  <c:v>43.782600000000002</c:v>
                </c:pt>
                <c:pt idx="126">
                  <c:v>43.655300000000004</c:v>
                </c:pt>
                <c:pt idx="127">
                  <c:v>43.528099999999995</c:v>
                </c:pt>
                <c:pt idx="128">
                  <c:v>43.405999999999999</c:v>
                </c:pt>
                <c:pt idx="129">
                  <c:v>43.2333</c:v>
                </c:pt>
                <c:pt idx="130">
                  <c:v>43.044700000000006</c:v>
                </c:pt>
                <c:pt idx="131">
                  <c:v>42.823699999999995</c:v>
                </c:pt>
                <c:pt idx="132">
                  <c:v>42.6554</c:v>
                </c:pt>
                <c:pt idx="133">
                  <c:v>42.562800000000003</c:v>
                </c:pt>
                <c:pt idx="134">
                  <c:v>42.5105</c:v>
                </c:pt>
                <c:pt idx="135">
                  <c:v>42.529299999999999</c:v>
                </c:pt>
                <c:pt idx="136">
                  <c:v>42.662700000000001</c:v>
                </c:pt>
                <c:pt idx="137">
                  <c:v>42.919899999999998</c:v>
                </c:pt>
                <c:pt idx="138">
                  <c:v>43.2361</c:v>
                </c:pt>
                <c:pt idx="139">
                  <c:v>43.566600000000001</c:v>
                </c:pt>
                <c:pt idx="140">
                  <c:v>43.838899999999995</c:v>
                </c:pt>
                <c:pt idx="141">
                  <c:v>44.098799999999997</c:v>
                </c:pt>
                <c:pt idx="142">
                  <c:v>44.370399999999997</c:v>
                </c:pt>
                <c:pt idx="143">
                  <c:v>44.728000000000002</c:v>
                </c:pt>
                <c:pt idx="144">
                  <c:v>45.158200000000001</c:v>
                </c:pt>
                <c:pt idx="145">
                  <c:v>45.741799999999998</c:v>
                </c:pt>
                <c:pt idx="146">
                  <c:v>46.2181</c:v>
                </c:pt>
                <c:pt idx="147">
                  <c:v>46.310600000000001</c:v>
                </c:pt>
                <c:pt idx="148">
                  <c:v>46.599299999999999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0.385824</c:v>
                </c:pt>
                <c:pt idx="2">
                  <c:v>0.79375200000000001</c:v>
                </c:pt>
                <c:pt idx="3">
                  <c:v>1.1956899999999999</c:v>
                </c:pt>
                <c:pt idx="4">
                  <c:v>1.60581</c:v>
                </c:pt>
                <c:pt idx="5">
                  <c:v>2.0073799999999999</c:v>
                </c:pt>
                <c:pt idx="6">
                  <c:v>2.41961</c:v>
                </c:pt>
                <c:pt idx="7">
                  <c:v>2.8225099999999999</c:v>
                </c:pt>
                <c:pt idx="8">
                  <c:v>3.2302300000000002</c:v>
                </c:pt>
                <c:pt idx="9">
                  <c:v>3.6354799999999998</c:v>
                </c:pt>
                <c:pt idx="10">
                  <c:v>4.0440699999999996</c:v>
                </c:pt>
                <c:pt idx="11">
                  <c:v>4.4480199999999996</c:v>
                </c:pt>
                <c:pt idx="12">
                  <c:v>4.8579299999999996</c:v>
                </c:pt>
                <c:pt idx="13">
                  <c:v>5.2607999999999997</c:v>
                </c:pt>
                <c:pt idx="14">
                  <c:v>5.6666999999999996</c:v>
                </c:pt>
                <c:pt idx="15">
                  <c:v>6.0717600000000003</c:v>
                </c:pt>
                <c:pt idx="16">
                  <c:v>6.48062</c:v>
                </c:pt>
                <c:pt idx="17">
                  <c:v>6.8845400000000003</c:v>
                </c:pt>
                <c:pt idx="18">
                  <c:v>7.2913600000000001</c:v>
                </c:pt>
                <c:pt idx="19">
                  <c:v>7.6952499999999997</c:v>
                </c:pt>
                <c:pt idx="20">
                  <c:v>8.1014099999999996</c:v>
                </c:pt>
                <c:pt idx="21">
                  <c:v>8.5080899999999993</c:v>
                </c:pt>
                <c:pt idx="22">
                  <c:v>8.9160000000000004</c:v>
                </c:pt>
                <c:pt idx="23">
                  <c:v>9.3220299999999998</c:v>
                </c:pt>
                <c:pt idx="24">
                  <c:v>9.7279300000000006</c:v>
                </c:pt>
                <c:pt idx="25">
                  <c:v>10.1348</c:v>
                </c:pt>
                <c:pt idx="26">
                  <c:v>10.540699999999999</c:v>
                </c:pt>
                <c:pt idx="27">
                  <c:v>10.9466</c:v>
                </c:pt>
                <c:pt idx="28">
                  <c:v>11.3535</c:v>
                </c:pt>
                <c:pt idx="29">
                  <c:v>11.762499999999999</c:v>
                </c:pt>
                <c:pt idx="30">
                  <c:v>12.1684</c:v>
                </c:pt>
                <c:pt idx="31">
                  <c:v>12.573700000000001</c:v>
                </c:pt>
                <c:pt idx="32">
                  <c:v>12.9793</c:v>
                </c:pt>
                <c:pt idx="33">
                  <c:v>13.3842</c:v>
                </c:pt>
                <c:pt idx="34">
                  <c:v>13.794</c:v>
                </c:pt>
                <c:pt idx="35">
                  <c:v>14.198</c:v>
                </c:pt>
                <c:pt idx="36">
                  <c:v>14.606</c:v>
                </c:pt>
                <c:pt idx="37">
                  <c:v>15.008800000000001</c:v>
                </c:pt>
                <c:pt idx="38">
                  <c:v>15.416700000000001</c:v>
                </c:pt>
                <c:pt idx="39">
                  <c:v>15.823700000000001</c:v>
                </c:pt>
                <c:pt idx="40">
                  <c:v>16.229500000000002</c:v>
                </c:pt>
                <c:pt idx="41">
                  <c:v>16.635400000000001</c:v>
                </c:pt>
                <c:pt idx="42">
                  <c:v>17.040299999999998</c:v>
                </c:pt>
                <c:pt idx="43">
                  <c:v>17.4466</c:v>
                </c:pt>
                <c:pt idx="44">
                  <c:v>17.8581</c:v>
                </c:pt>
                <c:pt idx="45">
                  <c:v>18.2591</c:v>
                </c:pt>
                <c:pt idx="46">
                  <c:v>18.666899999999998</c:v>
                </c:pt>
                <c:pt idx="47">
                  <c:v>19.0731</c:v>
                </c:pt>
                <c:pt idx="48">
                  <c:v>19.478999999999999</c:v>
                </c:pt>
                <c:pt idx="49">
                  <c:v>19.8857</c:v>
                </c:pt>
                <c:pt idx="50">
                  <c:v>20.291599999999999</c:v>
                </c:pt>
                <c:pt idx="51">
                  <c:v>20.697600000000001</c:v>
                </c:pt>
                <c:pt idx="52">
                  <c:v>21.102499999999999</c:v>
                </c:pt>
                <c:pt idx="53">
                  <c:v>21.508400000000002</c:v>
                </c:pt>
                <c:pt idx="54">
                  <c:v>21.9192</c:v>
                </c:pt>
                <c:pt idx="55">
                  <c:v>22.324200000000001</c:v>
                </c:pt>
                <c:pt idx="56">
                  <c:v>22.728100000000001</c:v>
                </c:pt>
                <c:pt idx="57">
                  <c:v>23.132100000000001</c:v>
                </c:pt>
                <c:pt idx="58">
                  <c:v>23.539300000000001</c:v>
                </c:pt>
                <c:pt idx="59">
                  <c:v>23.945799999999998</c:v>
                </c:pt>
                <c:pt idx="60">
                  <c:v>24.3584</c:v>
                </c:pt>
                <c:pt idx="61">
                  <c:v>24.7636</c:v>
                </c:pt>
                <c:pt idx="62">
                  <c:v>25.165600000000001</c:v>
                </c:pt>
                <c:pt idx="63">
                  <c:v>25.5718</c:v>
                </c:pt>
                <c:pt idx="64">
                  <c:v>25.979399999999998</c:v>
                </c:pt>
                <c:pt idx="65">
                  <c:v>26.386299999999999</c:v>
                </c:pt>
                <c:pt idx="66">
                  <c:v>26.793199999999999</c:v>
                </c:pt>
                <c:pt idx="67">
                  <c:v>27.1951</c:v>
                </c:pt>
                <c:pt idx="68">
                  <c:v>27.604299999999999</c:v>
                </c:pt>
                <c:pt idx="69">
                  <c:v>28.01</c:v>
                </c:pt>
                <c:pt idx="70">
                  <c:v>28.416799999999999</c:v>
                </c:pt>
                <c:pt idx="71">
                  <c:v>28.823</c:v>
                </c:pt>
                <c:pt idx="72">
                  <c:v>29.229700000000001</c:v>
                </c:pt>
                <c:pt idx="73">
                  <c:v>29.633600000000001</c:v>
                </c:pt>
                <c:pt idx="74">
                  <c:v>30.044599999999999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51.420699999999997</c:v>
                </c:pt>
                <c:pt idx="1">
                  <c:v>50.0501</c:v>
                </c:pt>
                <c:pt idx="2">
                  <c:v>48.826000000000001</c:v>
                </c:pt>
                <c:pt idx="3">
                  <c:v>47.699100000000001</c:v>
                </c:pt>
                <c:pt idx="4">
                  <c:v>46.682600000000001</c:v>
                </c:pt>
                <c:pt idx="5">
                  <c:v>45.539200000000001</c:v>
                </c:pt>
                <c:pt idx="6">
                  <c:v>44.509599999999999</c:v>
                </c:pt>
                <c:pt idx="7">
                  <c:v>43.544699999999999</c:v>
                </c:pt>
                <c:pt idx="8">
                  <c:v>42.688800000000001</c:v>
                </c:pt>
                <c:pt idx="9">
                  <c:v>41.945300000000003</c:v>
                </c:pt>
                <c:pt idx="10">
                  <c:v>41.335599999999999</c:v>
                </c:pt>
                <c:pt idx="11">
                  <c:v>40.762300000000003</c:v>
                </c:pt>
                <c:pt idx="12">
                  <c:v>40.182600000000001</c:v>
                </c:pt>
                <c:pt idx="13">
                  <c:v>39.511200000000002</c:v>
                </c:pt>
                <c:pt idx="14">
                  <c:v>38.756399999999999</c:v>
                </c:pt>
                <c:pt idx="15">
                  <c:v>37.9467</c:v>
                </c:pt>
                <c:pt idx="16">
                  <c:v>37.205300000000001</c:v>
                </c:pt>
                <c:pt idx="17">
                  <c:v>36.581099999999999</c:v>
                </c:pt>
                <c:pt idx="18">
                  <c:v>36.016399999999997</c:v>
                </c:pt>
                <c:pt idx="19">
                  <c:v>35.532299999999999</c:v>
                </c:pt>
                <c:pt idx="20">
                  <c:v>35.061399999999999</c:v>
                </c:pt>
                <c:pt idx="21">
                  <c:v>34.651800000000001</c:v>
                </c:pt>
                <c:pt idx="22">
                  <c:v>34.230699999999999</c:v>
                </c:pt>
                <c:pt idx="23">
                  <c:v>33.8155</c:v>
                </c:pt>
                <c:pt idx="24">
                  <c:v>33.427399999999999</c:v>
                </c:pt>
                <c:pt idx="25">
                  <c:v>33.070399999999999</c:v>
                </c:pt>
                <c:pt idx="26">
                  <c:v>32.751100000000001</c:v>
                </c:pt>
                <c:pt idx="27">
                  <c:v>32.427</c:v>
                </c:pt>
                <c:pt idx="28">
                  <c:v>32.151400000000002</c:v>
                </c:pt>
                <c:pt idx="29">
                  <c:v>31.845099999999999</c:v>
                </c:pt>
                <c:pt idx="30">
                  <c:v>31.554100000000002</c:v>
                </c:pt>
                <c:pt idx="31">
                  <c:v>31.244100000000003</c:v>
                </c:pt>
                <c:pt idx="32">
                  <c:v>30.9316</c:v>
                </c:pt>
                <c:pt idx="33">
                  <c:v>30.635200000000001</c:v>
                </c:pt>
                <c:pt idx="34">
                  <c:v>30.379899999999999</c:v>
                </c:pt>
                <c:pt idx="35">
                  <c:v>30.152099999999997</c:v>
                </c:pt>
                <c:pt idx="36">
                  <c:v>29.945500000000003</c:v>
                </c:pt>
                <c:pt idx="37">
                  <c:v>29.696400000000001</c:v>
                </c:pt>
                <c:pt idx="38">
                  <c:v>29.458499999999997</c:v>
                </c:pt>
                <c:pt idx="39">
                  <c:v>29.274000000000001</c:v>
                </c:pt>
                <c:pt idx="40">
                  <c:v>29.200500000000002</c:v>
                </c:pt>
                <c:pt idx="41">
                  <c:v>29.145500000000002</c:v>
                </c:pt>
                <c:pt idx="42">
                  <c:v>29.078199999999999</c:v>
                </c:pt>
                <c:pt idx="43">
                  <c:v>29.028599999999997</c:v>
                </c:pt>
                <c:pt idx="44">
                  <c:v>28.9255</c:v>
                </c:pt>
                <c:pt idx="45">
                  <c:v>28.772300000000001</c:v>
                </c:pt>
                <c:pt idx="46">
                  <c:v>28.580400000000001</c:v>
                </c:pt>
                <c:pt idx="47">
                  <c:v>28.396000000000001</c:v>
                </c:pt>
                <c:pt idx="48">
                  <c:v>28.186</c:v>
                </c:pt>
                <c:pt idx="49">
                  <c:v>27.9773</c:v>
                </c:pt>
                <c:pt idx="50">
                  <c:v>27.799299999999999</c:v>
                </c:pt>
                <c:pt idx="51">
                  <c:v>27.590500000000002</c:v>
                </c:pt>
                <c:pt idx="52">
                  <c:v>27.385199999999998</c:v>
                </c:pt>
                <c:pt idx="53">
                  <c:v>27.168599999999998</c:v>
                </c:pt>
                <c:pt idx="54">
                  <c:v>26.961299999999998</c:v>
                </c:pt>
                <c:pt idx="55">
                  <c:v>26.8324</c:v>
                </c:pt>
                <c:pt idx="56">
                  <c:v>26.733800000000002</c:v>
                </c:pt>
                <c:pt idx="57">
                  <c:v>26.6633</c:v>
                </c:pt>
                <c:pt idx="58">
                  <c:v>26.633499999999998</c:v>
                </c:pt>
                <c:pt idx="59">
                  <c:v>26.621099999999998</c:v>
                </c:pt>
                <c:pt idx="60">
                  <c:v>26.6052</c:v>
                </c:pt>
                <c:pt idx="61">
                  <c:v>26.553799999999999</c:v>
                </c:pt>
                <c:pt idx="62">
                  <c:v>26.580300000000001</c:v>
                </c:pt>
                <c:pt idx="63">
                  <c:v>26.6111</c:v>
                </c:pt>
                <c:pt idx="64">
                  <c:v>26.692</c:v>
                </c:pt>
                <c:pt idx="65">
                  <c:v>26.796199999999999</c:v>
                </c:pt>
                <c:pt idx="66">
                  <c:v>26.847199999999997</c:v>
                </c:pt>
                <c:pt idx="67">
                  <c:v>26.850600000000004</c:v>
                </c:pt>
                <c:pt idx="68">
                  <c:v>26.909100000000002</c:v>
                </c:pt>
                <c:pt idx="69">
                  <c:v>27.005699999999997</c:v>
                </c:pt>
                <c:pt idx="70">
                  <c:v>27.150500000000001</c:v>
                </c:pt>
                <c:pt idx="71">
                  <c:v>27.256200000000003</c:v>
                </c:pt>
                <c:pt idx="72">
                  <c:v>27.398</c:v>
                </c:pt>
                <c:pt idx="73">
                  <c:v>27.594200000000001</c:v>
                </c:pt>
                <c:pt idx="74">
                  <c:v>27.806100000000001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30.044599999999999</c:v>
                </c:pt>
                <c:pt idx="1">
                  <c:v>30.638500000000001</c:v>
                </c:pt>
                <c:pt idx="2">
                  <c:v>31.01</c:v>
                </c:pt>
                <c:pt idx="3">
                  <c:v>31.384899999999998</c:v>
                </c:pt>
                <c:pt idx="4">
                  <c:v>31.757200000000001</c:v>
                </c:pt>
                <c:pt idx="5">
                  <c:v>32.133899999999997</c:v>
                </c:pt>
                <c:pt idx="6">
                  <c:v>32.542900000000003</c:v>
                </c:pt>
                <c:pt idx="7">
                  <c:v>32.948099999999997</c:v>
                </c:pt>
                <c:pt idx="8">
                  <c:v>33.352699999999999</c:v>
                </c:pt>
                <c:pt idx="9">
                  <c:v>33.760599999999997</c:v>
                </c:pt>
                <c:pt idx="10">
                  <c:v>34.1676</c:v>
                </c:pt>
                <c:pt idx="11">
                  <c:v>34.5715</c:v>
                </c:pt>
                <c:pt idx="12">
                  <c:v>34.977499999999999</c:v>
                </c:pt>
                <c:pt idx="13">
                  <c:v>35.388300000000001</c:v>
                </c:pt>
                <c:pt idx="14">
                  <c:v>35.795299999999997</c:v>
                </c:pt>
                <c:pt idx="15">
                  <c:v>36.197099999999999</c:v>
                </c:pt>
                <c:pt idx="16">
                  <c:v>36.604999999999997</c:v>
                </c:pt>
                <c:pt idx="17">
                  <c:v>37.007300000000001</c:v>
                </c:pt>
                <c:pt idx="18">
                  <c:v>37.414900000000003</c:v>
                </c:pt>
                <c:pt idx="19">
                  <c:v>37.826700000000002</c:v>
                </c:pt>
                <c:pt idx="20">
                  <c:v>38.230699999999999</c:v>
                </c:pt>
                <c:pt idx="21">
                  <c:v>38.635599999999997</c:v>
                </c:pt>
                <c:pt idx="22">
                  <c:v>39.0398</c:v>
                </c:pt>
                <c:pt idx="23">
                  <c:v>39.444499999999998</c:v>
                </c:pt>
                <c:pt idx="24">
                  <c:v>39.8553</c:v>
                </c:pt>
                <c:pt idx="25">
                  <c:v>40.262300000000003</c:v>
                </c:pt>
                <c:pt idx="26">
                  <c:v>40.667200000000001</c:v>
                </c:pt>
                <c:pt idx="27">
                  <c:v>41.07</c:v>
                </c:pt>
                <c:pt idx="28">
                  <c:v>41.4788</c:v>
                </c:pt>
                <c:pt idx="29">
                  <c:v>41.885899999999999</c:v>
                </c:pt>
                <c:pt idx="30">
                  <c:v>42.294800000000002</c:v>
                </c:pt>
                <c:pt idx="31">
                  <c:v>42.698700000000002</c:v>
                </c:pt>
                <c:pt idx="32">
                  <c:v>43.102600000000002</c:v>
                </c:pt>
                <c:pt idx="33">
                  <c:v>43.508899999999997</c:v>
                </c:pt>
                <c:pt idx="34">
                  <c:v>43.915399999999998</c:v>
                </c:pt>
                <c:pt idx="35">
                  <c:v>44.324399999999997</c:v>
                </c:pt>
                <c:pt idx="36">
                  <c:v>44.730200000000004</c:v>
                </c:pt>
                <c:pt idx="37">
                  <c:v>45.136200000000002</c:v>
                </c:pt>
                <c:pt idx="38">
                  <c:v>45.5381</c:v>
                </c:pt>
                <c:pt idx="39">
                  <c:v>45.948099999999997</c:v>
                </c:pt>
                <c:pt idx="40">
                  <c:v>46.353999999999999</c:v>
                </c:pt>
                <c:pt idx="41">
                  <c:v>46.762799999999999</c:v>
                </c:pt>
                <c:pt idx="42">
                  <c:v>47.163699999999999</c:v>
                </c:pt>
                <c:pt idx="43">
                  <c:v>47.575099999999999</c:v>
                </c:pt>
                <c:pt idx="44">
                  <c:v>47.975700000000003</c:v>
                </c:pt>
                <c:pt idx="45">
                  <c:v>48.386499999999998</c:v>
                </c:pt>
                <c:pt idx="46">
                  <c:v>48.792400000000001</c:v>
                </c:pt>
                <c:pt idx="47">
                  <c:v>49.197499999999998</c:v>
                </c:pt>
                <c:pt idx="48">
                  <c:v>49.603499999999997</c:v>
                </c:pt>
                <c:pt idx="49">
                  <c:v>50.0122</c:v>
                </c:pt>
                <c:pt idx="50">
                  <c:v>50.414400000000001</c:v>
                </c:pt>
                <c:pt idx="51">
                  <c:v>50.821899999999999</c:v>
                </c:pt>
                <c:pt idx="52">
                  <c:v>51.226999999999997</c:v>
                </c:pt>
                <c:pt idx="53">
                  <c:v>51.635100000000001</c:v>
                </c:pt>
                <c:pt idx="54">
                  <c:v>52.041699999999999</c:v>
                </c:pt>
                <c:pt idx="55">
                  <c:v>52.449599999999997</c:v>
                </c:pt>
                <c:pt idx="56">
                  <c:v>52.857700000000001</c:v>
                </c:pt>
                <c:pt idx="57">
                  <c:v>53.261400000000002</c:v>
                </c:pt>
                <c:pt idx="58">
                  <c:v>53.664299999999997</c:v>
                </c:pt>
                <c:pt idx="59">
                  <c:v>54.075499999999998</c:v>
                </c:pt>
                <c:pt idx="60">
                  <c:v>54.481200000000001</c:v>
                </c:pt>
                <c:pt idx="61">
                  <c:v>54.8872</c:v>
                </c:pt>
                <c:pt idx="62">
                  <c:v>55.292099999999998</c:v>
                </c:pt>
                <c:pt idx="63">
                  <c:v>55.695</c:v>
                </c:pt>
                <c:pt idx="64">
                  <c:v>56.104199999999999</c:v>
                </c:pt>
                <c:pt idx="65">
                  <c:v>56.511899999999997</c:v>
                </c:pt>
                <c:pt idx="66">
                  <c:v>56.917700000000004</c:v>
                </c:pt>
                <c:pt idx="67">
                  <c:v>57.325600000000001</c:v>
                </c:pt>
                <c:pt idx="68">
                  <c:v>57.7256</c:v>
                </c:pt>
                <c:pt idx="69">
                  <c:v>58.133499999999998</c:v>
                </c:pt>
                <c:pt idx="70">
                  <c:v>58.543399999999998</c:v>
                </c:pt>
                <c:pt idx="71">
                  <c:v>58.9495</c:v>
                </c:pt>
                <c:pt idx="72">
                  <c:v>59.3523</c:v>
                </c:pt>
                <c:pt idx="73">
                  <c:v>59.758200000000002</c:v>
                </c:pt>
                <c:pt idx="74">
                  <c:v>60.17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27.806100000000001</c:v>
                </c:pt>
                <c:pt idx="1">
                  <c:v>28.091899999999999</c:v>
                </c:pt>
                <c:pt idx="2">
                  <c:v>28.314099999999996</c:v>
                </c:pt>
                <c:pt idx="3">
                  <c:v>28.5578</c:v>
                </c:pt>
                <c:pt idx="4">
                  <c:v>28.812500000000004</c:v>
                </c:pt>
                <c:pt idx="5">
                  <c:v>29.081000000000003</c:v>
                </c:pt>
                <c:pt idx="6">
                  <c:v>29.367700000000003</c:v>
                </c:pt>
                <c:pt idx="7">
                  <c:v>29.697299999999998</c:v>
                </c:pt>
                <c:pt idx="8">
                  <c:v>30.068200000000001</c:v>
                </c:pt>
                <c:pt idx="9">
                  <c:v>30.429600000000001</c:v>
                </c:pt>
                <c:pt idx="10">
                  <c:v>30.819299999999998</c:v>
                </c:pt>
                <c:pt idx="11">
                  <c:v>31.248100000000001</c:v>
                </c:pt>
                <c:pt idx="12">
                  <c:v>31.769199999999998</c:v>
                </c:pt>
                <c:pt idx="13">
                  <c:v>32.440400000000004</c:v>
                </c:pt>
                <c:pt idx="14">
                  <c:v>33.273699999999998</c:v>
                </c:pt>
                <c:pt idx="15">
                  <c:v>34.185000000000002</c:v>
                </c:pt>
                <c:pt idx="16">
                  <c:v>35.069400000000002</c:v>
                </c:pt>
                <c:pt idx="17">
                  <c:v>36.054700000000004</c:v>
                </c:pt>
                <c:pt idx="18">
                  <c:v>36.9681</c:v>
                </c:pt>
                <c:pt idx="19">
                  <c:v>37.755300000000005</c:v>
                </c:pt>
                <c:pt idx="20">
                  <c:v>38.520400000000002</c:v>
                </c:pt>
                <c:pt idx="21">
                  <c:v>39.297800000000002</c:v>
                </c:pt>
                <c:pt idx="22">
                  <c:v>40.024300000000004</c:v>
                </c:pt>
                <c:pt idx="23">
                  <c:v>40.719699999999996</c:v>
                </c:pt>
                <c:pt idx="24">
                  <c:v>41.373699999999999</c:v>
                </c:pt>
                <c:pt idx="25">
                  <c:v>41.981699999999996</c:v>
                </c:pt>
                <c:pt idx="26">
                  <c:v>42.566800000000001</c:v>
                </c:pt>
                <c:pt idx="27">
                  <c:v>43.096800000000002</c:v>
                </c:pt>
                <c:pt idx="28">
                  <c:v>43.590699999999998</c:v>
                </c:pt>
                <c:pt idx="29">
                  <c:v>44.024700000000003</c:v>
                </c:pt>
                <c:pt idx="30">
                  <c:v>44.420200000000001</c:v>
                </c:pt>
                <c:pt idx="31">
                  <c:v>44.743200000000002</c:v>
                </c:pt>
                <c:pt idx="32">
                  <c:v>44.992199999999997</c:v>
                </c:pt>
                <c:pt idx="33">
                  <c:v>45.1098</c:v>
                </c:pt>
                <c:pt idx="34">
                  <c:v>45.141399999999997</c:v>
                </c:pt>
                <c:pt idx="35">
                  <c:v>45.133099999999999</c:v>
                </c:pt>
                <c:pt idx="36">
                  <c:v>45.0779</c:v>
                </c:pt>
                <c:pt idx="37">
                  <c:v>44.951799999999999</c:v>
                </c:pt>
                <c:pt idx="38">
                  <c:v>44.755499999999998</c:v>
                </c:pt>
                <c:pt idx="39">
                  <c:v>44.5336</c:v>
                </c:pt>
                <c:pt idx="40">
                  <c:v>44.307900000000004</c:v>
                </c:pt>
                <c:pt idx="41">
                  <c:v>44.176500000000004</c:v>
                </c:pt>
                <c:pt idx="42">
                  <c:v>44.081600000000002</c:v>
                </c:pt>
                <c:pt idx="43">
                  <c:v>44.016100000000002</c:v>
                </c:pt>
                <c:pt idx="44">
                  <c:v>43.964100000000002</c:v>
                </c:pt>
                <c:pt idx="45">
                  <c:v>43.8949</c:v>
                </c:pt>
                <c:pt idx="46">
                  <c:v>43.8339</c:v>
                </c:pt>
                <c:pt idx="47">
                  <c:v>43.847500000000004</c:v>
                </c:pt>
                <c:pt idx="48">
                  <c:v>43.8889</c:v>
                </c:pt>
                <c:pt idx="49">
                  <c:v>43.898600000000002</c:v>
                </c:pt>
                <c:pt idx="50">
                  <c:v>43.869799999999998</c:v>
                </c:pt>
                <c:pt idx="51">
                  <c:v>43.782600000000002</c:v>
                </c:pt>
                <c:pt idx="52">
                  <c:v>43.655300000000004</c:v>
                </c:pt>
                <c:pt idx="53">
                  <c:v>43.528099999999995</c:v>
                </c:pt>
                <c:pt idx="54">
                  <c:v>43.405999999999999</c:v>
                </c:pt>
                <c:pt idx="55">
                  <c:v>43.2333</c:v>
                </c:pt>
                <c:pt idx="56">
                  <c:v>43.044700000000006</c:v>
                </c:pt>
                <c:pt idx="57">
                  <c:v>42.823699999999995</c:v>
                </c:pt>
                <c:pt idx="58">
                  <c:v>42.6554</c:v>
                </c:pt>
                <c:pt idx="59">
                  <c:v>42.562800000000003</c:v>
                </c:pt>
                <c:pt idx="60">
                  <c:v>42.5105</c:v>
                </c:pt>
                <c:pt idx="61">
                  <c:v>42.529299999999999</c:v>
                </c:pt>
                <c:pt idx="62">
                  <c:v>42.662700000000001</c:v>
                </c:pt>
                <c:pt idx="63">
                  <c:v>42.919899999999998</c:v>
                </c:pt>
                <c:pt idx="64">
                  <c:v>43.2361</c:v>
                </c:pt>
                <c:pt idx="65">
                  <c:v>43.566600000000001</c:v>
                </c:pt>
                <c:pt idx="66">
                  <c:v>43.838899999999995</c:v>
                </c:pt>
                <c:pt idx="67">
                  <c:v>44.098799999999997</c:v>
                </c:pt>
                <c:pt idx="68">
                  <c:v>44.370399999999997</c:v>
                </c:pt>
                <c:pt idx="69">
                  <c:v>44.728000000000002</c:v>
                </c:pt>
                <c:pt idx="70">
                  <c:v>45.158200000000001</c:v>
                </c:pt>
                <c:pt idx="71">
                  <c:v>45.741799999999998</c:v>
                </c:pt>
                <c:pt idx="72">
                  <c:v>46.2181</c:v>
                </c:pt>
                <c:pt idx="73">
                  <c:v>46.310600000000001</c:v>
                </c:pt>
                <c:pt idx="74">
                  <c:v>46.599299999999999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15.0425</c:v>
                </c:pt>
                <c:pt idx="1">
                  <c:v>45.127499999999998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32.675251351351335</c:v>
                </c:pt>
                <c:pt idx="1">
                  <c:v>40.327382432432429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1.94655</c:v>
                </c:pt>
                <c:pt idx="1">
                  <c:v>2.0201199999999999</c:v>
                </c:pt>
                <c:pt idx="2">
                  <c:v>2.0923600000000002</c:v>
                </c:pt>
                <c:pt idx="3">
                  <c:v>2.1636800000000003</c:v>
                </c:pt>
                <c:pt idx="4">
                  <c:v>2.2323299999999997</c:v>
                </c:pt>
                <c:pt idx="5">
                  <c:v>2.3031299999999999</c:v>
                </c:pt>
                <c:pt idx="6">
                  <c:v>2.3732899999999999</c:v>
                </c:pt>
                <c:pt idx="7">
                  <c:v>2.44096</c:v>
                </c:pt>
                <c:pt idx="8">
                  <c:v>2.5070399999999999</c:v>
                </c:pt>
                <c:pt idx="9">
                  <c:v>2.5708599999999997</c:v>
                </c:pt>
                <c:pt idx="10">
                  <c:v>2.6321499999999998</c:v>
                </c:pt>
                <c:pt idx="11">
                  <c:v>2.6898899999999997</c:v>
                </c:pt>
                <c:pt idx="12">
                  <c:v>2.7465800000000002</c:v>
                </c:pt>
                <c:pt idx="13">
                  <c:v>2.8014399999999999</c:v>
                </c:pt>
                <c:pt idx="14">
                  <c:v>2.8540399999999999</c:v>
                </c:pt>
                <c:pt idx="15">
                  <c:v>2.9027099999999999</c:v>
                </c:pt>
                <c:pt idx="16">
                  <c:v>2.9452800000000003</c:v>
                </c:pt>
                <c:pt idx="17">
                  <c:v>2.9814600000000002</c:v>
                </c:pt>
                <c:pt idx="18">
                  <c:v>3.0120100000000001</c:v>
                </c:pt>
                <c:pt idx="19">
                  <c:v>3.0376500000000002</c:v>
                </c:pt>
                <c:pt idx="20">
                  <c:v>3.0600399999999999</c:v>
                </c:pt>
                <c:pt idx="21">
                  <c:v>3.07979</c:v>
                </c:pt>
                <c:pt idx="22">
                  <c:v>3.0965799999999999</c:v>
                </c:pt>
                <c:pt idx="23">
                  <c:v>3.1094899999999996</c:v>
                </c:pt>
                <c:pt idx="24">
                  <c:v>3.1187500000000004</c:v>
                </c:pt>
                <c:pt idx="25">
                  <c:v>3.1253399999999996</c:v>
                </c:pt>
                <c:pt idx="26">
                  <c:v>3.1296400000000002</c:v>
                </c:pt>
                <c:pt idx="27">
                  <c:v>3.1320199999999998</c:v>
                </c:pt>
                <c:pt idx="28">
                  <c:v>3.1316600000000001</c:v>
                </c:pt>
                <c:pt idx="29">
                  <c:v>3.1288100000000001</c:v>
                </c:pt>
                <c:pt idx="30">
                  <c:v>3.12188</c:v>
                </c:pt>
                <c:pt idx="31">
                  <c:v>3.1110700000000002</c:v>
                </c:pt>
                <c:pt idx="32">
                  <c:v>3.09707</c:v>
                </c:pt>
                <c:pt idx="33">
                  <c:v>3.08223</c:v>
                </c:pt>
                <c:pt idx="34">
                  <c:v>3.0664200000000004</c:v>
                </c:pt>
                <c:pt idx="35">
                  <c:v>3.0492999999999997</c:v>
                </c:pt>
                <c:pt idx="36">
                  <c:v>3.0314299999999998</c:v>
                </c:pt>
                <c:pt idx="37">
                  <c:v>3.0110999999999999</c:v>
                </c:pt>
                <c:pt idx="38">
                  <c:v>2.9875499999999997</c:v>
                </c:pt>
                <c:pt idx="39">
                  <c:v>2.9628500000000004</c:v>
                </c:pt>
                <c:pt idx="40">
                  <c:v>2.93865</c:v>
                </c:pt>
                <c:pt idx="41">
                  <c:v>2.9174699999999998</c:v>
                </c:pt>
                <c:pt idx="42">
                  <c:v>2.9024200000000002</c:v>
                </c:pt>
                <c:pt idx="43">
                  <c:v>2.8913100000000003</c:v>
                </c:pt>
                <c:pt idx="44">
                  <c:v>2.8846100000000003</c:v>
                </c:pt>
                <c:pt idx="45">
                  <c:v>2.8803800000000002</c:v>
                </c:pt>
                <c:pt idx="46">
                  <c:v>2.8782999999999999</c:v>
                </c:pt>
                <c:pt idx="47">
                  <c:v>2.8773999999999997</c:v>
                </c:pt>
                <c:pt idx="48">
                  <c:v>2.8774899999999999</c:v>
                </c:pt>
                <c:pt idx="49">
                  <c:v>2.8783300000000001</c:v>
                </c:pt>
                <c:pt idx="50">
                  <c:v>2.8766999999999996</c:v>
                </c:pt>
                <c:pt idx="51">
                  <c:v>2.8783799999999999</c:v>
                </c:pt>
                <c:pt idx="52">
                  <c:v>2.88008</c:v>
                </c:pt>
                <c:pt idx="53">
                  <c:v>2.8831899999999999</c:v>
                </c:pt>
                <c:pt idx="54">
                  <c:v>2.8907799999999999</c:v>
                </c:pt>
                <c:pt idx="55">
                  <c:v>2.8984100000000002</c:v>
                </c:pt>
                <c:pt idx="56">
                  <c:v>2.90909</c:v>
                </c:pt>
                <c:pt idx="57">
                  <c:v>2.9218600000000001</c:v>
                </c:pt>
                <c:pt idx="58">
                  <c:v>2.93438</c:v>
                </c:pt>
                <c:pt idx="59">
                  <c:v>2.9468899999999998</c:v>
                </c:pt>
                <c:pt idx="60">
                  <c:v>2.9604999999999997</c:v>
                </c:pt>
                <c:pt idx="61">
                  <c:v>2.9763000000000002</c:v>
                </c:pt>
                <c:pt idx="62">
                  <c:v>2.9938900000000004</c:v>
                </c:pt>
                <c:pt idx="63">
                  <c:v>3.0174400000000001</c:v>
                </c:pt>
                <c:pt idx="64">
                  <c:v>3.0420799999999999</c:v>
                </c:pt>
                <c:pt idx="65">
                  <c:v>3.0619400000000003</c:v>
                </c:pt>
                <c:pt idx="66">
                  <c:v>3.0789800000000001</c:v>
                </c:pt>
                <c:pt idx="67">
                  <c:v>3.0942399999999997</c:v>
                </c:pt>
                <c:pt idx="68">
                  <c:v>3.1058699999999999</c:v>
                </c:pt>
                <c:pt idx="69">
                  <c:v>3.11416</c:v>
                </c:pt>
                <c:pt idx="70">
                  <c:v>3.1186399999999996</c:v>
                </c:pt>
                <c:pt idx="71">
                  <c:v>3.1229899999999997</c:v>
                </c:pt>
                <c:pt idx="72">
                  <c:v>3.1252499999999999</c:v>
                </c:pt>
                <c:pt idx="73">
                  <c:v>3.1252499999999999</c:v>
                </c:pt>
                <c:pt idx="74">
                  <c:v>3.1227899999999997</c:v>
                </c:pt>
                <c:pt idx="75">
                  <c:v>3.1145</c:v>
                </c:pt>
                <c:pt idx="76">
                  <c:v>3.1079600000000003</c:v>
                </c:pt>
                <c:pt idx="77">
                  <c:v>3.1000399999999999</c:v>
                </c:pt>
                <c:pt idx="78">
                  <c:v>3.0876999999999999</c:v>
                </c:pt>
                <c:pt idx="79">
                  <c:v>3.07226</c:v>
                </c:pt>
                <c:pt idx="80">
                  <c:v>3.0563699999999998</c:v>
                </c:pt>
                <c:pt idx="81">
                  <c:v>3.03647</c:v>
                </c:pt>
                <c:pt idx="82">
                  <c:v>3.0152600000000001</c:v>
                </c:pt>
                <c:pt idx="83">
                  <c:v>2.9940600000000002</c:v>
                </c:pt>
                <c:pt idx="84">
                  <c:v>2.9723699999999997</c:v>
                </c:pt>
                <c:pt idx="85">
                  <c:v>2.9473700000000003</c:v>
                </c:pt>
                <c:pt idx="86">
                  <c:v>2.91927</c:v>
                </c:pt>
                <c:pt idx="87">
                  <c:v>2.8870299999999998</c:v>
                </c:pt>
                <c:pt idx="88">
                  <c:v>2.8490700000000002</c:v>
                </c:pt>
                <c:pt idx="89">
                  <c:v>2.81209</c:v>
                </c:pt>
                <c:pt idx="90">
                  <c:v>2.7794999999999996</c:v>
                </c:pt>
                <c:pt idx="91">
                  <c:v>2.74912</c:v>
                </c:pt>
                <c:pt idx="92">
                  <c:v>2.72105</c:v>
                </c:pt>
                <c:pt idx="93">
                  <c:v>2.6990999999999996</c:v>
                </c:pt>
                <c:pt idx="94">
                  <c:v>2.6802299999999999</c:v>
                </c:pt>
                <c:pt idx="95">
                  <c:v>2.6600200000000003</c:v>
                </c:pt>
                <c:pt idx="96">
                  <c:v>2.6418699999999999</c:v>
                </c:pt>
                <c:pt idx="97">
                  <c:v>2.6247599999999998</c:v>
                </c:pt>
                <c:pt idx="98">
                  <c:v>2.6113300000000002</c:v>
                </c:pt>
                <c:pt idx="99">
                  <c:v>2.6015899999999998</c:v>
                </c:pt>
                <c:pt idx="100">
                  <c:v>2.5942500000000002</c:v>
                </c:pt>
                <c:pt idx="101">
                  <c:v>2.5889000000000002</c:v>
                </c:pt>
                <c:pt idx="102">
                  <c:v>2.58413</c:v>
                </c:pt>
                <c:pt idx="103">
                  <c:v>2.5801800000000004</c:v>
                </c:pt>
                <c:pt idx="104">
                  <c:v>2.5780799999999999</c:v>
                </c:pt>
                <c:pt idx="105">
                  <c:v>2.5775399999999999</c:v>
                </c:pt>
                <c:pt idx="106">
                  <c:v>2.5809100000000003</c:v>
                </c:pt>
                <c:pt idx="107">
                  <c:v>2.5867</c:v>
                </c:pt>
                <c:pt idx="108">
                  <c:v>2.5957000000000003</c:v>
                </c:pt>
                <c:pt idx="109">
                  <c:v>2.6053700000000002</c:v>
                </c:pt>
                <c:pt idx="110">
                  <c:v>2.6163599999999998</c:v>
                </c:pt>
                <c:pt idx="111">
                  <c:v>2.6281700000000003</c:v>
                </c:pt>
                <c:pt idx="112">
                  <c:v>2.63747</c:v>
                </c:pt>
                <c:pt idx="113">
                  <c:v>2.6467600000000004</c:v>
                </c:pt>
                <c:pt idx="114">
                  <c:v>2.6554000000000002</c:v>
                </c:pt>
                <c:pt idx="115">
                  <c:v>2.6633599999999999</c:v>
                </c:pt>
                <c:pt idx="116">
                  <c:v>2.6684600000000005</c:v>
                </c:pt>
                <c:pt idx="117">
                  <c:v>2.6728299999999998</c:v>
                </c:pt>
                <c:pt idx="118">
                  <c:v>2.6764700000000001</c:v>
                </c:pt>
                <c:pt idx="119">
                  <c:v>2.6791199999999997</c:v>
                </c:pt>
                <c:pt idx="120">
                  <c:v>2.6797</c:v>
                </c:pt>
                <c:pt idx="121">
                  <c:v>2.6819799999999998</c:v>
                </c:pt>
                <c:pt idx="122">
                  <c:v>2.6879399999999998</c:v>
                </c:pt>
                <c:pt idx="123">
                  <c:v>2.6945100000000002</c:v>
                </c:pt>
                <c:pt idx="124">
                  <c:v>2.6981999999999999</c:v>
                </c:pt>
                <c:pt idx="125">
                  <c:v>2.6986100000000004</c:v>
                </c:pt>
                <c:pt idx="126">
                  <c:v>2.6992899999999995</c:v>
                </c:pt>
                <c:pt idx="127">
                  <c:v>2.7003599999999999</c:v>
                </c:pt>
                <c:pt idx="128">
                  <c:v>2.7027800000000002</c:v>
                </c:pt>
                <c:pt idx="129">
                  <c:v>2.7060299999999997</c:v>
                </c:pt>
                <c:pt idx="130">
                  <c:v>2.7092399999999999</c:v>
                </c:pt>
                <c:pt idx="131">
                  <c:v>2.7108700000000003</c:v>
                </c:pt>
                <c:pt idx="132">
                  <c:v>2.7110300000000001</c:v>
                </c:pt>
                <c:pt idx="133">
                  <c:v>2.7069399999999999</c:v>
                </c:pt>
                <c:pt idx="134">
                  <c:v>2.7011699999999998</c:v>
                </c:pt>
                <c:pt idx="135">
                  <c:v>2.6949800000000002</c:v>
                </c:pt>
                <c:pt idx="136">
                  <c:v>2.6873900000000002</c:v>
                </c:pt>
                <c:pt idx="137">
                  <c:v>2.6832000000000003</c:v>
                </c:pt>
                <c:pt idx="138">
                  <c:v>2.68052</c:v>
                </c:pt>
                <c:pt idx="139">
                  <c:v>2.67638</c:v>
                </c:pt>
                <c:pt idx="140">
                  <c:v>2.67354</c:v>
                </c:pt>
                <c:pt idx="141">
                  <c:v>2.6727099999999999</c:v>
                </c:pt>
                <c:pt idx="142">
                  <c:v>2.6737300000000004</c:v>
                </c:pt>
                <c:pt idx="143">
                  <c:v>2.6742500000000002</c:v>
                </c:pt>
                <c:pt idx="144">
                  <c:v>2.67896</c:v>
                </c:pt>
                <c:pt idx="145">
                  <c:v>2.7063700000000002</c:v>
                </c:pt>
                <c:pt idx="146">
                  <c:v>2.7397300000000002</c:v>
                </c:pt>
                <c:pt idx="147">
                  <c:v>2.7616899999999998</c:v>
                </c:pt>
                <c:pt idx="148">
                  <c:v>2.7811599999999999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51.420699999999997</c:v>
                </c:pt>
                <c:pt idx="1">
                  <c:v>50.0501</c:v>
                </c:pt>
                <c:pt idx="2">
                  <c:v>48.826000000000001</c:v>
                </c:pt>
                <c:pt idx="3">
                  <c:v>47.699100000000001</c:v>
                </c:pt>
                <c:pt idx="4">
                  <c:v>46.682600000000001</c:v>
                </c:pt>
                <c:pt idx="5">
                  <c:v>45.539200000000001</c:v>
                </c:pt>
                <c:pt idx="6">
                  <c:v>44.509599999999999</c:v>
                </c:pt>
                <c:pt idx="7">
                  <c:v>43.544699999999999</c:v>
                </c:pt>
                <c:pt idx="8">
                  <c:v>42.688800000000001</c:v>
                </c:pt>
                <c:pt idx="9">
                  <c:v>41.945300000000003</c:v>
                </c:pt>
                <c:pt idx="10">
                  <c:v>41.335599999999999</c:v>
                </c:pt>
                <c:pt idx="11">
                  <c:v>40.762300000000003</c:v>
                </c:pt>
                <c:pt idx="12">
                  <c:v>40.182600000000001</c:v>
                </c:pt>
                <c:pt idx="13">
                  <c:v>39.511200000000002</c:v>
                </c:pt>
                <c:pt idx="14">
                  <c:v>38.756399999999999</c:v>
                </c:pt>
                <c:pt idx="15">
                  <c:v>37.9467</c:v>
                </c:pt>
                <c:pt idx="16">
                  <c:v>37.205300000000001</c:v>
                </c:pt>
                <c:pt idx="17">
                  <c:v>36.581099999999999</c:v>
                </c:pt>
                <c:pt idx="18">
                  <c:v>36.016399999999997</c:v>
                </c:pt>
                <c:pt idx="19">
                  <c:v>35.532299999999999</c:v>
                </c:pt>
                <c:pt idx="20">
                  <c:v>35.061399999999999</c:v>
                </c:pt>
                <c:pt idx="21">
                  <c:v>34.651800000000001</c:v>
                </c:pt>
                <c:pt idx="22">
                  <c:v>34.230699999999999</c:v>
                </c:pt>
                <c:pt idx="23">
                  <c:v>33.8155</c:v>
                </c:pt>
                <c:pt idx="24">
                  <c:v>33.427399999999999</c:v>
                </c:pt>
                <c:pt idx="25">
                  <c:v>33.070399999999999</c:v>
                </c:pt>
                <c:pt idx="26">
                  <c:v>32.751100000000001</c:v>
                </c:pt>
                <c:pt idx="27">
                  <c:v>32.427</c:v>
                </c:pt>
                <c:pt idx="28">
                  <c:v>32.151400000000002</c:v>
                </c:pt>
                <c:pt idx="29">
                  <c:v>31.845099999999999</c:v>
                </c:pt>
                <c:pt idx="30">
                  <c:v>31.554100000000002</c:v>
                </c:pt>
                <c:pt idx="31">
                  <c:v>31.244100000000003</c:v>
                </c:pt>
                <c:pt idx="32">
                  <c:v>30.9316</c:v>
                </c:pt>
                <c:pt idx="33">
                  <c:v>30.635200000000001</c:v>
                </c:pt>
                <c:pt idx="34">
                  <c:v>30.379899999999999</c:v>
                </c:pt>
                <c:pt idx="35">
                  <c:v>30.152099999999997</c:v>
                </c:pt>
                <c:pt idx="36">
                  <c:v>29.945500000000003</c:v>
                </c:pt>
                <c:pt idx="37">
                  <c:v>29.696400000000001</c:v>
                </c:pt>
                <c:pt idx="38">
                  <c:v>29.458499999999997</c:v>
                </c:pt>
                <c:pt idx="39">
                  <c:v>29.274000000000001</c:v>
                </c:pt>
                <c:pt idx="40">
                  <c:v>29.200500000000002</c:v>
                </c:pt>
                <c:pt idx="41">
                  <c:v>29.145500000000002</c:v>
                </c:pt>
                <c:pt idx="42">
                  <c:v>29.078199999999999</c:v>
                </c:pt>
                <c:pt idx="43">
                  <c:v>29.028599999999997</c:v>
                </c:pt>
                <c:pt idx="44">
                  <c:v>28.9255</c:v>
                </c:pt>
                <c:pt idx="45">
                  <c:v>28.772300000000001</c:v>
                </c:pt>
                <c:pt idx="46">
                  <c:v>28.580400000000001</c:v>
                </c:pt>
                <c:pt idx="47">
                  <c:v>28.396000000000001</c:v>
                </c:pt>
                <c:pt idx="48">
                  <c:v>28.186</c:v>
                </c:pt>
                <c:pt idx="49">
                  <c:v>27.9773</c:v>
                </c:pt>
                <c:pt idx="50">
                  <c:v>27.799299999999999</c:v>
                </c:pt>
                <c:pt idx="51">
                  <c:v>27.590500000000002</c:v>
                </c:pt>
                <c:pt idx="52">
                  <c:v>27.385199999999998</c:v>
                </c:pt>
                <c:pt idx="53">
                  <c:v>27.168599999999998</c:v>
                </c:pt>
                <c:pt idx="54">
                  <c:v>26.961299999999998</c:v>
                </c:pt>
                <c:pt idx="55">
                  <c:v>26.8324</c:v>
                </c:pt>
                <c:pt idx="56">
                  <c:v>26.733800000000002</c:v>
                </c:pt>
                <c:pt idx="57">
                  <c:v>26.6633</c:v>
                </c:pt>
                <c:pt idx="58">
                  <c:v>26.633499999999998</c:v>
                </c:pt>
                <c:pt idx="59">
                  <c:v>26.621099999999998</c:v>
                </c:pt>
                <c:pt idx="60">
                  <c:v>26.6052</c:v>
                </c:pt>
                <c:pt idx="61">
                  <c:v>26.553799999999999</c:v>
                </c:pt>
                <c:pt idx="62">
                  <c:v>26.580300000000001</c:v>
                </c:pt>
                <c:pt idx="63">
                  <c:v>26.6111</c:v>
                </c:pt>
                <c:pt idx="64">
                  <c:v>26.692</c:v>
                </c:pt>
                <c:pt idx="65">
                  <c:v>26.796199999999999</c:v>
                </c:pt>
                <c:pt idx="66">
                  <c:v>26.847199999999997</c:v>
                </c:pt>
                <c:pt idx="67">
                  <c:v>26.850600000000004</c:v>
                </c:pt>
                <c:pt idx="68">
                  <c:v>26.909100000000002</c:v>
                </c:pt>
                <c:pt idx="69">
                  <c:v>27.005699999999997</c:v>
                </c:pt>
                <c:pt idx="70">
                  <c:v>27.150500000000001</c:v>
                </c:pt>
                <c:pt idx="71">
                  <c:v>27.256200000000003</c:v>
                </c:pt>
                <c:pt idx="72">
                  <c:v>27.398</c:v>
                </c:pt>
                <c:pt idx="73">
                  <c:v>27.594200000000001</c:v>
                </c:pt>
                <c:pt idx="74">
                  <c:v>27.806100000000001</c:v>
                </c:pt>
                <c:pt idx="75">
                  <c:v>28.091899999999999</c:v>
                </c:pt>
                <c:pt idx="76">
                  <c:v>28.314099999999996</c:v>
                </c:pt>
                <c:pt idx="77">
                  <c:v>28.5578</c:v>
                </c:pt>
                <c:pt idx="78">
                  <c:v>28.812500000000004</c:v>
                </c:pt>
                <c:pt idx="79">
                  <c:v>29.081000000000003</c:v>
                </c:pt>
                <c:pt idx="80">
                  <c:v>29.367700000000003</c:v>
                </c:pt>
                <c:pt idx="81">
                  <c:v>29.697299999999998</c:v>
                </c:pt>
                <c:pt idx="82">
                  <c:v>30.068200000000001</c:v>
                </c:pt>
                <c:pt idx="83">
                  <c:v>30.429600000000001</c:v>
                </c:pt>
                <c:pt idx="84">
                  <c:v>30.819299999999998</c:v>
                </c:pt>
                <c:pt idx="85">
                  <c:v>31.248100000000001</c:v>
                </c:pt>
                <c:pt idx="86">
                  <c:v>31.769199999999998</c:v>
                </c:pt>
                <c:pt idx="87">
                  <c:v>32.440400000000004</c:v>
                </c:pt>
                <c:pt idx="88">
                  <c:v>33.273699999999998</c:v>
                </c:pt>
                <c:pt idx="89">
                  <c:v>34.185000000000002</c:v>
                </c:pt>
                <c:pt idx="90">
                  <c:v>35.069400000000002</c:v>
                </c:pt>
                <c:pt idx="91">
                  <c:v>36.054700000000004</c:v>
                </c:pt>
                <c:pt idx="92">
                  <c:v>36.9681</c:v>
                </c:pt>
                <c:pt idx="93">
                  <c:v>37.755300000000005</c:v>
                </c:pt>
                <c:pt idx="94">
                  <c:v>38.520400000000002</c:v>
                </c:pt>
                <c:pt idx="95">
                  <c:v>39.297800000000002</c:v>
                </c:pt>
                <c:pt idx="96">
                  <c:v>40.024300000000004</c:v>
                </c:pt>
                <c:pt idx="97">
                  <c:v>40.719699999999996</c:v>
                </c:pt>
                <c:pt idx="98">
                  <c:v>41.373699999999999</c:v>
                </c:pt>
                <c:pt idx="99">
                  <c:v>41.981699999999996</c:v>
                </c:pt>
                <c:pt idx="100">
                  <c:v>42.566800000000001</c:v>
                </c:pt>
                <c:pt idx="101">
                  <c:v>43.096800000000002</c:v>
                </c:pt>
                <c:pt idx="102">
                  <c:v>43.590699999999998</c:v>
                </c:pt>
                <c:pt idx="103">
                  <c:v>44.024700000000003</c:v>
                </c:pt>
                <c:pt idx="104">
                  <c:v>44.420200000000001</c:v>
                </c:pt>
                <c:pt idx="105">
                  <c:v>44.743200000000002</c:v>
                </c:pt>
                <c:pt idx="106">
                  <c:v>44.992199999999997</c:v>
                </c:pt>
                <c:pt idx="107">
                  <c:v>45.1098</c:v>
                </c:pt>
                <c:pt idx="108">
                  <c:v>45.141399999999997</c:v>
                </c:pt>
                <c:pt idx="109">
                  <c:v>45.133099999999999</c:v>
                </c:pt>
                <c:pt idx="110">
                  <c:v>45.0779</c:v>
                </c:pt>
                <c:pt idx="111">
                  <c:v>44.951799999999999</c:v>
                </c:pt>
                <c:pt idx="112">
                  <c:v>44.755499999999998</c:v>
                </c:pt>
                <c:pt idx="113">
                  <c:v>44.5336</c:v>
                </c:pt>
                <c:pt idx="114">
                  <c:v>44.307900000000004</c:v>
                </c:pt>
                <c:pt idx="115">
                  <c:v>44.176500000000004</c:v>
                </c:pt>
                <c:pt idx="116">
                  <c:v>44.081600000000002</c:v>
                </c:pt>
                <c:pt idx="117">
                  <c:v>44.016100000000002</c:v>
                </c:pt>
                <c:pt idx="118">
                  <c:v>43.964100000000002</c:v>
                </c:pt>
                <c:pt idx="119">
                  <c:v>43.8949</c:v>
                </c:pt>
                <c:pt idx="120">
                  <c:v>43.8339</c:v>
                </c:pt>
                <c:pt idx="121">
                  <c:v>43.847500000000004</c:v>
                </c:pt>
                <c:pt idx="122">
                  <c:v>43.8889</c:v>
                </c:pt>
                <c:pt idx="123">
                  <c:v>43.898600000000002</c:v>
                </c:pt>
                <c:pt idx="124">
                  <c:v>43.869799999999998</c:v>
                </c:pt>
                <c:pt idx="125">
                  <c:v>43.782600000000002</c:v>
                </c:pt>
                <c:pt idx="126">
                  <c:v>43.655300000000004</c:v>
                </c:pt>
                <c:pt idx="127">
                  <c:v>43.528099999999995</c:v>
                </c:pt>
                <c:pt idx="128">
                  <c:v>43.405999999999999</c:v>
                </c:pt>
                <c:pt idx="129">
                  <c:v>43.2333</c:v>
                </c:pt>
                <c:pt idx="130">
                  <c:v>43.044700000000006</c:v>
                </c:pt>
                <c:pt idx="131">
                  <c:v>42.823699999999995</c:v>
                </c:pt>
                <c:pt idx="132">
                  <c:v>42.6554</c:v>
                </c:pt>
                <c:pt idx="133">
                  <c:v>42.562800000000003</c:v>
                </c:pt>
                <c:pt idx="134">
                  <c:v>42.5105</c:v>
                </c:pt>
                <c:pt idx="135">
                  <c:v>42.529299999999999</c:v>
                </c:pt>
                <c:pt idx="136">
                  <c:v>42.662700000000001</c:v>
                </c:pt>
                <c:pt idx="137">
                  <c:v>42.919899999999998</c:v>
                </c:pt>
                <c:pt idx="138">
                  <c:v>43.2361</c:v>
                </c:pt>
                <c:pt idx="139">
                  <c:v>43.566600000000001</c:v>
                </c:pt>
                <c:pt idx="140">
                  <c:v>43.838899999999995</c:v>
                </c:pt>
                <c:pt idx="141">
                  <c:v>44.098799999999997</c:v>
                </c:pt>
                <c:pt idx="142">
                  <c:v>44.370399999999997</c:v>
                </c:pt>
                <c:pt idx="143">
                  <c:v>44.728000000000002</c:v>
                </c:pt>
                <c:pt idx="144">
                  <c:v>45.158200000000001</c:v>
                </c:pt>
                <c:pt idx="145">
                  <c:v>45.741799999999998</c:v>
                </c:pt>
                <c:pt idx="146">
                  <c:v>46.2181</c:v>
                </c:pt>
                <c:pt idx="147">
                  <c:v>46.310600000000001</c:v>
                </c:pt>
                <c:pt idx="148">
                  <c:v>46.599299999999999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1.94655</c:v>
                </c:pt>
                <c:pt idx="1">
                  <c:v>2.0201199999999999</c:v>
                </c:pt>
                <c:pt idx="2">
                  <c:v>2.0923600000000002</c:v>
                </c:pt>
                <c:pt idx="3">
                  <c:v>2.1636800000000003</c:v>
                </c:pt>
                <c:pt idx="4">
                  <c:v>2.2323299999999997</c:v>
                </c:pt>
                <c:pt idx="5">
                  <c:v>2.3031299999999999</c:v>
                </c:pt>
                <c:pt idx="6">
                  <c:v>2.3732899999999999</c:v>
                </c:pt>
                <c:pt idx="7">
                  <c:v>2.44096</c:v>
                </c:pt>
                <c:pt idx="8">
                  <c:v>2.5070399999999999</c:v>
                </c:pt>
                <c:pt idx="9">
                  <c:v>2.5708599999999997</c:v>
                </c:pt>
                <c:pt idx="10">
                  <c:v>2.6321499999999998</c:v>
                </c:pt>
                <c:pt idx="11">
                  <c:v>2.6898899999999997</c:v>
                </c:pt>
                <c:pt idx="12">
                  <c:v>2.7465800000000002</c:v>
                </c:pt>
                <c:pt idx="13">
                  <c:v>2.8014399999999999</c:v>
                </c:pt>
                <c:pt idx="14">
                  <c:v>2.8540399999999999</c:v>
                </c:pt>
                <c:pt idx="15">
                  <c:v>2.9027099999999999</c:v>
                </c:pt>
                <c:pt idx="16">
                  <c:v>2.9452800000000003</c:v>
                </c:pt>
                <c:pt idx="17">
                  <c:v>2.9814600000000002</c:v>
                </c:pt>
                <c:pt idx="18">
                  <c:v>3.0120100000000001</c:v>
                </c:pt>
                <c:pt idx="19">
                  <c:v>3.0376500000000002</c:v>
                </c:pt>
                <c:pt idx="20">
                  <c:v>3.0600399999999999</c:v>
                </c:pt>
                <c:pt idx="21">
                  <c:v>3.07979</c:v>
                </c:pt>
                <c:pt idx="22">
                  <c:v>3.0965799999999999</c:v>
                </c:pt>
                <c:pt idx="23">
                  <c:v>3.1094899999999996</c:v>
                </c:pt>
                <c:pt idx="24">
                  <c:v>3.1187500000000004</c:v>
                </c:pt>
                <c:pt idx="25">
                  <c:v>3.1253399999999996</c:v>
                </c:pt>
                <c:pt idx="26">
                  <c:v>3.1296400000000002</c:v>
                </c:pt>
                <c:pt idx="27">
                  <c:v>3.1320199999999998</c:v>
                </c:pt>
                <c:pt idx="28">
                  <c:v>3.1316600000000001</c:v>
                </c:pt>
                <c:pt idx="29">
                  <c:v>3.1288100000000001</c:v>
                </c:pt>
                <c:pt idx="30">
                  <c:v>3.12188</c:v>
                </c:pt>
                <c:pt idx="31">
                  <c:v>3.1110700000000002</c:v>
                </c:pt>
                <c:pt idx="32">
                  <c:v>3.09707</c:v>
                </c:pt>
                <c:pt idx="33">
                  <c:v>3.08223</c:v>
                </c:pt>
                <c:pt idx="34">
                  <c:v>3.0664200000000004</c:v>
                </c:pt>
                <c:pt idx="35">
                  <c:v>3.0492999999999997</c:v>
                </c:pt>
                <c:pt idx="36">
                  <c:v>3.0314299999999998</c:v>
                </c:pt>
                <c:pt idx="37">
                  <c:v>3.0110999999999999</c:v>
                </c:pt>
                <c:pt idx="38">
                  <c:v>2.9875499999999997</c:v>
                </c:pt>
                <c:pt idx="39">
                  <c:v>2.9628500000000004</c:v>
                </c:pt>
                <c:pt idx="40">
                  <c:v>2.93865</c:v>
                </c:pt>
                <c:pt idx="41">
                  <c:v>2.9174699999999998</c:v>
                </c:pt>
                <c:pt idx="42">
                  <c:v>2.9024200000000002</c:v>
                </c:pt>
                <c:pt idx="43">
                  <c:v>2.8913100000000003</c:v>
                </c:pt>
                <c:pt idx="44">
                  <c:v>2.8846100000000003</c:v>
                </c:pt>
                <c:pt idx="45">
                  <c:v>2.8803800000000002</c:v>
                </c:pt>
                <c:pt idx="46">
                  <c:v>2.8782999999999999</c:v>
                </c:pt>
                <c:pt idx="47">
                  <c:v>2.8773999999999997</c:v>
                </c:pt>
                <c:pt idx="48">
                  <c:v>2.8774899999999999</c:v>
                </c:pt>
                <c:pt idx="49">
                  <c:v>2.8783300000000001</c:v>
                </c:pt>
                <c:pt idx="50">
                  <c:v>2.8766999999999996</c:v>
                </c:pt>
                <c:pt idx="51">
                  <c:v>2.8783799999999999</c:v>
                </c:pt>
                <c:pt idx="52">
                  <c:v>2.88008</c:v>
                </c:pt>
                <c:pt idx="53">
                  <c:v>2.8831899999999999</c:v>
                </c:pt>
                <c:pt idx="54">
                  <c:v>2.8907799999999999</c:v>
                </c:pt>
                <c:pt idx="55">
                  <c:v>2.8984100000000002</c:v>
                </c:pt>
                <c:pt idx="56">
                  <c:v>2.90909</c:v>
                </c:pt>
                <c:pt idx="57">
                  <c:v>2.9218600000000001</c:v>
                </c:pt>
                <c:pt idx="58">
                  <c:v>2.93438</c:v>
                </c:pt>
                <c:pt idx="59">
                  <c:v>2.9468899999999998</c:v>
                </c:pt>
                <c:pt idx="60">
                  <c:v>2.9604999999999997</c:v>
                </c:pt>
                <c:pt idx="61">
                  <c:v>2.9763000000000002</c:v>
                </c:pt>
                <c:pt idx="62">
                  <c:v>2.9938900000000004</c:v>
                </c:pt>
                <c:pt idx="63">
                  <c:v>3.0174400000000001</c:v>
                </c:pt>
                <c:pt idx="64">
                  <c:v>3.0420799999999999</c:v>
                </c:pt>
                <c:pt idx="65">
                  <c:v>3.0619400000000003</c:v>
                </c:pt>
                <c:pt idx="66">
                  <c:v>3.0789800000000001</c:v>
                </c:pt>
                <c:pt idx="67">
                  <c:v>3.0942399999999997</c:v>
                </c:pt>
                <c:pt idx="68">
                  <c:v>3.1058699999999999</c:v>
                </c:pt>
                <c:pt idx="69">
                  <c:v>3.11416</c:v>
                </c:pt>
                <c:pt idx="70">
                  <c:v>3.1186399999999996</c:v>
                </c:pt>
                <c:pt idx="71">
                  <c:v>3.1229899999999997</c:v>
                </c:pt>
                <c:pt idx="72">
                  <c:v>3.1252499999999999</c:v>
                </c:pt>
                <c:pt idx="73">
                  <c:v>3.1252499999999999</c:v>
                </c:pt>
                <c:pt idx="74">
                  <c:v>3.1227899999999997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51.420699999999997</c:v>
                </c:pt>
                <c:pt idx="1">
                  <c:v>50.0501</c:v>
                </c:pt>
                <c:pt idx="2">
                  <c:v>48.826000000000001</c:v>
                </c:pt>
                <c:pt idx="3">
                  <c:v>47.699100000000001</c:v>
                </c:pt>
                <c:pt idx="4">
                  <c:v>46.682600000000001</c:v>
                </c:pt>
                <c:pt idx="5">
                  <c:v>45.539200000000001</c:v>
                </c:pt>
                <c:pt idx="6">
                  <c:v>44.509599999999999</c:v>
                </c:pt>
                <c:pt idx="7">
                  <c:v>43.544699999999999</c:v>
                </c:pt>
                <c:pt idx="8">
                  <c:v>42.688800000000001</c:v>
                </c:pt>
                <c:pt idx="9">
                  <c:v>41.945300000000003</c:v>
                </c:pt>
                <c:pt idx="10">
                  <c:v>41.335599999999999</c:v>
                </c:pt>
                <c:pt idx="11">
                  <c:v>40.762300000000003</c:v>
                </c:pt>
                <c:pt idx="12">
                  <c:v>40.182600000000001</c:v>
                </c:pt>
                <c:pt idx="13">
                  <c:v>39.511200000000002</c:v>
                </c:pt>
                <c:pt idx="14">
                  <c:v>38.756399999999999</c:v>
                </c:pt>
                <c:pt idx="15">
                  <c:v>37.9467</c:v>
                </c:pt>
                <c:pt idx="16">
                  <c:v>37.205300000000001</c:v>
                </c:pt>
                <c:pt idx="17">
                  <c:v>36.581099999999999</c:v>
                </c:pt>
                <c:pt idx="18">
                  <c:v>36.016399999999997</c:v>
                </c:pt>
                <c:pt idx="19">
                  <c:v>35.532299999999999</c:v>
                </c:pt>
                <c:pt idx="20">
                  <c:v>35.061399999999999</c:v>
                </c:pt>
                <c:pt idx="21">
                  <c:v>34.651800000000001</c:v>
                </c:pt>
                <c:pt idx="22">
                  <c:v>34.230699999999999</c:v>
                </c:pt>
                <c:pt idx="23">
                  <c:v>33.8155</c:v>
                </c:pt>
                <c:pt idx="24">
                  <c:v>33.427399999999999</c:v>
                </c:pt>
                <c:pt idx="25">
                  <c:v>33.070399999999999</c:v>
                </c:pt>
                <c:pt idx="26">
                  <c:v>32.751100000000001</c:v>
                </c:pt>
                <c:pt idx="27">
                  <c:v>32.427</c:v>
                </c:pt>
                <c:pt idx="28">
                  <c:v>32.151400000000002</c:v>
                </c:pt>
                <c:pt idx="29">
                  <c:v>31.845099999999999</c:v>
                </c:pt>
                <c:pt idx="30">
                  <c:v>31.554100000000002</c:v>
                </c:pt>
                <c:pt idx="31">
                  <c:v>31.244100000000003</c:v>
                </c:pt>
                <c:pt idx="32">
                  <c:v>30.9316</c:v>
                </c:pt>
                <c:pt idx="33">
                  <c:v>30.635200000000001</c:v>
                </c:pt>
                <c:pt idx="34">
                  <c:v>30.379899999999999</c:v>
                </c:pt>
                <c:pt idx="35">
                  <c:v>30.152099999999997</c:v>
                </c:pt>
                <c:pt idx="36">
                  <c:v>29.945500000000003</c:v>
                </c:pt>
                <c:pt idx="37">
                  <c:v>29.696400000000001</c:v>
                </c:pt>
                <c:pt idx="38">
                  <c:v>29.458499999999997</c:v>
                </c:pt>
                <c:pt idx="39">
                  <c:v>29.274000000000001</c:v>
                </c:pt>
                <c:pt idx="40">
                  <c:v>29.200500000000002</c:v>
                </c:pt>
                <c:pt idx="41">
                  <c:v>29.145500000000002</c:v>
                </c:pt>
                <c:pt idx="42">
                  <c:v>29.078199999999999</c:v>
                </c:pt>
                <c:pt idx="43">
                  <c:v>29.028599999999997</c:v>
                </c:pt>
                <c:pt idx="44">
                  <c:v>28.9255</c:v>
                </c:pt>
                <c:pt idx="45">
                  <c:v>28.772300000000001</c:v>
                </c:pt>
                <c:pt idx="46">
                  <c:v>28.580400000000001</c:v>
                </c:pt>
                <c:pt idx="47">
                  <c:v>28.396000000000001</c:v>
                </c:pt>
                <c:pt idx="48">
                  <c:v>28.186</c:v>
                </c:pt>
                <c:pt idx="49">
                  <c:v>27.9773</c:v>
                </c:pt>
                <c:pt idx="50">
                  <c:v>27.799299999999999</c:v>
                </c:pt>
                <c:pt idx="51">
                  <c:v>27.590500000000002</c:v>
                </c:pt>
                <c:pt idx="52">
                  <c:v>27.385199999999998</c:v>
                </c:pt>
                <c:pt idx="53">
                  <c:v>27.168599999999998</c:v>
                </c:pt>
                <c:pt idx="54">
                  <c:v>26.961299999999998</c:v>
                </c:pt>
                <c:pt idx="55">
                  <c:v>26.8324</c:v>
                </c:pt>
                <c:pt idx="56">
                  <c:v>26.733800000000002</c:v>
                </c:pt>
                <c:pt idx="57">
                  <c:v>26.6633</c:v>
                </c:pt>
                <c:pt idx="58">
                  <c:v>26.633499999999998</c:v>
                </c:pt>
                <c:pt idx="59">
                  <c:v>26.621099999999998</c:v>
                </c:pt>
                <c:pt idx="60">
                  <c:v>26.6052</c:v>
                </c:pt>
                <c:pt idx="61">
                  <c:v>26.553799999999999</c:v>
                </c:pt>
                <c:pt idx="62">
                  <c:v>26.580300000000001</c:v>
                </c:pt>
                <c:pt idx="63">
                  <c:v>26.6111</c:v>
                </c:pt>
                <c:pt idx="64">
                  <c:v>26.692</c:v>
                </c:pt>
                <c:pt idx="65">
                  <c:v>26.796199999999999</c:v>
                </c:pt>
                <c:pt idx="66">
                  <c:v>26.847199999999997</c:v>
                </c:pt>
                <c:pt idx="67">
                  <c:v>26.850600000000004</c:v>
                </c:pt>
                <c:pt idx="68">
                  <c:v>26.909100000000002</c:v>
                </c:pt>
                <c:pt idx="69">
                  <c:v>27.005699999999997</c:v>
                </c:pt>
                <c:pt idx="70">
                  <c:v>27.150500000000001</c:v>
                </c:pt>
                <c:pt idx="71">
                  <c:v>27.256200000000003</c:v>
                </c:pt>
                <c:pt idx="72">
                  <c:v>27.398</c:v>
                </c:pt>
                <c:pt idx="73">
                  <c:v>27.594200000000001</c:v>
                </c:pt>
                <c:pt idx="74">
                  <c:v>27.806100000000001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3.1227899999999997</c:v>
                </c:pt>
                <c:pt idx="1">
                  <c:v>3.1145</c:v>
                </c:pt>
                <c:pt idx="2">
                  <c:v>3.1079600000000003</c:v>
                </c:pt>
                <c:pt idx="3">
                  <c:v>3.1000399999999999</c:v>
                </c:pt>
                <c:pt idx="4">
                  <c:v>3.0876999999999999</c:v>
                </c:pt>
                <c:pt idx="5">
                  <c:v>3.07226</c:v>
                </c:pt>
                <c:pt idx="6">
                  <c:v>3.0563699999999998</c:v>
                </c:pt>
                <c:pt idx="7">
                  <c:v>3.03647</c:v>
                </c:pt>
                <c:pt idx="8">
                  <c:v>3.0152600000000001</c:v>
                </c:pt>
                <c:pt idx="9">
                  <c:v>2.9940600000000002</c:v>
                </c:pt>
                <c:pt idx="10">
                  <c:v>2.9723699999999997</c:v>
                </c:pt>
                <c:pt idx="11">
                  <c:v>2.9473700000000003</c:v>
                </c:pt>
                <c:pt idx="12">
                  <c:v>2.91927</c:v>
                </c:pt>
                <c:pt idx="13">
                  <c:v>2.8870299999999998</c:v>
                </c:pt>
                <c:pt idx="14">
                  <c:v>2.8490700000000002</c:v>
                </c:pt>
                <c:pt idx="15">
                  <c:v>2.81209</c:v>
                </c:pt>
                <c:pt idx="16">
                  <c:v>2.7794999999999996</c:v>
                </c:pt>
                <c:pt idx="17">
                  <c:v>2.74912</c:v>
                </c:pt>
                <c:pt idx="18">
                  <c:v>2.72105</c:v>
                </c:pt>
                <c:pt idx="19">
                  <c:v>2.6990999999999996</c:v>
                </c:pt>
                <c:pt idx="20">
                  <c:v>2.6802299999999999</c:v>
                </c:pt>
                <c:pt idx="21">
                  <c:v>2.6600200000000003</c:v>
                </c:pt>
                <c:pt idx="22">
                  <c:v>2.6418699999999999</c:v>
                </c:pt>
                <c:pt idx="23">
                  <c:v>2.6247599999999998</c:v>
                </c:pt>
                <c:pt idx="24">
                  <c:v>2.6113300000000002</c:v>
                </c:pt>
                <c:pt idx="25">
                  <c:v>2.6015899999999998</c:v>
                </c:pt>
                <c:pt idx="26">
                  <c:v>2.5942500000000002</c:v>
                </c:pt>
                <c:pt idx="27">
                  <c:v>2.5889000000000002</c:v>
                </c:pt>
                <c:pt idx="28">
                  <c:v>2.58413</c:v>
                </c:pt>
                <c:pt idx="29">
                  <c:v>2.5801800000000004</c:v>
                </c:pt>
                <c:pt idx="30">
                  <c:v>2.5780799999999999</c:v>
                </c:pt>
                <c:pt idx="31">
                  <c:v>2.5775399999999999</c:v>
                </c:pt>
                <c:pt idx="32">
                  <c:v>2.5809100000000003</c:v>
                </c:pt>
                <c:pt idx="33">
                  <c:v>2.5867</c:v>
                </c:pt>
                <c:pt idx="34">
                  <c:v>2.5957000000000003</c:v>
                </c:pt>
                <c:pt idx="35">
                  <c:v>2.6053700000000002</c:v>
                </c:pt>
                <c:pt idx="36">
                  <c:v>2.6163599999999998</c:v>
                </c:pt>
                <c:pt idx="37">
                  <c:v>2.6281700000000003</c:v>
                </c:pt>
                <c:pt idx="38">
                  <c:v>2.63747</c:v>
                </c:pt>
                <c:pt idx="39">
                  <c:v>2.6467600000000004</c:v>
                </c:pt>
                <c:pt idx="40">
                  <c:v>2.6554000000000002</c:v>
                </c:pt>
                <c:pt idx="41">
                  <c:v>2.6633599999999999</c:v>
                </c:pt>
                <c:pt idx="42">
                  <c:v>2.6684600000000005</c:v>
                </c:pt>
                <c:pt idx="43">
                  <c:v>2.6728299999999998</c:v>
                </c:pt>
                <c:pt idx="44">
                  <c:v>2.6764700000000001</c:v>
                </c:pt>
                <c:pt idx="45">
                  <c:v>2.6791199999999997</c:v>
                </c:pt>
                <c:pt idx="46">
                  <c:v>2.6797</c:v>
                </c:pt>
                <c:pt idx="47">
                  <c:v>2.6819799999999998</c:v>
                </c:pt>
                <c:pt idx="48">
                  <c:v>2.6879399999999998</c:v>
                </c:pt>
                <c:pt idx="49">
                  <c:v>2.6945100000000002</c:v>
                </c:pt>
                <c:pt idx="50">
                  <c:v>2.6981999999999999</c:v>
                </c:pt>
                <c:pt idx="51">
                  <c:v>2.6986100000000004</c:v>
                </c:pt>
                <c:pt idx="52">
                  <c:v>2.6992899999999995</c:v>
                </c:pt>
                <c:pt idx="53">
                  <c:v>2.7003599999999999</c:v>
                </c:pt>
                <c:pt idx="54">
                  <c:v>2.7027800000000002</c:v>
                </c:pt>
                <c:pt idx="55">
                  <c:v>2.7060299999999997</c:v>
                </c:pt>
                <c:pt idx="56">
                  <c:v>2.7092399999999999</c:v>
                </c:pt>
                <c:pt idx="57">
                  <c:v>2.7108700000000003</c:v>
                </c:pt>
                <c:pt idx="58">
                  <c:v>2.7110300000000001</c:v>
                </c:pt>
                <c:pt idx="59">
                  <c:v>2.7069399999999999</c:v>
                </c:pt>
                <c:pt idx="60">
                  <c:v>2.7011699999999998</c:v>
                </c:pt>
                <c:pt idx="61">
                  <c:v>2.6949800000000002</c:v>
                </c:pt>
                <c:pt idx="62">
                  <c:v>2.6873900000000002</c:v>
                </c:pt>
                <c:pt idx="63">
                  <c:v>2.6832000000000003</c:v>
                </c:pt>
                <c:pt idx="64">
                  <c:v>2.68052</c:v>
                </c:pt>
                <c:pt idx="65">
                  <c:v>2.67638</c:v>
                </c:pt>
                <c:pt idx="66">
                  <c:v>2.67354</c:v>
                </c:pt>
                <c:pt idx="67">
                  <c:v>2.6727099999999999</c:v>
                </c:pt>
                <c:pt idx="68">
                  <c:v>2.6737300000000004</c:v>
                </c:pt>
                <c:pt idx="69">
                  <c:v>2.6742500000000002</c:v>
                </c:pt>
                <c:pt idx="70">
                  <c:v>2.67896</c:v>
                </c:pt>
                <c:pt idx="71">
                  <c:v>2.7063700000000002</c:v>
                </c:pt>
                <c:pt idx="72">
                  <c:v>2.7397300000000002</c:v>
                </c:pt>
                <c:pt idx="73">
                  <c:v>2.7616899999999998</c:v>
                </c:pt>
                <c:pt idx="74">
                  <c:v>2.7811599999999999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27.806100000000001</c:v>
                </c:pt>
                <c:pt idx="1">
                  <c:v>28.091899999999999</c:v>
                </c:pt>
                <c:pt idx="2">
                  <c:v>28.314099999999996</c:v>
                </c:pt>
                <c:pt idx="3">
                  <c:v>28.5578</c:v>
                </c:pt>
                <c:pt idx="4">
                  <c:v>28.812500000000004</c:v>
                </c:pt>
                <c:pt idx="5">
                  <c:v>29.081000000000003</c:v>
                </c:pt>
                <c:pt idx="6">
                  <c:v>29.367700000000003</c:v>
                </c:pt>
                <c:pt idx="7">
                  <c:v>29.697299999999998</c:v>
                </c:pt>
                <c:pt idx="8">
                  <c:v>30.068200000000001</c:v>
                </c:pt>
                <c:pt idx="9">
                  <c:v>30.429600000000001</c:v>
                </c:pt>
                <c:pt idx="10">
                  <c:v>30.819299999999998</c:v>
                </c:pt>
                <c:pt idx="11">
                  <c:v>31.248100000000001</c:v>
                </c:pt>
                <c:pt idx="12">
                  <c:v>31.769199999999998</c:v>
                </c:pt>
                <c:pt idx="13">
                  <c:v>32.440400000000004</c:v>
                </c:pt>
                <c:pt idx="14">
                  <c:v>33.273699999999998</c:v>
                </c:pt>
                <c:pt idx="15">
                  <c:v>34.185000000000002</c:v>
                </c:pt>
                <c:pt idx="16">
                  <c:v>35.069400000000002</c:v>
                </c:pt>
                <c:pt idx="17">
                  <c:v>36.054700000000004</c:v>
                </c:pt>
                <c:pt idx="18">
                  <c:v>36.9681</c:v>
                </c:pt>
                <c:pt idx="19">
                  <c:v>37.755300000000005</c:v>
                </c:pt>
                <c:pt idx="20">
                  <c:v>38.520400000000002</c:v>
                </c:pt>
                <c:pt idx="21">
                  <c:v>39.297800000000002</c:v>
                </c:pt>
                <c:pt idx="22">
                  <c:v>40.024300000000004</c:v>
                </c:pt>
                <c:pt idx="23">
                  <c:v>40.719699999999996</c:v>
                </c:pt>
                <c:pt idx="24">
                  <c:v>41.373699999999999</c:v>
                </c:pt>
                <c:pt idx="25">
                  <c:v>41.981699999999996</c:v>
                </c:pt>
                <c:pt idx="26">
                  <c:v>42.566800000000001</c:v>
                </c:pt>
                <c:pt idx="27">
                  <c:v>43.096800000000002</c:v>
                </c:pt>
                <c:pt idx="28">
                  <c:v>43.590699999999998</c:v>
                </c:pt>
                <c:pt idx="29">
                  <c:v>44.024700000000003</c:v>
                </c:pt>
                <c:pt idx="30">
                  <c:v>44.420200000000001</c:v>
                </c:pt>
                <c:pt idx="31">
                  <c:v>44.743200000000002</c:v>
                </c:pt>
                <c:pt idx="32">
                  <c:v>44.992199999999997</c:v>
                </c:pt>
                <c:pt idx="33">
                  <c:v>45.1098</c:v>
                </c:pt>
                <c:pt idx="34">
                  <c:v>45.141399999999997</c:v>
                </c:pt>
                <c:pt idx="35">
                  <c:v>45.133099999999999</c:v>
                </c:pt>
                <c:pt idx="36">
                  <c:v>45.0779</c:v>
                </c:pt>
                <c:pt idx="37">
                  <c:v>44.951799999999999</c:v>
                </c:pt>
                <c:pt idx="38">
                  <c:v>44.755499999999998</c:v>
                </c:pt>
                <c:pt idx="39">
                  <c:v>44.5336</c:v>
                </c:pt>
                <c:pt idx="40">
                  <c:v>44.307900000000004</c:v>
                </c:pt>
                <c:pt idx="41">
                  <c:v>44.176500000000004</c:v>
                </c:pt>
                <c:pt idx="42">
                  <c:v>44.081600000000002</c:v>
                </c:pt>
                <c:pt idx="43">
                  <c:v>44.016100000000002</c:v>
                </c:pt>
                <c:pt idx="44">
                  <c:v>43.964100000000002</c:v>
                </c:pt>
                <c:pt idx="45">
                  <c:v>43.8949</c:v>
                </c:pt>
                <c:pt idx="46">
                  <c:v>43.8339</c:v>
                </c:pt>
                <c:pt idx="47">
                  <c:v>43.847500000000004</c:v>
                </c:pt>
                <c:pt idx="48">
                  <c:v>43.8889</c:v>
                </c:pt>
                <c:pt idx="49">
                  <c:v>43.898600000000002</c:v>
                </c:pt>
                <c:pt idx="50">
                  <c:v>43.869799999999998</c:v>
                </c:pt>
                <c:pt idx="51">
                  <c:v>43.782600000000002</c:v>
                </c:pt>
                <c:pt idx="52">
                  <c:v>43.655300000000004</c:v>
                </c:pt>
                <c:pt idx="53">
                  <c:v>43.528099999999995</c:v>
                </c:pt>
                <c:pt idx="54">
                  <c:v>43.405999999999999</c:v>
                </c:pt>
                <c:pt idx="55">
                  <c:v>43.2333</c:v>
                </c:pt>
                <c:pt idx="56">
                  <c:v>43.044700000000006</c:v>
                </c:pt>
                <c:pt idx="57">
                  <c:v>42.823699999999995</c:v>
                </c:pt>
                <c:pt idx="58">
                  <c:v>42.6554</c:v>
                </c:pt>
                <c:pt idx="59">
                  <c:v>42.562800000000003</c:v>
                </c:pt>
                <c:pt idx="60">
                  <c:v>42.5105</c:v>
                </c:pt>
                <c:pt idx="61">
                  <c:v>42.529299999999999</c:v>
                </c:pt>
                <c:pt idx="62">
                  <c:v>42.662700000000001</c:v>
                </c:pt>
                <c:pt idx="63">
                  <c:v>42.919899999999998</c:v>
                </c:pt>
                <c:pt idx="64">
                  <c:v>43.2361</c:v>
                </c:pt>
                <c:pt idx="65">
                  <c:v>43.566600000000001</c:v>
                </c:pt>
                <c:pt idx="66">
                  <c:v>43.838899999999995</c:v>
                </c:pt>
                <c:pt idx="67">
                  <c:v>44.098799999999997</c:v>
                </c:pt>
                <c:pt idx="68">
                  <c:v>44.370399999999997</c:v>
                </c:pt>
                <c:pt idx="69">
                  <c:v>44.728000000000002</c:v>
                </c:pt>
                <c:pt idx="70">
                  <c:v>45.158200000000001</c:v>
                </c:pt>
                <c:pt idx="71">
                  <c:v>45.741799999999998</c:v>
                </c:pt>
                <c:pt idx="72">
                  <c:v>46.2181</c:v>
                </c:pt>
                <c:pt idx="73">
                  <c:v>46.310600000000001</c:v>
                </c:pt>
                <c:pt idx="74">
                  <c:v>46.599299999999999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1.94655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51.420699999999997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2.8887864864864876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32.675251351351335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2.7401545945945944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40.327382432432429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2.7401545945945944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40.327382432432429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523</v>
      </c>
      <c r="D5" s="151"/>
      <c r="E5" s="151"/>
      <c r="F5" s="152"/>
      <c r="G5" s="48" t="str">
        <f>lang!B27</f>
        <v>编号</v>
      </c>
      <c r="H5" s="150">
        <v>5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522</v>
      </c>
      <c r="D6" s="188"/>
      <c r="E6" s="188"/>
      <c r="F6" s="189"/>
      <c r="G6" s="49" t="str">
        <f>lang!B28</f>
        <v xml:space="preserve"> 日期</v>
      </c>
      <c r="H6" s="172">
        <f>FH_info!A2</f>
        <v>43607.386064814818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22</v>
      </c>
      <c r="D7" s="191"/>
      <c r="E7" s="191"/>
      <c r="F7" s="192"/>
      <c r="G7" s="50" t="str">
        <f>lang!B29</f>
        <v>误差率（%）</v>
      </c>
      <c r="H7" s="175">
        <f>M!B17*1</f>
        <v>15.4963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36.553100000000001</v>
      </c>
      <c r="O8" s="59">
        <f>M!C5*1</f>
        <v>9.6870200000000004</v>
      </c>
      <c r="P8" s="59">
        <f>M!D5*1</f>
        <v>26.501200000000001</v>
      </c>
      <c r="Q8" s="59">
        <f>M!E5*1</f>
        <v>20</v>
      </c>
      <c r="R8" s="59">
        <f>M!F5*1</f>
        <v>11.1214</v>
      </c>
      <c r="S8" s="59">
        <f>M!G5*1</f>
        <v>50</v>
      </c>
      <c r="T8" s="59">
        <f>M!H5*1</f>
        <v>51.376399999999997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30.850200000000001</v>
      </c>
      <c r="O9" s="59">
        <f>M!C6*1</f>
        <v>4.4650999999999996</v>
      </c>
      <c r="P9" s="59">
        <f>M!D6*1</f>
        <v>14.4735</v>
      </c>
      <c r="Q9" s="59">
        <f>M!E6*1</f>
        <v>20</v>
      </c>
      <c r="R9" s="59">
        <f>M!F6*1</f>
        <v>23.715499999999999</v>
      </c>
      <c r="S9" s="59">
        <f>M!G6*1</f>
        <v>40</v>
      </c>
      <c r="T9" s="59">
        <f>M!H6*1</f>
        <v>37.223500000000001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11.1214</v>
      </c>
      <c r="D10" s="99">
        <f>N8</f>
        <v>36.553100000000001</v>
      </c>
      <c r="E10" s="100">
        <f>T8</f>
        <v>51.376399999999997</v>
      </c>
      <c r="F10" s="91">
        <f>P8</f>
        <v>26.501200000000001</v>
      </c>
      <c r="G10" s="81" t="str">
        <f>CONCATENATE(M9,"
(20 ~ 40)")</f>
        <v>压力
(20 ~ 40)</v>
      </c>
      <c r="H10" s="98">
        <f>R9</f>
        <v>23.715499999999999</v>
      </c>
      <c r="I10" s="108">
        <f>N9</f>
        <v>30.850200000000001</v>
      </c>
      <c r="J10" s="98">
        <f>T9</f>
        <v>37.223500000000001</v>
      </c>
      <c r="K10" s="92">
        <f>P9</f>
        <v>14.4735</v>
      </c>
      <c r="L10" s="6"/>
      <c r="M10" s="27" t="str">
        <f>lang!B16</f>
        <v>焦虑</v>
      </c>
      <c r="N10" s="59">
        <f>M!B7*1</f>
        <v>26.690300000000001</v>
      </c>
      <c r="O10" s="59">
        <f>M!C7*1</f>
        <v>5.9555300000000004</v>
      </c>
      <c r="P10" s="59">
        <f>M!D7*1</f>
        <v>22.313500000000001</v>
      </c>
      <c r="Q10" s="59">
        <f>M!E7*1</f>
        <v>15</v>
      </c>
      <c r="R10" s="59">
        <f>M!F7*1</f>
        <v>10.902100000000001</v>
      </c>
      <c r="S10" s="59">
        <f>M!G7*1</f>
        <v>40</v>
      </c>
      <c r="T10" s="59">
        <f>M!H7*1</f>
        <v>46.105800000000002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10.902100000000001</v>
      </c>
      <c r="D11" s="102">
        <f>N10</f>
        <v>26.690300000000001</v>
      </c>
      <c r="E11" s="103">
        <f>T10</f>
        <v>46.105800000000002</v>
      </c>
      <c r="F11" s="94">
        <f>P10</f>
        <v>22.313500000000001</v>
      </c>
      <c r="G11" s="52" t="str">
        <f>CONCATENATE(M11,"
(20 ~ 50)")</f>
        <v>可疑
(20 ~ 50)</v>
      </c>
      <c r="H11" s="101">
        <f>R11</f>
        <v>19.880500000000001</v>
      </c>
      <c r="I11" s="104">
        <f>N11</f>
        <v>31.759799999999998</v>
      </c>
      <c r="J11" s="101">
        <f>T11</f>
        <v>38.505699999999997</v>
      </c>
      <c r="K11" s="95">
        <f>P11</f>
        <v>11.9969</v>
      </c>
      <c r="L11" s="4"/>
      <c r="M11" s="27" t="str">
        <f>lang!B17</f>
        <v>可疑</v>
      </c>
      <c r="N11" s="59">
        <f>M!B8*1</f>
        <v>31.759799999999998</v>
      </c>
      <c r="O11" s="59">
        <f>M!C8*1</f>
        <v>3.81019</v>
      </c>
      <c r="P11" s="59">
        <f>M!D8*1</f>
        <v>11.9969</v>
      </c>
      <c r="Q11" s="59">
        <f>M!E8*1</f>
        <v>20</v>
      </c>
      <c r="R11" s="59">
        <f>M!F8*1</f>
        <v>19.880500000000001</v>
      </c>
      <c r="S11" s="59">
        <f>M!G8*1</f>
        <v>50</v>
      </c>
      <c r="T11" s="59">
        <f>M!H8*1</f>
        <v>38.505699999999997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39.388599999999997</v>
      </c>
      <c r="D12" s="104">
        <f>N12</f>
        <v>59.555399999999999</v>
      </c>
      <c r="E12" s="101">
        <f>T12</f>
        <v>71.498699999999999</v>
      </c>
      <c r="F12" s="93">
        <f>P12</f>
        <v>8.9821600000000004</v>
      </c>
      <c r="G12" s="52" t="str">
        <f>CONCATENATE(M13,"
(40 ~ 100)")</f>
        <v>自信
(40 ~ 100)</v>
      </c>
      <c r="H12" s="101">
        <f>R13</f>
        <v>64.263499999999993</v>
      </c>
      <c r="I12" s="104">
        <f>N13</f>
        <v>75.575100000000006</v>
      </c>
      <c r="J12" s="101">
        <f>T13</f>
        <v>85.051400000000001</v>
      </c>
      <c r="K12" s="95">
        <f>P13</f>
        <v>6.92387</v>
      </c>
      <c r="L12" s="4"/>
      <c r="M12" s="27" t="str">
        <f>lang!B18</f>
        <v>平衡</v>
      </c>
      <c r="N12" s="59">
        <f>M!B9*1</f>
        <v>59.555399999999999</v>
      </c>
      <c r="O12" s="59">
        <f>M!C9*1</f>
        <v>5.3493700000000004</v>
      </c>
      <c r="P12" s="59">
        <f>M!D9*1</f>
        <v>8.9821600000000004</v>
      </c>
      <c r="Q12" s="59">
        <f>M!E9*1</f>
        <v>50</v>
      </c>
      <c r="R12" s="59">
        <f>M!F9*1</f>
        <v>39.388599999999997</v>
      </c>
      <c r="S12" s="59">
        <f>M!G9*1</f>
        <v>100</v>
      </c>
      <c r="T12" s="59">
        <f>M!H9*1</f>
        <v>71.498699999999999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5.8544</v>
      </c>
      <c r="D13" s="102">
        <f>N14</f>
        <v>15.4414</v>
      </c>
      <c r="E13" s="103">
        <f>T14</f>
        <v>19.883600000000001</v>
      </c>
      <c r="F13" s="94">
        <f>P14</f>
        <v>17.7959</v>
      </c>
      <c r="G13" s="52" t="str">
        <f>CONCATENATE(M15,"
(50 ~ 100)")</f>
        <v>自我调节
(50 ~ 100)</v>
      </c>
      <c r="H13" s="101">
        <f>R15</f>
        <v>59.368899999999996</v>
      </c>
      <c r="I13" s="104">
        <f>N15</f>
        <v>67.9696</v>
      </c>
      <c r="J13" s="101">
        <f>T15</f>
        <v>76.633700000000005</v>
      </c>
      <c r="K13" s="95">
        <f>P15</f>
        <v>6.1156800000000002</v>
      </c>
      <c r="L13" s="4"/>
      <c r="M13" s="27" t="str">
        <f>lang!B19</f>
        <v>自信</v>
      </c>
      <c r="N13" s="59">
        <f>M!B10*1</f>
        <v>75.575100000000006</v>
      </c>
      <c r="O13" s="59">
        <f>M!C10*1</f>
        <v>5.2327199999999996</v>
      </c>
      <c r="P13" s="59">
        <f>M!D10*1</f>
        <v>6.92387</v>
      </c>
      <c r="Q13" s="59">
        <f>M!E10*1</f>
        <v>40</v>
      </c>
      <c r="R13" s="59">
        <f>M!F10*1</f>
        <v>64.263499999999993</v>
      </c>
      <c r="S13" s="59">
        <f>M!G10*1</f>
        <v>100</v>
      </c>
      <c r="T13" s="59">
        <f>M!H10*1</f>
        <v>85.051400000000001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17.845099999999999</v>
      </c>
      <c r="D14" s="106">
        <f>N16</f>
        <v>23.001999999999999</v>
      </c>
      <c r="E14" s="107">
        <f>T16</f>
        <v>29.575800000000001</v>
      </c>
      <c r="F14" s="96">
        <f>P16</f>
        <v>10.5692</v>
      </c>
      <c r="G14" s="112" t="str">
        <f>CONCATENATE(M17,"
(10 ~ 50)")</f>
        <v>神经质
(10 ~ 50)</v>
      </c>
      <c r="H14" s="105">
        <f>R17</f>
        <v>2.16662</v>
      </c>
      <c r="I14" s="106">
        <f>N17</f>
        <v>24.311299999999999</v>
      </c>
      <c r="J14" s="107">
        <f>T17</f>
        <v>30.5563</v>
      </c>
      <c r="K14" s="97">
        <f>P17</f>
        <v>29.291499999999999</v>
      </c>
      <c r="M14" s="27" t="str">
        <f>lang!B20</f>
        <v>活力</v>
      </c>
      <c r="N14" s="59">
        <f>M!B11*1</f>
        <v>15.4414</v>
      </c>
      <c r="O14" s="59">
        <f>M!C11*1</f>
        <v>2.7479399999999998</v>
      </c>
      <c r="P14" s="59">
        <f>M!D11*1</f>
        <v>17.7959</v>
      </c>
      <c r="Q14" s="59">
        <f>M!E11*1</f>
        <v>10</v>
      </c>
      <c r="R14" s="59">
        <f>M!F11*1</f>
        <v>5.8544</v>
      </c>
      <c r="S14" s="59">
        <f>M!G11*1</f>
        <v>50</v>
      </c>
      <c r="T14" s="59">
        <f>M!H11*1</f>
        <v>19.883600000000001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67.9696</v>
      </c>
      <c r="O15" s="59">
        <f>M!C12*1</f>
        <v>4.1567999999999996</v>
      </c>
      <c r="P15" s="59">
        <f>M!D12*1</f>
        <v>6.1156800000000002</v>
      </c>
      <c r="Q15" s="59">
        <f>M!E12*1</f>
        <v>50</v>
      </c>
      <c r="R15" s="59">
        <f>M!F12*1</f>
        <v>59.368899999999996</v>
      </c>
      <c r="S15" s="59">
        <f>M!G12*1</f>
        <v>100</v>
      </c>
      <c r="T15" s="59">
        <f>M!H12*1</f>
        <v>76.633700000000005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23.001999999999999</v>
      </c>
      <c r="O16" s="59">
        <f>M!C13*1</f>
        <v>2.43113</v>
      </c>
      <c r="P16" s="59">
        <f>M!D13*1</f>
        <v>10.5692</v>
      </c>
      <c r="Q16" s="59">
        <f>M!E13*1</f>
        <v>10</v>
      </c>
      <c r="R16" s="59">
        <f>M!F13*1</f>
        <v>17.845099999999999</v>
      </c>
      <c r="S16" s="59">
        <f>M!G13*1</f>
        <v>25</v>
      </c>
      <c r="T16" s="59">
        <f>M!H13*1</f>
        <v>29.575800000000001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24.311299999999999</v>
      </c>
      <c r="O17" s="59">
        <f>M!C14*1</f>
        <v>7.1211500000000001</v>
      </c>
      <c r="P17" s="59">
        <f>M!D14*1</f>
        <v>29.291499999999999</v>
      </c>
      <c r="Q17" s="59">
        <f>M!E14*1</f>
        <v>10</v>
      </c>
      <c r="R17" s="59">
        <f>M!F14*1</f>
        <v>2.16662</v>
      </c>
      <c r="S17" s="59">
        <f>M!G14*1</f>
        <v>50</v>
      </c>
      <c r="T17" s="59">
        <f>M!H14*1</f>
        <v>30.5563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54.635374999999996</v>
      </c>
      <c r="O18" s="22">
        <f>N18/(N18+N19+N20)</f>
        <v>0.49779224935453042</v>
      </c>
      <c r="P18" s="65">
        <f>SUM(P12:P15)/4</f>
        <v>9.9544025000000005</v>
      </c>
      <c r="Q18" s="22">
        <f>P18/(P18+P19+P20)</f>
        <v>0.20437722004735451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31.463350000000002</v>
      </c>
      <c r="O19" s="22">
        <f>N19/(N18+N19+N20)</f>
        <v>0.28666796500854741</v>
      </c>
      <c r="P19" s="18">
        <f>SUM(P8:P11)/4</f>
        <v>18.821275</v>
      </c>
      <c r="Q19" s="22">
        <f>P19/(P18+P19+P20)</f>
        <v>0.38642599214234824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23.656649999999999</v>
      </c>
      <c r="O20" s="22">
        <f>N20/(N18+N19+N20)</f>
        <v>0.21553978563692211</v>
      </c>
      <c r="P20" s="18">
        <f>(P16+P17)/2</f>
        <v>19.930350000000001</v>
      </c>
      <c r="Q20" s="22">
        <f>P20/(P18+P19+P20)</f>
        <v>0.40919678781029717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9.1384500000000257E-2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1.3655134309689974</v>
      </c>
      <c r="D25" s="44" t="str">
        <f>lang!B11</f>
        <v>频率方差</v>
      </c>
      <c r="E25" s="142">
        <f ca="1">FH!L3</f>
        <v>0.65132321375808133</v>
      </c>
      <c r="F25" s="143"/>
      <c r="G25" s="134" t="str">
        <f>lang!B12</f>
        <v>生理变化率</v>
      </c>
      <c r="H25" s="135"/>
      <c r="I25" s="62" t="str">
        <f ca="1">CONCATENATE(info!M7,"-",info!M8)</f>
        <v>26.6-51.4</v>
      </c>
      <c r="J25" s="42" t="str">
        <f>lang!B13</f>
        <v>千卡l/分钟</v>
      </c>
      <c r="K25" s="41" t="str">
        <f ca="1">CONCATENATE(info!M5,"-",info!M6)</f>
        <v>1.9-3.1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39.595200000000006</v>
      </c>
      <c r="F28" s="164"/>
      <c r="G28" s="178" t="str">
        <f>lang!B33</f>
        <v>稳定性</v>
      </c>
      <c r="H28" s="179"/>
      <c r="I28" s="180"/>
      <c r="J28" s="181">
        <f>M!B19*100</f>
        <v>71.315600000000003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43607.386064814818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-3.1957999999999984</v>
      </c>
      <c r="O7" s="59">
        <f t="shared" ref="O7:T7" si="2">AG7-X7</f>
        <v>-4.8930900000000008</v>
      </c>
      <c r="P7" s="59">
        <f t="shared" si="2"/>
        <v>-11.2623</v>
      </c>
      <c r="Q7" s="59">
        <f t="shared" si="2"/>
        <v>0</v>
      </c>
      <c r="R7" s="59">
        <f t="shared" si="2"/>
        <v>19.8125</v>
      </c>
      <c r="S7" s="59">
        <f t="shared" si="2"/>
        <v>0</v>
      </c>
      <c r="T7" s="59">
        <f t="shared" si="2"/>
        <v>-0.93179999999999552</v>
      </c>
      <c r="U7" s="14"/>
      <c r="V7" s="27" t="str">
        <f>M7</f>
        <v>攻击性</v>
      </c>
      <c r="W7" s="59">
        <f>'M1'!B5*1</f>
        <v>37.809699999999999</v>
      </c>
      <c r="X7" s="59">
        <f>'M1'!C5*1</f>
        <v>11.768800000000001</v>
      </c>
      <c r="Y7" s="59">
        <f>'M1'!D5*1</f>
        <v>31.126300000000001</v>
      </c>
      <c r="Z7" s="59">
        <f>'M1'!E5*1</f>
        <v>20</v>
      </c>
      <c r="AA7" s="59">
        <f>'M1'!F5*1</f>
        <v>11.1214</v>
      </c>
      <c r="AB7" s="59">
        <f>'M1'!G5*1</f>
        <v>50</v>
      </c>
      <c r="AC7" s="59">
        <f>'M1'!H5*1</f>
        <v>51.376399999999997</v>
      </c>
      <c r="AE7" s="27" t="str">
        <f>V7</f>
        <v>攻击性</v>
      </c>
      <c r="AF7" s="59">
        <f>'M2'!B5*1</f>
        <v>34.613900000000001</v>
      </c>
      <c r="AG7" s="59">
        <f>'M2'!C5*1</f>
        <v>6.8757099999999998</v>
      </c>
      <c r="AH7" s="59">
        <f>'M2'!D5*1</f>
        <v>19.864000000000001</v>
      </c>
      <c r="AI7" s="59">
        <f>'M2'!E5*1</f>
        <v>20</v>
      </c>
      <c r="AJ7" s="59">
        <f>'M2'!F5*1</f>
        <v>30.933900000000001</v>
      </c>
      <c r="AK7" s="59">
        <f>'M2'!G5*1</f>
        <v>50</v>
      </c>
      <c r="AL7" s="59">
        <f>'M2'!H5*1</f>
        <v>50.444600000000001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-7.2650999999999968</v>
      </c>
      <c r="O8" s="59">
        <f t="shared" ref="O8:O16" si="5">AG8-X8</f>
        <v>1.9845099999999998</v>
      </c>
      <c r="P8" s="59">
        <f t="shared" ref="P8:P16" si="6">AH8-Y8</f>
        <v>10.270229999999998</v>
      </c>
      <c r="Q8" s="59">
        <f t="shared" ref="Q8:Q16" si="7">AI8-Z8</f>
        <v>0</v>
      </c>
      <c r="R8" s="59">
        <f t="shared" ref="R8:R16" si="8">AJ8-AA8</f>
        <v>-0.78100000000000236</v>
      </c>
      <c r="S8" s="59">
        <f t="shared" ref="S8:S16" si="9">AK8-AB8</f>
        <v>0</v>
      </c>
      <c r="T8" s="59">
        <f t="shared" ref="T8:T16" si="10">AL8-AC8</f>
        <v>0.42309999999999803</v>
      </c>
      <c r="U8" s="15"/>
      <c r="V8" s="27" t="str">
        <f t="shared" ref="V8:V16" si="11">M8</f>
        <v>压力</v>
      </c>
      <c r="W8" s="59">
        <f>'M1'!B6*1</f>
        <v>32.842799999999997</v>
      </c>
      <c r="X8" s="59">
        <f>'M1'!C6*1</f>
        <v>2.9038900000000001</v>
      </c>
      <c r="Y8" s="59">
        <f>'M1'!D6*1</f>
        <v>8.8417700000000004</v>
      </c>
      <c r="Z8" s="59">
        <f>'M1'!E6*1</f>
        <v>20</v>
      </c>
      <c r="AA8" s="59">
        <f>'M1'!F6*1</f>
        <v>24.496500000000001</v>
      </c>
      <c r="AB8" s="59">
        <f>'M1'!G6*1</f>
        <v>40</v>
      </c>
      <c r="AC8" s="59">
        <f>'M1'!H6*1</f>
        <v>36.800400000000003</v>
      </c>
      <c r="AE8" s="27" t="str">
        <f t="shared" ref="AE8:AE16" si="12">V8</f>
        <v>压力</v>
      </c>
      <c r="AF8" s="59">
        <f>'M2'!B6*1</f>
        <v>25.5777</v>
      </c>
      <c r="AG8" s="59">
        <f>'M2'!C6*1</f>
        <v>4.8883999999999999</v>
      </c>
      <c r="AH8" s="59">
        <f>'M2'!D6*1</f>
        <v>19.111999999999998</v>
      </c>
      <c r="AI8" s="59">
        <f>'M2'!E6*1</f>
        <v>20</v>
      </c>
      <c r="AJ8" s="59">
        <f>'M2'!F6*1</f>
        <v>23.715499999999999</v>
      </c>
      <c r="AK8" s="59">
        <f>'M2'!G6*1</f>
        <v>40</v>
      </c>
      <c r="AL8" s="59">
        <f>'M2'!H6*1</f>
        <v>37.223500000000001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19.8125</v>
      </c>
      <c r="D9" s="78">
        <f>N7</f>
        <v>-3.1957999999999984</v>
      </c>
      <c r="E9" s="79">
        <f>T7</f>
        <v>-0.93179999999999552</v>
      </c>
      <c r="F9" s="79">
        <f>P7</f>
        <v>-11.2623</v>
      </c>
      <c r="G9" s="80" t="str">
        <f>CONCATENATE(M8,"
(20 ~ 40)")</f>
        <v>压力
(20 ~ 40)</v>
      </c>
      <c r="H9" s="77">
        <f>R8</f>
        <v>-0.78100000000000236</v>
      </c>
      <c r="I9" s="81">
        <f>N8</f>
        <v>-7.2650999999999968</v>
      </c>
      <c r="J9" s="77">
        <f>T8</f>
        <v>0.42309999999999803</v>
      </c>
      <c r="K9" s="82">
        <f>P8</f>
        <v>10.270229999999998</v>
      </c>
      <c r="L9" s="6"/>
      <c r="M9" s="27" t="str">
        <f>lang!B16</f>
        <v>焦虑</v>
      </c>
      <c r="N9" s="59">
        <f t="shared" si="4"/>
        <v>-4.9257000000000026</v>
      </c>
      <c r="O9" s="59">
        <f t="shared" si="5"/>
        <v>-1.1655799999999994</v>
      </c>
      <c r="P9" s="59">
        <f t="shared" si="6"/>
        <v>-0.53009999999999735</v>
      </c>
      <c r="Q9" s="59">
        <f t="shared" si="7"/>
        <v>0</v>
      </c>
      <c r="R9" s="59">
        <f t="shared" si="8"/>
        <v>-6.8692999999999991</v>
      </c>
      <c r="S9" s="59">
        <f t="shared" si="9"/>
        <v>0</v>
      </c>
      <c r="T9" s="59">
        <f t="shared" si="10"/>
        <v>-9.3032000000000039</v>
      </c>
      <c r="U9" s="14"/>
      <c r="V9" s="27" t="str">
        <f t="shared" si="11"/>
        <v>焦虑</v>
      </c>
      <c r="W9" s="59">
        <f>'M1'!B7*1</f>
        <v>29.170300000000001</v>
      </c>
      <c r="X9" s="59">
        <f>'M1'!C7*1</f>
        <v>6.1415499999999996</v>
      </c>
      <c r="Y9" s="59">
        <f>'M1'!D7*1</f>
        <v>21.054099999999998</v>
      </c>
      <c r="Z9" s="59">
        <f>'M1'!E7*1</f>
        <v>15</v>
      </c>
      <c r="AA9" s="59">
        <f>'M1'!F7*1</f>
        <v>17.7714</v>
      </c>
      <c r="AB9" s="59">
        <f>'M1'!G7*1</f>
        <v>40</v>
      </c>
      <c r="AC9" s="59">
        <f>'M1'!H7*1</f>
        <v>46.105800000000002</v>
      </c>
      <c r="AE9" s="27" t="str">
        <f t="shared" si="12"/>
        <v>焦虑</v>
      </c>
      <c r="AF9" s="59">
        <f>'M2'!B7*1</f>
        <v>24.244599999999998</v>
      </c>
      <c r="AG9" s="59">
        <f>'M2'!C7*1</f>
        <v>4.9759700000000002</v>
      </c>
      <c r="AH9" s="59">
        <f>'M2'!D7*1</f>
        <v>20.524000000000001</v>
      </c>
      <c r="AI9" s="59">
        <f>'M2'!E7*1</f>
        <v>15</v>
      </c>
      <c r="AJ9" s="59">
        <f>'M2'!F7*1</f>
        <v>10.902100000000001</v>
      </c>
      <c r="AK9" s="59">
        <f>'M2'!G7*1</f>
        <v>40</v>
      </c>
      <c r="AL9" s="59">
        <f>'M2'!H7*1</f>
        <v>36.802599999999998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-6.8692999999999991</v>
      </c>
      <c r="D10" s="51">
        <f>N9</f>
        <v>-4.9257000000000026</v>
      </c>
      <c r="E10" s="53">
        <f>T9</f>
        <v>-9.3032000000000039</v>
      </c>
      <c r="F10" s="53">
        <f>P9</f>
        <v>-0.53009999999999735</v>
      </c>
      <c r="G10" s="73" t="str">
        <f>CONCATENATE(M10,"
(20 ~ 50)")</f>
        <v>可疑
(20 ~ 50)</v>
      </c>
      <c r="H10" s="24">
        <f>R10</f>
        <v>5.9625999999999983</v>
      </c>
      <c r="I10" s="52">
        <f>N10</f>
        <v>-3.5544999999999973</v>
      </c>
      <c r="J10" s="24">
        <f>T10</f>
        <v>1.955299999999994</v>
      </c>
      <c r="K10" s="25">
        <f>P10</f>
        <v>2.2561</v>
      </c>
      <c r="L10" s="4"/>
      <c r="M10" s="27" t="str">
        <f>lang!B17</f>
        <v>可疑</v>
      </c>
      <c r="N10" s="59">
        <f t="shared" si="4"/>
        <v>-3.5544999999999973</v>
      </c>
      <c r="O10" s="59">
        <f t="shared" si="5"/>
        <v>0.29036999999999979</v>
      </c>
      <c r="P10" s="59">
        <f t="shared" si="6"/>
        <v>2.2561</v>
      </c>
      <c r="Q10" s="59">
        <f t="shared" si="7"/>
        <v>0</v>
      </c>
      <c r="R10" s="59">
        <f t="shared" si="8"/>
        <v>5.9625999999999983</v>
      </c>
      <c r="S10" s="59">
        <f t="shared" si="9"/>
        <v>0</v>
      </c>
      <c r="T10" s="59">
        <f t="shared" si="10"/>
        <v>1.955299999999994</v>
      </c>
      <c r="U10" s="14"/>
      <c r="V10" s="27" t="str">
        <f t="shared" si="11"/>
        <v>可疑</v>
      </c>
      <c r="W10" s="59">
        <f>'M1'!B8*1</f>
        <v>33.453699999999998</v>
      </c>
      <c r="X10" s="59">
        <f>'M1'!C8*1</f>
        <v>3.6158100000000002</v>
      </c>
      <c r="Y10" s="59">
        <f>'M1'!D8*1</f>
        <v>10.808400000000001</v>
      </c>
      <c r="Z10" s="59">
        <f>'M1'!E8*1</f>
        <v>20</v>
      </c>
      <c r="AA10" s="59">
        <f>'M1'!F8*1</f>
        <v>19.880500000000001</v>
      </c>
      <c r="AB10" s="59">
        <f>'M1'!G8*1</f>
        <v>50</v>
      </c>
      <c r="AC10" s="59">
        <f>'M1'!H8*1</f>
        <v>36.550400000000003</v>
      </c>
      <c r="AE10" s="27" t="str">
        <f t="shared" si="12"/>
        <v>可疑</v>
      </c>
      <c r="AF10" s="59">
        <f>'M2'!B8*1</f>
        <v>29.8992</v>
      </c>
      <c r="AG10" s="59">
        <f>'M2'!C8*1</f>
        <v>3.90618</v>
      </c>
      <c r="AH10" s="59">
        <f>'M2'!D8*1</f>
        <v>13.064500000000001</v>
      </c>
      <c r="AI10" s="59">
        <f>'M2'!E8*1</f>
        <v>20</v>
      </c>
      <c r="AJ10" s="59">
        <f>'M2'!F8*1</f>
        <v>25.8431</v>
      </c>
      <c r="AK10" s="59">
        <f>'M2'!G8*1</f>
        <v>50</v>
      </c>
      <c r="AL10" s="59">
        <f>'M2'!H8*1</f>
        <v>38.505699999999997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-8.9267000000000039</v>
      </c>
      <c r="D11" s="52">
        <f>N11</f>
        <v>-0.3930999999999969</v>
      </c>
      <c r="E11" s="24">
        <f>T11</f>
        <v>3.5822000000000003</v>
      </c>
      <c r="F11" s="24">
        <f>P11</f>
        <v>3.7111299999999998</v>
      </c>
      <c r="G11" s="73" t="str">
        <f>CONCATENATE(M12,"
(40 ~ 100)")</f>
        <v>自信
(40 ~ 100)</v>
      </c>
      <c r="H11" s="24">
        <f>R12</f>
        <v>-2.4507000000000119</v>
      </c>
      <c r="I11" s="52">
        <f>N12</f>
        <v>6.0122999999999962</v>
      </c>
      <c r="J11" s="24">
        <f>T12</f>
        <v>-1.8134000000000015</v>
      </c>
      <c r="K11" s="25">
        <f>P12</f>
        <v>2.6229699999999996</v>
      </c>
      <c r="L11" s="4"/>
      <c r="M11" s="27" t="str">
        <f>lang!B18</f>
        <v>平衡</v>
      </c>
      <c r="N11" s="59">
        <f t="shared" si="4"/>
        <v>-0.3930999999999969</v>
      </c>
      <c r="O11" s="59">
        <f t="shared" si="5"/>
        <v>2.1704999999999997</v>
      </c>
      <c r="P11" s="59">
        <f t="shared" si="6"/>
        <v>3.7111299999999998</v>
      </c>
      <c r="Q11" s="59">
        <f t="shared" si="7"/>
        <v>0</v>
      </c>
      <c r="R11" s="59">
        <f t="shared" si="8"/>
        <v>-8.9267000000000039</v>
      </c>
      <c r="S11" s="59">
        <f t="shared" si="9"/>
        <v>0</v>
      </c>
      <c r="T11" s="59">
        <f t="shared" si="10"/>
        <v>3.5822000000000003</v>
      </c>
      <c r="U11" s="14"/>
      <c r="V11" s="27" t="str">
        <f t="shared" si="11"/>
        <v>平衡</v>
      </c>
      <c r="W11" s="59">
        <f>'M1'!B9*1</f>
        <v>59.615099999999998</v>
      </c>
      <c r="X11" s="59">
        <f>'M1'!C9*1</f>
        <v>4.1453100000000003</v>
      </c>
      <c r="Y11" s="59">
        <f>'M1'!D9*1</f>
        <v>6.9534700000000003</v>
      </c>
      <c r="Z11" s="59">
        <f>'M1'!E9*1</f>
        <v>50</v>
      </c>
      <c r="AA11" s="59">
        <f>'M1'!F9*1</f>
        <v>48.315300000000001</v>
      </c>
      <c r="AB11" s="59">
        <f>'M1'!G9*1</f>
        <v>100</v>
      </c>
      <c r="AC11" s="59">
        <f>'M1'!H9*1</f>
        <v>67.916499999999999</v>
      </c>
      <c r="AE11" s="27" t="str">
        <f t="shared" si="12"/>
        <v>平衡</v>
      </c>
      <c r="AF11" s="59">
        <f>'M2'!B9*1</f>
        <v>59.222000000000001</v>
      </c>
      <c r="AG11" s="59">
        <f>'M2'!C9*1</f>
        <v>6.3158099999999999</v>
      </c>
      <c r="AH11" s="59">
        <f>'M2'!D9*1</f>
        <v>10.6646</v>
      </c>
      <c r="AI11" s="59">
        <f>'M2'!E9*1</f>
        <v>50</v>
      </c>
      <c r="AJ11" s="59">
        <f>'M2'!F9*1</f>
        <v>39.388599999999997</v>
      </c>
      <c r="AK11" s="59">
        <f>'M2'!G9*1</f>
        <v>100</v>
      </c>
      <c r="AL11" s="59">
        <f>'M2'!H9*1</f>
        <v>71.498699999999999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7.5731999999999999</v>
      </c>
      <c r="D12" s="51">
        <f>N13</f>
        <v>0.88870000000000005</v>
      </c>
      <c r="E12" s="53">
        <f>T13</f>
        <v>-1.241500000000002</v>
      </c>
      <c r="F12" s="53">
        <f>P13</f>
        <v>-17.103079999999999</v>
      </c>
      <c r="G12" s="73" t="str">
        <f>CONCATENATE(M14,"
(50 ~ 100)")</f>
        <v>自我调节
(50 ~ 100)</v>
      </c>
      <c r="H12" s="24">
        <f>R14</f>
        <v>-1.0964000000000027</v>
      </c>
      <c r="I12" s="52">
        <f>N14</f>
        <v>2.9688000000000017</v>
      </c>
      <c r="J12" s="24">
        <f>T14</f>
        <v>1.3025000000000091</v>
      </c>
      <c r="K12" s="25">
        <f>P14</f>
        <v>2.7384300000000001</v>
      </c>
      <c r="L12" s="4"/>
      <c r="M12" s="27" t="str">
        <f>lang!B19</f>
        <v>自信</v>
      </c>
      <c r="N12" s="59">
        <f t="shared" si="4"/>
        <v>6.0122999999999962</v>
      </c>
      <c r="O12" s="59">
        <f t="shared" si="5"/>
        <v>2.4305399999999997</v>
      </c>
      <c r="P12" s="59">
        <f t="shared" si="6"/>
        <v>2.6229699999999996</v>
      </c>
      <c r="Q12" s="59">
        <f t="shared" si="7"/>
        <v>0</v>
      </c>
      <c r="R12" s="59">
        <f t="shared" si="8"/>
        <v>-2.4507000000000119</v>
      </c>
      <c r="S12" s="59">
        <f t="shared" si="9"/>
        <v>0</v>
      </c>
      <c r="T12" s="59">
        <f t="shared" si="10"/>
        <v>-1.8134000000000015</v>
      </c>
      <c r="U12" s="15"/>
      <c r="V12" s="27" t="str">
        <f t="shared" si="11"/>
        <v>自信</v>
      </c>
      <c r="W12" s="59">
        <f>'M1'!B10*1</f>
        <v>74.965699999999998</v>
      </c>
      <c r="X12" s="59">
        <f>'M1'!C10*1</f>
        <v>3.8217400000000001</v>
      </c>
      <c r="Y12" s="59">
        <f>'M1'!D10*1</f>
        <v>5.0979900000000002</v>
      </c>
      <c r="Z12" s="59">
        <f>'M1'!E10*1</f>
        <v>40</v>
      </c>
      <c r="AA12" s="59">
        <f>'M1'!F10*1</f>
        <v>66.714200000000005</v>
      </c>
      <c r="AB12" s="59">
        <f>'M1'!G10*1</f>
        <v>100</v>
      </c>
      <c r="AC12" s="59">
        <f>'M1'!H10*1</f>
        <v>85.051400000000001</v>
      </c>
      <c r="AE12" s="27" t="str">
        <f t="shared" si="12"/>
        <v>自信</v>
      </c>
      <c r="AF12" s="59">
        <f>'M2'!B10*1</f>
        <v>80.977999999999994</v>
      </c>
      <c r="AG12" s="59">
        <f>'M2'!C10*1</f>
        <v>6.2522799999999998</v>
      </c>
      <c r="AH12" s="59">
        <f>'M2'!D10*1</f>
        <v>7.7209599999999998</v>
      </c>
      <c r="AI12" s="59">
        <f>'M2'!E10*1</f>
        <v>40</v>
      </c>
      <c r="AJ12" s="59">
        <f>'M2'!F10*1</f>
        <v>64.263499999999993</v>
      </c>
      <c r="AK12" s="59">
        <f>'M2'!G10*1</f>
        <v>100</v>
      </c>
      <c r="AL12" s="59">
        <f>'M2'!H10*1</f>
        <v>83.238</v>
      </c>
    </row>
    <row r="13" spans="2:38" ht="25.5" customHeight="1" thickBot="1">
      <c r="B13" s="72" t="str">
        <f>CONCATENATE(M15,"
(10 ~ 25)")</f>
        <v>抑郁
(10 ~ 25)</v>
      </c>
      <c r="C13" s="54">
        <f>R15</f>
        <v>-1.1575000000000024</v>
      </c>
      <c r="D13" s="55">
        <f>N15</f>
        <v>-0.72739999999999938</v>
      </c>
      <c r="E13" s="56">
        <f>T15</f>
        <v>-1.3918999999999997</v>
      </c>
      <c r="F13" s="56">
        <f>P15</f>
        <v>3.22194</v>
      </c>
      <c r="G13" s="74" t="str">
        <f>CONCATENATE(M16,"
(10 ~ 50)")</f>
        <v>神经质
(10 ~ 50)</v>
      </c>
      <c r="H13" s="54">
        <f>R16</f>
        <v>-0.94612000000000007</v>
      </c>
      <c r="I13" s="55">
        <f>N16</f>
        <v>6.6083999999999996</v>
      </c>
      <c r="J13" s="56">
        <f>T16</f>
        <v>-4.7480000000000011</v>
      </c>
      <c r="K13" s="57">
        <f>P16</f>
        <v>-7.0878999999999976</v>
      </c>
      <c r="M13" s="27" t="str">
        <f>lang!B20</f>
        <v>活力</v>
      </c>
      <c r="N13" s="59">
        <f t="shared" si="4"/>
        <v>0.88870000000000005</v>
      </c>
      <c r="O13" s="59">
        <f t="shared" si="5"/>
        <v>-2.4807499999999996</v>
      </c>
      <c r="P13" s="59">
        <f t="shared" si="6"/>
        <v>-17.103079999999999</v>
      </c>
      <c r="Q13" s="59">
        <f t="shared" si="7"/>
        <v>0</v>
      </c>
      <c r="R13" s="59">
        <f t="shared" si="8"/>
        <v>7.5731999999999999</v>
      </c>
      <c r="S13" s="59">
        <f t="shared" si="9"/>
        <v>0</v>
      </c>
      <c r="T13" s="59">
        <f t="shared" si="10"/>
        <v>-1.241500000000002</v>
      </c>
      <c r="U13" s="14"/>
      <c r="V13" s="27" t="str">
        <f t="shared" si="11"/>
        <v>活力</v>
      </c>
      <c r="W13" s="59">
        <f>'M1'!B11*1</f>
        <v>14.8805</v>
      </c>
      <c r="X13" s="59">
        <f>'M1'!C11*1</f>
        <v>3.6213199999999999</v>
      </c>
      <c r="Y13" s="59">
        <f>'M1'!D11*1</f>
        <v>24.335999999999999</v>
      </c>
      <c r="Z13" s="59">
        <f>'M1'!E11*1</f>
        <v>10</v>
      </c>
      <c r="AA13" s="59">
        <f>'M1'!F11*1</f>
        <v>5.8544</v>
      </c>
      <c r="AB13" s="59">
        <f>'M1'!G11*1</f>
        <v>50</v>
      </c>
      <c r="AC13" s="59">
        <f>'M1'!H11*1</f>
        <v>19.883600000000001</v>
      </c>
      <c r="AE13" s="27" t="str">
        <f t="shared" si="12"/>
        <v>活力</v>
      </c>
      <c r="AF13" s="59">
        <f>'M2'!B11*1</f>
        <v>15.7692</v>
      </c>
      <c r="AG13" s="59">
        <f>'M2'!C11*1</f>
        <v>1.1405700000000001</v>
      </c>
      <c r="AH13" s="59">
        <f>'M2'!D11*1</f>
        <v>7.23292</v>
      </c>
      <c r="AI13" s="59">
        <f>'M2'!E11*1</f>
        <v>10</v>
      </c>
      <c r="AJ13" s="59">
        <f>'M2'!F11*1</f>
        <v>13.4276</v>
      </c>
      <c r="AK13" s="59">
        <f>'M2'!G11*1</f>
        <v>50</v>
      </c>
      <c r="AL13" s="59">
        <f>'M2'!H11*1</f>
        <v>18.642099999999999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2.9688000000000017</v>
      </c>
      <c r="O14" s="59">
        <f t="shared" si="5"/>
        <v>2.0506000000000002</v>
      </c>
      <c r="P14" s="59">
        <f t="shared" si="6"/>
        <v>2.7384300000000001</v>
      </c>
      <c r="Q14" s="59">
        <f t="shared" si="7"/>
        <v>0</v>
      </c>
      <c r="R14" s="59">
        <f t="shared" si="8"/>
        <v>-1.0964000000000027</v>
      </c>
      <c r="S14" s="59">
        <f t="shared" si="9"/>
        <v>0</v>
      </c>
      <c r="T14" s="59">
        <f t="shared" si="10"/>
        <v>1.3025000000000091</v>
      </c>
      <c r="U14" s="14"/>
      <c r="V14" s="27" t="str">
        <f t="shared" si="11"/>
        <v>自我调节</v>
      </c>
      <c r="W14" s="59">
        <f>'M1'!B12*1</f>
        <v>67.088200000000001</v>
      </c>
      <c r="X14" s="59">
        <f>'M1'!C12*1</f>
        <v>2.98583</v>
      </c>
      <c r="Y14" s="59">
        <f>'M1'!D12*1</f>
        <v>4.4506100000000002</v>
      </c>
      <c r="Z14" s="59">
        <f>'M1'!E12*1</f>
        <v>50</v>
      </c>
      <c r="AA14" s="59">
        <f>'M1'!F12*1</f>
        <v>60.465299999999999</v>
      </c>
      <c r="AB14" s="59">
        <f>'M1'!G12*1</f>
        <v>100</v>
      </c>
      <c r="AC14" s="59">
        <f>'M1'!H12*1</f>
        <v>75.331199999999995</v>
      </c>
      <c r="AE14" s="27" t="str">
        <f t="shared" si="12"/>
        <v>自我调节</v>
      </c>
      <c r="AF14" s="59">
        <f>'M2'!B12*1</f>
        <v>70.057000000000002</v>
      </c>
      <c r="AG14" s="59">
        <f>'M2'!C12*1</f>
        <v>5.0364300000000002</v>
      </c>
      <c r="AH14" s="59">
        <f>'M2'!D12*1</f>
        <v>7.1890400000000003</v>
      </c>
      <c r="AI14" s="59">
        <f>'M2'!E12*1</f>
        <v>50</v>
      </c>
      <c r="AJ14" s="59">
        <f>'M2'!F12*1</f>
        <v>59.368899999999996</v>
      </c>
      <c r="AK14" s="59">
        <f>'M2'!G12*1</f>
        <v>100</v>
      </c>
      <c r="AL14" s="59">
        <f>'M2'!H12*1</f>
        <v>76.633700000000005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-0.72739999999999938</v>
      </c>
      <c r="O15" s="59">
        <f t="shared" si="5"/>
        <v>0.66083999999999987</v>
      </c>
      <c r="P15" s="59">
        <f t="shared" si="6"/>
        <v>3.22194</v>
      </c>
      <c r="Q15" s="59">
        <f t="shared" si="7"/>
        <v>0</v>
      </c>
      <c r="R15" s="59">
        <f t="shared" si="8"/>
        <v>-1.1575000000000024</v>
      </c>
      <c r="S15" s="59">
        <f t="shared" si="9"/>
        <v>0</v>
      </c>
      <c r="T15" s="59">
        <f t="shared" si="10"/>
        <v>-1.3918999999999997</v>
      </c>
      <c r="U15" s="14"/>
      <c r="V15" s="27" t="str">
        <f t="shared" si="11"/>
        <v>抑郁</v>
      </c>
      <c r="W15" s="59">
        <f>'M1'!B13*1</f>
        <v>23.231400000000001</v>
      </c>
      <c r="X15" s="59">
        <f>'M1'!C13*1</f>
        <v>2.0509300000000001</v>
      </c>
      <c r="Y15" s="59">
        <f>'M1'!D13*1</f>
        <v>8.8282600000000002</v>
      </c>
      <c r="Z15" s="59">
        <f>'M1'!E13*1</f>
        <v>10</v>
      </c>
      <c r="AA15" s="59">
        <f>'M1'!F13*1</f>
        <v>19.002600000000001</v>
      </c>
      <c r="AB15" s="59">
        <f>'M1'!G13*1</f>
        <v>25</v>
      </c>
      <c r="AC15" s="59">
        <f>'M1'!H13*1</f>
        <v>29.575800000000001</v>
      </c>
      <c r="AE15" s="27" t="str">
        <f t="shared" si="12"/>
        <v>抑郁</v>
      </c>
      <c r="AF15" s="59">
        <f>'M2'!B13*1</f>
        <v>22.504000000000001</v>
      </c>
      <c r="AG15" s="59">
        <f>'M2'!C13*1</f>
        <v>2.71177</v>
      </c>
      <c r="AH15" s="59">
        <f>'M2'!D13*1</f>
        <v>12.0502</v>
      </c>
      <c r="AI15" s="59">
        <f>'M2'!E13*1</f>
        <v>10</v>
      </c>
      <c r="AJ15" s="59">
        <f>'M2'!F13*1</f>
        <v>17.845099999999999</v>
      </c>
      <c r="AK15" s="59">
        <f>'M2'!G13*1</f>
        <v>25</v>
      </c>
      <c r="AL15" s="59">
        <f>'M2'!H13*1</f>
        <v>28.183900000000001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6.6083999999999996</v>
      </c>
      <c r="O16" s="59">
        <f t="shared" si="5"/>
        <v>0.30887000000000064</v>
      </c>
      <c r="P16" s="59">
        <f t="shared" si="6"/>
        <v>-7.0878999999999976</v>
      </c>
      <c r="Q16" s="59">
        <f t="shared" si="7"/>
        <v>0</v>
      </c>
      <c r="R16" s="59">
        <f t="shared" si="8"/>
        <v>-0.94612000000000007</v>
      </c>
      <c r="S16" s="59">
        <f t="shared" si="9"/>
        <v>0</v>
      </c>
      <c r="T16" s="59">
        <f t="shared" si="10"/>
        <v>-4.7480000000000011</v>
      </c>
      <c r="U16" s="15"/>
      <c r="V16" s="27" t="str">
        <f t="shared" si="11"/>
        <v>神经质</v>
      </c>
      <c r="W16" s="59">
        <f>'M1'!B14*1</f>
        <v>20.5093</v>
      </c>
      <c r="X16" s="59">
        <f>'M1'!C14*1</f>
        <v>6.9237599999999997</v>
      </c>
      <c r="Y16" s="59">
        <f>'M1'!D14*1</f>
        <v>33.759099999999997</v>
      </c>
      <c r="Z16" s="59">
        <f>'M1'!E14*1</f>
        <v>10</v>
      </c>
      <c r="AA16" s="59">
        <f>'M1'!F14*1</f>
        <v>3.1127400000000001</v>
      </c>
      <c r="AB16" s="59">
        <f>'M1'!G14*1</f>
        <v>50</v>
      </c>
      <c r="AC16" s="59">
        <f>'M1'!H14*1</f>
        <v>30.5563</v>
      </c>
      <c r="AE16" s="27" t="str">
        <f t="shared" si="12"/>
        <v>神经质</v>
      </c>
      <c r="AF16" s="59">
        <f>'M2'!B14*1</f>
        <v>27.117699999999999</v>
      </c>
      <c r="AG16" s="59">
        <f>'M2'!C14*1</f>
        <v>7.2326300000000003</v>
      </c>
      <c r="AH16" s="59">
        <f>'M2'!D14*1</f>
        <v>26.671199999999999</v>
      </c>
      <c r="AI16" s="59">
        <f>'M2'!E14*1</f>
        <v>10</v>
      </c>
      <c r="AJ16" s="59">
        <f>'M2'!F14*1</f>
        <v>2.16662</v>
      </c>
      <c r="AK16" s="59">
        <f>'M2'!G14*1</f>
        <v>50</v>
      </c>
      <c r="AL16" s="59">
        <f>'M2'!H14*1</f>
        <v>25.808299999999999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2.3691750000000003</v>
      </c>
      <c r="O17" s="22">
        <f>N17/(N17+N18+N19)</f>
        <v>4.1246082869080674</v>
      </c>
      <c r="P17" s="65">
        <f>SUM(P11:P14)/4</f>
        <v>-2.0076374999999995</v>
      </c>
      <c r="Q17" s="22">
        <f>P17/(P17+P18+P19)</f>
        <v>0.53435330378067347</v>
      </c>
      <c r="R17" s="14"/>
      <c r="S17" s="14"/>
      <c r="T17" s="14"/>
      <c r="U17" s="14"/>
      <c r="V17" s="21" t="str">
        <f>M17</f>
        <v>Positive</v>
      </c>
      <c r="W17" s="65">
        <f>SUM(W11:W14)/4</f>
        <v>54.137375000000006</v>
      </c>
      <c r="X17" s="22">
        <f>W17/(W17+W18+W19)</f>
        <v>0.49518828174414614</v>
      </c>
      <c r="Y17" s="65">
        <f>SUM(Y11:Y14)/4</f>
        <v>10.209517499999999</v>
      </c>
      <c r="Z17" s="22">
        <f>Y17/(Y17+Y18+Y19)</f>
        <v>0.20641617691895245</v>
      </c>
      <c r="AA17" s="14"/>
      <c r="AB17" s="14"/>
      <c r="AC17" s="14"/>
      <c r="AE17" s="21" t="str">
        <f>V17</f>
        <v>Positive</v>
      </c>
      <c r="AF17" s="65">
        <f>SUM(AF11:AF14)/4</f>
        <v>56.506550000000004</v>
      </c>
      <c r="AG17" s="22">
        <f>AF17/(AF17+AF18+AF19)</f>
        <v>0.51415748228523339</v>
      </c>
      <c r="AH17" s="65">
        <f>SUM(AH11:AH14)/4</f>
        <v>8.2018799999999992</v>
      </c>
      <c r="AI17" s="22">
        <f>AH17/(AH17+AH18+AH19)</f>
        <v>0.17945766103645205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-4.7352749999999988</v>
      </c>
      <c r="O18" s="22">
        <f>N18/(N17+N18+N19)</f>
        <v>-8.2438631615598634</v>
      </c>
      <c r="P18" s="18">
        <f>SUM(P7:P10)/4</f>
        <v>0.18348250000000021</v>
      </c>
      <c r="Q18" s="22">
        <f>P18/(P17+P18+P19)</f>
        <v>-4.8835748515823972E-2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33.319125</v>
      </c>
      <c r="X18" s="22">
        <f>W18/(W17+W18+W19)</f>
        <v>0.30476616677421875</v>
      </c>
      <c r="Y18" s="18">
        <f>SUM(Y7:Y10)/4</f>
        <v>17.957642499999999</v>
      </c>
      <c r="Z18" s="22">
        <f>Y18/(Y17+Y18+Y19)</f>
        <v>0.36306788360246212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28.583849999999998</v>
      </c>
      <c r="AG18" s="22">
        <f>AF18/(AF17+AF18+AF19)</f>
        <v>0.26008666871395908</v>
      </c>
      <c r="AH18" s="18">
        <f>SUM(AH7:AH10)/4</f>
        <v>18.141124999999999</v>
      </c>
      <c r="AI18" s="22">
        <f>AH18/(AH17+AH18+AH19)</f>
        <v>0.39692897982778419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2.9405000000000001</v>
      </c>
      <c r="O19" s="22">
        <f>N19/(N17+N18+N19)</f>
        <v>5.119254874651797</v>
      </c>
      <c r="P19" s="18">
        <f>(P15+P16)/2</f>
        <v>-1.9329799999999988</v>
      </c>
      <c r="Q19" s="22">
        <f>P19/(P17+P18+P19)</f>
        <v>0.51448244473515048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21.870350000000002</v>
      </c>
      <c r="X19" s="22">
        <f>W19/(W17+W18+W19)</f>
        <v>0.20004555148163511</v>
      </c>
      <c r="Y19" s="18">
        <f>(Y15+Y16)/2</f>
        <v>21.293679999999998</v>
      </c>
      <c r="Z19" s="22">
        <f>Y19/(Y17+Y18+Y19)</f>
        <v>0.43051593947858552</v>
      </c>
      <c r="AA19" s="14"/>
      <c r="AB19" s="14"/>
      <c r="AC19" s="14"/>
      <c r="AE19" s="21" t="str">
        <f t="shared" si="14"/>
        <v>Physiological</v>
      </c>
      <c r="AF19" s="18">
        <f>(AF15+AF16)/2</f>
        <v>24.810850000000002</v>
      </c>
      <c r="AG19" s="22">
        <f>AF19/(AF17+AF18+AF19)</f>
        <v>0.22575584900080756</v>
      </c>
      <c r="AH19" s="18">
        <f>(AH15+AH16)/2</f>
        <v>19.360700000000001</v>
      </c>
      <c r="AI19" s="22">
        <f>AH19/(AH17+AH18+AH19)</f>
        <v>0.42361335913576376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1.35/1.39</v>
      </c>
      <c r="D24" s="44" t="str">
        <f>lang!B11</f>
        <v>频率方差</v>
      </c>
      <c r="E24" s="142" t="str">
        <f ca="1">CONCATENATE(ROUND('FH1'!L3,2),"/",ROUND('FH2'!L3,2))</f>
        <v>0.68/0.63</v>
      </c>
      <c r="F24" s="143"/>
      <c r="G24" s="134" t="str">
        <f>lang!B12</f>
        <v>生理变化率</v>
      </c>
      <c r="H24" s="135"/>
      <c r="I24" s="62" t="str">
        <f ca="1">CONCATENATE(info!M7,"-",info!M8)</f>
        <v>26.6-51.4</v>
      </c>
      <c r="J24" s="42" t="str">
        <f>lang!B13</f>
        <v>千卡l/分钟</v>
      </c>
      <c r="K24" s="41" t="str">
        <f ca="1">CONCATENATE(info!M5,"-",info!M6)</f>
        <v>1.9-3.1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-10.499199999999991</v>
      </c>
      <c r="F27" s="164"/>
      <c r="G27" s="178" t="str">
        <f>lang!B33</f>
        <v>稳定性</v>
      </c>
      <c r="H27" s="179"/>
      <c r="I27" s="180"/>
      <c r="J27" s="181">
        <f>dM!B19*100</f>
        <v>5.6992000000000047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-0.81320146763326873</v>
      </c>
      <c r="C2">
        <f t="array" aca="1" ref="C2" ca="1">CORREL(FT_E02,FT_PH02)</f>
        <v>-0.90573622108304208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1.94655</v>
      </c>
      <c r="G2" s="61">
        <f>IF(FT!B2&lt;&gt;"",FT!B2*100,"")</f>
        <v>51.420699999999997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2.0201199999999999</v>
      </c>
      <c r="G3" s="61">
        <f>IF(FT!B3&lt;&gt;"",FT!B3*100,"")</f>
        <v>50.0501</v>
      </c>
      <c r="H3" s="61">
        <f t="shared" ref="H3:H66" si="1">(IF(F3&lt;&gt;"",1,""))</f>
        <v>1</v>
      </c>
      <c r="I3" t="str">
        <f>IF(FT!B3&lt;&gt;"",FT!E3,"")</f>
        <v>1 [0.385824]</v>
      </c>
      <c r="J3">
        <f>IF(FT!B3&lt;&gt;"",FT!C3,"")</f>
        <v>0.385824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0.32675251351351337</v>
      </c>
      <c r="V3">
        <f ca="1">AVERAGE(OFFSET(FT!B2,info!$L$3/2,0,info!$L$3/2,1))</f>
        <v>0.40327382432432429</v>
      </c>
      <c r="W3">
        <f ca="1">AVERAGE(OFFSET(FT!A2,0,0,info!$L$3/2,1))</f>
        <v>0.28887864864864876</v>
      </c>
      <c r="X3">
        <f ca="1">AVERAGE(OFFSET(FT!A2,info!$L$3/2,0,info!$L$3/2,1))</f>
        <v>0.27401545945945943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2.0923600000000002</v>
      </c>
      <c r="G4" s="61">
        <f>IF(FT!B4&lt;&gt;"",FT!B4*100,"")</f>
        <v>48.826000000000001</v>
      </c>
      <c r="H4" s="61">
        <f t="shared" si="1"/>
        <v>1</v>
      </c>
      <c r="I4" t="str">
        <f>IF(FT!B4&lt;&gt;"",FT!E4,"")</f>
        <v>1 [0.793752]</v>
      </c>
      <c r="J4">
        <f>IF(FT!B4&lt;&gt;"",FT!C4,"")</f>
        <v>0.79375200000000001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15.0425</v>
      </c>
      <c r="V4">
        <f>U4*3</f>
        <v>45.127499999999998</v>
      </c>
      <c r="W4">
        <f>U4</f>
        <v>15.0425</v>
      </c>
      <c r="X4">
        <f>V4</f>
        <v>45.127499999999998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2.1636800000000003</v>
      </c>
      <c r="G5" s="61">
        <f>IF(FT!B5&lt;&gt;"",FT!B5*100,"")</f>
        <v>47.699100000000001</v>
      </c>
      <c r="H5" s="61">
        <f t="shared" si="1"/>
        <v>1</v>
      </c>
      <c r="I5" t="str">
        <f>IF(FT!B5&lt;&gt;"",FT!E5,"")</f>
        <v>1 [1.195689]</v>
      </c>
      <c r="J5">
        <f>IF(FT!B5&lt;&gt;"",FT!C5,"")</f>
        <v>1.1956899999999999</v>
      </c>
      <c r="K5" t="s">
        <v>53</v>
      </c>
      <c r="L5" s="63">
        <f ca="1">MIN(FT_E)</f>
        <v>1.94655</v>
      </c>
      <c r="M5" s="63">
        <f ca="1">ROUND(L5,1)</f>
        <v>1.9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32.675251351351335</v>
      </c>
      <c r="V5">
        <f ca="1">V3*100</f>
        <v>40.327382432432429</v>
      </c>
      <c r="W5">
        <f ca="1">W3*10</f>
        <v>2.8887864864864876</v>
      </c>
      <c r="X5">
        <f ca="1">X3*10</f>
        <v>2.7401545945945944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2.2323299999999997</v>
      </c>
      <c r="G6" s="61">
        <f>IF(FT!B6&lt;&gt;"",FT!B6*100,"")</f>
        <v>46.682600000000001</v>
      </c>
      <c r="H6" s="61">
        <f t="shared" si="1"/>
        <v>1</v>
      </c>
      <c r="I6" t="str">
        <f>IF(FT!B6&lt;&gt;"",FT!E6,"")</f>
        <v>1 [1.605814]</v>
      </c>
      <c r="J6">
        <f>IF(FT!B6&lt;&gt;"",FT!C6,"")</f>
        <v>1.60581</v>
      </c>
      <c r="K6" t="s">
        <v>54</v>
      </c>
      <c r="L6" s="63">
        <f ca="1">MAX(FT_E)</f>
        <v>3.1320199999999998</v>
      </c>
      <c r="M6" s="63">
        <f ca="1">ROUND(L6,1)</f>
        <v>3.1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2.3031299999999999</v>
      </c>
      <c r="G7" s="61">
        <f>IF(FT!B7&lt;&gt;"",FT!B7*100,"")</f>
        <v>45.539200000000001</v>
      </c>
      <c r="H7" s="61">
        <f t="shared" si="1"/>
        <v>1</v>
      </c>
      <c r="I7" t="str">
        <f>IF(FT!B7&lt;&gt;"",FT!E7,"")</f>
        <v>1 [2.007380]</v>
      </c>
      <c r="J7">
        <f>IF(FT!B7&lt;&gt;"",FT!C7,"")</f>
        <v>2.0073799999999999</v>
      </c>
      <c r="K7" t="s">
        <v>55</v>
      </c>
      <c r="L7" s="63">
        <f ca="1">MIN(FT_PH)</f>
        <v>26.553799999999999</v>
      </c>
      <c r="M7" s="63">
        <f ca="1">ROUND(L7,1)</f>
        <v>26.6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9021</v>
      </c>
      <c r="D8" s="61">
        <f>FH!B8*1</f>
        <v>9021</v>
      </c>
      <c r="E8">
        <f t="shared" si="3"/>
        <v>6</v>
      </c>
      <c r="F8" s="61">
        <f>IF(FT!A8&lt;&gt;"",FT!A8*10,"")</f>
        <v>2.3732899999999999</v>
      </c>
      <c r="G8" s="61">
        <f>IF(FT!B8&lt;&gt;"",FT!B8*100,"")</f>
        <v>44.509599999999999</v>
      </c>
      <c r="H8" s="61">
        <f t="shared" si="1"/>
        <v>1</v>
      </c>
      <c r="I8" t="str">
        <f>IF(FT!B8&lt;&gt;"",FT!E8,"")</f>
        <v>1 [2.419606]</v>
      </c>
      <c r="J8">
        <f>IF(FT!B8&lt;&gt;"",FT!C8,"")</f>
        <v>2.41961</v>
      </c>
      <c r="K8" t="s">
        <v>56</v>
      </c>
      <c r="L8" s="63">
        <f ca="1">MAX(FT_PH)</f>
        <v>51.420699999999997</v>
      </c>
      <c r="M8" s="63">
        <f ca="1">ROUND(L8,1)</f>
        <v>51.4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2.44096</v>
      </c>
      <c r="G9" s="61">
        <f>IF(FT!B9&lt;&gt;"",FT!B9*100,"")</f>
        <v>43.544699999999999</v>
      </c>
      <c r="H9" s="61">
        <f t="shared" si="1"/>
        <v>1</v>
      </c>
      <c r="I9" t="str">
        <f>IF(FT!B9&lt;&gt;"",FT!E9,"")</f>
        <v>1 [2.822509]</v>
      </c>
      <c r="J9">
        <f>IF(FT!B9&lt;&gt;"",FT!C9,"")</f>
        <v>2.8225099999999999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15382</v>
      </c>
      <c r="D10" s="61">
        <f>FH!B10*1</f>
        <v>15382</v>
      </c>
      <c r="E10">
        <f t="shared" si="3"/>
        <v>8</v>
      </c>
      <c r="F10" s="61">
        <f>IF(FT!A10&lt;&gt;"",FT!A10*10,"")</f>
        <v>2.5070399999999999</v>
      </c>
      <c r="G10" s="61">
        <f>IF(FT!B10&lt;&gt;"",FT!B10*100,"")</f>
        <v>42.688800000000001</v>
      </c>
      <c r="H10" s="61">
        <f t="shared" si="1"/>
        <v>1</v>
      </c>
      <c r="I10" t="str">
        <f>IF(FT!B10&lt;&gt;"",FT!E10,"")</f>
        <v>1 [3.230229]</v>
      </c>
      <c r="J10">
        <f>IF(FT!B10&lt;&gt;"",FT!C10,"")</f>
        <v>3.2302300000000002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2.5708599999999997</v>
      </c>
      <c r="G11" s="61">
        <f>IF(FT!B11&lt;&gt;"",FT!B11*100,"")</f>
        <v>41.945300000000003</v>
      </c>
      <c r="H11" s="61">
        <f t="shared" si="1"/>
        <v>1</v>
      </c>
      <c r="I11" t="str">
        <f>IF(FT!B11&lt;&gt;"",FT!E11,"")</f>
        <v>1 [3.635479]</v>
      </c>
      <c r="J11">
        <f>IF(FT!B11&lt;&gt;"",FT!C11,"")</f>
        <v>3.6354799999999998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2.6321499999999998</v>
      </c>
      <c r="G12" s="61">
        <f>IF(FT!B12&lt;&gt;"",FT!B12*100,"")</f>
        <v>41.335599999999999</v>
      </c>
      <c r="H12" s="61">
        <f t="shared" si="1"/>
        <v>1</v>
      </c>
      <c r="I12" t="str">
        <f>IF(FT!B12&lt;&gt;"",FT!E12,"")</f>
        <v>1 [4.044071]</v>
      </c>
      <c r="J12">
        <f>IF(FT!B12&lt;&gt;"",FT!C12,"")</f>
        <v>4.0440699999999996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16608</v>
      </c>
      <c r="D13" s="61">
        <f>FH!B13*1</f>
        <v>16608</v>
      </c>
      <c r="E13">
        <f t="shared" si="3"/>
        <v>11</v>
      </c>
      <c r="F13" s="61">
        <f>IF(FT!A13&lt;&gt;"",FT!A13*10,"")</f>
        <v>2.6898899999999997</v>
      </c>
      <c r="G13" s="61">
        <f>IF(FT!B13&lt;&gt;"",FT!B13*100,"")</f>
        <v>40.762300000000003</v>
      </c>
      <c r="H13" s="61">
        <f t="shared" si="1"/>
        <v>1</v>
      </c>
      <c r="I13" t="str">
        <f>IF(FT!B13&lt;&gt;"",FT!E13,"")</f>
        <v>1 [4.448024]</v>
      </c>
      <c r="J13">
        <f>IF(FT!B13&lt;&gt;"",FT!C13,"")</f>
        <v>4.4480199999999996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2.7465800000000002</v>
      </c>
      <c r="G14" s="61">
        <f>IF(FT!B14&lt;&gt;"",FT!B14*100,"")</f>
        <v>40.182600000000001</v>
      </c>
      <c r="H14" s="61">
        <f t="shared" si="1"/>
        <v>1</v>
      </c>
      <c r="I14" t="str">
        <f>IF(FT!B14&lt;&gt;"",FT!E14,"")</f>
        <v>1 [4.857927]</v>
      </c>
      <c r="J14">
        <f>IF(FT!B14&lt;&gt;"",FT!C14,"")</f>
        <v>4.8579299999999996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21657</v>
      </c>
      <c r="D15" s="61">
        <f>FH!B15*1</f>
        <v>21657</v>
      </c>
      <c r="E15">
        <f t="shared" si="3"/>
        <v>13</v>
      </c>
      <c r="F15" s="61">
        <f>IF(FT!A15&lt;&gt;"",FT!A15*10,"")</f>
        <v>2.8014399999999999</v>
      </c>
      <c r="G15" s="61">
        <f>IF(FT!B15&lt;&gt;"",FT!B15*100,"")</f>
        <v>39.511200000000002</v>
      </c>
      <c r="H15" s="61">
        <f t="shared" si="1"/>
        <v>1</v>
      </c>
      <c r="I15" t="str">
        <f>IF(FT!B15&lt;&gt;"",FT!E15,"")</f>
        <v>1 [5.260797]</v>
      </c>
      <c r="J15">
        <f>IF(FT!B15&lt;&gt;"",FT!C15,"")</f>
        <v>5.2607999999999997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2.8540399999999999</v>
      </c>
      <c r="G16" s="61">
        <f>IF(FT!B16&lt;&gt;"",FT!B16*100,"")</f>
        <v>38.756399999999999</v>
      </c>
      <c r="H16" s="61">
        <f t="shared" si="1"/>
        <v>1</v>
      </c>
      <c r="I16" t="str">
        <f>IF(FT!B16&lt;&gt;"",FT!E16,"")</f>
        <v>1 [5.666701]</v>
      </c>
      <c r="J16">
        <f>IF(FT!B16&lt;&gt;"",FT!C16,"")</f>
        <v>5.6666999999999996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2.9027099999999999</v>
      </c>
      <c r="G17" s="61">
        <f>IF(FT!B17&lt;&gt;"",FT!B17*100,"")</f>
        <v>37.9467</v>
      </c>
      <c r="H17" s="61">
        <f t="shared" si="1"/>
        <v>1</v>
      </c>
      <c r="I17" t="str">
        <f>IF(FT!B17&lt;&gt;"",FT!E17,"")</f>
        <v>1 [6.071759]</v>
      </c>
      <c r="J17">
        <f>IF(FT!B17&lt;&gt;"",FT!C17,"")</f>
        <v>6.0717600000000003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35159</v>
      </c>
      <c r="D18" s="61">
        <f>FH!B18*1</f>
        <v>35159</v>
      </c>
      <c r="E18">
        <f t="shared" si="3"/>
        <v>16</v>
      </c>
      <c r="F18" s="61">
        <f>IF(FT!A18&lt;&gt;"",FT!A18*10,"")</f>
        <v>2.9452800000000003</v>
      </c>
      <c r="G18" s="61">
        <f>IF(FT!B18&lt;&gt;"",FT!B18*100,"")</f>
        <v>37.205300000000001</v>
      </c>
      <c r="H18" s="61">
        <f t="shared" si="1"/>
        <v>1</v>
      </c>
      <c r="I18" t="str">
        <f>IF(FT!B18&lt;&gt;"",FT!E18,"")</f>
        <v>1 [6.480618]</v>
      </c>
      <c r="J18">
        <f>IF(FT!B18&lt;&gt;"",FT!C18,"")</f>
        <v>6.48062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2.9814600000000002</v>
      </c>
      <c r="G19" s="61">
        <f>IF(FT!B19&lt;&gt;"",FT!B19*100,"")</f>
        <v>36.581099999999999</v>
      </c>
      <c r="H19" s="61">
        <f t="shared" si="1"/>
        <v>1</v>
      </c>
      <c r="I19" t="str">
        <f>IF(FT!B19&lt;&gt;"",FT!E19,"")</f>
        <v>1 [6.884541]</v>
      </c>
      <c r="J19">
        <f>IF(FT!B19&lt;&gt;"",FT!C19,"")</f>
        <v>6.8845400000000003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3.0120100000000001</v>
      </c>
      <c r="G20" s="61">
        <f>IF(FT!B20&lt;&gt;"",FT!B20*100,"")</f>
        <v>36.016399999999997</v>
      </c>
      <c r="H20" s="61">
        <f t="shared" si="1"/>
        <v>1</v>
      </c>
      <c r="I20" t="str">
        <f>IF(FT!B20&lt;&gt;"",FT!E20,"")</f>
        <v>1 [7.291361]</v>
      </c>
      <c r="J20">
        <f>IF(FT!B20&lt;&gt;"",FT!C20,"")</f>
        <v>7.2913600000000001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45401</v>
      </c>
      <c r="D21" s="61">
        <f>FH!B21*1</f>
        <v>45401</v>
      </c>
      <c r="E21">
        <f t="shared" si="3"/>
        <v>19</v>
      </c>
      <c r="F21" s="61">
        <f>IF(FT!A21&lt;&gt;"",FT!A21*10,"")</f>
        <v>3.0376500000000002</v>
      </c>
      <c r="G21" s="61">
        <f>IF(FT!B21&lt;&gt;"",FT!B21*100,"")</f>
        <v>35.532299999999999</v>
      </c>
      <c r="H21" s="61">
        <f t="shared" si="1"/>
        <v>1</v>
      </c>
      <c r="I21" t="str">
        <f>IF(FT!B21&lt;&gt;"",FT!E21,"")</f>
        <v>1 [7.695246]</v>
      </c>
      <c r="J21">
        <f>IF(FT!B21&lt;&gt;"",FT!C21,"")</f>
        <v>7.6952499999999997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3.0600399999999999</v>
      </c>
      <c r="G22" s="61">
        <f>IF(FT!B22&lt;&gt;"",FT!B22*100,"")</f>
        <v>35.061399999999999</v>
      </c>
      <c r="H22" s="61">
        <f t="shared" si="1"/>
        <v>1</v>
      </c>
      <c r="I22" t="str">
        <f>IF(FT!B22&lt;&gt;"",FT!E22,"")</f>
        <v>1 [8.101405]</v>
      </c>
      <c r="J22">
        <f>IF(FT!B22&lt;&gt;"",FT!C22,"")</f>
        <v>8.1014099999999996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52998</v>
      </c>
      <c r="D23" s="61">
        <f>FH!B23*1</f>
        <v>52998</v>
      </c>
      <c r="E23">
        <f t="shared" si="3"/>
        <v>21</v>
      </c>
      <c r="F23" s="61">
        <f>IF(FT!A23&lt;&gt;"",FT!A23*10,"")</f>
        <v>3.07979</v>
      </c>
      <c r="G23" s="61">
        <f>IF(FT!B23&lt;&gt;"",FT!B23*100,"")</f>
        <v>34.651800000000001</v>
      </c>
      <c r="H23" s="61">
        <f t="shared" si="1"/>
        <v>1</v>
      </c>
      <c r="I23" t="str">
        <f>IF(FT!B23&lt;&gt;"",FT!E23,"")</f>
        <v>1 [8.508093]</v>
      </c>
      <c r="J23">
        <f>IF(FT!B23&lt;&gt;"",FT!C23,"")</f>
        <v>8.5080899999999993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3.0965799999999999</v>
      </c>
      <c r="G24" s="61">
        <f>IF(FT!B24&lt;&gt;"",FT!B24*100,"")</f>
        <v>34.230699999999999</v>
      </c>
      <c r="H24" s="61">
        <f t="shared" si="1"/>
        <v>1</v>
      </c>
      <c r="I24" t="str">
        <f>IF(FT!B24&lt;&gt;"",FT!E24,"")</f>
        <v>1 [8.915995]</v>
      </c>
      <c r="J24">
        <f>IF(FT!B24&lt;&gt;"",FT!C24,"")</f>
        <v>8.9160000000000004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3.1094899999999996</v>
      </c>
      <c r="G25" s="61">
        <f>IF(FT!B25&lt;&gt;"",FT!B25*100,"")</f>
        <v>33.8155</v>
      </c>
      <c r="H25" s="61">
        <f t="shared" si="1"/>
        <v>1</v>
      </c>
      <c r="I25" t="str">
        <f>IF(FT!B25&lt;&gt;"",FT!E25,"")</f>
        <v>1 [9.322029]</v>
      </c>
      <c r="J25">
        <f>IF(FT!B25&lt;&gt;"",FT!C25,"")</f>
        <v>9.3220299999999998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62080</v>
      </c>
      <c r="D26" s="61">
        <f>FH!B26*1</f>
        <v>62080</v>
      </c>
      <c r="E26">
        <f t="shared" si="3"/>
        <v>24</v>
      </c>
      <c r="F26" s="61">
        <f>IF(FT!A26&lt;&gt;"",FT!A26*10,"")</f>
        <v>3.1187500000000004</v>
      </c>
      <c r="G26" s="61">
        <f>IF(FT!B26&lt;&gt;"",FT!B26*100,"")</f>
        <v>33.427399999999999</v>
      </c>
      <c r="H26" s="61">
        <f t="shared" si="1"/>
        <v>1</v>
      </c>
      <c r="I26" t="str">
        <f>IF(FT!B26&lt;&gt;"",FT!E26,"")</f>
        <v>1 [9.727933]</v>
      </c>
      <c r="J26">
        <f>IF(FT!B26&lt;&gt;"",FT!C26,"")</f>
        <v>9.7279300000000006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3.1253399999999996</v>
      </c>
      <c r="G27" s="61">
        <f>IF(FT!B27&lt;&gt;"",FT!B27*100,"")</f>
        <v>33.070399999999999</v>
      </c>
      <c r="H27" s="61">
        <f t="shared" si="1"/>
        <v>1</v>
      </c>
      <c r="I27" t="str">
        <f>IF(FT!B27&lt;&gt;"",FT!E27,"")</f>
        <v>1 [10.134780]</v>
      </c>
      <c r="J27">
        <f>IF(FT!B27&lt;&gt;"",FT!C27,"")</f>
        <v>10.1348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83567</v>
      </c>
      <c r="D28" s="61">
        <f>FH!B28*1</f>
        <v>83567</v>
      </c>
      <c r="E28">
        <f t="shared" si="3"/>
        <v>26</v>
      </c>
      <c r="F28" s="61">
        <f>IF(FT!A28&lt;&gt;"",FT!A28*10,"")</f>
        <v>3.1296400000000002</v>
      </c>
      <c r="G28" s="61">
        <f>IF(FT!B28&lt;&gt;"",FT!B28*100,"")</f>
        <v>32.751100000000001</v>
      </c>
      <c r="H28" s="61">
        <f t="shared" si="1"/>
        <v>1</v>
      </c>
      <c r="I28" t="str">
        <f>IF(FT!B28&lt;&gt;"",FT!E28,"")</f>
        <v>1 [10.540729]</v>
      </c>
      <c r="J28">
        <f>IF(FT!B28&lt;&gt;"",FT!C28,"")</f>
        <v>10.540699999999999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3.1320199999999998</v>
      </c>
      <c r="G29" s="61">
        <f>IF(FT!B29&lt;&gt;"",FT!B29*100,"")</f>
        <v>32.427</v>
      </c>
      <c r="H29" s="61">
        <f t="shared" si="1"/>
        <v>1</v>
      </c>
      <c r="I29" t="str">
        <f>IF(FT!B29&lt;&gt;"",FT!E29,"")</f>
        <v>1 [10.946606]</v>
      </c>
      <c r="J29">
        <f>IF(FT!B29&lt;&gt;"",FT!C29,"")</f>
        <v>10.9466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3.1316600000000001</v>
      </c>
      <c r="G30" s="61">
        <f>IF(FT!B30&lt;&gt;"",FT!B30*100,"")</f>
        <v>32.151400000000002</v>
      </c>
      <c r="H30" s="61">
        <f t="shared" si="1"/>
        <v>1</v>
      </c>
      <c r="I30" t="str">
        <f>IF(FT!B30&lt;&gt;"",FT!E30,"")</f>
        <v>1 [11.353489]</v>
      </c>
      <c r="J30">
        <f>IF(FT!B30&lt;&gt;"",FT!C30,"")</f>
        <v>11.3535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85819</v>
      </c>
      <c r="D31" s="61">
        <f>FH!B31*1</f>
        <v>85819</v>
      </c>
      <c r="E31">
        <f t="shared" si="3"/>
        <v>29</v>
      </c>
      <c r="F31" s="61">
        <f>IF(FT!A31&lt;&gt;"",FT!A31*10,"")</f>
        <v>3.1288100000000001</v>
      </c>
      <c r="G31" s="61">
        <f>IF(FT!B31&lt;&gt;"",FT!B31*100,"")</f>
        <v>31.845099999999999</v>
      </c>
      <c r="H31" s="61">
        <f t="shared" si="1"/>
        <v>1</v>
      </c>
      <c r="I31" t="str">
        <f>IF(FT!B31&lt;&gt;"",FT!E31,"")</f>
        <v>1 [11.762508]</v>
      </c>
      <c r="J31">
        <f>IF(FT!B31&lt;&gt;"",FT!C31,"")</f>
        <v>11.762499999999999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3.12188</v>
      </c>
      <c r="G32" s="61">
        <f>IF(FT!B32&lt;&gt;"",FT!B32*100,"")</f>
        <v>31.554100000000002</v>
      </c>
      <c r="H32" s="61">
        <f t="shared" si="1"/>
        <v>1</v>
      </c>
      <c r="I32" t="str">
        <f>IF(FT!B32&lt;&gt;"",FT!E32,"")</f>
        <v>1 [12.168354]</v>
      </c>
      <c r="J32">
        <f>IF(FT!B32&lt;&gt;"",FT!C32,"")</f>
        <v>12.1684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99554</v>
      </c>
      <c r="D33" s="61">
        <f>FH!B33*1</f>
        <v>99554</v>
      </c>
      <c r="E33">
        <f t="shared" si="3"/>
        <v>31</v>
      </c>
      <c r="F33" s="61">
        <f>IF(FT!A33&lt;&gt;"",FT!A33*10,"")</f>
        <v>3.1110700000000002</v>
      </c>
      <c r="G33" s="61">
        <f>IF(FT!B33&lt;&gt;"",FT!B33*100,"")</f>
        <v>31.244100000000003</v>
      </c>
      <c r="H33" s="61">
        <f t="shared" si="1"/>
        <v>1</v>
      </c>
      <c r="I33" t="str">
        <f>IF(FT!B33&lt;&gt;"",FT!E33,"")</f>
        <v>1 [12.573721]</v>
      </c>
      <c r="J33">
        <f>IF(FT!B33&lt;&gt;"",FT!C33,"")</f>
        <v>12.573700000000001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3.09707</v>
      </c>
      <c r="G34" s="61">
        <f>IF(FT!B34&lt;&gt;"",FT!B34*100,"")</f>
        <v>30.9316</v>
      </c>
      <c r="H34" s="61">
        <f t="shared" si="1"/>
        <v>1</v>
      </c>
      <c r="I34" t="str">
        <f>IF(FT!B34&lt;&gt;"",FT!E34,"")</f>
        <v>1 [12.979345]</v>
      </c>
      <c r="J34">
        <f>IF(FT!B34&lt;&gt;"",FT!C34,"")</f>
        <v>12.9793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3.08223</v>
      </c>
      <c r="G35" s="61">
        <f>IF(FT!B35&lt;&gt;"",FT!B35*100,"")</f>
        <v>30.635200000000001</v>
      </c>
      <c r="H35" s="61">
        <f t="shared" si="1"/>
        <v>1</v>
      </c>
      <c r="I35" t="str">
        <f>IF(FT!B35&lt;&gt;"",FT!E35,"")</f>
        <v>1 [13.384220]</v>
      </c>
      <c r="J35">
        <f>IF(FT!B35&lt;&gt;"",FT!C35,"")</f>
        <v>13.3842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113366</v>
      </c>
      <c r="D36" s="61">
        <f>FH!B36*1</f>
        <v>113366</v>
      </c>
      <c r="E36">
        <f t="shared" si="3"/>
        <v>34</v>
      </c>
      <c r="F36" s="61">
        <f>IF(FT!A36&lt;&gt;"",FT!A36*10,"")</f>
        <v>3.0664200000000004</v>
      </c>
      <c r="G36" s="61">
        <f>IF(FT!B36&lt;&gt;"",FT!B36*100,"")</f>
        <v>30.379899999999999</v>
      </c>
      <c r="H36" s="61">
        <f t="shared" si="1"/>
        <v>1</v>
      </c>
      <c r="I36" t="str">
        <f>IF(FT!B36&lt;&gt;"",FT!E36,"")</f>
        <v>1 [13.793979]</v>
      </c>
      <c r="J36">
        <f>IF(FT!B36&lt;&gt;"",FT!C36,"")</f>
        <v>13.794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3.0492999999999997</v>
      </c>
      <c r="G37" s="61">
        <f>IF(FT!B37&lt;&gt;"",FT!B37*100,"")</f>
        <v>30.152099999999997</v>
      </c>
      <c r="H37" s="61">
        <f t="shared" si="1"/>
        <v>1</v>
      </c>
      <c r="I37" t="str">
        <f>IF(FT!B37&lt;&gt;"",FT!E37,"")</f>
        <v>1 [14.197983]</v>
      </c>
      <c r="J37">
        <f>IF(FT!B37&lt;&gt;"",FT!C37,"")</f>
        <v>14.198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3.0314299999999998</v>
      </c>
      <c r="G38" s="61">
        <f>IF(FT!B38&lt;&gt;"",FT!B38*100,"")</f>
        <v>29.945500000000003</v>
      </c>
      <c r="H38" s="61">
        <f t="shared" si="1"/>
        <v>1</v>
      </c>
      <c r="I38" t="str">
        <f>IF(FT!B38&lt;&gt;"",FT!E38,"")</f>
        <v>1 [14.606048]</v>
      </c>
      <c r="J38">
        <f>IF(FT!B38&lt;&gt;"",FT!C38,"")</f>
        <v>14.606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112718</v>
      </c>
      <c r="D39" s="61">
        <f>FH!B39*1</f>
        <v>112718</v>
      </c>
      <c r="E39">
        <f t="shared" si="3"/>
        <v>37</v>
      </c>
      <c r="F39" s="61">
        <f>IF(FT!A39&lt;&gt;"",FT!A39*10,"")</f>
        <v>3.0110999999999999</v>
      </c>
      <c r="G39" s="61">
        <f>IF(FT!B39&lt;&gt;"",FT!B39*100,"")</f>
        <v>29.696400000000001</v>
      </c>
      <c r="H39" s="61">
        <f t="shared" si="1"/>
        <v>1</v>
      </c>
      <c r="I39" t="str">
        <f>IF(FT!B39&lt;&gt;"",FT!E39,"")</f>
        <v>1 [15.008848]</v>
      </c>
      <c r="J39">
        <f>IF(FT!B39&lt;&gt;"",FT!C39,"")</f>
        <v>15.008800000000001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2.9875499999999997</v>
      </c>
      <c r="G40" s="61">
        <f>IF(FT!B40&lt;&gt;"",FT!B40*100,"")</f>
        <v>29.458499999999997</v>
      </c>
      <c r="H40" s="61">
        <f t="shared" si="1"/>
        <v>1</v>
      </c>
      <c r="I40" t="str">
        <f>IF(FT!B40&lt;&gt;"",FT!E40,"")</f>
        <v>1 [15.416666]</v>
      </c>
      <c r="J40">
        <f>IF(FT!B40&lt;&gt;"",FT!C40,"")</f>
        <v>15.416700000000001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116076</v>
      </c>
      <c r="D41" s="61">
        <f>FH!B41*1</f>
        <v>116076</v>
      </c>
      <c r="E41">
        <f t="shared" si="3"/>
        <v>39</v>
      </c>
      <c r="F41" s="61">
        <f>IF(FT!A41&lt;&gt;"",FT!A41*10,"")</f>
        <v>2.9628500000000004</v>
      </c>
      <c r="G41" s="61">
        <f>IF(FT!B41&lt;&gt;"",FT!B41*100,"")</f>
        <v>29.274000000000001</v>
      </c>
      <c r="H41" s="61">
        <f t="shared" si="1"/>
        <v>1</v>
      </c>
      <c r="I41" t="str">
        <f>IF(FT!B41&lt;&gt;"",FT!E41,"")</f>
        <v>1 [15.823732]</v>
      </c>
      <c r="J41">
        <f>IF(FT!B41&lt;&gt;"",FT!C41,"")</f>
        <v>15.823700000000001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2.93865</v>
      </c>
      <c r="G42" s="61">
        <f>IF(FT!B42&lt;&gt;"",FT!B42*100,"")</f>
        <v>29.200500000000002</v>
      </c>
      <c r="H42" s="61">
        <f t="shared" si="1"/>
        <v>1</v>
      </c>
      <c r="I42" t="str">
        <f>IF(FT!B42&lt;&gt;"",FT!E42,"")</f>
        <v>1 [16.229500]</v>
      </c>
      <c r="J42">
        <f>IF(FT!B42&lt;&gt;"",FT!C42,"")</f>
        <v>16.229500000000002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2.9174699999999998</v>
      </c>
      <c r="G43" s="61">
        <f>IF(FT!B43&lt;&gt;"",FT!B43*100,"")</f>
        <v>29.145500000000002</v>
      </c>
      <c r="H43" s="61">
        <f t="shared" si="1"/>
        <v>1</v>
      </c>
      <c r="I43" t="str">
        <f>IF(FT!B43&lt;&gt;"",FT!E43,"")</f>
        <v>1 [16.635380]</v>
      </c>
      <c r="J43">
        <f>IF(FT!B43&lt;&gt;"",FT!C43,"")</f>
        <v>16.635400000000001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115195</v>
      </c>
      <c r="D44" s="61">
        <f>FH!B44*1</f>
        <v>115195</v>
      </c>
      <c r="E44">
        <f t="shared" si="3"/>
        <v>42</v>
      </c>
      <c r="F44" s="61">
        <f>IF(FT!A44&lt;&gt;"",FT!A44*10,"")</f>
        <v>2.9024200000000002</v>
      </c>
      <c r="G44" s="61">
        <f>IF(FT!B44&lt;&gt;"",FT!B44*100,"")</f>
        <v>29.078199999999999</v>
      </c>
      <c r="H44" s="61">
        <f t="shared" si="1"/>
        <v>1</v>
      </c>
      <c r="I44" t="str">
        <f>IF(FT!B44&lt;&gt;"",FT!E44,"")</f>
        <v>1 [17.040301]</v>
      </c>
      <c r="J44">
        <f>IF(FT!B44&lt;&gt;"",FT!C44,"")</f>
        <v>17.040299999999998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2.8913100000000003</v>
      </c>
      <c r="G45" s="61">
        <f>IF(FT!B45&lt;&gt;"",FT!B45*100,"")</f>
        <v>29.028599999999997</v>
      </c>
      <c r="H45" s="61">
        <f t="shared" si="1"/>
        <v>1</v>
      </c>
      <c r="I45" t="str">
        <f>IF(FT!B45&lt;&gt;"",FT!E45,"")</f>
        <v>1 [17.446578]</v>
      </c>
      <c r="J45">
        <f>IF(FT!B45&lt;&gt;"",FT!C45,"")</f>
        <v>17.4466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121428</v>
      </c>
      <c r="D46" s="61">
        <f>FH!B46*1</f>
        <v>121428</v>
      </c>
      <c r="E46">
        <f t="shared" si="3"/>
        <v>44</v>
      </c>
      <c r="F46" s="61">
        <f>IF(FT!A46&lt;&gt;"",FT!A46*10,"")</f>
        <v>2.8846100000000003</v>
      </c>
      <c r="G46" s="61">
        <f>IF(FT!B46&lt;&gt;"",FT!B46*100,"")</f>
        <v>28.9255</v>
      </c>
      <c r="H46" s="61">
        <f t="shared" si="1"/>
        <v>1</v>
      </c>
      <c r="I46" t="str">
        <f>IF(FT!B46&lt;&gt;"",FT!E46,"")</f>
        <v>1 [17.858101]</v>
      </c>
      <c r="J46">
        <f>IF(FT!B46&lt;&gt;"",FT!C46,"")</f>
        <v>17.8581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2.8803800000000002</v>
      </c>
      <c r="G47" s="61">
        <f>IF(FT!B47&lt;&gt;"",FT!B47*100,"")</f>
        <v>28.772300000000001</v>
      </c>
      <c r="H47" s="61">
        <f t="shared" si="1"/>
        <v>1</v>
      </c>
      <c r="I47" t="str">
        <f>IF(FT!B47&lt;&gt;"",FT!E47,"")</f>
        <v>1 [18.259142]</v>
      </c>
      <c r="J47">
        <f>IF(FT!B47&lt;&gt;"",FT!C47,"")</f>
        <v>18.2591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2.8782999999999999</v>
      </c>
      <c r="G48" s="61">
        <f>IF(FT!B48&lt;&gt;"",FT!B48*100,"")</f>
        <v>28.580400000000001</v>
      </c>
      <c r="H48" s="61">
        <f t="shared" si="1"/>
        <v>1</v>
      </c>
      <c r="I48" t="str">
        <f>IF(FT!B48&lt;&gt;"",FT!E48,"")</f>
        <v>1 [18.666898]</v>
      </c>
      <c r="J48">
        <f>IF(FT!B48&lt;&gt;"",FT!C48,"")</f>
        <v>18.666899999999998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115830</v>
      </c>
      <c r="D49" s="61">
        <f>FH!B49*1</f>
        <v>115830</v>
      </c>
      <c r="E49">
        <f t="shared" si="3"/>
        <v>47</v>
      </c>
      <c r="F49" s="61">
        <f>IF(FT!A49&lt;&gt;"",FT!A49*10,"")</f>
        <v>2.8773999999999997</v>
      </c>
      <c r="G49" s="61">
        <f>IF(FT!B49&lt;&gt;"",FT!B49*100,"")</f>
        <v>28.396000000000001</v>
      </c>
      <c r="H49" s="61">
        <f t="shared" si="1"/>
        <v>1</v>
      </c>
      <c r="I49" t="str">
        <f>IF(FT!B49&lt;&gt;"",FT!E49,"")</f>
        <v>1 [19.073143]</v>
      </c>
      <c r="J49">
        <f>IF(FT!B49&lt;&gt;"",FT!C49,"")</f>
        <v>19.0731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2.8774899999999999</v>
      </c>
      <c r="G50" s="61">
        <f>IF(FT!B50&lt;&gt;"",FT!B50*100,"")</f>
        <v>28.186</v>
      </c>
      <c r="H50" s="61">
        <f t="shared" si="1"/>
        <v>1</v>
      </c>
      <c r="I50" t="str">
        <f>IF(FT!B50&lt;&gt;"",FT!E50,"")</f>
        <v>1 [19.478982]</v>
      </c>
      <c r="J50">
        <f>IF(FT!B50&lt;&gt;"",FT!C50,"")</f>
        <v>19.478999999999999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116667</v>
      </c>
      <c r="D51" s="61">
        <f>FH!B51*1</f>
        <v>116667</v>
      </c>
      <c r="E51">
        <f t="shared" si="3"/>
        <v>49</v>
      </c>
      <c r="F51" s="61">
        <f>IF(FT!A51&lt;&gt;"",FT!A51*10,"")</f>
        <v>2.8783300000000001</v>
      </c>
      <c r="G51" s="61">
        <f>IF(FT!B51&lt;&gt;"",FT!B51*100,"")</f>
        <v>27.9773</v>
      </c>
      <c r="H51" s="61">
        <f t="shared" si="1"/>
        <v>1</v>
      </c>
      <c r="I51" t="str">
        <f>IF(FT!B51&lt;&gt;"",FT!E51,"")</f>
        <v>1 [19.885655]</v>
      </c>
      <c r="J51">
        <f>IF(FT!B51&lt;&gt;"",FT!C51,"")</f>
        <v>19.8857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2.8766999999999996</v>
      </c>
      <c r="G52" s="61">
        <f>IF(FT!B52&lt;&gt;"",FT!B52*100,"")</f>
        <v>27.799299999999999</v>
      </c>
      <c r="H52" s="61">
        <f t="shared" si="1"/>
        <v>1</v>
      </c>
      <c r="I52" t="str">
        <f>IF(FT!B52&lt;&gt;"",FT!E52,"")</f>
        <v>1 [20.291620]</v>
      </c>
      <c r="J52">
        <f>IF(FT!B52&lt;&gt;"",FT!C52,"")</f>
        <v>20.291599999999999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2.8783799999999999</v>
      </c>
      <c r="G53" s="61">
        <f>IF(FT!B53&lt;&gt;"",FT!B53*100,"")</f>
        <v>27.590500000000002</v>
      </c>
      <c r="H53" s="61">
        <f t="shared" si="1"/>
        <v>1</v>
      </c>
      <c r="I53" t="str">
        <f>IF(FT!B53&lt;&gt;"",FT!E53,"")</f>
        <v>1 [20.697640]</v>
      </c>
      <c r="J53">
        <f>IF(FT!B53&lt;&gt;"",FT!C53,"")</f>
        <v>20.697600000000001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126144</v>
      </c>
      <c r="D54" s="61">
        <f>FH!B54*1</f>
        <v>126144</v>
      </c>
      <c r="E54">
        <f t="shared" si="3"/>
        <v>52</v>
      </c>
      <c r="F54" s="61">
        <f>IF(FT!A54&lt;&gt;"",FT!A54*10,"")</f>
        <v>2.88008</v>
      </c>
      <c r="G54" s="61">
        <f>IF(FT!B54&lt;&gt;"",FT!B54*100,"")</f>
        <v>27.385199999999998</v>
      </c>
      <c r="H54" s="61">
        <f t="shared" si="1"/>
        <v>1</v>
      </c>
      <c r="I54" t="str">
        <f>IF(FT!B54&lt;&gt;"",FT!E54,"")</f>
        <v>1 [21.102513]</v>
      </c>
      <c r="J54">
        <f>IF(FT!B54&lt;&gt;"",FT!C54,"")</f>
        <v>21.102499999999999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2.8831899999999999</v>
      </c>
      <c r="G55" s="61">
        <f>IF(FT!B55&lt;&gt;"",FT!B55*100,"")</f>
        <v>27.168599999999998</v>
      </c>
      <c r="H55" s="61">
        <f t="shared" si="1"/>
        <v>1</v>
      </c>
      <c r="I55" t="str">
        <f>IF(FT!B55&lt;&gt;"",FT!E55,"")</f>
        <v>1 [21.508399]</v>
      </c>
      <c r="J55">
        <f>IF(FT!B55&lt;&gt;"",FT!C55,"")</f>
        <v>21.508400000000002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2.8907799999999999</v>
      </c>
      <c r="G56" s="61">
        <f>IF(FT!B56&lt;&gt;"",FT!B56*100,"")</f>
        <v>26.961299999999998</v>
      </c>
      <c r="H56" s="61">
        <f t="shared" si="1"/>
        <v>1</v>
      </c>
      <c r="I56" t="str">
        <f>IF(FT!B56&lt;&gt;"",FT!E56,"")</f>
        <v>1 [21.919205]</v>
      </c>
      <c r="J56">
        <f>IF(FT!B56&lt;&gt;"",FT!C56,"")</f>
        <v>21.9192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121569</v>
      </c>
      <c r="D57" s="61">
        <f>FH!B57*1</f>
        <v>121569</v>
      </c>
      <c r="E57">
        <f t="shared" si="3"/>
        <v>55</v>
      </c>
      <c r="F57" s="61">
        <f>IF(FT!A57&lt;&gt;"",FT!A57*10,"")</f>
        <v>2.8984100000000002</v>
      </c>
      <c r="G57" s="61">
        <f>IF(FT!B57&lt;&gt;"",FT!B57*100,"")</f>
        <v>26.8324</v>
      </c>
      <c r="H57" s="61">
        <f t="shared" si="1"/>
        <v>1</v>
      </c>
      <c r="I57" t="str">
        <f>IF(FT!B57&lt;&gt;"",FT!E57,"")</f>
        <v>1 [22.324199]</v>
      </c>
      <c r="J57">
        <f>IF(FT!B57&lt;&gt;"",FT!C57,"")</f>
        <v>22.324200000000001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2.90909</v>
      </c>
      <c r="G58" s="61">
        <f>IF(FT!B58&lt;&gt;"",FT!B58*100,"")</f>
        <v>26.733800000000002</v>
      </c>
      <c r="H58" s="61">
        <f t="shared" si="1"/>
        <v>1</v>
      </c>
      <c r="I58" t="str">
        <f>IF(FT!B58&lt;&gt;"",FT!E58,"")</f>
        <v>1 [22.728072]</v>
      </c>
      <c r="J58">
        <f>IF(FT!B58&lt;&gt;"",FT!C58,"")</f>
        <v>22.728100000000001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118865</v>
      </c>
      <c r="D59" s="61">
        <f>FH!B59*1</f>
        <v>118865</v>
      </c>
      <c r="E59">
        <f t="shared" si="3"/>
        <v>57</v>
      </c>
      <c r="F59" s="61">
        <f>IF(FT!A59&lt;&gt;"",FT!A59*10,"")</f>
        <v>2.9218600000000001</v>
      </c>
      <c r="G59" s="61">
        <f>IF(FT!B59&lt;&gt;"",FT!B59*100,"")</f>
        <v>26.6633</v>
      </c>
      <c r="H59" s="61">
        <f t="shared" si="1"/>
        <v>1</v>
      </c>
      <c r="I59" t="str">
        <f>IF(FT!B59&lt;&gt;"",FT!E59,"")</f>
        <v>1 [23.132088]</v>
      </c>
      <c r="J59">
        <f>IF(FT!B59&lt;&gt;"",FT!C59,"")</f>
        <v>23.132100000000001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2.93438</v>
      </c>
      <c r="G60" s="61">
        <f>IF(FT!B60&lt;&gt;"",FT!B60*100,"")</f>
        <v>26.633499999999998</v>
      </c>
      <c r="H60" s="61">
        <f t="shared" si="1"/>
        <v>1</v>
      </c>
      <c r="I60" t="str">
        <f>IF(FT!B60&lt;&gt;"",FT!E60,"")</f>
        <v>1 [23.539319]</v>
      </c>
      <c r="J60">
        <f>IF(FT!B60&lt;&gt;"",FT!C60,"")</f>
        <v>23.539300000000001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2.9468899999999998</v>
      </c>
      <c r="G61" s="61">
        <f>IF(FT!B61&lt;&gt;"",FT!B61*100,"")</f>
        <v>26.621099999999998</v>
      </c>
      <c r="H61" s="61">
        <f t="shared" si="1"/>
        <v>1</v>
      </c>
      <c r="I61" t="str">
        <f>IF(FT!B61&lt;&gt;"",FT!E61,"")</f>
        <v>1 [23.945840]</v>
      </c>
      <c r="J61">
        <f>IF(FT!B61&lt;&gt;"",FT!C61,"")</f>
        <v>23.945799999999998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105204</v>
      </c>
      <c r="D62" s="61">
        <f>FH!B62*1</f>
        <v>105204</v>
      </c>
      <c r="E62">
        <f t="shared" si="3"/>
        <v>60</v>
      </c>
      <c r="F62" s="61">
        <f>IF(FT!A62&lt;&gt;"",FT!A62*10,"")</f>
        <v>2.9604999999999997</v>
      </c>
      <c r="G62" s="61">
        <f>IF(FT!B62&lt;&gt;"",FT!B62*100,"")</f>
        <v>26.6052</v>
      </c>
      <c r="H62" s="61">
        <f t="shared" si="1"/>
        <v>1</v>
      </c>
      <c r="I62" t="str">
        <f>IF(FT!B62&lt;&gt;"",FT!E62,"")</f>
        <v>1 [24.358441]</v>
      </c>
      <c r="J62">
        <f>IF(FT!B62&lt;&gt;"",FT!C62,"")</f>
        <v>24.3584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2.9763000000000002</v>
      </c>
      <c r="G63" s="61">
        <f>IF(FT!B63&lt;&gt;"",FT!B63*100,"")</f>
        <v>26.553799999999999</v>
      </c>
      <c r="H63" s="61">
        <f t="shared" si="1"/>
        <v>1</v>
      </c>
      <c r="I63" t="str">
        <f>IF(FT!B63&lt;&gt;"",FT!E63,"")</f>
        <v>1 [24.763599]</v>
      </c>
      <c r="J63">
        <f>IF(FT!B63&lt;&gt;"",FT!C63,"")</f>
        <v>24.7636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106164</v>
      </c>
      <c r="D64" s="61">
        <f>FH!B64*1</f>
        <v>106164</v>
      </c>
      <c r="E64">
        <f t="shared" si="3"/>
        <v>62</v>
      </c>
      <c r="F64" s="61">
        <f>IF(FT!A64&lt;&gt;"",FT!A64*10,"")</f>
        <v>2.9938900000000004</v>
      </c>
      <c r="G64" s="61">
        <f>IF(FT!B64&lt;&gt;"",FT!B64*100,"")</f>
        <v>26.580300000000001</v>
      </c>
      <c r="H64" s="61">
        <f t="shared" si="1"/>
        <v>1</v>
      </c>
      <c r="I64" t="str">
        <f>IF(FT!B64&lt;&gt;"",FT!E64,"")</f>
        <v>1 [25.165625]</v>
      </c>
      <c r="J64">
        <f>IF(FT!B64&lt;&gt;"",FT!C64,"")</f>
        <v>25.165600000000001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3.0174400000000001</v>
      </c>
      <c r="G65" s="61">
        <f>IF(FT!B65&lt;&gt;"",FT!B65*100,"")</f>
        <v>26.6111</v>
      </c>
      <c r="H65" s="61">
        <f t="shared" si="1"/>
        <v>1</v>
      </c>
      <c r="I65" t="str">
        <f>IF(FT!B65&lt;&gt;"",FT!E65,"")</f>
        <v>1 [25.571817]</v>
      </c>
      <c r="J65">
        <f>IF(FT!B65&lt;&gt;"",FT!C65,"")</f>
        <v>25.5718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3.0420799999999999</v>
      </c>
      <c r="G66" s="61">
        <f>IF(FT!B66&lt;&gt;"",FT!B66*100,"")</f>
        <v>26.692</v>
      </c>
      <c r="H66" s="61">
        <f t="shared" si="1"/>
        <v>1</v>
      </c>
      <c r="I66" t="str">
        <f>IF(FT!B66&lt;&gt;"",FT!E66,"")</f>
        <v>1 [25.979394]</v>
      </c>
      <c r="J66">
        <f>IF(FT!B66&lt;&gt;"",FT!C66,"")</f>
        <v>25.979399999999998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99491</v>
      </c>
      <c r="D67" s="61">
        <f>FH!B67*1</f>
        <v>99491</v>
      </c>
      <c r="E67">
        <f t="shared" si="3"/>
        <v>65</v>
      </c>
      <c r="F67" s="61">
        <f>IF(FT!A67&lt;&gt;"",FT!A67*10,"")</f>
        <v>3.0619400000000003</v>
      </c>
      <c r="G67" s="61">
        <f>IF(FT!B67&lt;&gt;"",FT!B67*100,"")</f>
        <v>26.796199999999999</v>
      </c>
      <c r="H67" s="61">
        <f t="shared" ref="H67:H130" si="9">(IF(F67&lt;&gt;"",1,""))</f>
        <v>1</v>
      </c>
      <c r="I67" t="str">
        <f>IF(FT!B67&lt;&gt;"",FT!E67,"")</f>
        <v>1 [26.386341]</v>
      </c>
      <c r="J67">
        <f>IF(FT!B67&lt;&gt;"",FT!C67,"")</f>
        <v>26.386299999999999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3.0789800000000001</v>
      </c>
      <c r="G68" s="61">
        <f>IF(FT!B68&lt;&gt;"",FT!B68*100,"")</f>
        <v>26.847199999999997</v>
      </c>
      <c r="H68" s="61">
        <f t="shared" si="9"/>
        <v>1</v>
      </c>
      <c r="I68" t="str">
        <f>IF(FT!B68&lt;&gt;"",FT!E68,"")</f>
        <v>1 [26.793226]</v>
      </c>
      <c r="J68">
        <f>IF(FT!B68&lt;&gt;"",FT!C68,"")</f>
        <v>26.793199999999999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91535</v>
      </c>
      <c r="D69" s="61">
        <f>FH!B69*1</f>
        <v>91535</v>
      </c>
      <c r="E69">
        <f t="shared" si="11"/>
        <v>67</v>
      </c>
      <c r="F69" s="61">
        <f>IF(FT!A69&lt;&gt;"",FT!A69*10,"")</f>
        <v>3.0942399999999997</v>
      </c>
      <c r="G69" s="61">
        <f>IF(FT!B69&lt;&gt;"",FT!B69*100,"")</f>
        <v>26.850600000000004</v>
      </c>
      <c r="H69" s="61">
        <f t="shared" si="9"/>
        <v>1</v>
      </c>
      <c r="I69" t="str">
        <f>IF(FT!B69&lt;&gt;"",FT!E69,"")</f>
        <v>1 [27.195128]</v>
      </c>
      <c r="J69">
        <f>IF(FT!B69&lt;&gt;"",FT!C69,"")</f>
        <v>27.1951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3.1058699999999999</v>
      </c>
      <c r="G70" s="61">
        <f>IF(FT!B70&lt;&gt;"",FT!B70*100,"")</f>
        <v>26.909100000000002</v>
      </c>
      <c r="H70" s="61">
        <f t="shared" si="9"/>
        <v>1</v>
      </c>
      <c r="I70" t="str">
        <f>IF(FT!B70&lt;&gt;"",FT!E70,"")</f>
        <v>1 [27.604336]</v>
      </c>
      <c r="J70">
        <f>IF(FT!B70&lt;&gt;"",FT!C70,"")</f>
        <v>27.604299999999999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3.11416</v>
      </c>
      <c r="G71" s="61">
        <f>IF(FT!B71&lt;&gt;"",FT!B71*100,"")</f>
        <v>27.005699999999997</v>
      </c>
      <c r="H71" s="61">
        <f t="shared" si="9"/>
        <v>1</v>
      </c>
      <c r="I71" t="str">
        <f>IF(FT!B71&lt;&gt;"",FT!E71,"")</f>
        <v>1 [28.009978]</v>
      </c>
      <c r="J71">
        <f>IF(FT!B71&lt;&gt;"",FT!C71,"")</f>
        <v>28.01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94964</v>
      </c>
      <c r="D72" s="61">
        <f>FH!B72*1</f>
        <v>94964</v>
      </c>
      <c r="E72">
        <f t="shared" si="11"/>
        <v>70</v>
      </c>
      <c r="F72" s="61">
        <f>IF(FT!A72&lt;&gt;"",FT!A72*10,"")</f>
        <v>3.1186399999999996</v>
      </c>
      <c r="G72" s="61">
        <f>IF(FT!B72&lt;&gt;"",FT!B72*100,"")</f>
        <v>27.150500000000001</v>
      </c>
      <c r="H72" s="61">
        <f t="shared" si="9"/>
        <v>1</v>
      </c>
      <c r="I72" t="str">
        <f>IF(FT!B72&lt;&gt;"",FT!E72,"")</f>
        <v>1 [28.416836]</v>
      </c>
      <c r="J72">
        <f>IF(FT!B72&lt;&gt;"",FT!C72,"")</f>
        <v>28.416799999999999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3.1229899999999997</v>
      </c>
      <c r="G73" s="61">
        <f>IF(FT!B73&lt;&gt;"",FT!B73*100,"")</f>
        <v>27.256200000000003</v>
      </c>
      <c r="H73" s="61">
        <f t="shared" si="9"/>
        <v>1</v>
      </c>
      <c r="I73" t="str">
        <f>IF(FT!B73&lt;&gt;"",FT!E73,"")</f>
        <v>1 [28.823046]</v>
      </c>
      <c r="J73">
        <f>IF(FT!B73&lt;&gt;"",FT!C73,"")</f>
        <v>28.823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3.1252499999999999</v>
      </c>
      <c r="G74" s="61">
        <f>IF(FT!B74&lt;&gt;"",FT!B74*100,"")</f>
        <v>27.398</v>
      </c>
      <c r="H74" s="61">
        <f t="shared" si="9"/>
        <v>1</v>
      </c>
      <c r="I74" t="str">
        <f>IF(FT!B74&lt;&gt;"",FT!E74,"")</f>
        <v>1 [29.229680]</v>
      </c>
      <c r="J74">
        <f>IF(FT!B74&lt;&gt;"",FT!C74,"")</f>
        <v>29.229700000000001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89940</v>
      </c>
      <c r="D75" s="61">
        <f>FH!B75*1</f>
        <v>89940</v>
      </c>
      <c r="E75">
        <f t="shared" si="11"/>
        <v>73</v>
      </c>
      <c r="F75" s="61">
        <f>IF(FT!A75&lt;&gt;"",FT!A75*10,"")</f>
        <v>3.1252499999999999</v>
      </c>
      <c r="G75" s="61">
        <f>IF(FT!B75&lt;&gt;"",FT!B75*100,"")</f>
        <v>27.594200000000001</v>
      </c>
      <c r="H75" s="61">
        <f t="shared" si="9"/>
        <v>1</v>
      </c>
      <c r="I75" t="str">
        <f>IF(FT!B75&lt;&gt;"",FT!E75,"")</f>
        <v>1 [29.633628]</v>
      </c>
      <c r="J75">
        <f>IF(FT!B75&lt;&gt;"",FT!C75,"")</f>
        <v>29.633600000000001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3.1227899999999997</v>
      </c>
      <c r="G76" s="61">
        <f>IF(FT!B76&lt;&gt;"",FT!B76*100,"")</f>
        <v>27.806100000000001</v>
      </c>
      <c r="H76" s="61">
        <f t="shared" si="9"/>
        <v>1</v>
      </c>
      <c r="I76" t="str">
        <f>IF(FT!B76&lt;&gt;"",FT!E76,"")</f>
        <v>1 [30.044592]</v>
      </c>
      <c r="J76">
        <f>IF(FT!B76&lt;&gt;"",FT!C76,"")</f>
        <v>30.044599999999999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87314</v>
      </c>
      <c r="D77" s="61">
        <f>FH!B77*1</f>
        <v>87314</v>
      </c>
      <c r="E77">
        <f t="shared" si="11"/>
        <v>75</v>
      </c>
      <c r="F77" s="61">
        <f>IF(FT!A77&lt;&gt;"",FT!A77*10,"")</f>
        <v>3.1145</v>
      </c>
      <c r="G77" s="61">
        <f>IF(FT!B77&lt;&gt;"",FT!B77*100,"")</f>
        <v>28.091899999999999</v>
      </c>
      <c r="H77" s="61">
        <f t="shared" si="9"/>
        <v>1</v>
      </c>
      <c r="I77" t="str">
        <f>IF(FT!B77&lt;&gt;"",FT!E77,"")</f>
        <v>2 [30.638456]</v>
      </c>
      <c r="J77">
        <f>IF(FT!B77&lt;&gt;"",FT!C77,"")</f>
        <v>30.638500000000001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3.1079600000000003</v>
      </c>
      <c r="G78" s="61">
        <f>IF(FT!B78&lt;&gt;"",FT!B78*100,"")</f>
        <v>28.314099999999996</v>
      </c>
      <c r="H78" s="61">
        <f t="shared" si="9"/>
        <v>1</v>
      </c>
      <c r="I78" t="str">
        <f>IF(FT!B78&lt;&gt;"",FT!E78,"")</f>
        <v>2 [31.009985]</v>
      </c>
      <c r="J78">
        <f>IF(FT!B78&lt;&gt;"",FT!C78,"")</f>
        <v>31.01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3.1000399999999999</v>
      </c>
      <c r="G79" s="61">
        <f>IF(FT!B79&lt;&gt;"",FT!B79*100,"")</f>
        <v>28.5578</v>
      </c>
      <c r="H79" s="61">
        <f t="shared" si="9"/>
        <v>1</v>
      </c>
      <c r="I79" t="str">
        <f>IF(FT!B79&lt;&gt;"",FT!E79,"")</f>
        <v>2 [31.384935]</v>
      </c>
      <c r="J79">
        <f>IF(FT!B79&lt;&gt;"",FT!C79,"")</f>
        <v>31.384899999999998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79089</v>
      </c>
      <c r="D80" s="61">
        <f>FH!B80*1</f>
        <v>79089</v>
      </c>
      <c r="E80">
        <f t="shared" si="11"/>
        <v>78</v>
      </c>
      <c r="F80" s="61">
        <f>IF(FT!A80&lt;&gt;"",FT!A80*10,"")</f>
        <v>3.0876999999999999</v>
      </c>
      <c r="G80" s="61">
        <f>IF(FT!B80&lt;&gt;"",FT!B80*100,"")</f>
        <v>28.812500000000004</v>
      </c>
      <c r="H80" s="61">
        <f t="shared" si="9"/>
        <v>1</v>
      </c>
      <c r="I80" t="str">
        <f>IF(FT!B80&lt;&gt;"",FT!E80,"")</f>
        <v>2 [31.757232]</v>
      </c>
      <c r="J80">
        <f>IF(FT!B80&lt;&gt;"",FT!C80,"")</f>
        <v>31.757200000000001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3.07226</v>
      </c>
      <c r="G81" s="61">
        <f>IF(FT!B81&lt;&gt;"",FT!B81*100,"")</f>
        <v>29.081000000000003</v>
      </c>
      <c r="H81" s="61">
        <f t="shared" si="9"/>
        <v>1</v>
      </c>
      <c r="I81" t="str">
        <f>IF(FT!B81&lt;&gt;"",FT!E81,"")</f>
        <v>2 [32.133920]</v>
      </c>
      <c r="J81">
        <f>IF(FT!B81&lt;&gt;"",FT!C81,"")</f>
        <v>32.133899999999997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81119</v>
      </c>
      <c r="D82" s="61">
        <f>FH!B82*1</f>
        <v>81119</v>
      </c>
      <c r="E82">
        <f t="shared" si="11"/>
        <v>80</v>
      </c>
      <c r="F82" s="61">
        <f>IF(FT!A82&lt;&gt;"",FT!A82*10,"")</f>
        <v>3.0563699999999998</v>
      </c>
      <c r="G82" s="61">
        <f>IF(FT!B82&lt;&gt;"",FT!B82*100,"")</f>
        <v>29.367700000000003</v>
      </c>
      <c r="H82" s="61">
        <f t="shared" si="9"/>
        <v>1</v>
      </c>
      <c r="I82" t="str">
        <f>IF(FT!B82&lt;&gt;"",FT!E82,"")</f>
        <v>2 [32.542906]</v>
      </c>
      <c r="J82">
        <f>IF(FT!B82&lt;&gt;"",FT!C82,"")</f>
        <v>32.542900000000003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3.03647</v>
      </c>
      <c r="G83" s="61">
        <f>IF(FT!B83&lt;&gt;"",FT!B83*100,"")</f>
        <v>29.697299999999998</v>
      </c>
      <c r="H83" s="61">
        <f t="shared" si="9"/>
        <v>1</v>
      </c>
      <c r="I83" t="str">
        <f>IF(FT!B83&lt;&gt;"",FT!E83,"")</f>
        <v>2 [32.948125]</v>
      </c>
      <c r="J83">
        <f>IF(FT!B83&lt;&gt;"",FT!C83,"")</f>
        <v>32.948099999999997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3.0152600000000001</v>
      </c>
      <c r="G84" s="61">
        <f>IF(FT!B84&lt;&gt;"",FT!B84*100,"")</f>
        <v>30.068200000000001</v>
      </c>
      <c r="H84" s="61">
        <f t="shared" si="9"/>
        <v>1</v>
      </c>
      <c r="I84" t="str">
        <f>IF(FT!B84&lt;&gt;"",FT!E84,"")</f>
        <v>2 [33.352678]</v>
      </c>
      <c r="J84">
        <f>IF(FT!B84&lt;&gt;"",FT!C84,"")</f>
        <v>33.352699999999999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82486</v>
      </c>
      <c r="D85" s="61">
        <f>FH!B85*1</f>
        <v>82486</v>
      </c>
      <c r="E85">
        <f t="shared" si="11"/>
        <v>83</v>
      </c>
      <c r="F85" s="61">
        <f>IF(FT!A85&lt;&gt;"",FT!A85*10,"")</f>
        <v>2.9940600000000002</v>
      </c>
      <c r="G85" s="61">
        <f>IF(FT!B85&lt;&gt;"",FT!B85*100,"")</f>
        <v>30.429600000000001</v>
      </c>
      <c r="H85" s="61">
        <f t="shared" si="9"/>
        <v>1</v>
      </c>
      <c r="I85" t="str">
        <f>IF(FT!B85&lt;&gt;"",FT!E85,"")</f>
        <v>2 [33.760611]</v>
      </c>
      <c r="J85">
        <f>IF(FT!B85&lt;&gt;"",FT!C85,"")</f>
        <v>33.760599999999997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2.9723699999999997</v>
      </c>
      <c r="G86" s="61">
        <f>IF(FT!B86&lt;&gt;"",FT!B86*100,"")</f>
        <v>30.819299999999998</v>
      </c>
      <c r="H86" s="61">
        <f t="shared" si="9"/>
        <v>1</v>
      </c>
      <c r="I86" t="str">
        <f>IF(FT!B86&lt;&gt;"",FT!E86,"")</f>
        <v>2 [34.167594]</v>
      </c>
      <c r="J86">
        <f>IF(FT!B86&lt;&gt;"",FT!C86,"")</f>
        <v>34.1676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2.9473700000000003</v>
      </c>
      <c r="G87" s="61">
        <f>IF(FT!B87&lt;&gt;"",FT!B87*100,"")</f>
        <v>31.248100000000001</v>
      </c>
      <c r="H87" s="61">
        <f t="shared" si="9"/>
        <v>1</v>
      </c>
      <c r="I87" t="str">
        <f>IF(FT!B87&lt;&gt;"",FT!E87,"")</f>
        <v>2 [34.571477]</v>
      </c>
      <c r="J87">
        <f>IF(FT!B87&lt;&gt;"",FT!C87,"")</f>
        <v>34.5715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87377</v>
      </c>
      <c r="D88" s="61">
        <f>FH!B88*1</f>
        <v>87377</v>
      </c>
      <c r="E88">
        <f t="shared" si="11"/>
        <v>86</v>
      </c>
      <c r="F88" s="61">
        <f>IF(FT!A88&lt;&gt;"",FT!A88*10,"")</f>
        <v>2.91927</v>
      </c>
      <c r="G88" s="61">
        <f>IF(FT!B88&lt;&gt;"",FT!B88*100,"")</f>
        <v>31.769199999999998</v>
      </c>
      <c r="H88" s="61">
        <f t="shared" si="9"/>
        <v>1</v>
      </c>
      <c r="I88" t="str">
        <f>IF(FT!B88&lt;&gt;"",FT!E88,"")</f>
        <v>2 [34.977485]</v>
      </c>
      <c r="J88">
        <f>IF(FT!B88&lt;&gt;"",FT!C88,"")</f>
        <v>34.977499999999999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2.8870299999999998</v>
      </c>
      <c r="G89" s="61">
        <f>IF(FT!B89&lt;&gt;"",FT!B89*100,"")</f>
        <v>32.440400000000004</v>
      </c>
      <c r="H89" s="61">
        <f t="shared" si="9"/>
        <v>1</v>
      </c>
      <c r="I89" t="str">
        <f>IF(FT!B89&lt;&gt;"",FT!E89,"")</f>
        <v>2 [35.388279]</v>
      </c>
      <c r="J89">
        <f>IF(FT!B89&lt;&gt;"",FT!C89,"")</f>
        <v>35.388300000000001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81007</v>
      </c>
      <c r="D90" s="61">
        <f>FH!B90*1</f>
        <v>81007</v>
      </c>
      <c r="E90">
        <f t="shared" si="11"/>
        <v>88</v>
      </c>
      <c r="F90" s="61">
        <f>IF(FT!A90&lt;&gt;"",FT!A90*10,"")</f>
        <v>2.8490700000000002</v>
      </c>
      <c r="G90" s="61">
        <f>IF(FT!B90&lt;&gt;"",FT!B90*100,"")</f>
        <v>33.273699999999998</v>
      </c>
      <c r="H90" s="61">
        <f t="shared" si="9"/>
        <v>1</v>
      </c>
      <c r="I90" t="str">
        <f>IF(FT!B90&lt;&gt;"",FT!E90,"")</f>
        <v>2 [35.795294]</v>
      </c>
      <c r="J90">
        <f>IF(FT!B90&lt;&gt;"",FT!C90,"")</f>
        <v>35.795299999999997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2.81209</v>
      </c>
      <c r="G91" s="61">
        <f>IF(FT!B91&lt;&gt;"",FT!B91*100,"")</f>
        <v>34.185000000000002</v>
      </c>
      <c r="H91" s="61">
        <f t="shared" si="9"/>
        <v>1</v>
      </c>
      <c r="I91" t="str">
        <f>IF(FT!B91&lt;&gt;"",FT!E91,"")</f>
        <v>2 [36.197068]</v>
      </c>
      <c r="J91">
        <f>IF(FT!B91&lt;&gt;"",FT!C91,"")</f>
        <v>36.197099999999999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2.7794999999999996</v>
      </c>
      <c r="G92" s="61">
        <f>IF(FT!B92&lt;&gt;"",FT!B92*100,"")</f>
        <v>35.069400000000002</v>
      </c>
      <c r="H92" s="61">
        <f t="shared" si="9"/>
        <v>1</v>
      </c>
      <c r="I92" t="str">
        <f>IF(FT!B92&lt;&gt;"",FT!E92,"")</f>
        <v>2 [36.604988]</v>
      </c>
      <c r="J92">
        <f>IF(FT!B92&lt;&gt;"",FT!C92,"")</f>
        <v>36.604999999999997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84702</v>
      </c>
      <c r="D93" s="61">
        <f>FH!B93*1</f>
        <v>84702</v>
      </c>
      <c r="E93">
        <f t="shared" si="11"/>
        <v>91</v>
      </c>
      <c r="F93" s="61">
        <f>IF(FT!A93&lt;&gt;"",FT!A93*10,"")</f>
        <v>2.74912</v>
      </c>
      <c r="G93" s="61">
        <f>IF(FT!B93&lt;&gt;"",FT!B93*100,"")</f>
        <v>36.054700000000004</v>
      </c>
      <c r="H93" s="61">
        <f t="shared" si="9"/>
        <v>1</v>
      </c>
      <c r="I93" t="str">
        <f>IF(FT!B93&lt;&gt;"",FT!E93,"")</f>
        <v>2 [37.007288]</v>
      </c>
      <c r="J93">
        <f>IF(FT!B93&lt;&gt;"",FT!C93,"")</f>
        <v>37.007300000000001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2.72105</v>
      </c>
      <c r="G94" s="61">
        <f>IF(FT!B94&lt;&gt;"",FT!B94*100,"")</f>
        <v>36.9681</v>
      </c>
      <c r="H94" s="61">
        <f t="shared" si="9"/>
        <v>1</v>
      </c>
      <c r="I94" t="str">
        <f>IF(FT!B94&lt;&gt;"",FT!E94,"")</f>
        <v>2 [37.414925]</v>
      </c>
      <c r="J94">
        <f>IF(FT!B94&lt;&gt;"",FT!C94,"")</f>
        <v>37.414900000000003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84803</v>
      </c>
      <c r="D95" s="61">
        <f>FH!B95*1</f>
        <v>84803</v>
      </c>
      <c r="E95">
        <f t="shared" si="11"/>
        <v>93</v>
      </c>
      <c r="F95" s="61">
        <f>IF(FT!A95&lt;&gt;"",FT!A95*10,"")</f>
        <v>2.6990999999999996</v>
      </c>
      <c r="G95" s="61">
        <f>IF(FT!B95&lt;&gt;"",FT!B95*100,"")</f>
        <v>37.755300000000005</v>
      </c>
      <c r="H95" s="61">
        <f t="shared" si="9"/>
        <v>1</v>
      </c>
      <c r="I95" t="str">
        <f>IF(FT!B95&lt;&gt;"",FT!E95,"")</f>
        <v>2 [37.826744]</v>
      </c>
      <c r="J95">
        <f>IF(FT!B95&lt;&gt;"",FT!C95,"")</f>
        <v>37.826700000000002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2.6802299999999999</v>
      </c>
      <c r="G96" s="61">
        <f>IF(FT!B96&lt;&gt;"",FT!B96*100,"")</f>
        <v>38.520400000000002</v>
      </c>
      <c r="H96" s="61">
        <f t="shared" si="9"/>
        <v>1</v>
      </c>
      <c r="I96" t="str">
        <f>IF(FT!B96&lt;&gt;"",FT!E96,"")</f>
        <v>2 [38.230695]</v>
      </c>
      <c r="J96">
        <f>IF(FT!B96&lt;&gt;"",FT!C96,"")</f>
        <v>38.230699999999999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2.6600200000000003</v>
      </c>
      <c r="G97" s="61">
        <f>IF(FT!B97&lt;&gt;"",FT!B97*100,"")</f>
        <v>39.297800000000002</v>
      </c>
      <c r="H97" s="61">
        <f t="shared" si="9"/>
        <v>1</v>
      </c>
      <c r="I97" t="str">
        <f>IF(FT!B97&lt;&gt;"",FT!E97,"")</f>
        <v>2 [38.635589]</v>
      </c>
      <c r="J97">
        <f>IF(FT!B97&lt;&gt;"",FT!C97,"")</f>
        <v>38.635599999999997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86516</v>
      </c>
      <c r="D98" s="61">
        <f>FH!B98*1</f>
        <v>86516</v>
      </c>
      <c r="E98">
        <f t="shared" si="11"/>
        <v>96</v>
      </c>
      <c r="F98" s="61">
        <f>IF(FT!A98&lt;&gt;"",FT!A98*10,"")</f>
        <v>2.6418699999999999</v>
      </c>
      <c r="G98" s="61">
        <f>IF(FT!B98&lt;&gt;"",FT!B98*100,"")</f>
        <v>40.024300000000004</v>
      </c>
      <c r="H98" s="61">
        <f t="shared" si="9"/>
        <v>1</v>
      </c>
      <c r="I98" t="str">
        <f>IF(FT!B98&lt;&gt;"",FT!E98,"")</f>
        <v>2 [39.039838]</v>
      </c>
      <c r="J98">
        <f>IF(FT!B98&lt;&gt;"",FT!C98,"")</f>
        <v>39.0398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2.6247599999999998</v>
      </c>
      <c r="G99" s="61">
        <f>IF(FT!B99&lt;&gt;"",FT!B99*100,"")</f>
        <v>40.719699999999996</v>
      </c>
      <c r="H99" s="61">
        <f t="shared" si="9"/>
        <v>1</v>
      </c>
      <c r="I99" t="str">
        <f>IF(FT!B99&lt;&gt;"",FT!E99,"")</f>
        <v>2 [39.444457]</v>
      </c>
      <c r="J99">
        <f>IF(FT!B99&lt;&gt;"",FT!C99,"")</f>
        <v>39.444499999999998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85787</v>
      </c>
      <c r="D100" s="61">
        <f>FH!B100*1</f>
        <v>85787</v>
      </c>
      <c r="E100">
        <f t="shared" si="11"/>
        <v>98</v>
      </c>
      <c r="F100" s="61">
        <f>IF(FT!A100&lt;&gt;"",FT!A100*10,"")</f>
        <v>2.6113300000000002</v>
      </c>
      <c r="G100" s="61">
        <f>IF(FT!B100&lt;&gt;"",FT!B100*100,"")</f>
        <v>41.373699999999999</v>
      </c>
      <c r="H100" s="61">
        <f t="shared" si="9"/>
        <v>1</v>
      </c>
      <c r="I100" t="str">
        <f>IF(FT!B100&lt;&gt;"",FT!E100,"")</f>
        <v>2 [39.855259]</v>
      </c>
      <c r="J100">
        <f>IF(FT!B100&lt;&gt;"",FT!C100,"")</f>
        <v>39.8553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2.6015899999999998</v>
      </c>
      <c r="G101" s="61">
        <f>IF(FT!B101&lt;&gt;"",FT!B101*100,"")</f>
        <v>41.981699999999996</v>
      </c>
      <c r="H101" s="61">
        <f t="shared" si="9"/>
        <v>1</v>
      </c>
      <c r="I101" t="str">
        <f>IF(FT!B101&lt;&gt;"",FT!E101,"")</f>
        <v>2 [40.262257]</v>
      </c>
      <c r="J101">
        <f>IF(FT!B101&lt;&gt;"",FT!C101,"")</f>
        <v>40.262300000000003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2.5942500000000002</v>
      </c>
      <c r="G102" s="61">
        <f>IF(FT!B102&lt;&gt;"",FT!B102*100,"")</f>
        <v>42.566800000000001</v>
      </c>
      <c r="H102" s="61">
        <f t="shared" si="9"/>
        <v>1</v>
      </c>
      <c r="I102" t="str">
        <f>IF(FT!B102&lt;&gt;"",FT!E102,"")</f>
        <v>2 [40.667211]</v>
      </c>
      <c r="J102">
        <f>IF(FT!B102&lt;&gt;"",FT!C102,"")</f>
        <v>40.667200000000001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81992</v>
      </c>
      <c r="D103" s="61">
        <f>FH!B103*1</f>
        <v>81992</v>
      </c>
      <c r="E103">
        <f t="shared" si="11"/>
        <v>101</v>
      </c>
      <c r="F103" s="61">
        <f>IF(FT!A103&lt;&gt;"",FT!A103*10,"")</f>
        <v>2.5889000000000002</v>
      </c>
      <c r="G103" s="61">
        <f>IF(FT!B103&lt;&gt;"",FT!B103*100,"")</f>
        <v>43.096800000000002</v>
      </c>
      <c r="H103" s="61">
        <f t="shared" si="9"/>
        <v>1</v>
      </c>
      <c r="I103" t="str">
        <f>IF(FT!B103&lt;&gt;"",FT!E103,"")</f>
        <v>2 [41.070036]</v>
      </c>
      <c r="J103">
        <f>IF(FT!B103&lt;&gt;"",FT!C103,"")</f>
        <v>41.07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2.58413</v>
      </c>
      <c r="G104" s="61">
        <f>IF(FT!B104&lt;&gt;"",FT!B104*100,"")</f>
        <v>43.590699999999998</v>
      </c>
      <c r="H104" s="61">
        <f t="shared" si="9"/>
        <v>1</v>
      </c>
      <c r="I104" t="str">
        <f>IF(FT!B104&lt;&gt;"",FT!E104,"")</f>
        <v>2 [41.478775]</v>
      </c>
      <c r="J104">
        <f>IF(FT!B104&lt;&gt;"",FT!C104,"")</f>
        <v>41.4788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2.5801800000000004</v>
      </c>
      <c r="G105" s="61">
        <f>IF(FT!B105&lt;&gt;"",FT!B105*100,"")</f>
        <v>44.024700000000003</v>
      </c>
      <c r="H105" s="61">
        <f t="shared" si="9"/>
        <v>1</v>
      </c>
      <c r="I105" t="str">
        <f>IF(FT!B105&lt;&gt;"",FT!E105,"")</f>
        <v>2 [41.885874]</v>
      </c>
      <c r="J105">
        <f>IF(FT!B105&lt;&gt;"",FT!C105,"")</f>
        <v>41.885899999999999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85983</v>
      </c>
      <c r="D106" s="61">
        <f>FH!B106*1</f>
        <v>85983</v>
      </c>
      <c r="E106">
        <f t="shared" si="11"/>
        <v>104</v>
      </c>
      <c r="F106" s="61">
        <f>IF(FT!A106&lt;&gt;"",FT!A106*10,"")</f>
        <v>2.5780799999999999</v>
      </c>
      <c r="G106" s="61">
        <f>IF(FT!B106&lt;&gt;"",FT!B106*100,"")</f>
        <v>44.420200000000001</v>
      </c>
      <c r="H106" s="61">
        <f t="shared" si="9"/>
        <v>1</v>
      </c>
      <c r="I106" t="str">
        <f>IF(FT!B106&lt;&gt;"",FT!E106,"")</f>
        <v>2 [42.294765]</v>
      </c>
      <c r="J106">
        <f>IF(FT!B106&lt;&gt;"",FT!C106,"")</f>
        <v>42.294800000000002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2.5775399999999999</v>
      </c>
      <c r="G107" s="61">
        <f>IF(FT!B107&lt;&gt;"",FT!B107*100,"")</f>
        <v>44.743200000000002</v>
      </c>
      <c r="H107" s="61">
        <f t="shared" si="9"/>
        <v>1</v>
      </c>
      <c r="I107" t="str">
        <f>IF(FT!B107&lt;&gt;"",FT!E107,"")</f>
        <v>2 [42.698683]</v>
      </c>
      <c r="J107">
        <f>IF(FT!B107&lt;&gt;"",FT!C107,"")</f>
        <v>42.698700000000002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80413</v>
      </c>
      <c r="D108" s="61">
        <f>FH!B108*1</f>
        <v>80413</v>
      </c>
      <c r="E108">
        <f t="shared" si="11"/>
        <v>106</v>
      </c>
      <c r="F108" s="61">
        <f>IF(FT!A108&lt;&gt;"",FT!A108*10,"")</f>
        <v>2.5809100000000003</v>
      </c>
      <c r="G108" s="61">
        <f>IF(FT!B108&lt;&gt;"",FT!B108*100,"")</f>
        <v>44.992199999999997</v>
      </c>
      <c r="H108" s="61">
        <f t="shared" si="9"/>
        <v>1</v>
      </c>
      <c r="I108" t="str">
        <f>IF(FT!B108&lt;&gt;"",FT!E108,"")</f>
        <v>2 [43.102612]</v>
      </c>
      <c r="J108">
        <f>IF(FT!B108&lt;&gt;"",FT!C108,"")</f>
        <v>43.102600000000002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2.5867</v>
      </c>
      <c r="G109" s="61">
        <f>IF(FT!B109&lt;&gt;"",FT!B109*100,"")</f>
        <v>45.1098</v>
      </c>
      <c r="H109" s="61">
        <f t="shared" si="9"/>
        <v>1</v>
      </c>
      <c r="I109" t="str">
        <f>IF(FT!B109&lt;&gt;"",FT!E109,"")</f>
        <v>2 [43.508855]</v>
      </c>
      <c r="J109">
        <f>IF(FT!B109&lt;&gt;"",FT!C109,"")</f>
        <v>43.508899999999997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2.5957000000000003</v>
      </c>
      <c r="G110" s="61">
        <f>IF(FT!B110&lt;&gt;"",FT!B110*100,"")</f>
        <v>45.141399999999997</v>
      </c>
      <c r="H110" s="61">
        <f t="shared" si="9"/>
        <v>1</v>
      </c>
      <c r="I110" t="str">
        <f>IF(FT!B110&lt;&gt;"",FT!E110,"")</f>
        <v>2 [43.915445]</v>
      </c>
      <c r="J110">
        <f>IF(FT!B110&lt;&gt;"",FT!C110,"")</f>
        <v>43.915399999999998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70192</v>
      </c>
      <c r="D111" s="61">
        <f>FH!B111*1</f>
        <v>70192</v>
      </c>
      <c r="E111">
        <f t="shared" si="11"/>
        <v>109</v>
      </c>
      <c r="F111" s="61">
        <f>IF(FT!A111&lt;&gt;"",FT!A111*10,"")</f>
        <v>2.6053700000000002</v>
      </c>
      <c r="G111" s="61">
        <f>IF(FT!B111&lt;&gt;"",FT!B111*100,"")</f>
        <v>45.133099999999999</v>
      </c>
      <c r="H111" s="61">
        <f t="shared" si="9"/>
        <v>1</v>
      </c>
      <c r="I111" t="str">
        <f>IF(FT!B111&lt;&gt;"",FT!E111,"")</f>
        <v>2 [44.324388]</v>
      </c>
      <c r="J111">
        <f>IF(FT!B111&lt;&gt;"",FT!C111,"")</f>
        <v>44.324399999999997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2.6163599999999998</v>
      </c>
      <c r="G112" s="61">
        <f>IF(FT!B112&lt;&gt;"",FT!B112*100,"")</f>
        <v>45.0779</v>
      </c>
      <c r="H112" s="61">
        <f t="shared" si="9"/>
        <v>1</v>
      </c>
      <c r="I112" t="str">
        <f>IF(FT!B112&lt;&gt;"",FT!E112,"")</f>
        <v>2 [44.730196]</v>
      </c>
      <c r="J112">
        <f>IF(FT!B112&lt;&gt;"",FT!C112,"")</f>
        <v>44.730200000000004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67610</v>
      </c>
      <c r="D113" s="61">
        <f>FH!B113*1</f>
        <v>67610</v>
      </c>
      <c r="E113">
        <f t="shared" si="11"/>
        <v>111</v>
      </c>
      <c r="F113" s="61">
        <f>IF(FT!A113&lt;&gt;"",FT!A113*10,"")</f>
        <v>2.6281700000000003</v>
      </c>
      <c r="G113" s="61">
        <f>IF(FT!B113&lt;&gt;"",FT!B113*100,"")</f>
        <v>44.951799999999999</v>
      </c>
      <c r="H113" s="61">
        <f t="shared" si="9"/>
        <v>1</v>
      </c>
      <c r="I113" t="str">
        <f>IF(FT!B113&lt;&gt;"",FT!E113,"")</f>
        <v>2 [45.136193]</v>
      </c>
      <c r="J113">
        <f>IF(FT!B113&lt;&gt;"",FT!C113,"")</f>
        <v>45.136200000000002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2.63747</v>
      </c>
      <c r="G114" s="61">
        <f>IF(FT!B114&lt;&gt;"",FT!B114*100,"")</f>
        <v>44.755499999999998</v>
      </c>
      <c r="H114" s="61">
        <f t="shared" si="9"/>
        <v>1</v>
      </c>
      <c r="I114" t="str">
        <f>IF(FT!B114&lt;&gt;"",FT!E114,"")</f>
        <v>2 [45.538136]</v>
      </c>
      <c r="J114">
        <f>IF(FT!B114&lt;&gt;"",FT!C114,"")</f>
        <v>45.5381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2.6467600000000004</v>
      </c>
      <c r="G115" s="61">
        <f>IF(FT!B115&lt;&gt;"",FT!B115*100,"")</f>
        <v>44.5336</v>
      </c>
      <c r="H115" s="61">
        <f t="shared" si="9"/>
        <v>1</v>
      </c>
      <c r="I115" t="str">
        <f>IF(FT!B115&lt;&gt;"",FT!E115,"")</f>
        <v>2 [45.948114]</v>
      </c>
      <c r="J115">
        <f>IF(FT!B115&lt;&gt;"",FT!C115,"")</f>
        <v>45.948099999999997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66325</v>
      </c>
      <c r="D116" s="61">
        <f>FH!B116*1</f>
        <v>66325</v>
      </c>
      <c r="E116">
        <f t="shared" si="11"/>
        <v>114</v>
      </c>
      <c r="F116" s="61">
        <f>IF(FT!A116&lt;&gt;"",FT!A116*10,"")</f>
        <v>2.6554000000000002</v>
      </c>
      <c r="G116" s="61">
        <f>IF(FT!B116&lt;&gt;"",FT!B116*100,"")</f>
        <v>44.307900000000004</v>
      </c>
      <c r="H116" s="61">
        <f t="shared" si="9"/>
        <v>1</v>
      </c>
      <c r="I116" t="str">
        <f>IF(FT!B116&lt;&gt;"",FT!E116,"")</f>
        <v>2 [46.354043]</v>
      </c>
      <c r="J116">
        <f>IF(FT!B116&lt;&gt;"",FT!C116,"")</f>
        <v>46.353999999999999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2.6633599999999999</v>
      </c>
      <c r="G117" s="61">
        <f>IF(FT!B117&lt;&gt;"",FT!B117*100,"")</f>
        <v>44.176500000000004</v>
      </c>
      <c r="H117" s="61">
        <f t="shared" si="9"/>
        <v>1</v>
      </c>
      <c r="I117" t="str">
        <f>IF(FT!B117&lt;&gt;"",FT!E117,"")</f>
        <v>2 [46.762820]</v>
      </c>
      <c r="J117">
        <f>IF(FT!B117&lt;&gt;"",FT!C117,"")</f>
        <v>46.762799999999999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59351</v>
      </c>
      <c r="D118" s="61">
        <f>FH!B118*1</f>
        <v>59351</v>
      </c>
      <c r="E118">
        <f t="shared" si="11"/>
        <v>116</v>
      </c>
      <c r="F118" s="61">
        <f>IF(FT!A118&lt;&gt;"",FT!A118*10,"")</f>
        <v>2.6684600000000005</v>
      </c>
      <c r="G118" s="61">
        <f>IF(FT!B118&lt;&gt;"",FT!B118*100,"")</f>
        <v>44.081600000000002</v>
      </c>
      <c r="H118" s="61">
        <f t="shared" si="9"/>
        <v>1</v>
      </c>
      <c r="I118" t="str">
        <f>IF(FT!B118&lt;&gt;"",FT!E118,"")</f>
        <v>2 [47.163745]</v>
      </c>
      <c r="J118">
        <f>IF(FT!B118&lt;&gt;"",FT!C118,"")</f>
        <v>47.163699999999999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2.6728299999999998</v>
      </c>
      <c r="G119" s="61">
        <f>IF(FT!B119&lt;&gt;"",FT!B119*100,"")</f>
        <v>44.016100000000002</v>
      </c>
      <c r="H119" s="61">
        <f t="shared" si="9"/>
        <v>1</v>
      </c>
      <c r="I119" t="str">
        <f>IF(FT!B119&lt;&gt;"",FT!E119,"")</f>
        <v>2 [47.575135]</v>
      </c>
      <c r="J119">
        <f>IF(FT!B119&lt;&gt;"",FT!C119,"")</f>
        <v>47.575099999999999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2.6764700000000001</v>
      </c>
      <c r="G120" s="61">
        <f>IF(FT!B120&lt;&gt;"",FT!B120*100,"")</f>
        <v>43.964100000000002</v>
      </c>
      <c r="H120" s="61">
        <f t="shared" si="9"/>
        <v>1</v>
      </c>
      <c r="I120" t="str">
        <f>IF(FT!B120&lt;&gt;"",FT!E120,"")</f>
        <v>2 [47.975673]</v>
      </c>
      <c r="J120">
        <f>IF(FT!B120&lt;&gt;"",FT!C120,"")</f>
        <v>47.975700000000003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49052</v>
      </c>
      <c r="D121" s="61">
        <f>FH!B121*1</f>
        <v>49052</v>
      </c>
      <c r="E121">
        <f t="shared" si="11"/>
        <v>119</v>
      </c>
      <c r="F121" s="61">
        <f>IF(FT!A121&lt;&gt;"",FT!A121*10,"")</f>
        <v>2.6791199999999997</v>
      </c>
      <c r="G121" s="61">
        <f>IF(FT!B121&lt;&gt;"",FT!B121*100,"")</f>
        <v>43.8949</v>
      </c>
      <c r="H121" s="61">
        <f t="shared" si="9"/>
        <v>1</v>
      </c>
      <c r="I121" t="str">
        <f>IF(FT!B121&lt;&gt;"",FT!E121,"")</f>
        <v>2 [48.386517]</v>
      </c>
      <c r="J121">
        <f>IF(FT!B121&lt;&gt;"",FT!C121,"")</f>
        <v>48.386499999999998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2.6797</v>
      </c>
      <c r="G122" s="61">
        <f>IF(FT!B122&lt;&gt;"",FT!B122*100,"")</f>
        <v>43.8339</v>
      </c>
      <c r="H122" s="61">
        <f t="shared" si="9"/>
        <v>1</v>
      </c>
      <c r="I122" t="str">
        <f>IF(FT!B122&lt;&gt;"",FT!E122,"")</f>
        <v>2 [48.792407]</v>
      </c>
      <c r="J122">
        <f>IF(FT!B122&lt;&gt;"",FT!C122,"")</f>
        <v>48.792400000000001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2.6819799999999998</v>
      </c>
      <c r="G123" s="61">
        <f>IF(FT!B123&lt;&gt;"",FT!B123*100,"")</f>
        <v>43.847500000000004</v>
      </c>
      <c r="H123" s="61">
        <f t="shared" si="9"/>
        <v>1</v>
      </c>
      <c r="I123" t="str">
        <f>IF(FT!B123&lt;&gt;"",FT!E123,"")</f>
        <v>2 [49.197522]</v>
      </c>
      <c r="J123">
        <f>IF(FT!B123&lt;&gt;"",FT!C123,"")</f>
        <v>49.197499999999998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40016</v>
      </c>
      <c r="D124" s="61">
        <f>FH!B124*1</f>
        <v>40016</v>
      </c>
      <c r="E124">
        <f t="shared" si="11"/>
        <v>122</v>
      </c>
      <c r="F124" s="61">
        <f>IF(FT!A124&lt;&gt;"",FT!A124*10,"")</f>
        <v>2.6879399999999998</v>
      </c>
      <c r="G124" s="61">
        <f>IF(FT!B124&lt;&gt;"",FT!B124*100,"")</f>
        <v>43.8889</v>
      </c>
      <c r="H124" s="61">
        <f t="shared" si="9"/>
        <v>1</v>
      </c>
      <c r="I124" t="str">
        <f>IF(FT!B124&lt;&gt;"",FT!E124,"")</f>
        <v>2 [49.603538]</v>
      </c>
      <c r="J124">
        <f>IF(FT!B124&lt;&gt;"",FT!C124,"")</f>
        <v>49.603499999999997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2.6945100000000002</v>
      </c>
      <c r="G125" s="61">
        <f>IF(FT!B125&lt;&gt;"",FT!B125*100,"")</f>
        <v>43.898600000000002</v>
      </c>
      <c r="H125" s="61">
        <f t="shared" si="9"/>
        <v>1</v>
      </c>
      <c r="I125" t="str">
        <f>IF(FT!B125&lt;&gt;"",FT!E125,"")</f>
        <v>2 [50.012184]</v>
      </c>
      <c r="J125">
        <f>IF(FT!B125&lt;&gt;"",FT!C125,"")</f>
        <v>50.0122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32737</v>
      </c>
      <c r="D126" s="61">
        <f>FH!B126*1</f>
        <v>32737</v>
      </c>
      <c r="E126">
        <f t="shared" si="11"/>
        <v>124</v>
      </c>
      <c r="F126" s="61">
        <f>IF(FT!A126&lt;&gt;"",FT!A126*10,"")</f>
        <v>2.6981999999999999</v>
      </c>
      <c r="G126" s="61">
        <f>IF(FT!B126&lt;&gt;"",FT!B126*100,"")</f>
        <v>43.869799999999998</v>
      </c>
      <c r="H126" s="61">
        <f t="shared" si="9"/>
        <v>1</v>
      </c>
      <c r="I126" t="str">
        <f>IF(FT!B126&lt;&gt;"",FT!E126,"")</f>
        <v>2 [50.414440]</v>
      </c>
      <c r="J126">
        <f>IF(FT!B126&lt;&gt;"",FT!C126,"")</f>
        <v>50.414400000000001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2.6986100000000004</v>
      </c>
      <c r="G127" s="61">
        <f>IF(FT!B127&lt;&gt;"",FT!B127*100,"")</f>
        <v>43.782600000000002</v>
      </c>
      <c r="H127" s="61">
        <f t="shared" si="9"/>
        <v>1</v>
      </c>
      <c r="I127" t="str">
        <f>IF(FT!B127&lt;&gt;"",FT!E127,"")</f>
        <v>2 [50.821940]</v>
      </c>
      <c r="J127">
        <f>IF(FT!B127&lt;&gt;"",FT!C127,"")</f>
        <v>50.821899999999999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2.6992899999999995</v>
      </c>
      <c r="G128" s="61">
        <f>IF(FT!B128&lt;&gt;"",FT!B128*100,"")</f>
        <v>43.655300000000004</v>
      </c>
      <c r="H128" s="61">
        <f t="shared" si="9"/>
        <v>1</v>
      </c>
      <c r="I128" t="str">
        <f>IF(FT!B128&lt;&gt;"",FT!E128,"")</f>
        <v>2 [51.226970]</v>
      </c>
      <c r="J128">
        <f>IF(FT!B128&lt;&gt;"",FT!C128,"")</f>
        <v>51.226999999999997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31520</v>
      </c>
      <c r="D129" s="61">
        <f>FH!B129*1</f>
        <v>31520</v>
      </c>
      <c r="E129">
        <f t="shared" si="11"/>
        <v>127</v>
      </c>
      <c r="F129" s="61">
        <f>IF(FT!A129&lt;&gt;"",FT!A129*10,"")</f>
        <v>2.7003599999999999</v>
      </c>
      <c r="G129" s="61">
        <f>IF(FT!B129&lt;&gt;"",FT!B129*100,"")</f>
        <v>43.528099999999995</v>
      </c>
      <c r="H129" s="61">
        <f t="shared" si="9"/>
        <v>1</v>
      </c>
      <c r="I129" t="str">
        <f>IF(FT!B129&lt;&gt;"",FT!E129,"")</f>
        <v>2 [51.635060]</v>
      </c>
      <c r="J129">
        <f>IF(FT!B129&lt;&gt;"",FT!C129,"")</f>
        <v>51.635100000000001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2.7027800000000002</v>
      </c>
      <c r="G130" s="61">
        <f>IF(FT!B130&lt;&gt;"",FT!B130*100,"")</f>
        <v>43.405999999999999</v>
      </c>
      <c r="H130" s="61">
        <f t="shared" si="9"/>
        <v>1</v>
      </c>
      <c r="I130" t="str">
        <f>IF(FT!B130&lt;&gt;"",FT!E130,"")</f>
        <v>2 [52.041689]</v>
      </c>
      <c r="J130">
        <f>IF(FT!B130&lt;&gt;"",FT!C130,"")</f>
        <v>52.041699999999999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29431</v>
      </c>
      <c r="D131" s="61">
        <f>FH!B131*1</f>
        <v>29431</v>
      </c>
      <c r="E131">
        <f t="shared" si="11"/>
        <v>129</v>
      </c>
      <c r="F131" s="61">
        <f>IF(FT!A131&lt;&gt;"",FT!A131*10,"")</f>
        <v>2.7060299999999997</v>
      </c>
      <c r="G131" s="61">
        <f>IF(FT!B131&lt;&gt;"",FT!B131*100,"")</f>
        <v>43.2333</v>
      </c>
      <c r="H131" s="61">
        <f t="shared" ref="H131:H194" si="13">(IF(F131&lt;&gt;"",1,""))</f>
        <v>1</v>
      </c>
      <c r="I131" t="str">
        <f>IF(FT!B131&lt;&gt;"",FT!E131,"")</f>
        <v>2 [52.449618]</v>
      </c>
      <c r="J131">
        <f>IF(FT!B131&lt;&gt;"",FT!C131,"")</f>
        <v>52.449599999999997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2.7092399999999999</v>
      </c>
      <c r="G132" s="61">
        <f>IF(FT!B132&lt;&gt;"",FT!B132*100,"")</f>
        <v>43.044700000000006</v>
      </c>
      <c r="H132" s="61">
        <f t="shared" si="13"/>
        <v>1</v>
      </c>
      <c r="I132" t="str">
        <f>IF(FT!B132&lt;&gt;"",FT!E132,"")</f>
        <v>2 [52.857696]</v>
      </c>
      <c r="J132">
        <f>IF(FT!B132&lt;&gt;"",FT!C132,"")</f>
        <v>52.857700000000001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2.7108700000000003</v>
      </c>
      <c r="G133" s="61">
        <f>IF(FT!B133&lt;&gt;"",FT!B133*100,"")</f>
        <v>42.823699999999995</v>
      </c>
      <c r="H133" s="61">
        <f t="shared" si="13"/>
        <v>1</v>
      </c>
      <c r="I133" t="str">
        <f>IF(FT!B133&lt;&gt;"",FT!E133,"")</f>
        <v>2 [53.261409]</v>
      </c>
      <c r="J133">
        <f>IF(FT!B133&lt;&gt;"",FT!C133,"")</f>
        <v>53.261400000000002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31085</v>
      </c>
      <c r="D134" s="61">
        <f>FH!B134*1</f>
        <v>31085</v>
      </c>
      <c r="E134">
        <f t="shared" si="15"/>
        <v>132</v>
      </c>
      <c r="F134" s="61">
        <f>IF(FT!A134&lt;&gt;"",FT!A134*10,"")</f>
        <v>2.7110300000000001</v>
      </c>
      <c r="G134" s="61">
        <f>IF(FT!B134&lt;&gt;"",FT!B134*100,"")</f>
        <v>42.6554</v>
      </c>
      <c r="H134" s="61">
        <f t="shared" si="13"/>
        <v>1</v>
      </c>
      <c r="I134" t="str">
        <f>IF(FT!B134&lt;&gt;"",FT!E134,"")</f>
        <v>2 [53.664304]</v>
      </c>
      <c r="J134">
        <f>IF(FT!B134&lt;&gt;"",FT!C134,"")</f>
        <v>53.664299999999997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2.7069399999999999</v>
      </c>
      <c r="G135" s="61">
        <f>IF(FT!B135&lt;&gt;"",FT!B135*100,"")</f>
        <v>42.562800000000003</v>
      </c>
      <c r="H135" s="61">
        <f t="shared" si="13"/>
        <v>1</v>
      </c>
      <c r="I135" t="str">
        <f>IF(FT!B135&lt;&gt;"",FT!E135,"")</f>
        <v>2 [54.075487]</v>
      </c>
      <c r="J135">
        <f>IF(FT!B135&lt;&gt;"",FT!C135,"")</f>
        <v>54.075499999999998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27103</v>
      </c>
      <c r="D136" s="61">
        <f>FH!B136*1</f>
        <v>27103</v>
      </c>
      <c r="E136">
        <f t="shared" si="15"/>
        <v>134</v>
      </c>
      <c r="F136" s="61">
        <f>IF(FT!A136&lt;&gt;"",FT!A136*10,"")</f>
        <v>2.7011699999999998</v>
      </c>
      <c r="G136" s="61">
        <f>IF(FT!B136&lt;&gt;"",FT!B136*100,"")</f>
        <v>42.5105</v>
      </c>
      <c r="H136" s="61">
        <f t="shared" si="13"/>
        <v>1</v>
      </c>
      <c r="I136" t="str">
        <f>IF(FT!B136&lt;&gt;"",FT!E136,"")</f>
        <v>2 [54.481155]</v>
      </c>
      <c r="J136">
        <f>IF(FT!B136&lt;&gt;"",FT!C136,"")</f>
        <v>54.481200000000001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2.6949800000000002</v>
      </c>
      <c r="G137" s="61">
        <f>IF(FT!B137&lt;&gt;"",FT!B137*100,"")</f>
        <v>42.529299999999999</v>
      </c>
      <c r="H137" s="61">
        <f t="shared" si="13"/>
        <v>1</v>
      </c>
      <c r="I137" t="str">
        <f>IF(FT!B137&lt;&gt;"",FT!E137,"")</f>
        <v>2 [54.887210]</v>
      </c>
      <c r="J137">
        <f>IF(FT!B137&lt;&gt;"",FT!C137,"")</f>
        <v>54.8872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2.6873900000000002</v>
      </c>
      <c r="G138" s="61">
        <f>IF(FT!B138&lt;&gt;"",FT!B138*100,"")</f>
        <v>42.662700000000001</v>
      </c>
      <c r="H138" s="61">
        <f t="shared" si="13"/>
        <v>1</v>
      </c>
      <c r="I138" t="str">
        <f>IF(FT!B138&lt;&gt;"",FT!E138,"")</f>
        <v>2 [55.292121]</v>
      </c>
      <c r="J138">
        <f>IF(FT!B138&lt;&gt;"",FT!C138,"")</f>
        <v>55.292099999999998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23175</v>
      </c>
      <c r="D139" s="61">
        <f>FH!B139*1</f>
        <v>23175</v>
      </c>
      <c r="E139">
        <f t="shared" si="15"/>
        <v>137</v>
      </c>
      <c r="F139" s="61">
        <f>IF(FT!A139&lt;&gt;"",FT!A139*10,"")</f>
        <v>2.6832000000000003</v>
      </c>
      <c r="G139" s="61">
        <f>IF(FT!B139&lt;&gt;"",FT!B139*100,"")</f>
        <v>42.919899999999998</v>
      </c>
      <c r="H139" s="61">
        <f t="shared" si="13"/>
        <v>1</v>
      </c>
      <c r="I139" t="str">
        <f>IF(FT!B139&lt;&gt;"",FT!E139,"")</f>
        <v>2 [55.695009]</v>
      </c>
      <c r="J139">
        <f>IF(FT!B139&lt;&gt;"",FT!C139,"")</f>
        <v>55.695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2.68052</v>
      </c>
      <c r="G140" s="61">
        <f>IF(FT!B140&lt;&gt;"",FT!B140*100,"")</f>
        <v>43.2361</v>
      </c>
      <c r="H140" s="61">
        <f t="shared" si="13"/>
        <v>1</v>
      </c>
      <c r="I140" t="str">
        <f>IF(FT!B140&lt;&gt;"",FT!E140,"")</f>
        <v>2 [56.104194]</v>
      </c>
      <c r="J140">
        <f>IF(FT!B140&lt;&gt;"",FT!C140,"")</f>
        <v>56.104199999999999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2.67638</v>
      </c>
      <c r="G141" s="61">
        <f>IF(FT!B141&lt;&gt;"",FT!B141*100,"")</f>
        <v>43.566600000000001</v>
      </c>
      <c r="H141" s="61">
        <f t="shared" si="13"/>
        <v>1</v>
      </c>
      <c r="I141" t="str">
        <f>IF(FT!B141&lt;&gt;"",FT!E141,"")</f>
        <v>2 [56.511897]</v>
      </c>
      <c r="J141">
        <f>IF(FT!B141&lt;&gt;"",FT!C141,"")</f>
        <v>56.511899999999997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22774</v>
      </c>
      <c r="D142" s="61">
        <f>FH!B142*1</f>
        <v>22774</v>
      </c>
      <c r="E142">
        <f t="shared" si="15"/>
        <v>140</v>
      </c>
      <c r="F142" s="61">
        <f>IF(FT!A142&lt;&gt;"",FT!A142*10,"")</f>
        <v>2.67354</v>
      </c>
      <c r="G142" s="61">
        <f>IF(FT!B142&lt;&gt;"",FT!B142*100,"")</f>
        <v>43.838899999999995</v>
      </c>
      <c r="H142" s="61">
        <f t="shared" si="13"/>
        <v>1</v>
      </c>
      <c r="I142" t="str">
        <f>IF(FT!B142&lt;&gt;"",FT!E142,"")</f>
        <v>2 [56.917737]</v>
      </c>
      <c r="J142">
        <f>IF(FT!B142&lt;&gt;"",FT!C142,"")</f>
        <v>56.917700000000004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2.6727099999999999</v>
      </c>
      <c r="G143" s="61">
        <f>IF(FT!B143&lt;&gt;"",FT!B143*100,"")</f>
        <v>44.098799999999997</v>
      </c>
      <c r="H143" s="61">
        <f t="shared" si="13"/>
        <v>1</v>
      </c>
      <c r="I143" t="str">
        <f>IF(FT!B143&lt;&gt;"",FT!E143,"")</f>
        <v>2 [57.325555]</v>
      </c>
      <c r="J143">
        <f>IF(FT!B143&lt;&gt;"",FT!C143,"")</f>
        <v>57.325600000000001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21679</v>
      </c>
      <c r="D144" s="61">
        <f>FH!B144*1</f>
        <v>21679</v>
      </c>
      <c r="E144">
        <f t="shared" si="15"/>
        <v>142</v>
      </c>
      <c r="F144" s="61">
        <f>IF(FT!A144&lt;&gt;"",FT!A144*10,"")</f>
        <v>2.6737300000000004</v>
      </c>
      <c r="G144" s="61">
        <f>IF(FT!B144&lt;&gt;"",FT!B144*100,"")</f>
        <v>44.370399999999997</v>
      </c>
      <c r="H144" s="61">
        <f t="shared" si="13"/>
        <v>1</v>
      </c>
      <c r="I144" t="str">
        <f>IF(FT!B144&lt;&gt;"",FT!E144,"")</f>
        <v>2 [57.725579]</v>
      </c>
      <c r="J144">
        <f>IF(FT!B144&lt;&gt;"",FT!C144,"")</f>
        <v>57.7256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2.6742500000000002</v>
      </c>
      <c r="G145" s="61">
        <f>IF(FT!B145&lt;&gt;"",FT!B145*100,"")</f>
        <v>44.728000000000002</v>
      </c>
      <c r="H145" s="61">
        <f t="shared" si="13"/>
        <v>1</v>
      </c>
      <c r="I145" t="str">
        <f>IF(FT!B145&lt;&gt;"",FT!E145,"")</f>
        <v>2 [58.133464]</v>
      </c>
      <c r="J145">
        <f>IF(FT!B145&lt;&gt;"",FT!C145,"")</f>
        <v>58.133499999999998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2.67896</v>
      </c>
      <c r="G146" s="61">
        <f>IF(FT!B146&lt;&gt;"",FT!B146*100,"")</f>
        <v>45.158200000000001</v>
      </c>
      <c r="H146" s="61">
        <f t="shared" si="13"/>
        <v>1</v>
      </c>
      <c r="I146" t="str">
        <f>IF(FT!B146&lt;&gt;"",FT!E146,"")</f>
        <v>2 [58.543364]</v>
      </c>
      <c r="J146">
        <f>IF(FT!B146&lt;&gt;"",FT!C146,"")</f>
        <v>58.543399999999998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18097</v>
      </c>
      <c r="D147" s="61">
        <f>FH!B147*1</f>
        <v>18097</v>
      </c>
      <c r="E147">
        <f t="shared" si="15"/>
        <v>145</v>
      </c>
      <c r="F147" s="61">
        <f>IF(FT!A147&lt;&gt;"",FT!A147*10,"")</f>
        <v>2.7063700000000002</v>
      </c>
      <c r="G147" s="61">
        <f>IF(FT!B147&lt;&gt;"",FT!B147*100,"")</f>
        <v>45.741799999999998</v>
      </c>
      <c r="H147" s="61">
        <f t="shared" si="13"/>
        <v>1</v>
      </c>
      <c r="I147" t="str">
        <f>IF(FT!B147&lt;&gt;"",FT!E147,"")</f>
        <v>2 [58.949465]</v>
      </c>
      <c r="J147">
        <f>IF(FT!B147&lt;&gt;"",FT!C147,"")</f>
        <v>58.9495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2.7397300000000002</v>
      </c>
      <c r="G148" s="61">
        <f>IF(FT!B148&lt;&gt;"",FT!B148*100,"")</f>
        <v>46.2181</v>
      </c>
      <c r="H148" s="61">
        <f t="shared" si="13"/>
        <v>1</v>
      </c>
      <c r="I148" t="str">
        <f>IF(FT!B148&lt;&gt;"",FT!E148,"")</f>
        <v>2 [59.352350]</v>
      </c>
      <c r="J148">
        <f>IF(FT!B148&lt;&gt;"",FT!C148,"")</f>
        <v>59.3523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16884</v>
      </c>
      <c r="D149" s="61">
        <f>FH!B149*1</f>
        <v>16884</v>
      </c>
      <c r="E149">
        <f t="shared" si="15"/>
        <v>147</v>
      </c>
      <c r="F149" s="61">
        <f>IF(FT!A149&lt;&gt;"",FT!A149*10,"")</f>
        <v>2.7616899999999998</v>
      </c>
      <c r="G149" s="61">
        <f>IF(FT!B149&lt;&gt;"",FT!B149*100,"")</f>
        <v>46.310600000000001</v>
      </c>
      <c r="H149" s="61">
        <f t="shared" si="13"/>
        <v>1</v>
      </c>
      <c r="I149" t="str">
        <f>IF(FT!B149&lt;&gt;"",FT!E149,"")</f>
        <v>2 [59.758177]</v>
      </c>
      <c r="J149">
        <f>IF(FT!B149&lt;&gt;"",FT!C149,"")</f>
        <v>59.758200000000002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2.7811599999999999</v>
      </c>
      <c r="G150" s="61">
        <f>IF(FT!B150&lt;&gt;"",FT!B150*100,"")</f>
        <v>46.599299999999999</v>
      </c>
      <c r="H150" s="61">
        <f t="shared" si="13"/>
        <v>1</v>
      </c>
      <c r="I150" t="str">
        <f>IF(FT!B150&lt;&gt;"",FT!E150,"")</f>
        <v>2 [60.170018]</v>
      </c>
      <c r="J150">
        <f>IF(FT!B150&lt;&gt;"",FT!C150,"")</f>
        <v>60.17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14086</v>
      </c>
      <c r="D152" s="61">
        <f>FH!B152*1</f>
        <v>14086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11944</v>
      </c>
      <c r="D154" s="61">
        <f>FH!B154*1</f>
        <v>11944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6442</v>
      </c>
      <c r="D157" s="61">
        <f>FH!B157*1</f>
        <v>6442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4521</v>
      </c>
      <c r="D160" s="61">
        <f>FH!B160*1</f>
        <v>4521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3008</v>
      </c>
      <c r="D162" s="61">
        <f>FH!B162*1</f>
        <v>3008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1943</v>
      </c>
      <c r="D165" s="61">
        <f>FH!B165*1</f>
        <v>1943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1499</v>
      </c>
      <c r="D167" s="61">
        <f>FH!B167*1</f>
        <v>1499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628</v>
      </c>
      <c r="D170" s="61">
        <f>FH!B170*1</f>
        <v>628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475</v>
      </c>
      <c r="D173" s="61">
        <f>FH!B173*1</f>
        <v>475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471</v>
      </c>
      <c r="D175" s="61">
        <f>FH!B175*1</f>
        <v>471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104</v>
      </c>
      <c r="D178" s="61">
        <f>FH!B178*1</f>
        <v>104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156</v>
      </c>
      <c r="D180" s="61">
        <f>FH!B180*1</f>
        <v>156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36.553100000000001</v>
      </c>
      <c r="C5" s="66">
        <v>9.6870200000000004</v>
      </c>
      <c r="D5" s="66">
        <v>26.501200000000001</v>
      </c>
      <c r="E5" s="66">
        <v>20</v>
      </c>
      <c r="F5" s="66">
        <v>11.1214</v>
      </c>
      <c r="G5" s="66">
        <v>50</v>
      </c>
      <c r="H5" s="66">
        <v>51.376399999999997</v>
      </c>
    </row>
    <row r="6" spans="1:8">
      <c r="A6" s="58" t="s">
        <v>303</v>
      </c>
      <c r="B6" s="66">
        <v>30.850200000000001</v>
      </c>
      <c r="C6" s="66">
        <v>4.4650999999999996</v>
      </c>
      <c r="D6" s="66">
        <v>14.4735</v>
      </c>
      <c r="E6" s="66">
        <v>20</v>
      </c>
      <c r="F6" s="66">
        <v>23.715499999999999</v>
      </c>
      <c r="G6" s="66">
        <v>40</v>
      </c>
      <c r="H6" s="66">
        <v>37.223500000000001</v>
      </c>
    </row>
    <row r="7" spans="1:8">
      <c r="A7" s="58" t="s">
        <v>304</v>
      </c>
      <c r="B7" s="66">
        <v>26.690300000000001</v>
      </c>
      <c r="C7" s="66">
        <v>5.9555300000000004</v>
      </c>
      <c r="D7" s="66">
        <v>22.313500000000001</v>
      </c>
      <c r="E7" s="66">
        <v>15</v>
      </c>
      <c r="F7" s="66">
        <v>10.902100000000001</v>
      </c>
      <c r="G7" s="66">
        <v>40</v>
      </c>
      <c r="H7" s="66">
        <v>46.105800000000002</v>
      </c>
    </row>
    <row r="8" spans="1:8">
      <c r="A8" s="58" t="s">
        <v>305</v>
      </c>
      <c r="B8" s="66">
        <v>31.759799999999998</v>
      </c>
      <c r="C8" s="66">
        <v>3.81019</v>
      </c>
      <c r="D8" s="66">
        <v>11.9969</v>
      </c>
      <c r="E8" s="66">
        <v>20</v>
      </c>
      <c r="F8" s="66">
        <v>19.880500000000001</v>
      </c>
      <c r="G8" s="66">
        <v>50</v>
      </c>
      <c r="H8" s="66">
        <v>38.505699999999997</v>
      </c>
    </row>
    <row r="9" spans="1:8">
      <c r="A9" s="58" t="s">
        <v>306</v>
      </c>
      <c r="B9" s="66">
        <v>59.555399999999999</v>
      </c>
      <c r="C9" s="66">
        <v>5.3493700000000004</v>
      </c>
      <c r="D9" s="66">
        <v>8.9821600000000004</v>
      </c>
      <c r="E9" s="66">
        <v>50</v>
      </c>
      <c r="F9" s="66">
        <v>39.388599999999997</v>
      </c>
      <c r="G9" s="66">
        <v>100</v>
      </c>
      <c r="H9" s="66">
        <v>71.498699999999999</v>
      </c>
    </row>
    <row r="10" spans="1:8">
      <c r="A10" s="58" t="s">
        <v>307</v>
      </c>
      <c r="B10" s="66">
        <v>75.575100000000006</v>
      </c>
      <c r="C10" s="66">
        <v>5.2327199999999996</v>
      </c>
      <c r="D10" s="66">
        <v>6.92387</v>
      </c>
      <c r="E10" s="66">
        <v>40</v>
      </c>
      <c r="F10" s="66">
        <v>64.263499999999993</v>
      </c>
      <c r="G10" s="66">
        <v>100</v>
      </c>
      <c r="H10" s="66">
        <v>85.051400000000001</v>
      </c>
    </row>
    <row r="11" spans="1:8">
      <c r="A11" s="58" t="s">
        <v>308</v>
      </c>
      <c r="B11" s="66">
        <v>15.4414</v>
      </c>
      <c r="C11" s="66">
        <v>2.7479399999999998</v>
      </c>
      <c r="D11" s="66">
        <v>17.7959</v>
      </c>
      <c r="E11" s="66">
        <v>10</v>
      </c>
      <c r="F11" s="66">
        <v>5.8544</v>
      </c>
      <c r="G11" s="66">
        <v>50</v>
      </c>
      <c r="H11" s="66">
        <v>19.883600000000001</v>
      </c>
    </row>
    <row r="12" spans="1:8">
      <c r="A12" s="58" t="s">
        <v>309</v>
      </c>
      <c r="B12" s="66">
        <v>67.9696</v>
      </c>
      <c r="C12" s="66">
        <v>4.1567999999999996</v>
      </c>
      <c r="D12" s="66">
        <v>6.1156800000000002</v>
      </c>
      <c r="E12" s="66">
        <v>50</v>
      </c>
      <c r="F12" s="66">
        <v>59.368899999999996</v>
      </c>
      <c r="G12" s="66">
        <v>100</v>
      </c>
      <c r="H12" s="66">
        <v>76.633700000000005</v>
      </c>
    </row>
    <row r="13" spans="1:8">
      <c r="A13" s="58" t="s">
        <v>310</v>
      </c>
      <c r="B13" s="66">
        <v>23.001999999999999</v>
      </c>
      <c r="C13" s="66">
        <v>2.43113</v>
      </c>
      <c r="D13" s="66">
        <v>10.5692</v>
      </c>
      <c r="E13" s="66">
        <v>10</v>
      </c>
      <c r="F13" s="66">
        <v>17.845099999999999</v>
      </c>
      <c r="G13" s="66">
        <v>25</v>
      </c>
      <c r="H13" s="66">
        <v>29.575800000000001</v>
      </c>
    </row>
    <row r="14" spans="1:8">
      <c r="A14" s="58" t="s">
        <v>311</v>
      </c>
      <c r="B14" s="66">
        <v>24.311299999999999</v>
      </c>
      <c r="C14" s="66">
        <v>7.1211500000000001</v>
      </c>
      <c r="D14" s="66">
        <v>29.291499999999999</v>
      </c>
      <c r="E14" s="66">
        <v>10</v>
      </c>
      <c r="F14" s="66">
        <v>2.16662</v>
      </c>
      <c r="G14" s="66">
        <v>50</v>
      </c>
      <c r="H14" s="66">
        <v>30.5563</v>
      </c>
    </row>
    <row r="15" spans="1:8">
      <c r="A15" s="58" t="s">
        <v>312</v>
      </c>
      <c r="B15" s="66">
        <v>4.0060400000000003E-2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5.0906199999999999E-2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15.4963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0.39595200000000003</v>
      </c>
      <c r="C18" s="66">
        <v>9.5974400000000005E-3</v>
      </c>
      <c r="D18" s="66">
        <v>2.4238900000000001E-2</v>
      </c>
      <c r="E18" s="66">
        <v>0</v>
      </c>
      <c r="F18" s="66">
        <v>0.386355</v>
      </c>
      <c r="G18" s="66">
        <v>0</v>
      </c>
      <c r="H18" s="66">
        <v>0.40554899999999999</v>
      </c>
    </row>
    <row r="19" spans="1:8">
      <c r="A19" s="58" t="s">
        <v>316</v>
      </c>
      <c r="B19" s="66">
        <v>0.71315600000000001</v>
      </c>
      <c r="C19" s="66">
        <v>7.1157300000000007E-2</v>
      </c>
      <c r="D19" s="66">
        <v>9.9778000000000006E-2</v>
      </c>
      <c r="E19" s="66">
        <v>0</v>
      </c>
      <c r="F19" s="66">
        <v>0.64199899999999999</v>
      </c>
      <c r="G19" s="66">
        <v>0</v>
      </c>
      <c r="H19" s="66">
        <v>0.78431399999999996</v>
      </c>
    </row>
    <row r="20" spans="1:8">
      <c r="A20" s="58" t="s">
        <v>317</v>
      </c>
      <c r="B20" s="66">
        <v>4.0303399999999998E-4</v>
      </c>
      <c r="C20" s="66">
        <v>1.55531E-2</v>
      </c>
      <c r="D20" s="66">
        <v>38.5901</v>
      </c>
      <c r="E20" s="66">
        <v>0</v>
      </c>
      <c r="F20" s="66">
        <v>0</v>
      </c>
      <c r="G20" s="66">
        <v>0</v>
      </c>
      <c r="H20" s="66">
        <v>0.161583</v>
      </c>
    </row>
    <row r="21" spans="1:8">
      <c r="A21" s="58" t="s">
        <v>318</v>
      </c>
      <c r="B21" s="66">
        <v>7.0056900000000005E-2</v>
      </c>
      <c r="C21" s="66">
        <v>0.15931200000000001</v>
      </c>
      <c r="D21" s="66">
        <v>2.2740399999999998</v>
      </c>
      <c r="E21" s="66">
        <v>0</v>
      </c>
      <c r="F21" s="66">
        <v>2.0744000000000001E-4</v>
      </c>
      <c r="G21" s="66">
        <v>0</v>
      </c>
      <c r="H21" s="66">
        <v>1.66534</v>
      </c>
    </row>
    <row r="22" spans="1:8">
      <c r="A22" s="58" t="s">
        <v>319</v>
      </c>
      <c r="B22" s="66">
        <v>42.608600000000003</v>
      </c>
      <c r="C22" s="66">
        <v>10.892099999999999</v>
      </c>
      <c r="D22" s="66">
        <v>0.25563200000000003</v>
      </c>
      <c r="E22" s="66">
        <v>0</v>
      </c>
      <c r="F22" s="66">
        <v>16.971599999999999</v>
      </c>
      <c r="G22" s="66">
        <v>0</v>
      </c>
      <c r="H22" s="66">
        <v>83.164699999999996</v>
      </c>
    </row>
    <row r="23" spans="1:8">
      <c r="A23" s="58" t="s">
        <v>320</v>
      </c>
      <c r="B23" s="66">
        <v>15.6828</v>
      </c>
      <c r="C23" s="66">
        <v>2.8204500000000001</v>
      </c>
      <c r="D23" s="66">
        <v>0.179844</v>
      </c>
      <c r="E23" s="66">
        <v>0</v>
      </c>
      <c r="F23" s="66">
        <v>8.4128299999999996</v>
      </c>
      <c r="G23" s="66">
        <v>0</v>
      </c>
      <c r="H23" s="66">
        <v>20.778600000000001</v>
      </c>
    </row>
    <row r="24" spans="1:8">
      <c r="A24" s="58" t="s">
        <v>321</v>
      </c>
      <c r="B24" s="66">
        <v>9.8952900000000006E-4</v>
      </c>
      <c r="C24" s="66">
        <v>8.6865699999999994E-3</v>
      </c>
      <c r="D24" s="66">
        <v>8.7784899999999997</v>
      </c>
      <c r="E24" s="66">
        <v>0</v>
      </c>
      <c r="F24" s="196">
        <v>3.3548599999999999E-5</v>
      </c>
      <c r="G24" s="66">
        <v>0</v>
      </c>
      <c r="H24" s="66">
        <v>4.2192399999999998E-2</v>
      </c>
    </row>
    <row r="25" spans="1:8">
      <c r="A25" s="58" t="s">
        <v>322</v>
      </c>
      <c r="B25" s="66">
        <v>8.8479500000000003E-2</v>
      </c>
      <c r="C25" s="66">
        <v>8.6494399999999999E-2</v>
      </c>
      <c r="D25" s="66">
        <v>0.97756500000000002</v>
      </c>
      <c r="E25" s="66">
        <v>0</v>
      </c>
      <c r="F25" s="66">
        <v>1.8875400000000001E-2</v>
      </c>
      <c r="G25" s="66">
        <v>0</v>
      </c>
      <c r="H25" s="66">
        <v>0.48078799999999999</v>
      </c>
    </row>
    <row r="26" spans="1:8">
      <c r="A26" s="58" t="s">
        <v>323</v>
      </c>
      <c r="B26" s="66">
        <v>1.96954E-4</v>
      </c>
      <c r="C26" s="66">
        <v>1.37385E-3</v>
      </c>
      <c r="D26" s="66">
        <v>6.9754800000000001</v>
      </c>
      <c r="E26" s="66">
        <v>0</v>
      </c>
      <c r="F26" s="66">
        <v>0</v>
      </c>
      <c r="G26" s="66">
        <v>0</v>
      </c>
      <c r="H26" s="66">
        <v>1.1436399999999999E-2</v>
      </c>
    </row>
    <row r="27" spans="1:8">
      <c r="A27" s="58" t="s">
        <v>324</v>
      </c>
      <c r="B27" s="196">
        <v>-3.2825599999999999E-6</v>
      </c>
      <c r="C27" s="66">
        <v>8.97378E-4</v>
      </c>
      <c r="D27" s="66">
        <v>-273.37700000000001</v>
      </c>
      <c r="E27" s="66">
        <v>0</v>
      </c>
      <c r="F27" s="66">
        <v>-6.1121300000000003E-3</v>
      </c>
      <c r="G27" s="66">
        <v>0</v>
      </c>
      <c r="H27" s="66">
        <v>4.8942999999999999E-3</v>
      </c>
    </row>
    <row r="28" spans="1:8">
      <c r="A28" s="58" t="s">
        <v>325</v>
      </c>
      <c r="B28" s="66">
        <v>9.2024700000000008E-3</v>
      </c>
      <c r="C28" s="66">
        <v>1.375E-2</v>
      </c>
      <c r="D28" s="66">
        <v>1.4941599999999999</v>
      </c>
      <c r="E28" s="66">
        <v>0</v>
      </c>
      <c r="F28" s="196">
        <v>9.1145799999999997E-5</v>
      </c>
      <c r="G28" s="66">
        <v>0</v>
      </c>
      <c r="H28" s="66">
        <v>0.119408</v>
      </c>
    </row>
    <row r="29" spans="1:8">
      <c r="A29" s="58" t="s">
        <v>326</v>
      </c>
      <c r="B29" s="66">
        <v>74.383399999999995</v>
      </c>
      <c r="C29" s="66">
        <v>9.6416599999999999</v>
      </c>
      <c r="D29" s="66">
        <v>0.12962099999999999</v>
      </c>
      <c r="E29" s="66">
        <v>0</v>
      </c>
      <c r="F29" s="66">
        <v>55.653700000000001</v>
      </c>
      <c r="G29" s="66">
        <v>0</v>
      </c>
      <c r="H29" s="66">
        <v>108.048</v>
      </c>
    </row>
    <row r="30" spans="1:8">
      <c r="A30" s="58" t="s">
        <v>327</v>
      </c>
      <c r="B30" s="66">
        <v>22.672899999999998</v>
      </c>
      <c r="C30" s="66">
        <v>4.3396499999999998</v>
      </c>
      <c r="D30" s="66">
        <v>0.19140299999999999</v>
      </c>
      <c r="E30" s="66">
        <v>0</v>
      </c>
      <c r="F30" s="66">
        <v>10.0829</v>
      </c>
      <c r="G30" s="66">
        <v>0</v>
      </c>
      <c r="H30" s="66">
        <v>27.661999999999999</v>
      </c>
    </row>
    <row r="31" spans="1:8">
      <c r="A31" s="58" t="s">
        <v>328</v>
      </c>
      <c r="B31" s="66">
        <v>225.03</v>
      </c>
      <c r="C31" s="66">
        <v>73.433899999999994</v>
      </c>
      <c r="D31" s="66">
        <v>0.32632899999999998</v>
      </c>
      <c r="E31" s="66">
        <v>0</v>
      </c>
      <c r="F31" s="66">
        <v>73.296999999999997</v>
      </c>
      <c r="G31" s="66">
        <v>0</v>
      </c>
      <c r="H31" s="66">
        <v>359.25900000000001</v>
      </c>
    </row>
    <row r="32" spans="1:8">
      <c r="A32" s="58" t="s">
        <v>329</v>
      </c>
      <c r="B32" s="66">
        <v>0.266903</v>
      </c>
      <c r="C32" s="66">
        <v>5.9555299999999999E-2</v>
      </c>
      <c r="D32" s="66">
        <v>0.223135</v>
      </c>
      <c r="E32" s="66">
        <v>0.15</v>
      </c>
      <c r="F32" s="66">
        <v>0.10902100000000001</v>
      </c>
      <c r="G32" s="66">
        <v>0.4</v>
      </c>
      <c r="H32" s="66">
        <v>0.46105800000000002</v>
      </c>
    </row>
    <row r="33" spans="1:8">
      <c r="A33" s="58" t="s">
        <v>330</v>
      </c>
      <c r="B33" s="66">
        <v>0.30712200000000001</v>
      </c>
      <c r="C33" s="66">
        <v>5.9633600000000002E-2</v>
      </c>
      <c r="D33" s="66">
        <v>0.19416900000000001</v>
      </c>
      <c r="E33" s="66">
        <v>0</v>
      </c>
      <c r="F33" s="66">
        <v>0.216421</v>
      </c>
      <c r="G33" s="66">
        <v>0</v>
      </c>
      <c r="H33" s="66">
        <v>0.418846</v>
      </c>
    </row>
    <row r="34" spans="1:8">
      <c r="A34" s="58" t="s">
        <v>331</v>
      </c>
      <c r="B34" s="66">
        <v>0.23002</v>
      </c>
      <c r="C34" s="66">
        <v>2.4311300000000001E-2</v>
      </c>
      <c r="D34" s="66">
        <v>0.10569199999999999</v>
      </c>
      <c r="E34" s="66">
        <v>0.1</v>
      </c>
      <c r="F34" s="66">
        <v>0.178451</v>
      </c>
      <c r="G34" s="66">
        <v>0.25</v>
      </c>
      <c r="H34" s="66">
        <v>0.29575800000000002</v>
      </c>
    </row>
    <row r="35" spans="1:8">
      <c r="A35" s="58" t="s">
        <v>332</v>
      </c>
      <c r="B35" s="66">
        <v>8.4850300000000003E-2</v>
      </c>
      <c r="C35" s="66">
        <v>2.39236E-2</v>
      </c>
      <c r="D35" s="66">
        <v>0.28195100000000001</v>
      </c>
      <c r="E35" s="66">
        <v>0</v>
      </c>
      <c r="F35" s="66">
        <v>2.5607000000000001E-2</v>
      </c>
      <c r="G35" s="66">
        <v>0</v>
      </c>
      <c r="H35" s="66">
        <v>0.159967</v>
      </c>
    </row>
    <row r="36" spans="1:8">
      <c r="A36" s="58" t="s">
        <v>333</v>
      </c>
      <c r="B36" s="66">
        <v>0.212453</v>
      </c>
      <c r="C36" s="66">
        <v>9.6344399999999997E-2</v>
      </c>
      <c r="D36" s="66">
        <v>0.453486</v>
      </c>
      <c r="E36" s="66">
        <v>0</v>
      </c>
      <c r="F36" s="66">
        <v>3.4698100000000003E-2</v>
      </c>
      <c r="G36" s="66">
        <v>0</v>
      </c>
      <c r="H36" s="66">
        <v>0.557446</v>
      </c>
    </row>
    <row r="37" spans="1:8">
      <c r="A37" s="58" t="s">
        <v>334</v>
      </c>
      <c r="B37" s="66">
        <v>0.243113</v>
      </c>
      <c r="C37" s="66">
        <v>7.1211499999999997E-2</v>
      </c>
      <c r="D37" s="66">
        <v>0.29291499999999998</v>
      </c>
      <c r="E37" s="66">
        <v>0.1</v>
      </c>
      <c r="F37" s="66">
        <v>2.16662E-2</v>
      </c>
      <c r="G37" s="66">
        <v>0.5</v>
      </c>
      <c r="H37" s="66">
        <v>0.30556299999999997</v>
      </c>
    </row>
    <row r="38" spans="1:8">
      <c r="A38" s="58" t="s">
        <v>335</v>
      </c>
      <c r="B38" s="66">
        <v>-1.43926</v>
      </c>
      <c r="C38" s="66">
        <v>22.907</v>
      </c>
      <c r="D38" s="66">
        <v>-15.915900000000001</v>
      </c>
      <c r="E38" s="66">
        <v>0</v>
      </c>
      <c r="F38" s="66">
        <v>-57.692599999999999</v>
      </c>
      <c r="G38" s="66">
        <v>0</v>
      </c>
      <c r="H38" s="66">
        <v>90.389200000000002</v>
      </c>
    </row>
    <row r="39" spans="1:8">
      <c r="A39" s="58" t="s">
        <v>336</v>
      </c>
      <c r="B39" s="66">
        <v>-1.41984</v>
      </c>
      <c r="C39" s="66">
        <v>2.8530899999999999</v>
      </c>
      <c r="D39" s="66">
        <v>-2.0094500000000002</v>
      </c>
      <c r="E39" s="66">
        <v>0</v>
      </c>
      <c r="F39" s="66">
        <v>-7.3689900000000002</v>
      </c>
      <c r="G39" s="66">
        <v>0</v>
      </c>
      <c r="H39" s="66">
        <v>9.9221900000000005</v>
      </c>
    </row>
    <row r="40" spans="1:8">
      <c r="A40" s="58" t="s">
        <v>337</v>
      </c>
      <c r="B40" s="66">
        <v>-0.936917</v>
      </c>
      <c r="C40" s="66">
        <v>0.96205499999999999</v>
      </c>
      <c r="D40" s="66">
        <v>-1.0268299999999999</v>
      </c>
      <c r="E40" s="66">
        <v>0</v>
      </c>
      <c r="F40" s="66">
        <v>-1.83816</v>
      </c>
      <c r="G40" s="66">
        <v>0</v>
      </c>
      <c r="H40" s="66">
        <v>1.35179</v>
      </c>
    </row>
    <row r="41" spans="1:8">
      <c r="A41" s="58" t="s">
        <v>338</v>
      </c>
      <c r="B41" s="66">
        <v>-2.1064699999999999E-2</v>
      </c>
      <c r="C41" s="66">
        <v>0.27123999999999998</v>
      </c>
      <c r="D41" s="66">
        <v>-12.8765</v>
      </c>
      <c r="E41" s="66">
        <v>0</v>
      </c>
      <c r="F41" s="66">
        <v>-0.7</v>
      </c>
      <c r="G41" s="66">
        <v>0</v>
      </c>
      <c r="H41" s="66">
        <v>1</v>
      </c>
    </row>
    <row r="42" spans="1:8">
      <c r="A42" s="58" t="s">
        <v>339</v>
      </c>
      <c r="B42" s="66">
        <v>-3.89778E-2</v>
      </c>
      <c r="C42" s="66">
        <v>6.42094E-2</v>
      </c>
      <c r="D42" s="66">
        <v>-1.64733</v>
      </c>
      <c r="E42" s="66">
        <v>0</v>
      </c>
      <c r="F42" s="66">
        <v>-0.23522599999999999</v>
      </c>
      <c r="G42" s="66">
        <v>0</v>
      </c>
      <c r="H42" s="66">
        <v>0.15165999999999999</v>
      </c>
    </row>
    <row r="43" spans="1:8">
      <c r="A43" s="58" t="s">
        <v>340</v>
      </c>
      <c r="B43" s="66">
        <v>-5.8794899999999997E-2</v>
      </c>
      <c r="C43" s="66">
        <v>5.2874299999999999E-2</v>
      </c>
      <c r="D43" s="66">
        <v>-0.89930100000000002</v>
      </c>
      <c r="E43" s="66">
        <v>0</v>
      </c>
      <c r="F43" s="66">
        <v>-0.110774</v>
      </c>
      <c r="G43" s="66">
        <v>0</v>
      </c>
      <c r="H43" s="66">
        <v>5.8757900000000002E-2</v>
      </c>
    </row>
    <row r="44" spans="1:8">
      <c r="A44" s="58" t="s">
        <v>341</v>
      </c>
      <c r="B44" s="66">
        <v>-19.673400000000001</v>
      </c>
      <c r="C44" s="66">
        <v>11.861000000000001</v>
      </c>
      <c r="D44" s="66">
        <v>-0.60289599999999999</v>
      </c>
      <c r="E44" s="66">
        <v>0</v>
      </c>
      <c r="F44" s="66">
        <v>-52.8446</v>
      </c>
      <c r="G44" s="66">
        <v>0</v>
      </c>
      <c r="H44" s="66">
        <v>-1.86392</v>
      </c>
    </row>
    <row r="45" spans="1:8">
      <c r="A45" s="58" t="s">
        <v>342</v>
      </c>
      <c r="B45" s="66">
        <v>58.7239</v>
      </c>
      <c r="C45" s="66">
        <v>9.1079100000000004</v>
      </c>
      <c r="D45" s="66">
        <v>0.15509700000000001</v>
      </c>
      <c r="E45" s="66">
        <v>0</v>
      </c>
      <c r="F45" s="66">
        <v>38.719200000000001</v>
      </c>
      <c r="G45" s="66">
        <v>0</v>
      </c>
      <c r="H45" s="66">
        <v>87.391099999999994</v>
      </c>
    </row>
    <row r="46" spans="1:8">
      <c r="A46" s="58" t="s">
        <v>343</v>
      </c>
      <c r="B46" s="66">
        <v>30.472999999999999</v>
      </c>
      <c r="C46" s="66">
        <v>6.6467599999999996</v>
      </c>
      <c r="D46" s="66">
        <v>0.21811900000000001</v>
      </c>
      <c r="E46" s="66">
        <v>0</v>
      </c>
      <c r="F46" s="66">
        <v>9.9147099999999995</v>
      </c>
      <c r="G46" s="66">
        <v>0</v>
      </c>
      <c r="H46" s="66">
        <v>37.8063</v>
      </c>
    </row>
    <row r="47" spans="1:8">
      <c r="A47" s="58" t="s">
        <v>344</v>
      </c>
      <c r="B47" s="66">
        <v>0.75780499999999995</v>
      </c>
      <c r="C47" s="66">
        <v>0.35754000000000002</v>
      </c>
      <c r="D47" s="66">
        <v>0.47181099999999998</v>
      </c>
      <c r="E47" s="66">
        <v>0</v>
      </c>
      <c r="F47" s="66">
        <v>0.31647399999999998</v>
      </c>
      <c r="G47" s="66">
        <v>0</v>
      </c>
      <c r="H47" s="66">
        <v>2.3896600000000001</v>
      </c>
    </row>
    <row r="48" spans="1:8">
      <c r="A48" s="58" t="s">
        <v>345</v>
      </c>
      <c r="B48" s="66">
        <v>0.60153800000000002</v>
      </c>
      <c r="C48" s="66">
        <v>0.11396199999999999</v>
      </c>
      <c r="D48" s="66">
        <v>0.18945200000000001</v>
      </c>
      <c r="E48" s="66">
        <v>0</v>
      </c>
      <c r="F48" s="66">
        <v>0.45435199999999998</v>
      </c>
      <c r="G48" s="66">
        <v>0</v>
      </c>
      <c r="H48" s="66">
        <v>0.94056799999999996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-3.1957999999999984</v>
      </c>
      <c r="C5" s="66">
        <f>'M2'!C5-'M1'!C5</f>
        <v>-4.8930900000000008</v>
      </c>
      <c r="D5" s="66">
        <f>'M2'!D5-'M1'!D5</f>
        <v>-11.2623</v>
      </c>
      <c r="E5" s="66">
        <f>'M2'!E5-'M1'!E5</f>
        <v>0</v>
      </c>
      <c r="F5" s="66">
        <f>'M2'!F5-'M1'!F5</f>
        <v>19.8125</v>
      </c>
      <c r="G5" s="66">
        <f>'M2'!G5-'M1'!G5</f>
        <v>0</v>
      </c>
      <c r="H5" s="66">
        <f>'M2'!H5-'M1'!H5</f>
        <v>-0.93179999999999552</v>
      </c>
    </row>
    <row r="6" spans="1:8">
      <c r="A6" s="66" t="s">
        <v>244</v>
      </c>
      <c r="B6" s="66">
        <f>'M2'!B6-'M1'!B6</f>
        <v>-7.2650999999999968</v>
      </c>
      <c r="C6" s="66">
        <f>'M2'!C6-'M1'!C6</f>
        <v>1.9845099999999998</v>
      </c>
      <c r="D6" s="66">
        <f>'M2'!D6-'M1'!D6</f>
        <v>10.270229999999998</v>
      </c>
      <c r="E6" s="66">
        <f>'M2'!E6-'M1'!E6</f>
        <v>0</v>
      </c>
      <c r="F6" s="66">
        <f>'M2'!F6-'M1'!F6</f>
        <v>-0.78100000000000236</v>
      </c>
      <c r="G6" s="66">
        <f>'M2'!G6-'M1'!G6</f>
        <v>0</v>
      </c>
      <c r="H6" s="66">
        <f>'M2'!H6-'M1'!H6</f>
        <v>0.42309999999999803</v>
      </c>
    </row>
    <row r="7" spans="1:8">
      <c r="A7" s="66" t="s">
        <v>245</v>
      </c>
      <c r="B7" s="66">
        <f>'M2'!B7-'M1'!B7</f>
        <v>-4.9257000000000026</v>
      </c>
      <c r="C7" s="66">
        <f>'M2'!C7-'M1'!C7</f>
        <v>-1.1655799999999994</v>
      </c>
      <c r="D7" s="66">
        <f>'M2'!D7-'M1'!D7</f>
        <v>-0.53009999999999735</v>
      </c>
      <c r="E7" s="66">
        <f>'M2'!E7-'M1'!E7</f>
        <v>0</v>
      </c>
      <c r="F7" s="66">
        <f>'M2'!F7-'M1'!F7</f>
        <v>-6.8692999999999991</v>
      </c>
      <c r="G7" s="66">
        <f>'M2'!G7-'M1'!G7</f>
        <v>0</v>
      </c>
      <c r="H7" s="66">
        <f>'M2'!H7-'M1'!H7</f>
        <v>-9.3032000000000039</v>
      </c>
    </row>
    <row r="8" spans="1:8">
      <c r="A8" s="66" t="s">
        <v>246</v>
      </c>
      <c r="B8" s="66">
        <f>'M2'!B8-'M1'!B8</f>
        <v>-3.5544999999999973</v>
      </c>
      <c r="C8" s="66">
        <f>'M2'!C8-'M1'!C8</f>
        <v>0.29036999999999979</v>
      </c>
      <c r="D8" s="66">
        <f>'M2'!D8-'M1'!D8</f>
        <v>2.2561</v>
      </c>
      <c r="E8" s="66">
        <f>'M2'!E8-'M1'!E8</f>
        <v>0</v>
      </c>
      <c r="F8" s="66">
        <f>'M2'!F8-'M1'!F8</f>
        <v>5.9625999999999983</v>
      </c>
      <c r="G8" s="66">
        <f>'M2'!G8-'M1'!G8</f>
        <v>0</v>
      </c>
      <c r="H8" s="66">
        <f>'M2'!H8-'M1'!H8</f>
        <v>1.955299999999994</v>
      </c>
    </row>
    <row r="9" spans="1:8">
      <c r="A9" s="66" t="s">
        <v>247</v>
      </c>
      <c r="B9" s="66">
        <f>'M2'!B9-'M1'!B9</f>
        <v>-0.3930999999999969</v>
      </c>
      <c r="C9" s="66">
        <f>'M2'!C9-'M1'!C9</f>
        <v>2.1704999999999997</v>
      </c>
      <c r="D9" s="66">
        <f>'M2'!D9-'M1'!D9</f>
        <v>3.7111299999999998</v>
      </c>
      <c r="E9" s="66">
        <f>'M2'!E9-'M1'!E9</f>
        <v>0</v>
      </c>
      <c r="F9" s="66">
        <f>'M2'!F9-'M1'!F9</f>
        <v>-8.9267000000000039</v>
      </c>
      <c r="G9" s="66">
        <f>'M2'!G9-'M1'!G9</f>
        <v>0</v>
      </c>
      <c r="H9" s="66">
        <f>'M2'!H9-'M1'!H9</f>
        <v>3.5822000000000003</v>
      </c>
    </row>
    <row r="10" spans="1:8">
      <c r="A10" s="66" t="s">
        <v>248</v>
      </c>
      <c r="B10" s="66">
        <f>'M2'!B10-'M1'!B10</f>
        <v>6.0122999999999962</v>
      </c>
      <c r="C10" s="66">
        <f>'M2'!C10-'M1'!C10</f>
        <v>2.4305399999999997</v>
      </c>
      <c r="D10" s="66">
        <f>'M2'!D10-'M1'!D10</f>
        <v>2.6229699999999996</v>
      </c>
      <c r="E10" s="66">
        <f>'M2'!E10-'M1'!E10</f>
        <v>0</v>
      </c>
      <c r="F10" s="66">
        <f>'M2'!F10-'M1'!F10</f>
        <v>-2.4507000000000119</v>
      </c>
      <c r="G10" s="66">
        <f>'M2'!G10-'M1'!G10</f>
        <v>0</v>
      </c>
      <c r="H10" s="66">
        <f>'M2'!H10-'M1'!H10</f>
        <v>-1.8134000000000015</v>
      </c>
    </row>
    <row r="11" spans="1:8">
      <c r="A11" s="66" t="s">
        <v>249</v>
      </c>
      <c r="B11" s="66">
        <f>'M2'!B11-'M1'!B11</f>
        <v>0.88870000000000005</v>
      </c>
      <c r="C11" s="66">
        <f>'M2'!C11-'M1'!C11</f>
        <v>-2.4807499999999996</v>
      </c>
      <c r="D11" s="66">
        <f>'M2'!D11-'M1'!D11</f>
        <v>-17.103079999999999</v>
      </c>
      <c r="E11" s="66">
        <f>'M2'!E11-'M1'!E11</f>
        <v>0</v>
      </c>
      <c r="F11" s="66">
        <f>'M2'!F11-'M1'!F11</f>
        <v>7.5731999999999999</v>
      </c>
      <c r="G11" s="66">
        <f>'M2'!G11-'M1'!G11</f>
        <v>0</v>
      </c>
      <c r="H11" s="66">
        <f>'M2'!H11-'M1'!H11</f>
        <v>-1.241500000000002</v>
      </c>
    </row>
    <row r="12" spans="1:8">
      <c r="A12" s="66" t="s">
        <v>250</v>
      </c>
      <c r="B12" s="66">
        <f>'M2'!B12-'M1'!B12</f>
        <v>2.9688000000000017</v>
      </c>
      <c r="C12" s="66">
        <f>'M2'!C12-'M1'!C12</f>
        <v>2.0506000000000002</v>
      </c>
      <c r="D12" s="66">
        <f>'M2'!D12-'M1'!D12</f>
        <v>2.7384300000000001</v>
      </c>
      <c r="E12" s="66">
        <f>'M2'!E12-'M1'!E12</f>
        <v>0</v>
      </c>
      <c r="F12" s="66">
        <f>'M2'!F12-'M1'!F12</f>
        <v>-1.0964000000000027</v>
      </c>
      <c r="G12" s="66">
        <f>'M2'!G12-'M1'!G12</f>
        <v>0</v>
      </c>
      <c r="H12" s="66">
        <f>'M2'!H12-'M1'!H12</f>
        <v>1.3025000000000091</v>
      </c>
    </row>
    <row r="13" spans="1:8">
      <c r="A13" s="66" t="s">
        <v>251</v>
      </c>
      <c r="B13" s="66">
        <f>'M2'!B13-'M1'!B13</f>
        <v>-0.72739999999999938</v>
      </c>
      <c r="C13" s="66">
        <f>'M2'!C13-'M1'!C13</f>
        <v>0.66083999999999987</v>
      </c>
      <c r="D13" s="66">
        <f>'M2'!D13-'M1'!D13</f>
        <v>3.22194</v>
      </c>
      <c r="E13" s="66">
        <f>'M2'!E13-'M1'!E13</f>
        <v>0</v>
      </c>
      <c r="F13" s="66">
        <f>'M2'!F13-'M1'!F13</f>
        <v>-1.1575000000000024</v>
      </c>
      <c r="G13" s="66">
        <f>'M2'!G13-'M1'!G13</f>
        <v>0</v>
      </c>
      <c r="H13" s="66">
        <f>'M2'!H13-'M1'!H13</f>
        <v>-1.3918999999999997</v>
      </c>
    </row>
    <row r="14" spans="1:8">
      <c r="A14" s="66" t="s">
        <v>252</v>
      </c>
      <c r="B14" s="66">
        <f>'M2'!B14-'M1'!B14</f>
        <v>6.6083999999999996</v>
      </c>
      <c r="C14" s="66">
        <f>'M2'!C14-'M1'!C14</f>
        <v>0.30887000000000064</v>
      </c>
      <c r="D14" s="66">
        <f>'M2'!D14-'M1'!D14</f>
        <v>-7.0878999999999976</v>
      </c>
      <c r="E14" s="66">
        <f>'M2'!E14-'M1'!E14</f>
        <v>0</v>
      </c>
      <c r="F14" s="66">
        <f>'M2'!F14-'M1'!F14</f>
        <v>-0.94612000000000007</v>
      </c>
      <c r="G14" s="66">
        <f>'M2'!G14-'M1'!G14</f>
        <v>0</v>
      </c>
      <c r="H14" s="66">
        <f>'M2'!H14-'M1'!H14</f>
        <v>-4.7480000000000011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-0.10499199999999992</v>
      </c>
      <c r="C18" s="66">
        <f>'M2'!C18-'M1'!C18</f>
        <v>9.5974400000000005E-3</v>
      </c>
      <c r="D18" s="66">
        <f>'M2'!D18-'M1'!D18</f>
        <v>2.4238900000000001E-2</v>
      </c>
      <c r="E18" s="66">
        <f>'M2'!E18-'M1'!E18</f>
        <v>0</v>
      </c>
      <c r="F18" s="66">
        <f>'M2'!F18-'M1'!F18</f>
        <v>0.386355</v>
      </c>
      <c r="G18" s="66">
        <f>'M2'!G18-'M1'!G18</f>
        <v>0</v>
      </c>
      <c r="H18" s="66">
        <f>'M2'!H18-'M1'!H18</f>
        <v>0.40554899999999999</v>
      </c>
    </row>
    <row r="19" spans="1:8">
      <c r="A19" s="66" t="s">
        <v>256</v>
      </c>
      <c r="B19" s="66">
        <f>'M2'!B19-'M1'!B19</f>
        <v>5.6992000000000043E-2</v>
      </c>
      <c r="C19" s="66">
        <f>'M2'!C19-'M1'!C19</f>
        <v>7.1157300000000007E-2</v>
      </c>
      <c r="D19" s="66">
        <f>'M2'!D19-'M1'!D19</f>
        <v>9.9778000000000006E-2</v>
      </c>
      <c r="E19" s="66">
        <f>'M2'!E19-'M1'!E19</f>
        <v>0</v>
      </c>
      <c r="F19" s="66">
        <f>'M2'!F19-'M1'!F19</f>
        <v>0.64199899999999999</v>
      </c>
      <c r="G19" s="66">
        <f>'M2'!G19-'M1'!G19</f>
        <v>0</v>
      </c>
      <c r="H19" s="66">
        <f>'M2'!H19-'M1'!H19</f>
        <v>0.78431399999999996</v>
      </c>
    </row>
    <row r="20" spans="1:8">
      <c r="A20" s="66" t="s">
        <v>63</v>
      </c>
      <c r="B20" s="66">
        <f>'M2'!B20-'M1'!B20</f>
        <v>2.4342499999999997E-4</v>
      </c>
      <c r="C20" s="66">
        <f>'M2'!C20-'M1'!C20</f>
        <v>-4.1332000000000001E-3</v>
      </c>
      <c r="D20" s="66">
        <f>'M2'!D20-'M1'!D20</f>
        <v>-33.474999999999994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-6.5206200000000006E-2</v>
      </c>
    </row>
    <row r="21" spans="1:8">
      <c r="A21" s="66" t="s">
        <v>64</v>
      </c>
      <c r="B21" s="66">
        <f>'M2'!B21-'M1'!B21</f>
        <v>3.83101E-2</v>
      </c>
      <c r="C21" s="66">
        <f>'M2'!C21-'M1'!C21</f>
        <v>0.1019504</v>
      </c>
      <c r="D21" s="66">
        <f>'M2'!D21-'M1'!D21</f>
        <v>0.1828599999999998</v>
      </c>
      <c r="E21" s="66">
        <f>'M2'!E21-'M1'!E21</f>
        <v>0</v>
      </c>
      <c r="F21" s="66">
        <f>'M2'!F21-'M1'!F21</f>
        <v>1.41352E-4</v>
      </c>
      <c r="G21" s="66">
        <f>'M2'!G21-'M1'!G21</f>
        <v>0</v>
      </c>
      <c r="H21" s="66">
        <f>'M2'!H21-'M1'!H21</f>
        <v>0.96839400000000009</v>
      </c>
    </row>
    <row r="22" spans="1:8">
      <c r="A22" s="66" t="s">
        <v>65</v>
      </c>
      <c r="B22" s="66">
        <f>'M2'!B22-'M1'!B22</f>
        <v>-3.9084000000000003</v>
      </c>
      <c r="C22" s="66">
        <f>'M2'!C22-'M1'!C22</f>
        <v>-5.2282199999999994</v>
      </c>
      <c r="D22" s="66">
        <f>'M2'!D22-'M1'!D22</f>
        <v>-9.9672000000000011E-2</v>
      </c>
      <c r="E22" s="66">
        <f>'M2'!E22-'M1'!E22</f>
        <v>0</v>
      </c>
      <c r="F22" s="66">
        <f>'M2'!F22-'M1'!F22</f>
        <v>1.3299000000000021</v>
      </c>
      <c r="G22" s="66">
        <f>'M2'!G22-'M1'!G22</f>
        <v>0</v>
      </c>
      <c r="H22" s="66">
        <f>'M2'!H22-'M1'!H22</f>
        <v>-24.886599999999994</v>
      </c>
    </row>
    <row r="23" spans="1:8">
      <c r="A23" s="66" t="s">
        <v>66</v>
      </c>
      <c r="B23" s="66">
        <f>'M2'!B23-'M1'!B23</f>
        <v>-1.5236000000000001</v>
      </c>
      <c r="C23" s="66">
        <f>'M2'!C23-'M1'!C23</f>
        <v>-0.93165999999999993</v>
      </c>
      <c r="D23" s="66">
        <f>'M2'!D23-'M1'!D23</f>
        <v>-4.1827000000000003E-2</v>
      </c>
      <c r="E23" s="66">
        <f>'M2'!E23-'M1'!E23</f>
        <v>0</v>
      </c>
      <c r="F23" s="66">
        <f>'M2'!F23-'M1'!F23</f>
        <v>4.5393699999999999</v>
      </c>
      <c r="G23" s="66">
        <f>'M2'!G23-'M1'!G23</f>
        <v>0</v>
      </c>
      <c r="H23" s="66">
        <f>'M2'!H23-'M1'!H23</f>
        <v>1.2516999999999996</v>
      </c>
    </row>
    <row r="24" spans="1:8">
      <c r="A24" s="66" t="s">
        <v>67</v>
      </c>
      <c r="B24" s="66">
        <f>'M2'!B24-'M1'!B24</f>
        <v>5.6526700000000005E-4</v>
      </c>
      <c r="C24" s="66">
        <f>'M2'!C24-'M1'!C24</f>
        <v>-1.0117100000000007E-3</v>
      </c>
      <c r="D24" s="66">
        <f>'M2'!D24-'M1'!D24</f>
        <v>-5.8634299999999993</v>
      </c>
      <c r="E24" s="66">
        <f>'M2'!E24-'M1'!E24</f>
        <v>0</v>
      </c>
      <c r="F24" s="66">
        <f>'M2'!F24-'M1'!F24</f>
        <v>-6.9067999999999997E-6</v>
      </c>
      <c r="G24" s="66">
        <f>'M2'!G24-'M1'!G24</f>
        <v>0</v>
      </c>
      <c r="H24" s="66">
        <f>'M2'!H24-'M1'!H24</f>
        <v>2.7330999999999953E-3</v>
      </c>
    </row>
    <row r="25" spans="1:8">
      <c r="A25" s="66" t="s">
        <v>68</v>
      </c>
      <c r="B25" s="66">
        <f>'M2'!B25-'M1'!B25</f>
        <v>4.5174800000000001E-2</v>
      </c>
      <c r="C25" s="66">
        <f>'M2'!C25-'M1'!C25</f>
        <v>5.8500000000000003E-2</v>
      </c>
      <c r="D25" s="66">
        <f>'M2'!D25-'M1'!D25</f>
        <v>0.24981699999999996</v>
      </c>
      <c r="E25" s="66">
        <f>'M2'!E25-'M1'!E25</f>
        <v>0</v>
      </c>
      <c r="F25" s="66">
        <f>'M2'!F25-'M1'!F25</f>
        <v>-1.0731299999999999E-2</v>
      </c>
      <c r="G25" s="66">
        <f>'M2'!G25-'M1'!G25</f>
        <v>0</v>
      </c>
      <c r="H25" s="66">
        <f>'M2'!H25-'M1'!H25</f>
        <v>0.22778900000000002</v>
      </c>
    </row>
    <row r="26" spans="1:8">
      <c r="A26" s="66" t="s">
        <v>69</v>
      </c>
      <c r="B26" s="66">
        <f>'M2'!B26-'M1'!B26</f>
        <v>1.2145500000000002E-4</v>
      </c>
      <c r="C26" s="66">
        <f>'M2'!C26-'M1'!C26</f>
        <v>2.4152000000000006E-4</v>
      </c>
      <c r="D26" s="66">
        <f>'M2'!D26-'M1'!D26</f>
        <v>-3.157960000000001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-6.958999999999993E-4</v>
      </c>
    </row>
    <row r="27" spans="1:8">
      <c r="A27" s="66" t="s">
        <v>70</v>
      </c>
      <c r="B27" s="66">
        <f>'M2'!B27-'M1'!B27</f>
        <v>0</v>
      </c>
      <c r="C27" s="66">
        <f>'M2'!C27-'M1'!C27</f>
        <v>-1.8650299999999997E-4</v>
      </c>
      <c r="D27" s="66">
        <f>'M2'!D27-'M1'!D27</f>
        <v>56.817000000000007</v>
      </c>
      <c r="E27" s="66">
        <f>'M2'!E27-'M1'!E27</f>
        <v>0</v>
      </c>
      <c r="F27" s="66">
        <f>'M2'!F27-'M1'!F27</f>
        <v>1.67739E-3</v>
      </c>
      <c r="G27" s="66">
        <f>'M2'!G27-'M1'!G27</f>
        <v>0</v>
      </c>
      <c r="H27" s="66">
        <f>'M2'!H27-'M1'!H27</f>
        <v>-8.0422999999999953E-4</v>
      </c>
    </row>
    <row r="28" spans="1:8">
      <c r="A28" s="66" t="s">
        <v>71</v>
      </c>
      <c r="B28" s="66">
        <f>'M2'!B28-'M1'!B28</f>
        <v>3.5351399999999991E-3</v>
      </c>
      <c r="C28" s="66">
        <f>'M2'!C28-'M1'!C28</f>
        <v>8.3246999999999991E-3</v>
      </c>
      <c r="D28" s="66">
        <f>'M2'!D28-'M1'!D28</f>
        <v>0.3924399999999999</v>
      </c>
      <c r="E28" s="66">
        <f>'M2'!E28-'M1'!E28</f>
        <v>0</v>
      </c>
      <c r="F28" s="66">
        <f>'M2'!F28-'M1'!F28</f>
        <v>8.4635199999999992E-5</v>
      </c>
      <c r="G28" s="66">
        <f>'M2'!G28-'M1'!G28</f>
        <v>0</v>
      </c>
      <c r="H28" s="66">
        <f>'M2'!H28-'M1'!H28</f>
        <v>6.7630700000000002E-2</v>
      </c>
    </row>
    <row r="29" spans="1:8">
      <c r="A29" s="66" t="s">
        <v>72</v>
      </c>
      <c r="B29" s="66">
        <f>'M2'!B29-'M1'!B29</f>
        <v>-5.6260000000000048</v>
      </c>
      <c r="C29" s="66">
        <f>'M2'!C29-'M1'!C29</f>
        <v>-3.041500000000001</v>
      </c>
      <c r="D29" s="66">
        <f>'M2'!D29-'M1'!D29</f>
        <v>-3.1446999999999989E-2</v>
      </c>
      <c r="E29" s="66">
        <f>'M2'!E29-'M1'!E29</f>
        <v>0</v>
      </c>
      <c r="F29" s="66">
        <f>'M2'!F29-'M1'!F29</f>
        <v>2.2530999999999963</v>
      </c>
      <c r="G29" s="66">
        <f>'M2'!G29-'M1'!G29</f>
        <v>0</v>
      </c>
      <c r="H29" s="66">
        <f>'M2'!H29-'M1'!H29</f>
        <v>-13.515000000000001</v>
      </c>
    </row>
    <row r="30" spans="1:8">
      <c r="A30" s="66" t="s">
        <v>73</v>
      </c>
      <c r="B30" s="66">
        <f>'M2'!B30-'M1'!B30</f>
        <v>-2.1494999999999997</v>
      </c>
      <c r="C30" s="66">
        <f>'M2'!C30-'M1'!C30</f>
        <v>-2.1852800000000006</v>
      </c>
      <c r="D30" s="66">
        <f>'M2'!D30-'M1'!D30</f>
        <v>-7.8428999999999999E-2</v>
      </c>
      <c r="E30" s="66">
        <f>'M2'!E30-'M1'!E30</f>
        <v>0</v>
      </c>
      <c r="F30" s="66">
        <f>'M2'!F30-'M1'!F30</f>
        <v>7.1252000000000013</v>
      </c>
      <c r="G30" s="66">
        <f>'M2'!G30-'M1'!G30</f>
        <v>0</v>
      </c>
      <c r="H30" s="66">
        <f>'M2'!H30-'M1'!H30</f>
        <v>0.63019999999999854</v>
      </c>
    </row>
    <row r="31" spans="1:8">
      <c r="A31" s="66" t="s">
        <v>74</v>
      </c>
      <c r="B31" s="66">
        <f>'M2'!B31-'M1'!B31</f>
        <v>-24.317999999999984</v>
      </c>
      <c r="C31" s="66">
        <f>'M2'!C31-'M1'!C31</f>
        <v>-38.4696</v>
      </c>
      <c r="D31" s="66">
        <f>'M2'!D31-'M1'!D31</f>
        <v>-0.13405000000000003</v>
      </c>
      <c r="E31" s="66">
        <f>'M2'!E31-'M1'!E31</f>
        <v>0</v>
      </c>
      <c r="F31" s="66">
        <f>'M2'!F31-'M1'!F31</f>
        <v>88.635999999999996</v>
      </c>
      <c r="G31" s="66">
        <f>'M2'!G31-'M1'!G31</f>
        <v>0</v>
      </c>
      <c r="H31" s="66">
        <f>'M2'!H31-'M1'!H31</f>
        <v>-31.283000000000015</v>
      </c>
    </row>
    <row r="32" spans="1:8">
      <c r="A32" s="66" t="s">
        <v>75</v>
      </c>
      <c r="B32" s="66">
        <f>'M2'!B32-'M1'!B32</f>
        <v>-4.9256999999999995E-2</v>
      </c>
      <c r="C32" s="66">
        <f>'M2'!C32-'M1'!C32</f>
        <v>-1.1655800000000001E-2</v>
      </c>
      <c r="D32" s="66">
        <f>'M2'!D32-'M1'!D32</f>
        <v>-5.3010000000000002E-3</v>
      </c>
      <c r="E32" s="66">
        <f>'M2'!E32-'M1'!E32</f>
        <v>0</v>
      </c>
      <c r="F32" s="66">
        <f>'M2'!F32-'M1'!F32</f>
        <v>-6.8693000000000004E-2</v>
      </c>
      <c r="G32" s="66">
        <f>'M2'!G32-'M1'!G32</f>
        <v>0</v>
      </c>
      <c r="H32" s="66">
        <f>'M2'!H32-'M1'!H32</f>
        <v>-9.3032000000000004E-2</v>
      </c>
    </row>
    <row r="33" spans="1:8">
      <c r="A33" s="66" t="s">
        <v>76</v>
      </c>
      <c r="B33" s="66">
        <f>'M2'!B33-'M1'!B33</f>
        <v>-7.772900000000002E-2</v>
      </c>
      <c r="C33" s="66">
        <f>'M2'!C33-'M1'!C33</f>
        <v>2.5037499999999997E-2</v>
      </c>
      <c r="D33" s="66">
        <f>'M2'!D33-'M1'!D33</f>
        <v>0.135768</v>
      </c>
      <c r="E33" s="66">
        <f>'M2'!E33-'M1'!E33</f>
        <v>0</v>
      </c>
      <c r="F33" s="66">
        <f>'M2'!F33-'M1'!F33</f>
        <v>-5.1023000000000013E-2</v>
      </c>
      <c r="G33" s="66">
        <f>'M2'!G33-'M1'!G33</f>
        <v>0</v>
      </c>
      <c r="H33" s="66">
        <f>'M2'!H33-'M1'!H33</f>
        <v>-1.1012000000000022E-2</v>
      </c>
    </row>
    <row r="34" spans="1:8">
      <c r="A34" s="66" t="s">
        <v>77</v>
      </c>
      <c r="B34" s="66">
        <f>'M2'!B34-'M1'!B34</f>
        <v>-7.2740000000000027E-3</v>
      </c>
      <c r="C34" s="66">
        <f>'M2'!C34-'M1'!C34</f>
        <v>6.6084000000000004E-3</v>
      </c>
      <c r="D34" s="66">
        <f>'M2'!D34-'M1'!D34</f>
        <v>3.2219399999999995E-2</v>
      </c>
      <c r="E34" s="66">
        <f>'M2'!E34-'M1'!E34</f>
        <v>0</v>
      </c>
      <c r="F34" s="66">
        <f>'M2'!F34-'M1'!F34</f>
        <v>-1.1575000000000002E-2</v>
      </c>
      <c r="G34" s="66">
        <f>'M2'!G34-'M1'!G34</f>
        <v>0</v>
      </c>
      <c r="H34" s="66">
        <f>'M2'!H34-'M1'!H34</f>
        <v>-1.3919000000000015E-2</v>
      </c>
    </row>
    <row r="35" spans="1:8">
      <c r="A35" s="66" t="s">
        <v>78</v>
      </c>
      <c r="B35" s="66">
        <f>'M2'!B35-'M1'!B35</f>
        <v>6.1413999999999913E-3</v>
      </c>
      <c r="C35" s="66">
        <f>'M2'!C35-'M1'!C35</f>
        <v>7.4843000000000028E-3</v>
      </c>
      <c r="D35" s="66">
        <f>'M2'!D35-'M1'!D35</f>
        <v>6.8695000000000006E-2</v>
      </c>
      <c r="E35" s="66">
        <f>'M2'!E35-'M1'!E35</f>
        <v>0</v>
      </c>
      <c r="F35" s="66">
        <f>'M2'!F35-'M1'!F35</f>
        <v>1.0238599999999997E-2</v>
      </c>
      <c r="G35" s="66">
        <f>'M2'!G35-'M1'!G35</f>
        <v>0</v>
      </c>
      <c r="H35" s="66">
        <f>'M2'!H35-'M1'!H35</f>
        <v>3.8242999999999999E-2</v>
      </c>
    </row>
    <row r="36" spans="1:8">
      <c r="A36" s="66" t="s">
        <v>79</v>
      </c>
      <c r="B36" s="66">
        <f>'M2'!B36-'M1'!B36</f>
        <v>-1.3646999999999992E-2</v>
      </c>
      <c r="C36" s="66">
        <f>'M2'!C36-'M1'!C36</f>
        <v>8.4564999999999918E-3</v>
      </c>
      <c r="D36" s="66">
        <f>'M2'!D36-'M1'!D36</f>
        <v>6.8745000000000001E-2</v>
      </c>
      <c r="E36" s="66">
        <f>'M2'!E36-'M1'!E36</f>
        <v>0</v>
      </c>
      <c r="F36" s="66">
        <f>'M2'!F36-'M1'!F36</f>
        <v>-1.0033999999999994E-2</v>
      </c>
      <c r="G36" s="66">
        <f>'M2'!G36-'M1'!G36</f>
        <v>0</v>
      </c>
      <c r="H36" s="66">
        <f>'M2'!H36-'M1'!H36</f>
        <v>8.2772000000000012E-2</v>
      </c>
    </row>
    <row r="37" spans="1:8">
      <c r="A37" s="66" t="s">
        <v>80</v>
      </c>
      <c r="B37" s="66">
        <f>'M2'!B37-'M1'!B37</f>
        <v>6.6084000000000004E-2</v>
      </c>
      <c r="C37" s="66">
        <f>'M2'!C37-'M1'!C37</f>
        <v>3.0886999999999998E-3</v>
      </c>
      <c r="D37" s="66">
        <f>'M2'!D37-'M1'!D37</f>
        <v>-7.087899999999997E-2</v>
      </c>
      <c r="E37" s="66">
        <f>'M2'!E37-'M1'!E37</f>
        <v>0</v>
      </c>
      <c r="F37" s="66">
        <f>'M2'!F37-'M1'!F37</f>
        <v>-9.4611999999999995E-3</v>
      </c>
      <c r="G37" s="66">
        <f>'M2'!G37-'M1'!G37</f>
        <v>0</v>
      </c>
      <c r="H37" s="66">
        <f>'M2'!H37-'M1'!H37</f>
        <v>-4.7479999999999967E-2</v>
      </c>
    </row>
    <row r="38" spans="1:8">
      <c r="A38" s="66" t="s">
        <v>81</v>
      </c>
      <c r="B38" s="66">
        <f>'M2'!B38-'M1'!B38</f>
        <v>7.4197300000000004</v>
      </c>
      <c r="C38" s="66">
        <f>'M2'!C38-'M1'!C38</f>
        <v>-0.14310000000000045</v>
      </c>
      <c r="D38" s="66">
        <f>'M2'!D38-'M1'!D38</f>
        <v>19.824960000000001</v>
      </c>
      <c r="E38" s="66">
        <f>'M2'!E38-'M1'!E38</f>
        <v>0</v>
      </c>
      <c r="F38" s="66">
        <f>'M2'!F38-'M1'!F38</f>
        <v>-6.5152000000000001</v>
      </c>
      <c r="G38" s="66">
        <f>'M2'!G38-'M1'!G38</f>
        <v>0</v>
      </c>
      <c r="H38" s="66">
        <f>'M2'!H38-'M1'!H38</f>
        <v>2.0108000000000033</v>
      </c>
    </row>
    <row r="39" spans="1:8">
      <c r="A39" s="66" t="s">
        <v>82</v>
      </c>
      <c r="B39" s="66">
        <f>'M2'!B39-'M1'!B39</f>
        <v>2.9443069999999998</v>
      </c>
      <c r="C39" s="66">
        <f>'M2'!C39-'M1'!C39</f>
        <v>0.68862000000000023</v>
      </c>
      <c r="D39" s="66">
        <f>'M2'!D39-'M1'!D39</f>
        <v>8.5396750000000008</v>
      </c>
      <c r="E39" s="66">
        <f>'M2'!E39-'M1'!E39</f>
        <v>0</v>
      </c>
      <c r="F39" s="66">
        <f>'M2'!F39-'M1'!F39</f>
        <v>3.83622</v>
      </c>
      <c r="G39" s="66">
        <f>'M2'!G39-'M1'!G39</f>
        <v>0</v>
      </c>
      <c r="H39" s="66">
        <f>'M2'!H39-'M1'!H39</f>
        <v>6.5164100000000005</v>
      </c>
    </row>
    <row r="40" spans="1:8">
      <c r="A40" s="66" t="s">
        <v>83</v>
      </c>
      <c r="B40" s="66">
        <f>'M2'!B40-'M1'!B40</f>
        <v>1.8543089999999998</v>
      </c>
      <c r="C40" s="66">
        <f>'M2'!C40-'M1'!C40</f>
        <v>0.41983300000000001</v>
      </c>
      <c r="D40" s="66">
        <f>'M2'!D40-'M1'!D40</f>
        <v>1.3821479999999999</v>
      </c>
      <c r="E40" s="66">
        <f>'M2'!E40-'M1'!E40</f>
        <v>0</v>
      </c>
      <c r="F40" s="66">
        <f>'M2'!F40-'M1'!F40</f>
        <v>0.36661999999999995</v>
      </c>
      <c r="G40" s="66">
        <f>'M2'!G40-'M1'!G40</f>
        <v>0</v>
      </c>
      <c r="H40" s="66">
        <f>'M2'!H40-'M1'!H40</f>
        <v>2.232863</v>
      </c>
    </row>
    <row r="41" spans="1:8">
      <c r="A41" s="66" t="s">
        <v>84</v>
      </c>
      <c r="B41" s="66">
        <f>'M2'!B41-'M1'!B41</f>
        <v>5.9004630000000002E-2</v>
      </c>
      <c r="C41" s="66">
        <f>'M2'!C41-'M1'!C41</f>
        <v>-4.001799999999997E-2</v>
      </c>
      <c r="D41" s="66">
        <f>'M2'!D41-'M1'!D41</f>
        <v>82.015079999999998</v>
      </c>
      <c r="E41" s="66">
        <f>'M2'!E41-'M1'!E41</f>
        <v>0</v>
      </c>
      <c r="F41" s="66">
        <f>'M2'!F41-'M1'!F41</f>
        <v>2.9113999999999973E-2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5.7435530000000005E-2</v>
      </c>
      <c r="C42" s="66">
        <f>'M2'!C42-'M1'!C42</f>
        <v>-1.1004800000000002E-2</v>
      </c>
      <c r="D42" s="66">
        <f>'M2'!D42-'M1'!D42</f>
        <v>-6.8004820000000006</v>
      </c>
      <c r="E42" s="66">
        <f>'M2'!E42-'M1'!E42</f>
        <v>0</v>
      </c>
      <c r="F42" s="66">
        <f>'M2'!F42-'M1'!F42</f>
        <v>0.12294499999999998</v>
      </c>
      <c r="G42" s="66">
        <f>'M2'!G42-'M1'!G42</f>
        <v>0</v>
      </c>
      <c r="H42" s="66">
        <f>'M2'!H42-'M1'!H42</f>
        <v>9.0543299999999993E-2</v>
      </c>
    </row>
    <row r="43" spans="1:8">
      <c r="A43" s="66" t="s">
        <v>86</v>
      </c>
      <c r="B43" s="66">
        <f>'M2'!B43-'M1'!B43</f>
        <v>9.8608299999999996E-2</v>
      </c>
      <c r="C43" s="66">
        <f>'M2'!C43-'M1'!C43</f>
        <v>1.9040799999999997E-2</v>
      </c>
      <c r="D43" s="66">
        <f>'M2'!D43-'M1'!D43</f>
        <v>2.4532530000000001</v>
      </c>
      <c r="E43" s="66">
        <f>'M2'!E43-'M1'!E43</f>
        <v>0</v>
      </c>
      <c r="F43" s="66">
        <f>'M2'!F43-'M1'!F43</f>
        <v>1.9003400000000004E-2</v>
      </c>
      <c r="G43" s="66">
        <f>'M2'!G43-'M1'!G43</f>
        <v>0</v>
      </c>
      <c r="H43" s="66">
        <f>'M2'!H43-'M1'!H43</f>
        <v>0.11164250000000001</v>
      </c>
    </row>
    <row r="44" spans="1:8">
      <c r="A44" s="66" t="s">
        <v>87</v>
      </c>
      <c r="B44" s="66">
        <f>'M2'!B44-'M1'!B44</f>
        <v>-11.4177</v>
      </c>
      <c r="C44" s="66">
        <f>'M2'!C44-'M1'!C44</f>
        <v>-4.7586100000000009</v>
      </c>
      <c r="D44" s="66">
        <f>'M2'!D44-'M1'!D44</f>
        <v>0.52028500000000011</v>
      </c>
      <c r="E44" s="66">
        <f>'M2'!E44-'M1'!E44</f>
        <v>0</v>
      </c>
      <c r="F44" s="66">
        <f>'M2'!F44-'M1'!F44</f>
        <v>16.904299999999999</v>
      </c>
      <c r="G44" s="66">
        <f>'M2'!G44-'M1'!G44</f>
        <v>0</v>
      </c>
      <c r="H44" s="66">
        <f>'M2'!H44-'M1'!H44</f>
        <v>0</v>
      </c>
    </row>
    <row r="45" spans="1:8">
      <c r="A45" s="66" t="s">
        <v>88</v>
      </c>
      <c r="B45" s="66">
        <f>'M2'!B45-'M1'!B45</f>
        <v>-10.193600000000004</v>
      </c>
      <c r="C45" s="66">
        <f>'M2'!C45-'M1'!C45</f>
        <v>-2.3066599999999999</v>
      </c>
      <c r="D45" s="66">
        <f>'M2'!D45-'M1'!D45</f>
        <v>-1.8497000000000013E-2</v>
      </c>
      <c r="E45" s="66">
        <f>'M2'!E45-'M1'!E45</f>
        <v>0</v>
      </c>
      <c r="F45" s="66">
        <f>'M2'!F45-'M1'!F45</f>
        <v>-9.5677999999999983</v>
      </c>
      <c r="G45" s="66">
        <f>'M2'!G45-'M1'!G45</f>
        <v>0</v>
      </c>
      <c r="H45" s="66">
        <f>'M2'!H45-'M1'!H45</f>
        <v>-18.266599999999997</v>
      </c>
    </row>
    <row r="46" spans="1:8">
      <c r="A46" s="66" t="s">
        <v>89</v>
      </c>
      <c r="B46" s="66">
        <f>'M2'!B46-'M1'!B46</f>
        <v>-6.8026000000000018</v>
      </c>
      <c r="C46" s="66">
        <f>'M2'!C46-'M1'!C46</f>
        <v>-3.1068100000000012</v>
      </c>
      <c r="D46" s="66">
        <f>'M2'!D46-'M1'!D46</f>
        <v>-5.5410999999999988E-2</v>
      </c>
      <c r="E46" s="66">
        <f>'M2'!E46-'M1'!E46</f>
        <v>0</v>
      </c>
      <c r="F46" s="66">
        <f>'M2'!F46-'M1'!F46</f>
        <v>14.272290000000002</v>
      </c>
      <c r="G46" s="66">
        <f>'M2'!G46-'M1'!G46</f>
        <v>0</v>
      </c>
      <c r="H46" s="66">
        <f>'M2'!H46-'M1'!H46</f>
        <v>1.5262999999999991</v>
      </c>
    </row>
    <row r="47" spans="1:8">
      <c r="A47" s="66" t="s">
        <v>90</v>
      </c>
      <c r="B47" s="66">
        <f>'M2'!B47-'M1'!B47</f>
        <v>0.24886699999999995</v>
      </c>
      <c r="C47" s="66">
        <f>'M2'!C47-'M1'!C47</f>
        <v>0.14972099999999999</v>
      </c>
      <c r="D47" s="66">
        <f>'M2'!D47-'M1'!D47</f>
        <v>5.6939000000000017E-2</v>
      </c>
      <c r="E47" s="66">
        <f>'M2'!E47-'M1'!E47</f>
        <v>0</v>
      </c>
      <c r="F47" s="66">
        <f>'M2'!F47-'M1'!F47</f>
        <v>-2.0991000000000037E-2</v>
      </c>
      <c r="G47" s="66">
        <f>'M2'!G47-'M1'!G47</f>
        <v>0</v>
      </c>
      <c r="H47" s="66">
        <f>'M2'!H47-'M1'!H47</f>
        <v>0.75534000000000012</v>
      </c>
    </row>
    <row r="48" spans="1:8">
      <c r="A48" s="66" t="s">
        <v>91</v>
      </c>
      <c r="B48" s="66">
        <f>'M2'!B48-'M1'!B48</f>
        <v>-0.18863400000000008</v>
      </c>
      <c r="C48" s="66">
        <f>'M2'!C48-'M1'!C48</f>
        <v>-0.11067079999999999</v>
      </c>
      <c r="D48" s="66">
        <f>'M2'!D48-'M1'!D48</f>
        <v>-0.13063820000000001</v>
      </c>
      <c r="E48" s="66">
        <f>'M2'!E48-'M1'!E48</f>
        <v>0</v>
      </c>
      <c r="F48" s="66">
        <f>'M2'!F48-'M1'!F48</f>
        <v>8.2430000000000003E-2</v>
      </c>
      <c r="G48" s="66">
        <f>'M2'!G48-'M1'!G48</f>
        <v>0</v>
      </c>
      <c r="H48" s="66">
        <f>'M2'!H48-'M1'!H48</f>
        <v>-0.26620999999999995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347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37.809699999999999</v>
      </c>
      <c r="C5" s="66">
        <v>11.768800000000001</v>
      </c>
      <c r="D5" s="66">
        <v>31.126300000000001</v>
      </c>
      <c r="E5" s="66">
        <v>20</v>
      </c>
      <c r="F5" s="66">
        <v>11.1214</v>
      </c>
      <c r="G5" s="66">
        <v>50</v>
      </c>
      <c r="H5" s="66">
        <v>51.376399999999997</v>
      </c>
    </row>
    <row r="6" spans="1:8">
      <c r="A6" s="66" t="s">
        <v>303</v>
      </c>
      <c r="B6" s="66">
        <v>32.842799999999997</v>
      </c>
      <c r="C6" s="66">
        <v>2.9038900000000001</v>
      </c>
      <c r="D6" s="66">
        <v>8.8417700000000004</v>
      </c>
      <c r="E6" s="66">
        <v>20</v>
      </c>
      <c r="F6" s="66">
        <v>24.496500000000001</v>
      </c>
      <c r="G6" s="66">
        <v>40</v>
      </c>
      <c r="H6" s="66">
        <v>36.800400000000003</v>
      </c>
    </row>
    <row r="7" spans="1:8">
      <c r="A7" s="66" t="s">
        <v>304</v>
      </c>
      <c r="B7" s="66">
        <v>29.170300000000001</v>
      </c>
      <c r="C7" s="66">
        <v>6.1415499999999996</v>
      </c>
      <c r="D7" s="66">
        <v>21.054099999999998</v>
      </c>
      <c r="E7" s="66">
        <v>15</v>
      </c>
      <c r="F7" s="66">
        <v>17.7714</v>
      </c>
      <c r="G7" s="66">
        <v>40</v>
      </c>
      <c r="H7" s="66">
        <v>46.105800000000002</v>
      </c>
    </row>
    <row r="8" spans="1:8">
      <c r="A8" s="66" t="s">
        <v>305</v>
      </c>
      <c r="B8" s="66">
        <v>33.453699999999998</v>
      </c>
      <c r="C8" s="66">
        <v>3.6158100000000002</v>
      </c>
      <c r="D8" s="66">
        <v>10.808400000000001</v>
      </c>
      <c r="E8" s="66">
        <v>20</v>
      </c>
      <c r="F8" s="66">
        <v>19.880500000000001</v>
      </c>
      <c r="G8" s="66">
        <v>50</v>
      </c>
      <c r="H8" s="66">
        <v>36.550400000000003</v>
      </c>
    </row>
    <row r="9" spans="1:8">
      <c r="A9" s="66" t="s">
        <v>306</v>
      </c>
      <c r="B9" s="66">
        <v>59.615099999999998</v>
      </c>
      <c r="C9" s="66">
        <v>4.1453100000000003</v>
      </c>
      <c r="D9" s="66">
        <v>6.9534700000000003</v>
      </c>
      <c r="E9" s="66">
        <v>50</v>
      </c>
      <c r="F9" s="66">
        <v>48.315300000000001</v>
      </c>
      <c r="G9" s="66">
        <v>100</v>
      </c>
      <c r="H9" s="66">
        <v>67.916499999999999</v>
      </c>
    </row>
    <row r="10" spans="1:8">
      <c r="A10" s="66" t="s">
        <v>307</v>
      </c>
      <c r="B10" s="66">
        <v>74.965699999999998</v>
      </c>
      <c r="C10" s="66">
        <v>3.8217400000000001</v>
      </c>
      <c r="D10" s="66">
        <v>5.0979900000000002</v>
      </c>
      <c r="E10" s="66">
        <v>40</v>
      </c>
      <c r="F10" s="66">
        <v>66.714200000000005</v>
      </c>
      <c r="G10" s="66">
        <v>100</v>
      </c>
      <c r="H10" s="66">
        <v>85.051400000000001</v>
      </c>
    </row>
    <row r="11" spans="1:8">
      <c r="A11" s="66" t="s">
        <v>308</v>
      </c>
      <c r="B11" s="66">
        <v>14.8805</v>
      </c>
      <c r="C11" s="66">
        <v>3.6213199999999999</v>
      </c>
      <c r="D11" s="66">
        <v>24.335999999999999</v>
      </c>
      <c r="E11" s="66">
        <v>10</v>
      </c>
      <c r="F11" s="66">
        <v>5.8544</v>
      </c>
      <c r="G11" s="66">
        <v>50</v>
      </c>
      <c r="H11" s="66">
        <v>19.883600000000001</v>
      </c>
    </row>
    <row r="12" spans="1:8">
      <c r="A12" s="66" t="s">
        <v>309</v>
      </c>
      <c r="B12" s="66">
        <v>67.088200000000001</v>
      </c>
      <c r="C12" s="66">
        <v>2.98583</v>
      </c>
      <c r="D12" s="66">
        <v>4.4506100000000002</v>
      </c>
      <c r="E12" s="66">
        <v>50</v>
      </c>
      <c r="F12" s="66">
        <v>60.465299999999999</v>
      </c>
      <c r="G12" s="66">
        <v>100</v>
      </c>
      <c r="H12" s="66">
        <v>75.331199999999995</v>
      </c>
    </row>
    <row r="13" spans="1:8">
      <c r="A13" s="66" t="s">
        <v>310</v>
      </c>
      <c r="B13" s="66">
        <v>23.231400000000001</v>
      </c>
      <c r="C13" s="66">
        <v>2.0509300000000001</v>
      </c>
      <c r="D13" s="66">
        <v>8.8282600000000002</v>
      </c>
      <c r="E13" s="66">
        <v>10</v>
      </c>
      <c r="F13" s="66">
        <v>19.002600000000001</v>
      </c>
      <c r="G13" s="66">
        <v>25</v>
      </c>
      <c r="H13" s="66">
        <v>29.575800000000001</v>
      </c>
    </row>
    <row r="14" spans="1:8">
      <c r="A14" s="66" t="s">
        <v>311</v>
      </c>
      <c r="B14" s="66">
        <v>20.5093</v>
      </c>
      <c r="C14" s="66">
        <v>6.9237599999999997</v>
      </c>
      <c r="D14" s="66">
        <v>33.759099999999997</v>
      </c>
      <c r="E14" s="66">
        <v>10</v>
      </c>
      <c r="F14" s="66">
        <v>3.1127400000000001</v>
      </c>
      <c r="G14" s="66">
        <v>50</v>
      </c>
      <c r="H14" s="66">
        <v>30.5563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0.50094399999999994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0.65616399999999997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3.0176399999999999E-4</v>
      </c>
      <c r="C20" s="66">
        <v>1.75002E-2</v>
      </c>
      <c r="D20" s="66">
        <v>57.993099999999998</v>
      </c>
      <c r="E20" s="66">
        <v>0</v>
      </c>
      <c r="F20" s="66">
        <v>0</v>
      </c>
      <c r="G20" s="66">
        <v>0</v>
      </c>
      <c r="H20" s="66">
        <v>0.161583</v>
      </c>
    </row>
    <row r="21" spans="1:8">
      <c r="A21" s="66" t="s">
        <v>318</v>
      </c>
      <c r="B21" s="66">
        <v>4.2751600000000001E-2</v>
      </c>
      <c r="C21" s="66">
        <v>9.7228599999999998E-2</v>
      </c>
      <c r="D21" s="66">
        <v>2.27427</v>
      </c>
      <c r="E21" s="66">
        <v>0</v>
      </c>
      <c r="F21" s="66">
        <v>2.0744000000000001E-4</v>
      </c>
      <c r="G21" s="66">
        <v>0</v>
      </c>
      <c r="H21" s="66">
        <v>0.69694599999999995</v>
      </c>
    </row>
    <row r="22" spans="1:8">
      <c r="A22" s="66" t="s">
        <v>319</v>
      </c>
      <c r="B22" s="66">
        <v>45.197000000000003</v>
      </c>
      <c r="C22" s="66">
        <v>12.869199999999999</v>
      </c>
      <c r="D22" s="66">
        <v>0.28473500000000002</v>
      </c>
      <c r="E22" s="66">
        <v>0</v>
      </c>
      <c r="F22" s="66">
        <v>16.971599999999999</v>
      </c>
      <c r="G22" s="66">
        <v>0</v>
      </c>
      <c r="H22" s="66">
        <v>83.164699999999996</v>
      </c>
    </row>
    <row r="23" spans="1:8">
      <c r="A23" s="66" t="s">
        <v>320</v>
      </c>
      <c r="B23" s="66">
        <v>16.713200000000001</v>
      </c>
      <c r="C23" s="66">
        <v>3.2506499999999998</v>
      </c>
      <c r="D23" s="66">
        <v>0.194496</v>
      </c>
      <c r="E23" s="66">
        <v>0</v>
      </c>
      <c r="F23" s="66">
        <v>8.4128299999999996</v>
      </c>
      <c r="G23" s="66">
        <v>0</v>
      </c>
      <c r="H23" s="66">
        <v>19.526900000000001</v>
      </c>
    </row>
    <row r="24" spans="1:8">
      <c r="A24" s="66" t="s">
        <v>321</v>
      </c>
      <c r="B24" s="66">
        <v>7.64473E-4</v>
      </c>
      <c r="C24" s="66">
        <v>9.1762500000000004E-3</v>
      </c>
      <c r="D24" s="66">
        <v>12.003399999999999</v>
      </c>
      <c r="E24" s="66">
        <v>0</v>
      </c>
      <c r="F24" s="196">
        <v>4.0455399999999999E-5</v>
      </c>
      <c r="G24" s="66">
        <v>0</v>
      </c>
      <c r="H24" s="66">
        <v>3.9459300000000003E-2</v>
      </c>
    </row>
    <row r="25" spans="1:8">
      <c r="A25" s="66" t="s">
        <v>322</v>
      </c>
      <c r="B25" s="66">
        <v>7.4459200000000003E-2</v>
      </c>
      <c r="C25" s="66">
        <v>4.7162000000000003E-2</v>
      </c>
      <c r="D25" s="66">
        <v>0.63339400000000001</v>
      </c>
      <c r="E25" s="66">
        <v>0</v>
      </c>
      <c r="F25" s="66">
        <v>2.96067E-2</v>
      </c>
      <c r="G25" s="66">
        <v>0</v>
      </c>
      <c r="H25" s="66">
        <v>0.25299899999999997</v>
      </c>
    </row>
    <row r="26" spans="1:8">
      <c r="A26" s="66" t="s">
        <v>323</v>
      </c>
      <c r="B26" s="66">
        <v>1.4114999999999999E-4</v>
      </c>
      <c r="C26" s="66">
        <v>1.2444699999999999E-3</v>
      </c>
      <c r="D26" s="66">
        <v>8.8166100000000007</v>
      </c>
      <c r="E26" s="66">
        <v>0</v>
      </c>
      <c r="F26" s="66">
        <v>0</v>
      </c>
      <c r="G26" s="66">
        <v>0</v>
      </c>
      <c r="H26" s="66">
        <v>1.1436399999999999E-2</v>
      </c>
    </row>
    <row r="27" spans="1:8">
      <c r="A27" s="66" t="s">
        <v>324</v>
      </c>
      <c r="B27" s="196">
        <v>-3.2825599999999999E-6</v>
      </c>
      <c r="C27" s="66">
        <v>9.8534899999999995E-4</v>
      </c>
      <c r="D27" s="66">
        <v>-300.17700000000002</v>
      </c>
      <c r="E27" s="66">
        <v>0</v>
      </c>
      <c r="F27" s="66">
        <v>-6.1121300000000003E-3</v>
      </c>
      <c r="G27" s="66">
        <v>0</v>
      </c>
      <c r="H27" s="66">
        <v>4.8942999999999999E-3</v>
      </c>
    </row>
    <row r="28" spans="1:8">
      <c r="A28" s="66" t="s">
        <v>325</v>
      </c>
      <c r="B28" s="66">
        <v>7.9573600000000001E-3</v>
      </c>
      <c r="C28" s="66">
        <v>8.5863999999999992E-3</v>
      </c>
      <c r="D28" s="66">
        <v>1.0790500000000001</v>
      </c>
      <c r="E28" s="66">
        <v>0</v>
      </c>
      <c r="F28" s="196">
        <v>9.1145799999999997E-5</v>
      </c>
      <c r="G28" s="66">
        <v>0</v>
      </c>
      <c r="H28" s="66">
        <v>5.1777299999999998E-2</v>
      </c>
    </row>
    <row r="29" spans="1:8">
      <c r="A29" s="66" t="s">
        <v>326</v>
      </c>
      <c r="B29" s="66">
        <v>77.914000000000001</v>
      </c>
      <c r="C29" s="66">
        <v>10.64</v>
      </c>
      <c r="D29" s="66">
        <v>0.13656099999999999</v>
      </c>
      <c r="E29" s="66">
        <v>0</v>
      </c>
      <c r="F29" s="66">
        <v>55.653700000000001</v>
      </c>
      <c r="G29" s="66">
        <v>0</v>
      </c>
      <c r="H29" s="66">
        <v>108.048</v>
      </c>
    </row>
    <row r="30" spans="1:8">
      <c r="A30" s="66" t="s">
        <v>327</v>
      </c>
      <c r="B30" s="66">
        <v>23.959099999999999</v>
      </c>
      <c r="C30" s="66">
        <v>5.2920800000000003</v>
      </c>
      <c r="D30" s="66">
        <v>0.22087999999999999</v>
      </c>
      <c r="E30" s="66">
        <v>0</v>
      </c>
      <c r="F30" s="66">
        <v>10.0829</v>
      </c>
      <c r="G30" s="66">
        <v>0</v>
      </c>
      <c r="H30" s="66">
        <v>27.0318</v>
      </c>
    </row>
    <row r="31" spans="1:8">
      <c r="A31" s="66" t="s">
        <v>328</v>
      </c>
      <c r="B31" s="66">
        <v>244.32499999999999</v>
      </c>
      <c r="C31" s="66">
        <v>90.202100000000002</v>
      </c>
      <c r="D31" s="66">
        <v>0.36919000000000002</v>
      </c>
      <c r="E31" s="66">
        <v>0</v>
      </c>
      <c r="F31" s="66">
        <v>73.296999999999997</v>
      </c>
      <c r="G31" s="66">
        <v>0</v>
      </c>
      <c r="H31" s="66">
        <v>359.25900000000001</v>
      </c>
    </row>
    <row r="32" spans="1:8">
      <c r="A32" s="66" t="s">
        <v>329</v>
      </c>
      <c r="B32" s="66">
        <v>0.29170299999999999</v>
      </c>
      <c r="C32" s="66">
        <v>6.1415499999999998E-2</v>
      </c>
      <c r="D32" s="66">
        <v>0.21054100000000001</v>
      </c>
      <c r="E32" s="66">
        <v>0.15</v>
      </c>
      <c r="F32" s="66">
        <v>0.17771400000000001</v>
      </c>
      <c r="G32" s="66">
        <v>0.4</v>
      </c>
      <c r="H32" s="66">
        <v>0.46105800000000002</v>
      </c>
    </row>
    <row r="33" spans="1:8">
      <c r="A33" s="66" t="s">
        <v>330</v>
      </c>
      <c r="B33" s="66">
        <v>0.32663300000000001</v>
      </c>
      <c r="C33" s="66">
        <v>3.6792400000000003E-2</v>
      </c>
      <c r="D33" s="66">
        <v>0.11264100000000001</v>
      </c>
      <c r="E33" s="66">
        <v>0</v>
      </c>
      <c r="F33" s="66">
        <v>0.26744400000000002</v>
      </c>
      <c r="G33" s="66">
        <v>0</v>
      </c>
      <c r="H33" s="66">
        <v>0.418846</v>
      </c>
    </row>
    <row r="34" spans="1:8">
      <c r="A34" s="66" t="s">
        <v>331</v>
      </c>
      <c r="B34" s="66">
        <v>0.23231399999999999</v>
      </c>
      <c r="C34" s="66">
        <v>2.0509300000000001E-2</v>
      </c>
      <c r="D34" s="66">
        <v>8.8282600000000003E-2</v>
      </c>
      <c r="E34" s="66">
        <v>0.1</v>
      </c>
      <c r="F34" s="66">
        <v>0.190026</v>
      </c>
      <c r="G34" s="66">
        <v>0.25</v>
      </c>
      <c r="H34" s="66">
        <v>0.29575800000000002</v>
      </c>
    </row>
    <row r="35" spans="1:8">
      <c r="A35" s="66" t="s">
        <v>332</v>
      </c>
      <c r="B35" s="66">
        <v>8.1291600000000006E-2</v>
      </c>
      <c r="C35" s="66">
        <v>1.9565099999999998E-2</v>
      </c>
      <c r="D35" s="66">
        <v>0.240678</v>
      </c>
      <c r="E35" s="66">
        <v>0</v>
      </c>
      <c r="F35" s="66">
        <v>2.5607000000000001E-2</v>
      </c>
      <c r="G35" s="66">
        <v>0</v>
      </c>
      <c r="H35" s="66">
        <v>0.121724</v>
      </c>
    </row>
    <row r="36" spans="1:8">
      <c r="A36" s="66" t="s">
        <v>333</v>
      </c>
      <c r="B36" s="66">
        <v>0.21972</v>
      </c>
      <c r="C36" s="66">
        <v>9.1922500000000004E-2</v>
      </c>
      <c r="D36" s="66">
        <v>0.41836200000000001</v>
      </c>
      <c r="E36" s="66">
        <v>0</v>
      </c>
      <c r="F36" s="66">
        <v>4.4732099999999997E-2</v>
      </c>
      <c r="G36" s="66">
        <v>0</v>
      </c>
      <c r="H36" s="66">
        <v>0.47467399999999998</v>
      </c>
    </row>
    <row r="37" spans="1:8">
      <c r="A37" s="66" t="s">
        <v>334</v>
      </c>
      <c r="B37" s="66">
        <v>0.205093</v>
      </c>
      <c r="C37" s="66">
        <v>6.9237599999999996E-2</v>
      </c>
      <c r="D37" s="66">
        <v>0.33759099999999997</v>
      </c>
      <c r="E37" s="66">
        <v>0.1</v>
      </c>
      <c r="F37" s="66">
        <v>3.11274E-2</v>
      </c>
      <c r="G37" s="66">
        <v>0.5</v>
      </c>
      <c r="H37" s="66">
        <v>0.30556299999999997</v>
      </c>
    </row>
    <row r="38" spans="1:8">
      <c r="A38" s="66" t="s">
        <v>335</v>
      </c>
      <c r="B38" s="66">
        <v>-6.0011700000000001</v>
      </c>
      <c r="C38" s="66">
        <v>22.861799999999999</v>
      </c>
      <c r="D38" s="66">
        <v>-3.8095599999999998</v>
      </c>
      <c r="E38" s="66">
        <v>0</v>
      </c>
      <c r="F38" s="66">
        <v>-51.177399999999999</v>
      </c>
      <c r="G38" s="66">
        <v>0</v>
      </c>
      <c r="H38" s="66">
        <v>88.378399999999999</v>
      </c>
    </row>
    <row r="39" spans="1:8">
      <c r="A39" s="66" t="s">
        <v>336</v>
      </c>
      <c r="B39" s="66">
        <v>-2.60547</v>
      </c>
      <c r="C39" s="66">
        <v>1.95119</v>
      </c>
      <c r="D39" s="66">
        <v>-0.74888500000000002</v>
      </c>
      <c r="E39" s="66">
        <v>0</v>
      </c>
      <c r="F39" s="66">
        <v>-7.3689900000000002</v>
      </c>
      <c r="G39" s="66">
        <v>0</v>
      </c>
      <c r="H39" s="66">
        <v>3.40578</v>
      </c>
    </row>
    <row r="40" spans="1:8">
      <c r="A40" s="66" t="s">
        <v>337</v>
      </c>
      <c r="B40" s="66">
        <v>-1.3302099999999999</v>
      </c>
      <c r="C40" s="66">
        <v>0.218471</v>
      </c>
      <c r="D40" s="66">
        <v>-0.164238</v>
      </c>
      <c r="E40" s="66">
        <v>0</v>
      </c>
      <c r="F40" s="66">
        <v>-1.83816</v>
      </c>
      <c r="G40" s="66">
        <v>0</v>
      </c>
      <c r="H40" s="66">
        <v>-0.881073</v>
      </c>
    </row>
    <row r="41" spans="1:8">
      <c r="A41" s="66" t="s">
        <v>338</v>
      </c>
      <c r="B41" s="66">
        <v>-5.5752599999999999E-2</v>
      </c>
      <c r="C41" s="66">
        <v>0.28982799999999997</v>
      </c>
      <c r="D41" s="66">
        <v>-5.19848</v>
      </c>
      <c r="E41" s="66">
        <v>0</v>
      </c>
      <c r="F41" s="66">
        <v>-0.7</v>
      </c>
      <c r="G41" s="66">
        <v>0</v>
      </c>
      <c r="H41" s="66">
        <v>1</v>
      </c>
    </row>
    <row r="42" spans="1:8">
      <c r="A42" s="66" t="s">
        <v>339</v>
      </c>
      <c r="B42" s="66">
        <v>-6.3707100000000003E-2</v>
      </c>
      <c r="C42" s="66">
        <v>5.9513200000000002E-2</v>
      </c>
      <c r="D42" s="66">
        <v>-0.934168</v>
      </c>
      <c r="E42" s="66">
        <v>0</v>
      </c>
      <c r="F42" s="66">
        <v>-0.23522599999999999</v>
      </c>
      <c r="G42" s="66">
        <v>0</v>
      </c>
      <c r="H42" s="66">
        <v>6.1116700000000003E-2</v>
      </c>
    </row>
    <row r="43" spans="1:8">
      <c r="A43" s="66" t="s">
        <v>340</v>
      </c>
      <c r="B43" s="66">
        <v>-8.2860400000000001E-2</v>
      </c>
      <c r="C43" s="66">
        <v>1.6463800000000001E-2</v>
      </c>
      <c r="D43" s="66">
        <v>-0.19869300000000001</v>
      </c>
      <c r="E43" s="66">
        <v>0</v>
      </c>
      <c r="F43" s="66">
        <v>-0.110774</v>
      </c>
      <c r="G43" s="66">
        <v>0</v>
      </c>
      <c r="H43" s="66">
        <v>-5.2884599999999997E-2</v>
      </c>
    </row>
    <row r="44" spans="1:8">
      <c r="A44" s="66" t="s">
        <v>341</v>
      </c>
      <c r="B44" s="66">
        <v>-16.430299999999999</v>
      </c>
      <c r="C44" s="66">
        <v>14.0021</v>
      </c>
      <c r="D44" s="66">
        <v>-0.85221100000000005</v>
      </c>
      <c r="E44" s="66">
        <v>0</v>
      </c>
      <c r="F44" s="66">
        <v>-52.8446</v>
      </c>
      <c r="G44" s="66">
        <v>0</v>
      </c>
      <c r="H44" s="66">
        <v>-1.86392</v>
      </c>
    </row>
    <row r="45" spans="1:8">
      <c r="A45" s="66" t="s">
        <v>342</v>
      </c>
      <c r="B45" s="66">
        <v>64.935100000000006</v>
      </c>
      <c r="C45" s="66">
        <v>8.2436299999999996</v>
      </c>
      <c r="D45" s="66">
        <v>0.12695200000000001</v>
      </c>
      <c r="E45" s="66">
        <v>0</v>
      </c>
      <c r="F45" s="66">
        <v>48.286999999999999</v>
      </c>
      <c r="G45" s="66">
        <v>0</v>
      </c>
      <c r="H45" s="66">
        <v>87.391099999999994</v>
      </c>
    </row>
    <row r="46" spans="1:8">
      <c r="A46" s="66" t="s">
        <v>343</v>
      </c>
      <c r="B46" s="66">
        <v>33.209600000000002</v>
      </c>
      <c r="C46" s="66">
        <v>8.0238600000000009</v>
      </c>
      <c r="D46" s="66">
        <v>0.24161299999999999</v>
      </c>
      <c r="E46" s="66">
        <v>0</v>
      </c>
      <c r="F46" s="66">
        <v>9.9147099999999995</v>
      </c>
      <c r="G46" s="66">
        <v>0</v>
      </c>
      <c r="H46" s="66">
        <v>36.28</v>
      </c>
    </row>
    <row r="47" spans="1:8">
      <c r="A47" s="66" t="s">
        <v>344</v>
      </c>
      <c r="B47" s="66">
        <v>0.65980300000000003</v>
      </c>
      <c r="C47" s="66">
        <v>0.259774</v>
      </c>
      <c r="D47" s="66">
        <v>0.39371400000000001</v>
      </c>
      <c r="E47" s="66">
        <v>0</v>
      </c>
      <c r="F47" s="66">
        <v>0.33746500000000001</v>
      </c>
      <c r="G47" s="66">
        <v>0</v>
      </c>
      <c r="H47" s="66">
        <v>1.63432</v>
      </c>
    </row>
    <row r="48" spans="1:8">
      <c r="A48" s="66" t="s">
        <v>345</v>
      </c>
      <c r="B48" s="66">
        <v>0.77529800000000004</v>
      </c>
      <c r="C48" s="66">
        <v>0.13986599999999999</v>
      </c>
      <c r="D48" s="66">
        <v>0.18040300000000001</v>
      </c>
      <c r="E48" s="66">
        <v>0</v>
      </c>
      <c r="F48" s="66">
        <v>0.45435199999999998</v>
      </c>
      <c r="G48" s="66">
        <v>0</v>
      </c>
      <c r="H48" s="66">
        <v>0.94056799999999996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348</v>
      </c>
      <c r="E1" s="66" t="s">
        <v>349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34.613900000000001</v>
      </c>
      <c r="C5" s="66">
        <v>6.8757099999999998</v>
      </c>
      <c r="D5" s="66">
        <v>19.864000000000001</v>
      </c>
      <c r="E5" s="66">
        <v>20</v>
      </c>
      <c r="F5" s="66">
        <v>30.933900000000001</v>
      </c>
      <c r="G5" s="66">
        <v>50</v>
      </c>
      <c r="H5" s="66">
        <v>50.444600000000001</v>
      </c>
    </row>
    <row r="6" spans="1:8">
      <c r="A6" s="66" t="s">
        <v>303</v>
      </c>
      <c r="B6" s="66">
        <v>25.5777</v>
      </c>
      <c r="C6" s="66">
        <v>4.8883999999999999</v>
      </c>
      <c r="D6" s="66">
        <v>19.111999999999998</v>
      </c>
      <c r="E6" s="66">
        <v>20</v>
      </c>
      <c r="F6" s="66">
        <v>23.715499999999999</v>
      </c>
      <c r="G6" s="66">
        <v>40</v>
      </c>
      <c r="H6" s="66">
        <v>37.223500000000001</v>
      </c>
    </row>
    <row r="7" spans="1:8">
      <c r="A7" s="66" t="s">
        <v>304</v>
      </c>
      <c r="B7" s="66">
        <v>24.244599999999998</v>
      </c>
      <c r="C7" s="66">
        <v>4.9759700000000002</v>
      </c>
      <c r="D7" s="66">
        <v>20.524000000000001</v>
      </c>
      <c r="E7" s="66">
        <v>15</v>
      </c>
      <c r="F7" s="66">
        <v>10.902100000000001</v>
      </c>
      <c r="G7" s="66">
        <v>40</v>
      </c>
      <c r="H7" s="66">
        <v>36.802599999999998</v>
      </c>
    </row>
    <row r="8" spans="1:8">
      <c r="A8" s="66" t="s">
        <v>305</v>
      </c>
      <c r="B8" s="66">
        <v>29.8992</v>
      </c>
      <c r="C8" s="66">
        <v>3.90618</v>
      </c>
      <c r="D8" s="66">
        <v>13.064500000000001</v>
      </c>
      <c r="E8" s="66">
        <v>20</v>
      </c>
      <c r="F8" s="66">
        <v>25.8431</v>
      </c>
      <c r="G8" s="66">
        <v>50</v>
      </c>
      <c r="H8" s="66">
        <v>38.505699999999997</v>
      </c>
    </row>
    <row r="9" spans="1:8">
      <c r="A9" s="66" t="s">
        <v>306</v>
      </c>
      <c r="B9" s="66">
        <v>59.222000000000001</v>
      </c>
      <c r="C9" s="66">
        <v>6.3158099999999999</v>
      </c>
      <c r="D9" s="66">
        <v>10.6646</v>
      </c>
      <c r="E9" s="66">
        <v>50</v>
      </c>
      <c r="F9" s="66">
        <v>39.388599999999997</v>
      </c>
      <c r="G9" s="66">
        <v>100</v>
      </c>
      <c r="H9" s="66">
        <v>71.498699999999999</v>
      </c>
    </row>
    <row r="10" spans="1:8">
      <c r="A10" s="66" t="s">
        <v>307</v>
      </c>
      <c r="B10" s="66">
        <v>80.977999999999994</v>
      </c>
      <c r="C10" s="66">
        <v>6.2522799999999998</v>
      </c>
      <c r="D10" s="66">
        <v>7.7209599999999998</v>
      </c>
      <c r="E10" s="66">
        <v>40</v>
      </c>
      <c r="F10" s="66">
        <v>64.263499999999993</v>
      </c>
      <c r="G10" s="66">
        <v>100</v>
      </c>
      <c r="H10" s="66">
        <v>83.238</v>
      </c>
    </row>
    <row r="11" spans="1:8">
      <c r="A11" s="66" t="s">
        <v>308</v>
      </c>
      <c r="B11" s="66">
        <v>15.7692</v>
      </c>
      <c r="C11" s="66">
        <v>1.1405700000000001</v>
      </c>
      <c r="D11" s="66">
        <v>7.23292</v>
      </c>
      <c r="E11" s="66">
        <v>10</v>
      </c>
      <c r="F11" s="66">
        <v>13.4276</v>
      </c>
      <c r="G11" s="66">
        <v>50</v>
      </c>
      <c r="H11" s="66">
        <v>18.642099999999999</v>
      </c>
    </row>
    <row r="12" spans="1:8">
      <c r="A12" s="66" t="s">
        <v>309</v>
      </c>
      <c r="B12" s="66">
        <v>70.057000000000002</v>
      </c>
      <c r="C12" s="66">
        <v>5.0364300000000002</v>
      </c>
      <c r="D12" s="66">
        <v>7.1890400000000003</v>
      </c>
      <c r="E12" s="66">
        <v>50</v>
      </c>
      <c r="F12" s="66">
        <v>59.368899999999996</v>
      </c>
      <c r="G12" s="66">
        <v>100</v>
      </c>
      <c r="H12" s="66">
        <v>76.633700000000005</v>
      </c>
    </row>
    <row r="13" spans="1:8">
      <c r="A13" s="66" t="s">
        <v>310</v>
      </c>
      <c r="B13" s="66">
        <v>22.504000000000001</v>
      </c>
      <c r="C13" s="66">
        <v>2.71177</v>
      </c>
      <c r="D13" s="66">
        <v>12.0502</v>
      </c>
      <c r="E13" s="66">
        <v>10</v>
      </c>
      <c r="F13" s="66">
        <v>17.845099999999999</v>
      </c>
      <c r="G13" s="66">
        <v>25</v>
      </c>
      <c r="H13" s="66">
        <v>28.183900000000001</v>
      </c>
    </row>
    <row r="14" spans="1:8">
      <c r="A14" s="66" t="s">
        <v>311</v>
      </c>
      <c r="B14" s="66">
        <v>27.117699999999999</v>
      </c>
      <c r="C14" s="66">
        <v>7.2326300000000003</v>
      </c>
      <c r="D14" s="66">
        <v>26.671199999999999</v>
      </c>
      <c r="E14" s="66">
        <v>10</v>
      </c>
      <c r="F14" s="66">
        <v>2.16662</v>
      </c>
      <c r="G14" s="66">
        <v>50</v>
      </c>
      <c r="H14" s="66">
        <v>25.808299999999999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0.39595200000000003</v>
      </c>
      <c r="C18" s="66">
        <v>9.5974400000000005E-3</v>
      </c>
      <c r="D18" s="66">
        <v>2.4238900000000001E-2</v>
      </c>
      <c r="E18" s="66">
        <v>0</v>
      </c>
      <c r="F18" s="66">
        <v>0.386355</v>
      </c>
      <c r="G18" s="66">
        <v>0</v>
      </c>
      <c r="H18" s="66">
        <v>0.40554899999999999</v>
      </c>
    </row>
    <row r="19" spans="1:8">
      <c r="A19" s="66" t="s">
        <v>316</v>
      </c>
      <c r="B19" s="66">
        <v>0.71315600000000001</v>
      </c>
      <c r="C19" s="66">
        <v>7.1157300000000007E-2</v>
      </c>
      <c r="D19" s="66">
        <v>9.9778000000000006E-2</v>
      </c>
      <c r="E19" s="66">
        <v>0</v>
      </c>
      <c r="F19" s="66">
        <v>0.64199899999999999</v>
      </c>
      <c r="G19" s="66">
        <v>0</v>
      </c>
      <c r="H19" s="66">
        <v>0.78431399999999996</v>
      </c>
    </row>
    <row r="20" spans="1:8">
      <c r="A20" s="66" t="s">
        <v>350</v>
      </c>
      <c r="B20" s="66">
        <v>5.4518899999999996E-4</v>
      </c>
      <c r="C20" s="66">
        <v>1.3367E-2</v>
      </c>
      <c r="D20" s="66">
        <v>24.5181</v>
      </c>
      <c r="E20" s="66">
        <v>0</v>
      </c>
      <c r="F20" s="66">
        <v>0</v>
      </c>
      <c r="G20" s="66">
        <v>0</v>
      </c>
      <c r="H20" s="66">
        <v>9.6376799999999999E-2</v>
      </c>
    </row>
    <row r="21" spans="1:8">
      <c r="A21" s="66" t="s">
        <v>318</v>
      </c>
      <c r="B21" s="66">
        <v>8.10617E-2</v>
      </c>
      <c r="C21" s="66">
        <v>0.19917899999999999</v>
      </c>
      <c r="D21" s="66">
        <v>2.4571299999999998</v>
      </c>
      <c r="E21" s="66">
        <v>0</v>
      </c>
      <c r="F21" s="66">
        <v>3.48792E-4</v>
      </c>
      <c r="G21" s="66">
        <v>0</v>
      </c>
      <c r="H21" s="66">
        <v>1.66534</v>
      </c>
    </row>
    <row r="22" spans="1:8">
      <c r="A22" s="66" t="s">
        <v>319</v>
      </c>
      <c r="B22" s="66">
        <v>41.288600000000002</v>
      </c>
      <c r="C22" s="66">
        <v>7.6409799999999999</v>
      </c>
      <c r="D22" s="66">
        <v>0.18506300000000001</v>
      </c>
      <c r="E22" s="66">
        <v>0</v>
      </c>
      <c r="F22" s="66">
        <v>18.301500000000001</v>
      </c>
      <c r="G22" s="66">
        <v>0</v>
      </c>
      <c r="H22" s="66">
        <v>58.278100000000002</v>
      </c>
    </row>
    <row r="23" spans="1:8">
      <c r="A23" s="66" t="s">
        <v>320</v>
      </c>
      <c r="B23" s="66">
        <v>15.1896</v>
      </c>
      <c r="C23" s="66">
        <v>2.3189899999999999</v>
      </c>
      <c r="D23" s="66">
        <v>0.152669</v>
      </c>
      <c r="E23" s="66">
        <v>0</v>
      </c>
      <c r="F23" s="66">
        <v>12.952199999999999</v>
      </c>
      <c r="G23" s="66">
        <v>0</v>
      </c>
      <c r="H23" s="66">
        <v>20.778600000000001</v>
      </c>
    </row>
    <row r="24" spans="1:8">
      <c r="A24" s="66" t="s">
        <v>351</v>
      </c>
      <c r="B24" s="66">
        <v>1.32974E-3</v>
      </c>
      <c r="C24" s="66">
        <v>8.1645399999999996E-3</v>
      </c>
      <c r="D24" s="66">
        <v>6.1399699999999999</v>
      </c>
      <c r="E24" s="66">
        <v>0</v>
      </c>
      <c r="F24" s="196">
        <v>3.3548599999999999E-5</v>
      </c>
      <c r="G24" s="66">
        <v>0</v>
      </c>
      <c r="H24" s="66">
        <v>4.2192399999999998E-2</v>
      </c>
    </row>
    <row r="25" spans="1:8">
      <c r="A25" s="66" t="s">
        <v>322</v>
      </c>
      <c r="B25" s="66">
        <v>0.119634</v>
      </c>
      <c r="C25" s="66">
        <v>0.10566200000000001</v>
      </c>
      <c r="D25" s="66">
        <v>0.88321099999999997</v>
      </c>
      <c r="E25" s="66">
        <v>0</v>
      </c>
      <c r="F25" s="66">
        <v>1.8875400000000001E-2</v>
      </c>
      <c r="G25" s="66">
        <v>0</v>
      </c>
      <c r="H25" s="66">
        <v>0.48078799999999999</v>
      </c>
    </row>
    <row r="26" spans="1:8">
      <c r="A26" s="66" t="s">
        <v>323</v>
      </c>
      <c r="B26" s="66">
        <v>2.6260500000000001E-4</v>
      </c>
      <c r="C26" s="66">
        <v>1.48599E-3</v>
      </c>
      <c r="D26" s="66">
        <v>5.6586499999999997</v>
      </c>
      <c r="E26" s="66">
        <v>0</v>
      </c>
      <c r="F26" s="66">
        <v>0</v>
      </c>
      <c r="G26" s="66">
        <v>0</v>
      </c>
      <c r="H26" s="66">
        <v>1.07405E-2</v>
      </c>
    </row>
    <row r="27" spans="1:8">
      <c r="A27" s="66" t="s">
        <v>324</v>
      </c>
      <c r="B27" s="196">
        <v>-3.2825599999999999E-6</v>
      </c>
      <c r="C27" s="66">
        <v>7.9884599999999997E-4</v>
      </c>
      <c r="D27" s="66">
        <v>-243.36</v>
      </c>
      <c r="E27" s="66">
        <v>0</v>
      </c>
      <c r="F27" s="66">
        <v>-4.4347400000000004E-3</v>
      </c>
      <c r="G27" s="66">
        <v>0</v>
      </c>
      <c r="H27" s="66">
        <v>4.0900700000000003E-3</v>
      </c>
    </row>
    <row r="28" spans="1:8">
      <c r="A28" s="66" t="s">
        <v>325</v>
      </c>
      <c r="B28" s="66">
        <v>1.1492499999999999E-2</v>
      </c>
      <c r="C28" s="66">
        <v>1.6911099999999998E-2</v>
      </c>
      <c r="D28" s="66">
        <v>1.47149</v>
      </c>
      <c r="E28" s="66">
        <v>0</v>
      </c>
      <c r="F28" s="66">
        <v>1.7578099999999999E-4</v>
      </c>
      <c r="G28" s="66">
        <v>0</v>
      </c>
      <c r="H28" s="66">
        <v>0.119408</v>
      </c>
    </row>
    <row r="29" spans="1:8">
      <c r="A29" s="66" t="s">
        <v>326</v>
      </c>
      <c r="B29" s="66">
        <v>72.287999999999997</v>
      </c>
      <c r="C29" s="66">
        <v>7.5984999999999996</v>
      </c>
      <c r="D29" s="66">
        <v>0.105114</v>
      </c>
      <c r="E29" s="66">
        <v>0</v>
      </c>
      <c r="F29" s="66">
        <v>57.906799999999997</v>
      </c>
      <c r="G29" s="66">
        <v>0</v>
      </c>
      <c r="H29" s="66">
        <v>94.533000000000001</v>
      </c>
    </row>
    <row r="30" spans="1:8">
      <c r="A30" s="66" t="s">
        <v>327</v>
      </c>
      <c r="B30" s="66">
        <v>21.8096</v>
      </c>
      <c r="C30" s="66">
        <v>3.1067999999999998</v>
      </c>
      <c r="D30" s="66">
        <v>0.14245099999999999</v>
      </c>
      <c r="E30" s="66">
        <v>0</v>
      </c>
      <c r="F30" s="66">
        <v>17.208100000000002</v>
      </c>
      <c r="G30" s="66">
        <v>0</v>
      </c>
      <c r="H30" s="66">
        <v>27.661999999999999</v>
      </c>
    </row>
    <row r="31" spans="1:8">
      <c r="A31" s="66" t="s">
        <v>328</v>
      </c>
      <c r="B31" s="66">
        <v>220.00700000000001</v>
      </c>
      <c r="C31" s="66">
        <v>51.732500000000002</v>
      </c>
      <c r="D31" s="66">
        <v>0.23513999999999999</v>
      </c>
      <c r="E31" s="66">
        <v>0</v>
      </c>
      <c r="F31" s="66">
        <v>161.93299999999999</v>
      </c>
      <c r="G31" s="66">
        <v>0</v>
      </c>
      <c r="H31" s="66">
        <v>327.976</v>
      </c>
    </row>
    <row r="32" spans="1:8">
      <c r="A32" s="66" t="s">
        <v>329</v>
      </c>
      <c r="B32" s="66">
        <v>0.24244599999999999</v>
      </c>
      <c r="C32" s="66">
        <v>4.9759699999999997E-2</v>
      </c>
      <c r="D32" s="66">
        <v>0.20524000000000001</v>
      </c>
      <c r="E32" s="66">
        <v>0.15</v>
      </c>
      <c r="F32" s="66">
        <v>0.10902100000000001</v>
      </c>
      <c r="G32" s="66">
        <v>0.4</v>
      </c>
      <c r="H32" s="66">
        <v>0.36802600000000002</v>
      </c>
    </row>
    <row r="33" spans="1:8">
      <c r="A33" s="66" t="s">
        <v>330</v>
      </c>
      <c r="B33" s="66">
        <v>0.24890399999999999</v>
      </c>
      <c r="C33" s="66">
        <v>6.18299E-2</v>
      </c>
      <c r="D33" s="66">
        <v>0.24840899999999999</v>
      </c>
      <c r="E33" s="66">
        <v>0</v>
      </c>
      <c r="F33" s="66">
        <v>0.216421</v>
      </c>
      <c r="G33" s="66">
        <v>0</v>
      </c>
      <c r="H33" s="66">
        <v>0.40783399999999997</v>
      </c>
    </row>
    <row r="34" spans="1:8">
      <c r="A34" s="66" t="s">
        <v>331</v>
      </c>
      <c r="B34" s="66">
        <v>0.22503999999999999</v>
      </c>
      <c r="C34" s="66">
        <v>2.7117700000000002E-2</v>
      </c>
      <c r="D34" s="66">
        <v>0.120502</v>
      </c>
      <c r="E34" s="66">
        <v>0.1</v>
      </c>
      <c r="F34" s="66">
        <v>0.178451</v>
      </c>
      <c r="G34" s="66">
        <v>0.25</v>
      </c>
      <c r="H34" s="66">
        <v>0.28183900000000001</v>
      </c>
    </row>
    <row r="35" spans="1:8">
      <c r="A35" s="66" t="s">
        <v>332</v>
      </c>
      <c r="B35" s="66">
        <v>8.7432999999999997E-2</v>
      </c>
      <c r="C35" s="66">
        <v>2.7049400000000001E-2</v>
      </c>
      <c r="D35" s="66">
        <v>0.30937300000000001</v>
      </c>
      <c r="E35" s="66">
        <v>0</v>
      </c>
      <c r="F35" s="66">
        <v>3.5845599999999998E-2</v>
      </c>
      <c r="G35" s="66">
        <v>0</v>
      </c>
      <c r="H35" s="66">
        <v>0.159967</v>
      </c>
    </row>
    <row r="36" spans="1:8">
      <c r="A36" s="66" t="s">
        <v>333</v>
      </c>
      <c r="B36" s="66">
        <v>0.20607300000000001</v>
      </c>
      <c r="C36" s="66">
        <v>0.100379</v>
      </c>
      <c r="D36" s="66">
        <v>0.48710700000000001</v>
      </c>
      <c r="E36" s="66">
        <v>0</v>
      </c>
      <c r="F36" s="66">
        <v>3.4698100000000003E-2</v>
      </c>
      <c r="G36" s="66">
        <v>0</v>
      </c>
      <c r="H36" s="66">
        <v>0.557446</v>
      </c>
    </row>
    <row r="37" spans="1:8">
      <c r="A37" s="66" t="s">
        <v>334</v>
      </c>
      <c r="B37" s="66">
        <v>0.271177</v>
      </c>
      <c r="C37" s="66">
        <v>7.2326299999999996E-2</v>
      </c>
      <c r="D37" s="66">
        <v>0.266712</v>
      </c>
      <c r="E37" s="66">
        <v>0.1</v>
      </c>
      <c r="F37" s="66">
        <v>2.16662E-2</v>
      </c>
      <c r="G37" s="66">
        <v>0.5</v>
      </c>
      <c r="H37" s="66">
        <v>0.25808300000000001</v>
      </c>
    </row>
    <row r="38" spans="1:8">
      <c r="A38" s="66" t="s">
        <v>335</v>
      </c>
      <c r="B38" s="66">
        <v>1.41856</v>
      </c>
      <c r="C38" s="66">
        <v>22.718699999999998</v>
      </c>
      <c r="D38" s="66">
        <v>16.0154</v>
      </c>
      <c r="E38" s="66">
        <v>0</v>
      </c>
      <c r="F38" s="66">
        <v>-57.692599999999999</v>
      </c>
      <c r="G38" s="66">
        <v>0</v>
      </c>
      <c r="H38" s="66">
        <v>90.389200000000002</v>
      </c>
    </row>
    <row r="39" spans="1:8">
      <c r="A39" s="66" t="s">
        <v>336</v>
      </c>
      <c r="B39" s="66">
        <v>0.338837</v>
      </c>
      <c r="C39" s="66">
        <v>2.6398100000000002</v>
      </c>
      <c r="D39" s="66">
        <v>7.7907900000000003</v>
      </c>
      <c r="E39" s="66">
        <v>0</v>
      </c>
      <c r="F39" s="66">
        <v>-3.5327700000000002</v>
      </c>
      <c r="G39" s="66">
        <v>0</v>
      </c>
      <c r="H39" s="66">
        <v>9.9221900000000005</v>
      </c>
    </row>
    <row r="40" spans="1:8">
      <c r="A40" s="66" t="s">
        <v>337</v>
      </c>
      <c r="B40" s="66">
        <v>0.52409899999999998</v>
      </c>
      <c r="C40" s="66">
        <v>0.63830399999999998</v>
      </c>
      <c r="D40" s="66">
        <v>1.21791</v>
      </c>
      <c r="E40" s="66">
        <v>0</v>
      </c>
      <c r="F40" s="66">
        <v>-1.4715400000000001</v>
      </c>
      <c r="G40" s="66">
        <v>0</v>
      </c>
      <c r="H40" s="66">
        <v>1.35179</v>
      </c>
    </row>
    <row r="41" spans="1:8">
      <c r="A41" s="66" t="s">
        <v>338</v>
      </c>
      <c r="B41" s="66">
        <v>3.2520299999999999E-3</v>
      </c>
      <c r="C41" s="66">
        <v>0.24981</v>
      </c>
      <c r="D41" s="66">
        <v>76.816599999999994</v>
      </c>
      <c r="E41" s="66">
        <v>0</v>
      </c>
      <c r="F41" s="66">
        <v>-0.67088599999999998</v>
      </c>
      <c r="G41" s="66">
        <v>0</v>
      </c>
      <c r="H41" s="66">
        <v>1</v>
      </c>
    </row>
    <row r="42" spans="1:8">
      <c r="A42" s="66" t="s">
        <v>339</v>
      </c>
      <c r="B42" s="66">
        <v>-6.2715699999999997E-3</v>
      </c>
      <c r="C42" s="66">
        <v>4.85084E-2</v>
      </c>
      <c r="D42" s="66">
        <v>-7.7346500000000002</v>
      </c>
      <c r="E42" s="66">
        <v>0</v>
      </c>
      <c r="F42" s="66">
        <v>-0.11228100000000001</v>
      </c>
      <c r="G42" s="66">
        <v>0</v>
      </c>
      <c r="H42" s="66">
        <v>0.15165999999999999</v>
      </c>
    </row>
    <row r="43" spans="1:8">
      <c r="A43" s="66" t="s">
        <v>340</v>
      </c>
      <c r="B43" s="66">
        <v>1.5747899999999999E-2</v>
      </c>
      <c r="C43" s="66">
        <v>3.5504599999999997E-2</v>
      </c>
      <c r="D43" s="66">
        <v>2.2545600000000001</v>
      </c>
      <c r="E43" s="66">
        <v>0</v>
      </c>
      <c r="F43" s="66">
        <v>-9.1770599999999994E-2</v>
      </c>
      <c r="G43" s="66">
        <v>0</v>
      </c>
      <c r="H43" s="66">
        <v>5.8757900000000002E-2</v>
      </c>
    </row>
    <row r="44" spans="1:8">
      <c r="A44" s="66" t="s">
        <v>341</v>
      </c>
      <c r="B44" s="66">
        <v>-27.847999999999999</v>
      </c>
      <c r="C44" s="66">
        <v>9.2434899999999995</v>
      </c>
      <c r="D44" s="66">
        <v>-0.331926</v>
      </c>
      <c r="E44" s="66">
        <v>0</v>
      </c>
      <c r="F44" s="66">
        <v>-35.940300000000001</v>
      </c>
      <c r="G44" s="66">
        <v>0</v>
      </c>
      <c r="H44" s="66">
        <v>-1.86392</v>
      </c>
    </row>
    <row r="45" spans="1:8">
      <c r="A45" s="66" t="s">
        <v>342</v>
      </c>
      <c r="B45" s="66">
        <v>54.741500000000002</v>
      </c>
      <c r="C45" s="66">
        <v>5.9369699999999996</v>
      </c>
      <c r="D45" s="66">
        <v>0.108455</v>
      </c>
      <c r="E45" s="66">
        <v>0</v>
      </c>
      <c r="F45" s="66">
        <v>38.719200000000001</v>
      </c>
      <c r="G45" s="66">
        <v>0</v>
      </c>
      <c r="H45" s="66">
        <v>69.124499999999998</v>
      </c>
    </row>
    <row r="46" spans="1:8">
      <c r="A46" s="66" t="s">
        <v>343</v>
      </c>
      <c r="B46" s="66">
        <v>26.407</v>
      </c>
      <c r="C46" s="66">
        <v>4.9170499999999997</v>
      </c>
      <c r="D46" s="66">
        <v>0.18620200000000001</v>
      </c>
      <c r="E46" s="66">
        <v>0</v>
      </c>
      <c r="F46" s="66">
        <v>24.187000000000001</v>
      </c>
      <c r="G46" s="66">
        <v>0</v>
      </c>
      <c r="H46" s="66">
        <v>37.8063</v>
      </c>
    </row>
    <row r="47" spans="1:8">
      <c r="A47" s="66" t="s">
        <v>344</v>
      </c>
      <c r="B47" s="66">
        <v>0.90866999999999998</v>
      </c>
      <c r="C47" s="66">
        <v>0.409495</v>
      </c>
      <c r="D47" s="66">
        <v>0.45065300000000003</v>
      </c>
      <c r="E47" s="66">
        <v>0</v>
      </c>
      <c r="F47" s="66">
        <v>0.31647399999999998</v>
      </c>
      <c r="G47" s="66">
        <v>0</v>
      </c>
      <c r="H47" s="66">
        <v>2.3896600000000001</v>
      </c>
    </row>
    <row r="48" spans="1:8">
      <c r="A48" s="66" t="s">
        <v>345</v>
      </c>
      <c r="B48" s="66">
        <v>0.58666399999999996</v>
      </c>
      <c r="C48" s="66">
        <v>2.9195200000000001E-2</v>
      </c>
      <c r="D48" s="66">
        <v>4.9764799999999998E-2</v>
      </c>
      <c r="E48" s="66">
        <v>0</v>
      </c>
      <c r="F48" s="66">
        <v>0.53678199999999998</v>
      </c>
      <c r="G48" s="66">
        <v>0</v>
      </c>
      <c r="H48" s="66">
        <v>0.67435800000000001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352</v>
      </c>
      <c r="B1" s="60" t="s">
        <v>353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70.724543537323598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1.3655134309689974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0.65132321375808133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9021</v>
      </c>
      <c r="B8" s="66">
        <v>9021</v>
      </c>
      <c r="D8">
        <f t="shared" si="0"/>
        <v>7.1513508371385079E-2</v>
      </c>
      <c r="E8">
        <f t="shared" si="0"/>
        <v>7.1513508371385079E-2</v>
      </c>
      <c r="G8">
        <f t="shared" ca="1" si="1"/>
        <v>6</v>
      </c>
      <c r="H8">
        <f t="shared" ca="1" si="2"/>
        <v>0.42908105022831045</v>
      </c>
      <c r="I8">
        <f t="shared" ca="1" si="3"/>
        <v>299.58914750041612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15382</v>
      </c>
      <c r="B10" s="66">
        <v>15382</v>
      </c>
      <c r="D10">
        <f t="shared" si="0"/>
        <v>0.12194000507356671</v>
      </c>
      <c r="E10">
        <f t="shared" si="0"/>
        <v>0.12194000507356671</v>
      </c>
      <c r="G10">
        <f t="shared" ca="1" si="1"/>
        <v>8</v>
      </c>
      <c r="H10">
        <f t="shared" ca="1" si="2"/>
        <v>0.9755200405885337</v>
      </c>
      <c r="I10">
        <f t="shared" ca="1" si="3"/>
        <v>479.75689801936608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16608</v>
      </c>
      <c r="B13" s="66">
        <v>16608</v>
      </c>
      <c r="D13">
        <f t="shared" si="0"/>
        <v>0.13165905631659056</v>
      </c>
      <c r="E13">
        <f t="shared" si="0"/>
        <v>0.13165905631659056</v>
      </c>
      <c r="G13">
        <f t="shared" ca="1" si="1"/>
        <v>11</v>
      </c>
      <c r="H13">
        <f t="shared" ca="1" si="2"/>
        <v>1.4482496194824961</v>
      </c>
      <c r="I13">
        <f t="shared" ca="1" si="3"/>
        <v>469.63063198501328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21657</v>
      </c>
      <c r="B15" s="66">
        <v>21657</v>
      </c>
      <c r="D15">
        <f t="shared" si="0"/>
        <v>0.17168474124809741</v>
      </c>
      <c r="E15">
        <f t="shared" si="0"/>
        <v>0.17168474124809741</v>
      </c>
      <c r="G15">
        <f t="shared" ca="1" si="1"/>
        <v>13</v>
      </c>
      <c r="H15">
        <f t="shared" ca="1" si="2"/>
        <v>2.2319016362252664</v>
      </c>
      <c r="I15">
        <f t="shared" ca="1" si="3"/>
        <v>572.07466245886371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35159</v>
      </c>
      <c r="B18" s="66">
        <v>35159</v>
      </c>
      <c r="D18">
        <f t="shared" si="0"/>
        <v>0.27872114408929477</v>
      </c>
      <c r="E18">
        <f t="shared" si="0"/>
        <v>0.27872114408929477</v>
      </c>
      <c r="G18">
        <f t="shared" ca="1" si="1"/>
        <v>16</v>
      </c>
      <c r="H18">
        <f t="shared" ca="1" si="2"/>
        <v>4.4595383054287163</v>
      </c>
      <c r="I18">
        <f t="shared" ca="1" si="3"/>
        <v>834.70729974226663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45401</v>
      </c>
      <c r="B21" s="66">
        <v>45401</v>
      </c>
      <c r="D21">
        <f t="shared" si="0"/>
        <v>0.35991406646372398</v>
      </c>
      <c r="E21">
        <f t="shared" si="0"/>
        <v>0.35991406646372398</v>
      </c>
      <c r="G21">
        <f t="shared" ca="1" si="1"/>
        <v>19</v>
      </c>
      <c r="H21">
        <f t="shared" ca="1" si="2"/>
        <v>6.8383672628107552</v>
      </c>
      <c r="I21">
        <f t="shared" ca="1" si="3"/>
        <v>962.92431646819296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52998</v>
      </c>
      <c r="B23" s="66">
        <v>52998</v>
      </c>
      <c r="D23">
        <f t="shared" si="0"/>
        <v>0.4201388888888889</v>
      </c>
      <c r="E23">
        <f t="shared" si="0"/>
        <v>0.4201388888888889</v>
      </c>
      <c r="G23">
        <f t="shared" ca="1" si="1"/>
        <v>21</v>
      </c>
      <c r="H23">
        <f t="shared" ca="1" si="2"/>
        <v>8.8229166666666661</v>
      </c>
      <c r="I23">
        <f t="shared" ca="1" si="3"/>
        <v>1038.8061035743681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62080</v>
      </c>
      <c r="B26" s="66">
        <v>62080</v>
      </c>
      <c r="D26">
        <f t="shared" si="0"/>
        <v>0.49213597158802636</v>
      </c>
      <c r="E26">
        <f t="shared" si="0"/>
        <v>0.49213597158802636</v>
      </c>
      <c r="G26">
        <f t="shared" ca="1" si="1"/>
        <v>24</v>
      </c>
      <c r="H26">
        <f t="shared" ca="1" si="2"/>
        <v>11.811263318112633</v>
      </c>
      <c r="I26">
        <f t="shared" ca="1" si="3"/>
        <v>1074.4228714906701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83567</v>
      </c>
      <c r="B28" s="66">
        <v>83567</v>
      </c>
      <c r="D28">
        <f t="shared" si="0"/>
        <v>0.66247304667681384</v>
      </c>
      <c r="E28">
        <f t="shared" si="0"/>
        <v>0.66247304667681384</v>
      </c>
      <c r="G28">
        <f t="shared" ca="1" si="1"/>
        <v>26</v>
      </c>
      <c r="H28">
        <f t="shared" ca="1" si="2"/>
        <v>17.22429921359716</v>
      </c>
      <c r="I28">
        <f t="shared" ca="1" si="3"/>
        <v>1325.1347621145107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85819</v>
      </c>
      <c r="B31" s="66">
        <v>85819</v>
      </c>
      <c r="D31">
        <f t="shared" si="0"/>
        <v>0.6803256595636733</v>
      </c>
      <c r="E31">
        <f t="shared" si="0"/>
        <v>0.6803256595636733</v>
      </c>
      <c r="G31">
        <f t="shared" ca="1" si="1"/>
        <v>29</v>
      </c>
      <c r="H31">
        <f t="shared" ca="1" si="2"/>
        <v>19.729444127346525</v>
      </c>
      <c r="I31">
        <f t="shared" ca="1" si="3"/>
        <v>1184.4044756681574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99554</v>
      </c>
      <c r="B33" s="66">
        <v>99554</v>
      </c>
      <c r="D33">
        <f t="shared" si="0"/>
        <v>0.78920915778792489</v>
      </c>
      <c r="E33">
        <f t="shared" si="0"/>
        <v>0.78920915778792489</v>
      </c>
      <c r="G33">
        <f t="shared" ca="1" si="1"/>
        <v>31</v>
      </c>
      <c r="H33">
        <f t="shared" ca="1" si="2"/>
        <v>24.46548389142567</v>
      </c>
      <c r="I33">
        <f t="shared" ca="1" si="3"/>
        <v>1245.4031136688775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113366</v>
      </c>
      <c r="B36" s="66">
        <v>113366</v>
      </c>
      <c r="D36">
        <f t="shared" si="0"/>
        <v>0.89870306950786405</v>
      </c>
      <c r="E36">
        <f t="shared" si="0"/>
        <v>0.89870306950786405</v>
      </c>
      <c r="G36">
        <f t="shared" ca="1" si="1"/>
        <v>34</v>
      </c>
      <c r="H36">
        <f t="shared" ca="1" si="2"/>
        <v>30.555904363267377</v>
      </c>
      <c r="I36">
        <f t="shared" ca="1" si="3"/>
        <v>1212.0737283158676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112718</v>
      </c>
      <c r="B39" s="66">
        <v>112718</v>
      </c>
      <c r="D39">
        <f t="shared" si="0"/>
        <v>0.89356608320649411</v>
      </c>
      <c r="E39">
        <f t="shared" si="0"/>
        <v>0.89356608320649411</v>
      </c>
      <c r="G39">
        <f t="shared" ca="1" si="1"/>
        <v>37</v>
      </c>
      <c r="H39">
        <f t="shared" ca="1" si="2"/>
        <v>33.061945078640285</v>
      </c>
      <c r="I39">
        <f t="shared" ca="1" si="3"/>
        <v>1016.2927710752513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116076</v>
      </c>
      <c r="B41" s="66">
        <v>116076</v>
      </c>
      <c r="D41">
        <f t="shared" si="0"/>
        <v>0.92018645357686457</v>
      </c>
      <c r="E41">
        <f t="shared" si="0"/>
        <v>0.92018645357686457</v>
      </c>
      <c r="G41">
        <f t="shared" ca="1" si="1"/>
        <v>39</v>
      </c>
      <c r="H41">
        <f t="shared" ca="1" si="2"/>
        <v>35.887271689497716</v>
      </c>
      <c r="I41">
        <f t="shared" ca="1" si="3"/>
        <v>926.11858521959198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115195</v>
      </c>
      <c r="B44" s="66">
        <v>115195</v>
      </c>
      <c r="D44">
        <f t="shared" si="0"/>
        <v>0.91320237189244036</v>
      </c>
      <c r="E44">
        <f t="shared" si="0"/>
        <v>0.91320237189244036</v>
      </c>
      <c r="G44">
        <f t="shared" ca="1" si="1"/>
        <v>42</v>
      </c>
      <c r="H44">
        <f t="shared" ca="1" si="2"/>
        <v>38.354499619482496</v>
      </c>
      <c r="I44">
        <f t="shared" ca="1" si="3"/>
        <v>753.48273043071606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121428</v>
      </c>
      <c r="B46" s="66">
        <v>121428</v>
      </c>
      <c r="D46">
        <f t="shared" si="0"/>
        <v>0.96261415525114158</v>
      </c>
      <c r="E46">
        <f t="shared" si="0"/>
        <v>0.96261415525114158</v>
      </c>
      <c r="G46">
        <f t="shared" ca="1" si="1"/>
        <v>44</v>
      </c>
      <c r="H46">
        <f t="shared" ca="1" si="2"/>
        <v>42.355022831050228</v>
      </c>
      <c r="I46">
        <f t="shared" ca="1" si="3"/>
        <v>687.50021107583359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115830</v>
      </c>
      <c r="B49" s="66">
        <v>115830</v>
      </c>
      <c r="D49">
        <f t="shared" si="0"/>
        <v>0.91823630136986301</v>
      </c>
      <c r="E49">
        <f t="shared" si="0"/>
        <v>0.91823630136986301</v>
      </c>
      <c r="G49">
        <f t="shared" ca="1" si="1"/>
        <v>47</v>
      </c>
      <c r="H49">
        <f t="shared" ca="1" si="2"/>
        <v>43.157106164383563</v>
      </c>
      <c r="I49">
        <f t="shared" ca="1" si="3"/>
        <v>516.83294400111663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116667</v>
      </c>
      <c r="B51" s="66">
        <v>116667</v>
      </c>
      <c r="D51">
        <f t="shared" si="0"/>
        <v>0.92487157534246578</v>
      </c>
      <c r="E51">
        <f t="shared" si="0"/>
        <v>0.92487157534246578</v>
      </c>
      <c r="G51">
        <f t="shared" ca="1" si="1"/>
        <v>49</v>
      </c>
      <c r="H51">
        <f t="shared" ca="1" si="2"/>
        <v>45.318707191780824</v>
      </c>
      <c r="I51">
        <f t="shared" ca="1" si="3"/>
        <v>436.49849675124165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126144</v>
      </c>
      <c r="B54" s="66">
        <v>126144</v>
      </c>
      <c r="D54">
        <f t="shared" si="0"/>
        <v>1</v>
      </c>
      <c r="E54">
        <f t="shared" si="0"/>
        <v>1</v>
      </c>
      <c r="G54">
        <f t="shared" ca="1" si="1"/>
        <v>52</v>
      </c>
      <c r="H54">
        <f t="shared" ca="1" si="2"/>
        <v>52</v>
      </c>
      <c r="I54">
        <f t="shared" ca="1" si="3"/>
        <v>350.60853068112692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121569</v>
      </c>
      <c r="B57" s="66">
        <v>121569</v>
      </c>
      <c r="D57">
        <f t="shared" si="0"/>
        <v>0.96373192541856922</v>
      </c>
      <c r="E57">
        <f t="shared" si="0"/>
        <v>0.96373192541856922</v>
      </c>
      <c r="G57">
        <f t="shared" ca="1" si="1"/>
        <v>55</v>
      </c>
      <c r="H57">
        <f t="shared" ca="1" si="2"/>
        <v>53.005255898021311</v>
      </c>
      <c r="I57">
        <f t="shared" ca="1" si="3"/>
        <v>238.29357929541288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118865</v>
      </c>
      <c r="B59" s="66">
        <v>118865</v>
      </c>
      <c r="D59">
        <f t="shared" si="0"/>
        <v>0.94229610603754443</v>
      </c>
      <c r="E59">
        <f t="shared" si="0"/>
        <v>0.94229610603754443</v>
      </c>
      <c r="G59">
        <f t="shared" ca="1" si="1"/>
        <v>57</v>
      </c>
      <c r="H59">
        <f t="shared" ca="1" si="2"/>
        <v>53.710878044140031</v>
      </c>
      <c r="I59">
        <f t="shared" ca="1" si="3"/>
        <v>177.49381122980449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105204</v>
      </c>
      <c r="B62" s="66">
        <v>105204</v>
      </c>
      <c r="D62">
        <f t="shared" si="0"/>
        <v>0.8339992389649924</v>
      </c>
      <c r="E62">
        <f t="shared" si="0"/>
        <v>0.8339992389649924</v>
      </c>
      <c r="G62">
        <f t="shared" ca="1" si="1"/>
        <v>60</v>
      </c>
      <c r="H62">
        <f t="shared" ca="1" si="2"/>
        <v>50.039954337899545</v>
      </c>
      <c r="I62">
        <f t="shared" ca="1" si="3"/>
        <v>95.923118094937593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106164</v>
      </c>
      <c r="B64" s="66">
        <v>106164</v>
      </c>
      <c r="D64">
        <f t="shared" si="0"/>
        <v>0.84160958904109584</v>
      </c>
      <c r="E64">
        <f t="shared" si="0"/>
        <v>0.84160958904109584</v>
      </c>
      <c r="G64">
        <f t="shared" ca="1" si="1"/>
        <v>62</v>
      </c>
      <c r="H64">
        <f t="shared" ca="1" si="2"/>
        <v>52.179794520547944</v>
      </c>
      <c r="I64">
        <f t="shared" ca="1" si="3"/>
        <v>64.061352496374838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99491</v>
      </c>
      <c r="B67" s="66">
        <v>99491</v>
      </c>
      <c r="D67">
        <f t="shared" ref="D67:E130" si="4">IFERROR( A67/MAX(A$2:A$257), 0 )</f>
        <v>0.78870972856418065</v>
      </c>
      <c r="E67">
        <f t="shared" si="4"/>
        <v>0.78870972856418065</v>
      </c>
      <c r="G67">
        <f t="shared" ref="G67:G130" ca="1" si="5">CELL("row",D67)-2</f>
        <v>65</v>
      </c>
      <c r="H67">
        <f t="shared" ref="H67:H130" ca="1" si="6">D67*G67</f>
        <v>51.26613235667174</v>
      </c>
      <c r="I67">
        <f t="shared" ref="I67:I130" ca="1" si="7">D67*((G67-$L$1)^2)</f>
        <v>25.846332272066718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91535</v>
      </c>
      <c r="B69" s="66">
        <v>91535</v>
      </c>
      <c r="D69">
        <f t="shared" si="4"/>
        <v>0.72563895230847286</v>
      </c>
      <c r="E69">
        <f t="shared" si="4"/>
        <v>0.72563895230847286</v>
      </c>
      <c r="G69">
        <f t="shared" ca="1" si="5"/>
        <v>67</v>
      </c>
      <c r="H69">
        <f t="shared" ca="1" si="6"/>
        <v>48.617809804667679</v>
      </c>
      <c r="I69">
        <f t="shared" ca="1" si="7"/>
        <v>10.066226496935931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94964</v>
      </c>
      <c r="B72" s="66">
        <v>94964</v>
      </c>
      <c r="D72">
        <f t="shared" si="4"/>
        <v>0.75282217148655506</v>
      </c>
      <c r="E72">
        <f t="shared" si="4"/>
        <v>0.75282217148655506</v>
      </c>
      <c r="G72">
        <f t="shared" ca="1" si="5"/>
        <v>70</v>
      </c>
      <c r="H72">
        <f t="shared" ca="1" si="6"/>
        <v>52.697552004058856</v>
      </c>
      <c r="I72">
        <f t="shared" ca="1" si="7"/>
        <v>0.39520403967055928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89940</v>
      </c>
      <c r="B75" s="66">
        <v>89940</v>
      </c>
      <c r="D75">
        <f t="shared" si="4"/>
        <v>0.71299467275494677</v>
      </c>
      <c r="E75">
        <f t="shared" si="4"/>
        <v>0.71299467275494677</v>
      </c>
      <c r="G75">
        <f t="shared" ca="1" si="5"/>
        <v>73</v>
      </c>
      <c r="H75">
        <f t="shared" ca="1" si="6"/>
        <v>52.048611111111114</v>
      </c>
      <c r="I75">
        <f t="shared" ca="1" si="7"/>
        <v>3.6916740240630572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87314</v>
      </c>
      <c r="B77" s="66">
        <v>87314</v>
      </c>
      <c r="D77">
        <f t="shared" si="4"/>
        <v>0.69217719431760527</v>
      </c>
      <c r="E77">
        <f t="shared" si="4"/>
        <v>0.69217719431760527</v>
      </c>
      <c r="G77">
        <f t="shared" ca="1" si="5"/>
        <v>75</v>
      </c>
      <c r="H77">
        <f t="shared" ca="1" si="6"/>
        <v>51.913289573820393</v>
      </c>
      <c r="I77">
        <f t="shared" ca="1" si="7"/>
        <v>12.652672379738828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79089</v>
      </c>
      <c r="B80" s="66">
        <v>79089</v>
      </c>
      <c r="D80">
        <f t="shared" si="4"/>
        <v>0.62697393455098938</v>
      </c>
      <c r="E80">
        <f t="shared" si="4"/>
        <v>0.62697393455098938</v>
      </c>
      <c r="G80">
        <f t="shared" ca="1" si="5"/>
        <v>78</v>
      </c>
      <c r="H80">
        <f t="shared" ca="1" si="6"/>
        <v>48.903966894977174</v>
      </c>
      <c r="I80">
        <f t="shared" ca="1" si="7"/>
        <v>33.187151542868257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81119</v>
      </c>
      <c r="B82" s="66">
        <v>81119</v>
      </c>
      <c r="D82">
        <f t="shared" si="4"/>
        <v>0.64306665398274987</v>
      </c>
      <c r="E82">
        <f t="shared" si="4"/>
        <v>0.64306665398274987</v>
      </c>
      <c r="G82">
        <f t="shared" ca="1" si="5"/>
        <v>80</v>
      </c>
      <c r="H82">
        <f t="shared" ca="1" si="6"/>
        <v>51.44533231861999</v>
      </c>
      <c r="I82">
        <f t="shared" ca="1" si="7"/>
        <v>55.325656050939955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82486</v>
      </c>
      <c r="B85" s="66">
        <v>82486</v>
      </c>
      <c r="D85">
        <f t="shared" si="4"/>
        <v>0.65390347539320137</v>
      </c>
      <c r="E85">
        <f t="shared" si="4"/>
        <v>0.65390347539320137</v>
      </c>
      <c r="G85">
        <f t="shared" ca="1" si="5"/>
        <v>83</v>
      </c>
      <c r="H85">
        <f t="shared" ca="1" si="6"/>
        <v>54.273988457635717</v>
      </c>
      <c r="I85">
        <f t="shared" ca="1" si="7"/>
        <v>98.534642726912324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87377</v>
      </c>
      <c r="B88" s="66">
        <v>87377</v>
      </c>
      <c r="D88">
        <f t="shared" si="4"/>
        <v>0.69267662354134962</v>
      </c>
      <c r="E88">
        <f t="shared" si="4"/>
        <v>0.69267662354134962</v>
      </c>
      <c r="G88">
        <f t="shared" ca="1" si="5"/>
        <v>86</v>
      </c>
      <c r="H88">
        <f t="shared" ca="1" si="6"/>
        <v>59.570189624556065</v>
      </c>
      <c r="I88">
        <f t="shared" ca="1" si="7"/>
        <v>161.62886558532784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81007</v>
      </c>
      <c r="B90" s="66">
        <v>81007</v>
      </c>
      <c r="D90">
        <f t="shared" si="4"/>
        <v>0.6421787798072045</v>
      </c>
      <c r="E90">
        <f t="shared" si="4"/>
        <v>0.6421787798072045</v>
      </c>
      <c r="G90">
        <f t="shared" ca="1" si="5"/>
        <v>88</v>
      </c>
      <c r="H90">
        <f t="shared" ca="1" si="6"/>
        <v>56.511732623033993</v>
      </c>
      <c r="I90">
        <f t="shared" ca="1" si="7"/>
        <v>191.65273152327512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84702</v>
      </c>
      <c r="B93" s="66">
        <v>84702</v>
      </c>
      <c r="D93">
        <f t="shared" si="4"/>
        <v>0.671470700152207</v>
      </c>
      <c r="E93">
        <f t="shared" si="4"/>
        <v>0.671470700152207</v>
      </c>
      <c r="G93">
        <f t="shared" ca="1" si="5"/>
        <v>91</v>
      </c>
      <c r="H93">
        <f t="shared" ca="1" si="6"/>
        <v>61.10383371385084</v>
      </c>
      <c r="I93">
        <f t="shared" ca="1" si="7"/>
        <v>276.03766650240129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84803</v>
      </c>
      <c r="B95" s="66">
        <v>84803</v>
      </c>
      <c r="D95">
        <f t="shared" si="4"/>
        <v>0.67227137239979706</v>
      </c>
      <c r="E95">
        <f t="shared" si="4"/>
        <v>0.67227137239979706</v>
      </c>
      <c r="G95">
        <f t="shared" ca="1" si="5"/>
        <v>93</v>
      </c>
      <c r="H95">
        <f t="shared" ca="1" si="6"/>
        <v>62.52123763318113</v>
      </c>
      <c r="I95">
        <f t="shared" ca="1" si="7"/>
        <v>333.57833942564099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86516</v>
      </c>
      <c r="B98" s="66">
        <v>86516</v>
      </c>
      <c r="D98">
        <f t="shared" si="4"/>
        <v>0.68585109081684426</v>
      </c>
      <c r="E98">
        <f t="shared" si="4"/>
        <v>0.68585109081684426</v>
      </c>
      <c r="G98">
        <f t="shared" ca="1" si="5"/>
        <v>96</v>
      </c>
      <c r="H98">
        <f t="shared" ca="1" si="6"/>
        <v>65.841704718417049</v>
      </c>
      <c r="I98">
        <f t="shared" ca="1" si="7"/>
        <v>438.15507734811484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85787</v>
      </c>
      <c r="B100" s="66">
        <v>85787</v>
      </c>
      <c r="D100">
        <f t="shared" si="4"/>
        <v>0.6800719812278031</v>
      </c>
      <c r="E100">
        <f t="shared" si="4"/>
        <v>0.6800719812278031</v>
      </c>
      <c r="G100">
        <f t="shared" ca="1" si="5"/>
        <v>98</v>
      </c>
      <c r="H100">
        <f t="shared" ca="1" si="6"/>
        <v>66.6470541603247</v>
      </c>
      <c r="I100">
        <f t="shared" ca="1" si="7"/>
        <v>505.93990764043411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81992</v>
      </c>
      <c r="B103" s="66">
        <v>81992</v>
      </c>
      <c r="D103">
        <f t="shared" si="4"/>
        <v>0.64998731608320648</v>
      </c>
      <c r="E103">
        <f t="shared" si="4"/>
        <v>0.64998731608320648</v>
      </c>
      <c r="G103">
        <f t="shared" ca="1" si="5"/>
        <v>101</v>
      </c>
      <c r="H103">
        <f t="shared" ca="1" si="6"/>
        <v>65.648718924403852</v>
      </c>
      <c r="I103">
        <f t="shared" ca="1" si="7"/>
        <v>595.78049549568573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85983</v>
      </c>
      <c r="B106" s="66">
        <v>85983</v>
      </c>
      <c r="D106">
        <f t="shared" si="4"/>
        <v>0.6816257610350076</v>
      </c>
      <c r="E106">
        <f t="shared" si="4"/>
        <v>0.6816257610350076</v>
      </c>
      <c r="G106">
        <f t="shared" ca="1" si="5"/>
        <v>104</v>
      </c>
      <c r="H106">
        <f t="shared" ca="1" si="6"/>
        <v>70.889079147640786</v>
      </c>
      <c r="I106">
        <f t="shared" ca="1" si="7"/>
        <v>754.73421556877111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80413</v>
      </c>
      <c r="B108" s="66">
        <v>80413</v>
      </c>
      <c r="D108">
        <f t="shared" si="4"/>
        <v>0.63746987569761537</v>
      </c>
      <c r="E108">
        <f t="shared" si="4"/>
        <v>0.63746987569761537</v>
      </c>
      <c r="G108">
        <f t="shared" ca="1" si="5"/>
        <v>106</v>
      </c>
      <c r="H108">
        <f t="shared" ca="1" si="6"/>
        <v>67.571806823947227</v>
      </c>
      <c r="I108">
        <f t="shared" ca="1" si="7"/>
        <v>793.24063035298377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70192</v>
      </c>
      <c r="B111" s="66">
        <v>70192</v>
      </c>
      <c r="D111">
        <f t="shared" si="4"/>
        <v>0.55644342973110095</v>
      </c>
      <c r="E111">
        <f t="shared" si="4"/>
        <v>0.55644342973110095</v>
      </c>
      <c r="G111">
        <f t="shared" ca="1" si="5"/>
        <v>109</v>
      </c>
      <c r="H111">
        <f t="shared" ca="1" si="6"/>
        <v>60.652333840690005</v>
      </c>
      <c r="I111">
        <f t="shared" ca="1" si="7"/>
        <v>815.19550473096149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67610</v>
      </c>
      <c r="B113" s="66">
        <v>67610</v>
      </c>
      <c r="D113">
        <f t="shared" si="4"/>
        <v>0.53597475900558089</v>
      </c>
      <c r="E113">
        <f t="shared" si="4"/>
        <v>0.53597475900558089</v>
      </c>
      <c r="G113">
        <f t="shared" ca="1" si="5"/>
        <v>111</v>
      </c>
      <c r="H113">
        <f t="shared" ca="1" si="6"/>
        <v>59.493198249619482</v>
      </c>
      <c r="I113">
        <f t="shared" ca="1" si="7"/>
        <v>869.41129906657522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66325</v>
      </c>
      <c r="B116" s="66">
        <v>66325</v>
      </c>
      <c r="D116">
        <f t="shared" si="4"/>
        <v>0.52578798833079654</v>
      </c>
      <c r="E116">
        <f t="shared" si="4"/>
        <v>0.52578798833079654</v>
      </c>
      <c r="G116">
        <f t="shared" ca="1" si="5"/>
        <v>114</v>
      </c>
      <c r="H116">
        <f t="shared" ca="1" si="6"/>
        <v>59.939830669710808</v>
      </c>
      <c r="I116">
        <f t="shared" ca="1" si="7"/>
        <v>984.67741139820578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59351</v>
      </c>
      <c r="B118" s="66">
        <v>59351</v>
      </c>
      <c r="D118">
        <f t="shared" si="4"/>
        <v>0.47050196600710298</v>
      </c>
      <c r="E118">
        <f t="shared" si="4"/>
        <v>0.47050196600710298</v>
      </c>
      <c r="G118">
        <f t="shared" ca="1" si="5"/>
        <v>116</v>
      </c>
      <c r="H118">
        <f t="shared" ca="1" si="6"/>
        <v>54.578228056823946</v>
      </c>
      <c r="I118">
        <f t="shared" ca="1" si="7"/>
        <v>964.46643374669327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49052</v>
      </c>
      <c r="B121" s="66">
        <v>49052</v>
      </c>
      <c r="D121">
        <f t="shared" si="4"/>
        <v>0.38885717909690515</v>
      </c>
      <c r="E121">
        <f t="shared" si="4"/>
        <v>0.38885717909690515</v>
      </c>
      <c r="G121">
        <f t="shared" ca="1" si="5"/>
        <v>119</v>
      </c>
      <c r="H121">
        <f t="shared" ca="1" si="6"/>
        <v>46.274004312531716</v>
      </c>
      <c r="I121">
        <f t="shared" ca="1" si="7"/>
        <v>906.23931508066835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40016</v>
      </c>
      <c r="B124" s="66">
        <v>40016</v>
      </c>
      <c r="D124">
        <f t="shared" si="4"/>
        <v>0.31722475900558095</v>
      </c>
      <c r="E124">
        <f t="shared" si="4"/>
        <v>0.31722475900558095</v>
      </c>
      <c r="G124">
        <f t="shared" ca="1" si="5"/>
        <v>122</v>
      </c>
      <c r="H124">
        <f t="shared" ca="1" si="6"/>
        <v>38.701420598680876</v>
      </c>
      <c r="I124">
        <f t="shared" ca="1" si="7"/>
        <v>834.03859222158985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32737</v>
      </c>
      <c r="B126" s="66">
        <v>32737</v>
      </c>
      <c r="D126">
        <f t="shared" si="4"/>
        <v>0.25952086504312533</v>
      </c>
      <c r="E126">
        <f t="shared" si="4"/>
        <v>0.25952086504312533</v>
      </c>
      <c r="G126">
        <f t="shared" ca="1" si="5"/>
        <v>124</v>
      </c>
      <c r="H126">
        <f t="shared" ca="1" si="6"/>
        <v>32.18058726534754</v>
      </c>
      <c r="I126">
        <f t="shared" ca="1" si="7"/>
        <v>736.59139152390787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31520</v>
      </c>
      <c r="B129" s="66">
        <v>31520</v>
      </c>
      <c r="D129">
        <f t="shared" si="4"/>
        <v>0.24987316083206493</v>
      </c>
      <c r="E129">
        <f t="shared" si="4"/>
        <v>0.24987316083206493</v>
      </c>
      <c r="G129">
        <f t="shared" ca="1" si="5"/>
        <v>127</v>
      </c>
      <c r="H129">
        <f t="shared" ca="1" si="6"/>
        <v>31.733891425672248</v>
      </c>
      <c r="I129">
        <f t="shared" ca="1" si="7"/>
        <v>791.33005963504525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29431</v>
      </c>
      <c r="B131" s="66">
        <v>29431</v>
      </c>
      <c r="D131">
        <f t="shared" ref="D131:E194" si="8">IFERROR( A131/MAX(A$2:A$257), 0 )</f>
        <v>0.23331272196854388</v>
      </c>
      <c r="E131">
        <f t="shared" si="8"/>
        <v>0.23331272196854388</v>
      </c>
      <c r="G131">
        <f t="shared" ref="G131:G194" ca="1" si="9">CELL("row",D131)-2</f>
        <v>129</v>
      </c>
      <c r="H131">
        <f t="shared" ref="H131:H194" ca="1" si="10">D131*G131</f>
        <v>30.097341133942162</v>
      </c>
      <c r="I131">
        <f t="shared" ref="I131:I194" ca="1" si="11">D131*((G131-$L$1)^2)</f>
        <v>792.3367292621349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31085</v>
      </c>
      <c r="B134" s="66">
        <v>31085</v>
      </c>
      <c r="D134">
        <f t="shared" si="8"/>
        <v>0.24642472095383056</v>
      </c>
      <c r="E134">
        <f t="shared" si="8"/>
        <v>0.24642472095383056</v>
      </c>
      <c r="G134">
        <f t="shared" ca="1" si="9"/>
        <v>132</v>
      </c>
      <c r="H134">
        <f t="shared" ca="1" si="10"/>
        <v>32.528063165905635</v>
      </c>
      <c r="I134">
        <f t="shared" ca="1" si="11"/>
        <v>925.2463568539938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27103</v>
      </c>
      <c r="B136" s="66">
        <v>27103</v>
      </c>
      <c r="D136">
        <f t="shared" si="8"/>
        <v>0.21485762303399289</v>
      </c>
      <c r="E136">
        <f t="shared" si="8"/>
        <v>0.21485762303399289</v>
      </c>
      <c r="G136">
        <f t="shared" ca="1" si="9"/>
        <v>134</v>
      </c>
      <c r="H136">
        <f t="shared" ca="1" si="10"/>
        <v>28.790921486555046</v>
      </c>
      <c r="I136">
        <f t="shared" ca="1" si="11"/>
        <v>860.24338243871466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23175</v>
      </c>
      <c r="B139" s="66">
        <v>23175</v>
      </c>
      <c r="D139">
        <f t="shared" si="8"/>
        <v>0.18371860730593606</v>
      </c>
      <c r="E139">
        <f t="shared" si="8"/>
        <v>0.18371860730593606</v>
      </c>
      <c r="G139">
        <f t="shared" ca="1" si="9"/>
        <v>137</v>
      </c>
      <c r="H139">
        <f t="shared" ca="1" si="10"/>
        <v>25.169449200913242</v>
      </c>
      <c r="I139">
        <f t="shared" ca="1" si="11"/>
        <v>806.97224836190753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22774</v>
      </c>
      <c r="B142" s="66">
        <v>22774</v>
      </c>
      <c r="D142">
        <f t="shared" si="8"/>
        <v>0.18053970065956368</v>
      </c>
      <c r="E142">
        <f t="shared" si="8"/>
        <v>0.18053970065956368</v>
      </c>
      <c r="G142">
        <f t="shared" ca="1" si="9"/>
        <v>140</v>
      </c>
      <c r="H142">
        <f t="shared" ca="1" si="10"/>
        <v>25.275558092338915</v>
      </c>
      <c r="I142">
        <f t="shared" ca="1" si="11"/>
        <v>866.42606768761607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21679</v>
      </c>
      <c r="B144" s="66">
        <v>21679</v>
      </c>
      <c r="D144">
        <f t="shared" si="8"/>
        <v>0.17185914510400813</v>
      </c>
      <c r="E144">
        <f t="shared" si="8"/>
        <v>0.17185914510400813</v>
      </c>
      <c r="G144">
        <f t="shared" ca="1" si="9"/>
        <v>142</v>
      </c>
      <c r="H144">
        <f t="shared" ca="1" si="10"/>
        <v>24.403998604769154</v>
      </c>
      <c r="I144">
        <f t="shared" ca="1" si="11"/>
        <v>873.07722962979813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18097</v>
      </c>
      <c r="B147" s="66">
        <v>18097</v>
      </c>
      <c r="D147">
        <f t="shared" si="8"/>
        <v>0.14346302638254693</v>
      </c>
      <c r="E147">
        <f t="shared" si="8"/>
        <v>0.14346302638254693</v>
      </c>
      <c r="G147">
        <f t="shared" ca="1" si="9"/>
        <v>145</v>
      </c>
      <c r="H147">
        <f t="shared" ca="1" si="10"/>
        <v>20.802138825469306</v>
      </c>
      <c r="I147">
        <f t="shared" ca="1" si="11"/>
        <v>791.46305493940702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16884</v>
      </c>
      <c r="B149" s="66">
        <v>16884</v>
      </c>
      <c r="D149">
        <f t="shared" si="8"/>
        <v>0.13384703196347031</v>
      </c>
      <c r="E149">
        <f t="shared" si="8"/>
        <v>0.13384703196347031</v>
      </c>
      <c r="G149">
        <f t="shared" ca="1" si="9"/>
        <v>147</v>
      </c>
      <c r="H149">
        <f t="shared" ca="1" si="10"/>
        <v>19.675513698630134</v>
      </c>
      <c r="I149">
        <f t="shared" ca="1" si="11"/>
        <v>778.71470498816848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14086</v>
      </c>
      <c r="B152" s="66">
        <v>14086</v>
      </c>
      <c r="D152">
        <f t="shared" si="8"/>
        <v>0.11166603247082699</v>
      </c>
      <c r="E152">
        <f t="shared" si="8"/>
        <v>0.11166603247082699</v>
      </c>
      <c r="G152">
        <f t="shared" ca="1" si="9"/>
        <v>150</v>
      </c>
      <c r="H152">
        <f t="shared" ca="1" si="10"/>
        <v>16.749904870624047</v>
      </c>
      <c r="I152">
        <f t="shared" ca="1" si="11"/>
        <v>701.77612403993271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11944</v>
      </c>
      <c r="B154" s="66">
        <v>11944</v>
      </c>
      <c r="D154">
        <f t="shared" si="8"/>
        <v>9.4685438863521057E-2</v>
      </c>
      <c r="E154">
        <f t="shared" si="8"/>
        <v>9.4685438863521057E-2</v>
      </c>
      <c r="G154">
        <f t="shared" ca="1" si="9"/>
        <v>152</v>
      </c>
      <c r="H154">
        <f t="shared" ca="1" si="10"/>
        <v>14.392186707255201</v>
      </c>
      <c r="I154">
        <f t="shared" ca="1" si="11"/>
        <v>625.46358676192892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6442</v>
      </c>
      <c r="B157" s="66">
        <v>6442</v>
      </c>
      <c r="D157">
        <f t="shared" si="8"/>
        <v>5.1068619989852869E-2</v>
      </c>
      <c r="E157">
        <f t="shared" si="8"/>
        <v>5.1068619989852869E-2</v>
      </c>
      <c r="G157">
        <f t="shared" ca="1" si="9"/>
        <v>155</v>
      </c>
      <c r="H157">
        <f t="shared" ca="1" si="10"/>
        <v>7.9156360984271945</v>
      </c>
      <c r="I157">
        <f t="shared" ca="1" si="11"/>
        <v>362.70734402235115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4521</v>
      </c>
      <c r="B160" s="66">
        <v>4521</v>
      </c>
      <c r="D160">
        <f t="shared" si="8"/>
        <v>3.5839992389649925E-2</v>
      </c>
      <c r="E160">
        <f t="shared" si="8"/>
        <v>3.5839992389649925E-2</v>
      </c>
      <c r="G160">
        <f t="shared" ca="1" si="9"/>
        <v>158</v>
      </c>
      <c r="H160">
        <f t="shared" ca="1" si="10"/>
        <v>5.662718797564688</v>
      </c>
      <c r="I160">
        <f t="shared" ca="1" si="11"/>
        <v>272.993412011467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3008</v>
      </c>
      <c r="B162" s="66">
        <v>3008</v>
      </c>
      <c r="D162">
        <f t="shared" si="8"/>
        <v>2.3845763571790968E-2</v>
      </c>
      <c r="E162">
        <f t="shared" si="8"/>
        <v>2.3845763571790968E-2</v>
      </c>
      <c r="G162">
        <f t="shared" ca="1" si="9"/>
        <v>160</v>
      </c>
      <c r="H162">
        <f t="shared" ca="1" si="10"/>
        <v>3.8153221714865548</v>
      </c>
      <c r="I162">
        <f t="shared" ca="1" si="11"/>
        <v>190.05329018320839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1943</v>
      </c>
      <c r="B165" s="66">
        <v>1943</v>
      </c>
      <c r="D165">
        <f t="shared" si="8"/>
        <v>1.5403031456113648E-2</v>
      </c>
      <c r="E165">
        <f t="shared" si="8"/>
        <v>1.5403031456113648E-2</v>
      </c>
      <c r="G165">
        <f t="shared" ca="1" si="9"/>
        <v>163</v>
      </c>
      <c r="H165">
        <f t="shared" ca="1" si="10"/>
        <v>2.5106941273465244</v>
      </c>
      <c r="I165">
        <f t="shared" ca="1" si="11"/>
        <v>131.15311404793763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1499</v>
      </c>
      <c r="B167" s="66">
        <v>1499</v>
      </c>
      <c r="D167">
        <f t="shared" si="8"/>
        <v>1.1883244545915779E-2</v>
      </c>
      <c r="E167">
        <f t="shared" si="8"/>
        <v>1.1883244545915779E-2</v>
      </c>
      <c r="G167">
        <f t="shared" ca="1" si="9"/>
        <v>165</v>
      </c>
      <c r="H167">
        <f t="shared" ca="1" si="10"/>
        <v>1.9607353500761036</v>
      </c>
      <c r="I167">
        <f t="shared" ca="1" si="11"/>
        <v>105.61663396735274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628</v>
      </c>
      <c r="B170" s="66">
        <v>628</v>
      </c>
      <c r="D170">
        <f t="shared" si="8"/>
        <v>4.9784373414510398E-3</v>
      </c>
      <c r="E170">
        <f t="shared" si="8"/>
        <v>4.9784373414510398E-3</v>
      </c>
      <c r="G170">
        <f t="shared" ca="1" si="9"/>
        <v>168</v>
      </c>
      <c r="H170">
        <f t="shared" ca="1" si="10"/>
        <v>0.83637747336377466</v>
      </c>
      <c r="I170">
        <f t="shared" ca="1" si="11"/>
        <v>47.108535182441088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475</v>
      </c>
      <c r="B173" s="66">
        <v>475</v>
      </c>
      <c r="D173">
        <f t="shared" si="8"/>
        <v>3.7655377980720444E-3</v>
      </c>
      <c r="E173">
        <f t="shared" si="8"/>
        <v>3.7655377980720444E-3</v>
      </c>
      <c r="G173">
        <f t="shared" ca="1" si="9"/>
        <v>171</v>
      </c>
      <c r="H173">
        <f t="shared" ca="1" si="10"/>
        <v>0.64390696347031962</v>
      </c>
      <c r="I173">
        <f t="shared" ca="1" si="11"/>
        <v>37.863112040042353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471</v>
      </c>
      <c r="B175" s="66">
        <v>471</v>
      </c>
      <c r="D175">
        <f t="shared" si="8"/>
        <v>3.7338280060882799E-3</v>
      </c>
      <c r="E175">
        <f t="shared" si="8"/>
        <v>3.7338280060882799E-3</v>
      </c>
      <c r="G175">
        <f t="shared" ca="1" si="9"/>
        <v>173</v>
      </c>
      <c r="H175">
        <f t="shared" ca="1" si="10"/>
        <v>0.64595224505327242</v>
      </c>
      <c r="I175">
        <f t="shared" ca="1" si="11"/>
        <v>39.05684532343664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104</v>
      </c>
      <c r="B178" s="66">
        <v>104</v>
      </c>
      <c r="D178">
        <f t="shared" si="8"/>
        <v>8.244545915778792E-4</v>
      </c>
      <c r="E178">
        <f t="shared" si="8"/>
        <v>8.244545915778792E-4</v>
      </c>
      <c r="G178">
        <f t="shared" ca="1" si="9"/>
        <v>176</v>
      </c>
      <c r="H178">
        <f t="shared" ca="1" si="10"/>
        <v>0.14510400811770674</v>
      </c>
      <c r="I178">
        <f t="shared" ca="1" si="11"/>
        <v>9.1373657112204061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156</v>
      </c>
      <c r="B180" s="66">
        <v>156</v>
      </c>
      <c r="D180">
        <f t="shared" si="8"/>
        <v>1.2366818873668188E-3</v>
      </c>
      <c r="E180">
        <f t="shared" si="8"/>
        <v>1.2366818873668188E-3</v>
      </c>
      <c r="G180">
        <f t="shared" ca="1" si="9"/>
        <v>178</v>
      </c>
      <c r="H180">
        <f t="shared" ca="1" si="10"/>
        <v>0.22012937595129375</v>
      </c>
      <c r="I180">
        <f t="shared" ca="1" si="11"/>
        <v>14.231764295146739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352</v>
      </c>
      <c r="B1" s="66" t="s">
        <v>353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69.814930784610482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1.3479510916637611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0.67948003922881661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5801</v>
      </c>
      <c r="B8" s="66">
        <v>5801</v>
      </c>
      <c r="D8">
        <f t="shared" si="0"/>
        <v>9.8273729861593448</v>
      </c>
      <c r="E8">
        <f t="shared" si="1"/>
        <v>9.8273729861593448</v>
      </c>
      <c r="G8">
        <f t="shared" ca="1" si="2"/>
        <v>6</v>
      </c>
      <c r="H8">
        <f t="shared" ca="1" si="3"/>
        <v>58.964237916956066</v>
      </c>
      <c r="I8">
        <f t="shared" ca="1" si="4"/>
        <v>40020.457086262475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9586</v>
      </c>
      <c r="B10" s="66">
        <v>9586</v>
      </c>
      <c r="D10">
        <f t="shared" si="0"/>
        <v>16.239475512036456</v>
      </c>
      <c r="E10">
        <f t="shared" si="1"/>
        <v>16.239475512036456</v>
      </c>
      <c r="G10">
        <f t="shared" ca="1" si="2"/>
        <v>8</v>
      </c>
      <c r="H10">
        <f t="shared" ca="1" si="3"/>
        <v>129.91580409629165</v>
      </c>
      <c r="I10">
        <f t="shared" ca="1" si="4"/>
        <v>62052.427133355952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9650</v>
      </c>
      <c r="B13" s="66">
        <v>9650</v>
      </c>
      <c r="D13">
        <f t="shared" si="0"/>
        <v>16.347896796489859</v>
      </c>
      <c r="E13">
        <f t="shared" si="1"/>
        <v>16.347896796489859</v>
      </c>
      <c r="G13">
        <f t="shared" ca="1" si="2"/>
        <v>11</v>
      </c>
      <c r="H13">
        <f t="shared" ca="1" si="3"/>
        <v>179.82686476138846</v>
      </c>
      <c r="I13">
        <f t="shared" ca="1" si="4"/>
        <v>56550.580566951379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14841</v>
      </c>
      <c r="B15" s="66">
        <v>14841</v>
      </c>
      <c r="D15">
        <f t="shared" si="0"/>
        <v>25.141879415202698</v>
      </c>
      <c r="E15">
        <f t="shared" si="1"/>
        <v>25.141879415202698</v>
      </c>
      <c r="G15">
        <f t="shared" ca="1" si="2"/>
        <v>13</v>
      </c>
      <c r="H15">
        <f t="shared" ca="1" si="3"/>
        <v>326.8444323976351</v>
      </c>
      <c r="I15">
        <f t="shared" ca="1" si="4"/>
        <v>81156.386724578857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24712</v>
      </c>
      <c r="B18" s="66">
        <v>24712</v>
      </c>
      <c r="D18">
        <f t="shared" si="0"/>
        <v>41.86416845957072</v>
      </c>
      <c r="E18">
        <f t="shared" si="1"/>
        <v>41.86416845957072</v>
      </c>
      <c r="G18">
        <f t="shared" ca="1" si="2"/>
        <v>16</v>
      </c>
      <c r="H18">
        <f t="shared" ca="1" si="3"/>
        <v>669.82669535313153</v>
      </c>
      <c r="I18">
        <f t="shared" ca="1" si="4"/>
        <v>121240.59007015014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30865</v>
      </c>
      <c r="B21" s="66">
        <v>30865</v>
      </c>
      <c r="D21">
        <f t="shared" si="0"/>
        <v>52.287858510223785</v>
      </c>
      <c r="E21">
        <f t="shared" si="1"/>
        <v>52.287858510223785</v>
      </c>
      <c r="G21">
        <f t="shared" ca="1" si="2"/>
        <v>19</v>
      </c>
      <c r="H21">
        <f t="shared" ca="1" si="3"/>
        <v>993.46931169425193</v>
      </c>
      <c r="I21">
        <f t="shared" ca="1" si="4"/>
        <v>135015.46983558984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33104</v>
      </c>
      <c r="B23" s="66">
        <v>33104</v>
      </c>
      <c r="D23">
        <f t="shared" si="0"/>
        <v>56.080909383523355</v>
      </c>
      <c r="E23">
        <f t="shared" si="1"/>
        <v>56.080909383523355</v>
      </c>
      <c r="G23">
        <f t="shared" ca="1" si="2"/>
        <v>21</v>
      </c>
      <c r="H23">
        <f t="shared" ca="1" si="3"/>
        <v>1177.6990970539905</v>
      </c>
      <c r="I23">
        <f t="shared" ca="1" si="4"/>
        <v>133635.0569454488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38745</v>
      </c>
      <c r="B26" s="66">
        <v>38745</v>
      </c>
      <c r="D26">
        <f t="shared" si="0"/>
        <v>65.637229158549189</v>
      </c>
      <c r="E26">
        <f t="shared" si="1"/>
        <v>65.637229158549189</v>
      </c>
      <c r="G26">
        <f t="shared" ca="1" si="2"/>
        <v>24</v>
      </c>
      <c r="H26">
        <f t="shared" ca="1" si="3"/>
        <v>1575.2934998051805</v>
      </c>
      <c r="I26">
        <f t="shared" ca="1" si="4"/>
        <v>137773.0614088561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49414</v>
      </c>
      <c r="B28" s="66">
        <v>49414</v>
      </c>
      <c r="D28">
        <f t="shared" si="0"/>
        <v>83.7113960934456</v>
      </c>
      <c r="E28">
        <f t="shared" si="1"/>
        <v>83.7113960934456</v>
      </c>
      <c r="G28">
        <f t="shared" ca="1" si="2"/>
        <v>26</v>
      </c>
      <c r="H28">
        <f t="shared" ca="1" si="3"/>
        <v>2176.4962984295857</v>
      </c>
      <c r="I28">
        <f t="shared" ca="1" si="4"/>
        <v>160704.79859297886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49049</v>
      </c>
      <c r="B31" s="66">
        <v>49049</v>
      </c>
      <c r="D31">
        <f t="shared" si="0"/>
        <v>83.093055955547271</v>
      </c>
      <c r="E31">
        <f t="shared" si="1"/>
        <v>83.093055955547271</v>
      </c>
      <c r="G31">
        <f t="shared" ca="1" si="2"/>
        <v>29</v>
      </c>
      <c r="H31">
        <f t="shared" ca="1" si="3"/>
        <v>2409.6986227108709</v>
      </c>
      <c r="I31">
        <f t="shared" ca="1" si="4"/>
        <v>138421.27978256001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52722</v>
      </c>
      <c r="B33" s="66">
        <v>52722</v>
      </c>
      <c r="D33">
        <f t="shared" si="0"/>
        <v>89.315421233630929</v>
      </c>
      <c r="E33">
        <f t="shared" si="1"/>
        <v>89.315421233630929</v>
      </c>
      <c r="G33">
        <f t="shared" ca="1" si="2"/>
        <v>31</v>
      </c>
      <c r="H33">
        <f t="shared" ca="1" si="3"/>
        <v>2768.7780582425589</v>
      </c>
      <c r="I33">
        <f t="shared" ca="1" si="4"/>
        <v>134562.51107988128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57815</v>
      </c>
      <c r="B36" s="66">
        <v>57815</v>
      </c>
      <c r="D36">
        <f t="shared" si="0"/>
        <v>97.943383760524483</v>
      </c>
      <c r="E36">
        <f t="shared" si="1"/>
        <v>97.943383760524483</v>
      </c>
      <c r="G36">
        <f t="shared" ca="1" si="2"/>
        <v>34</v>
      </c>
      <c r="H36">
        <f t="shared" ca="1" si="3"/>
        <v>3330.0750478578325</v>
      </c>
      <c r="I36">
        <f t="shared" ca="1" si="4"/>
        <v>125632.8860013871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55239</v>
      </c>
      <c r="B39" s="66">
        <v>55239</v>
      </c>
      <c r="D39">
        <f t="shared" si="0"/>
        <v>93.57942706127497</v>
      </c>
      <c r="E39">
        <f t="shared" si="1"/>
        <v>93.57942706127497</v>
      </c>
      <c r="G39">
        <f t="shared" ca="1" si="2"/>
        <v>37</v>
      </c>
      <c r="H39">
        <f t="shared" ca="1" si="3"/>
        <v>3462.4388012671739</v>
      </c>
      <c r="I39">
        <f t="shared" ca="1" si="4"/>
        <v>100768.1689271816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57910</v>
      </c>
      <c r="B41" s="66">
        <v>57910</v>
      </c>
      <c r="D41">
        <f t="shared" si="0"/>
        <v>98.104321604635004</v>
      </c>
      <c r="E41">
        <f t="shared" si="1"/>
        <v>98.104321604635004</v>
      </c>
      <c r="G41">
        <f t="shared" ca="1" si="2"/>
        <v>39</v>
      </c>
      <c r="H41">
        <f t="shared" ca="1" si="3"/>
        <v>3826.0685425807651</v>
      </c>
      <c r="I41">
        <f t="shared" ca="1" si="4"/>
        <v>93155.93562615999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56696</v>
      </c>
      <c r="B44" s="66">
        <v>56696</v>
      </c>
      <c r="D44">
        <f t="shared" si="0"/>
        <v>96.047705365159501</v>
      </c>
      <c r="E44">
        <f t="shared" si="1"/>
        <v>96.047705365159501</v>
      </c>
      <c r="G44">
        <f t="shared" ca="1" si="2"/>
        <v>42</v>
      </c>
      <c r="H44">
        <f t="shared" ca="1" si="3"/>
        <v>4034.0036253366989</v>
      </c>
      <c r="I44">
        <f t="shared" ca="1" si="4"/>
        <v>74309.264184787622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59029</v>
      </c>
      <c r="B46" s="66">
        <v>59029</v>
      </c>
      <c r="D46">
        <f t="shared" si="0"/>
        <v>100</v>
      </c>
      <c r="E46">
        <f t="shared" si="1"/>
        <v>100</v>
      </c>
      <c r="G46">
        <f t="shared" ca="1" si="2"/>
        <v>44</v>
      </c>
      <c r="H46">
        <f t="shared" ca="1" si="3"/>
        <v>4400</v>
      </c>
      <c r="I46">
        <f t="shared" ca="1" si="4"/>
        <v>66641.065141422994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52948</v>
      </c>
      <c r="B49" s="66">
        <v>52948</v>
      </c>
      <c r="D49">
        <f t="shared" si="0"/>
        <v>89.698283894357004</v>
      </c>
      <c r="E49">
        <f t="shared" si="1"/>
        <v>89.698283894357004</v>
      </c>
      <c r="G49">
        <f t="shared" ca="1" si="2"/>
        <v>47</v>
      </c>
      <c r="H49">
        <f t="shared" ca="1" si="3"/>
        <v>4215.8193430347792</v>
      </c>
      <c r="I49">
        <f t="shared" ca="1" si="4"/>
        <v>46689.846414439191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51961</v>
      </c>
      <c r="B51" s="66">
        <v>51961</v>
      </c>
      <c r="D51">
        <f t="shared" si="0"/>
        <v>88.026224398177163</v>
      </c>
      <c r="E51">
        <f t="shared" si="1"/>
        <v>88.026224398177163</v>
      </c>
      <c r="G51">
        <f t="shared" ca="1" si="2"/>
        <v>49</v>
      </c>
      <c r="H51">
        <f t="shared" ca="1" si="3"/>
        <v>4313.2849955106813</v>
      </c>
      <c r="I51">
        <f t="shared" ca="1" si="4"/>
        <v>38138.360251983519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53388</v>
      </c>
      <c r="B54" s="66">
        <v>53388</v>
      </c>
      <c r="D54">
        <f t="shared" si="0"/>
        <v>90.443680224974159</v>
      </c>
      <c r="E54">
        <f t="shared" si="1"/>
        <v>90.443680224974159</v>
      </c>
      <c r="G54">
        <f t="shared" ca="1" si="2"/>
        <v>52</v>
      </c>
      <c r="H54">
        <f t="shared" ca="1" si="3"/>
        <v>4703.0713716986565</v>
      </c>
      <c r="I54">
        <f t="shared" ca="1" si="4"/>
        <v>28704.269870813256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51578</v>
      </c>
      <c r="B57" s="66">
        <v>51578</v>
      </c>
      <c r="D57">
        <f t="shared" si="0"/>
        <v>87.377390774026324</v>
      </c>
      <c r="E57">
        <f t="shared" si="1"/>
        <v>87.377390774026324</v>
      </c>
      <c r="G57">
        <f t="shared" ca="1" si="2"/>
        <v>55</v>
      </c>
      <c r="H57">
        <f t="shared" ca="1" si="3"/>
        <v>4805.7564925714478</v>
      </c>
      <c r="I57">
        <f t="shared" ca="1" si="4"/>
        <v>19177.779698882048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47905</v>
      </c>
      <c r="B59" s="66">
        <v>47905</v>
      </c>
      <c r="D59">
        <f t="shared" si="0"/>
        <v>81.155025495942667</v>
      </c>
      <c r="E59">
        <f t="shared" si="1"/>
        <v>81.155025495942667</v>
      </c>
      <c r="G59">
        <f t="shared" ca="1" si="2"/>
        <v>57</v>
      </c>
      <c r="H59">
        <f t="shared" ca="1" si="3"/>
        <v>4625.8364532687319</v>
      </c>
      <c r="I59">
        <f t="shared" ca="1" si="4"/>
        <v>13327.477199076373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41929</v>
      </c>
      <c r="B62" s="66">
        <v>41929</v>
      </c>
      <c r="D62">
        <f t="shared" si="0"/>
        <v>71.031188060106047</v>
      </c>
      <c r="E62">
        <f t="shared" si="1"/>
        <v>71.031188060106047</v>
      </c>
      <c r="G62">
        <f t="shared" ca="1" si="2"/>
        <v>60</v>
      </c>
      <c r="H62">
        <f t="shared" ca="1" si="3"/>
        <v>4261.8712836063623</v>
      </c>
      <c r="I62">
        <f t="shared" ca="1" si="4"/>
        <v>6842.6379429998724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48402</v>
      </c>
      <c r="B64" s="66">
        <v>48402</v>
      </c>
      <c r="D64">
        <f t="shared" si="0"/>
        <v>81.996984533026136</v>
      </c>
      <c r="E64">
        <f t="shared" si="1"/>
        <v>81.996984533026136</v>
      </c>
      <c r="G64">
        <f t="shared" ca="1" si="2"/>
        <v>62</v>
      </c>
      <c r="H64">
        <f t="shared" ca="1" si="3"/>
        <v>5083.8130410476206</v>
      </c>
      <c r="I64">
        <f t="shared" ca="1" si="4"/>
        <v>5007.8135757504997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46908</v>
      </c>
      <c r="B67" s="66">
        <v>46908</v>
      </c>
      <c r="D67">
        <f t="shared" ref="D67:D130" si="5">IFERROR( 100*A67/MAX(A$2:A$257), 0 )</f>
        <v>79.466025174066985</v>
      </c>
      <c r="E67">
        <f t="shared" ref="E67:E130" si="6">IFERROR( 100*B67/MAX(B$2:B$257), 0 )</f>
        <v>79.466025174066985</v>
      </c>
      <c r="G67">
        <f t="shared" ref="G67:G130" ca="1" si="7">CELL("row",D67)-2</f>
        <v>65</v>
      </c>
      <c r="H67">
        <f t="shared" ref="H67:H130" ca="1" si="8">D67*G67</f>
        <v>5165.291636314354</v>
      </c>
      <c r="I67">
        <f t="shared" ref="I67:I130" ca="1" si="9">D67*((G67-$L$1)^2)</f>
        <v>1842.3052402536757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43133</v>
      </c>
      <c r="B69" s="66">
        <v>43133</v>
      </c>
      <c r="D69">
        <f t="shared" si="5"/>
        <v>73.070863473885723</v>
      </c>
      <c r="E69">
        <f t="shared" si="6"/>
        <v>73.070863473885723</v>
      </c>
      <c r="G69">
        <f t="shared" ca="1" si="7"/>
        <v>67</v>
      </c>
      <c r="H69">
        <f t="shared" ca="1" si="8"/>
        <v>4895.7478527503436</v>
      </c>
      <c r="I69">
        <f t="shared" ca="1" si="9"/>
        <v>579.00148901421392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44223</v>
      </c>
      <c r="B72" s="66">
        <v>44223</v>
      </c>
      <c r="D72">
        <f t="shared" si="5"/>
        <v>74.917413474732754</v>
      </c>
      <c r="E72">
        <f t="shared" si="6"/>
        <v>74.917413474732754</v>
      </c>
      <c r="G72">
        <f t="shared" ca="1" si="7"/>
        <v>70</v>
      </c>
      <c r="H72">
        <f t="shared" ca="1" si="8"/>
        <v>5244.2189432312925</v>
      </c>
      <c r="I72">
        <f t="shared" ca="1" si="9"/>
        <v>2.5659674471283145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44576</v>
      </c>
      <c r="B75" s="66">
        <v>44576</v>
      </c>
      <c r="D75">
        <f t="shared" si="5"/>
        <v>75.515424621796072</v>
      </c>
      <c r="E75">
        <f t="shared" si="6"/>
        <v>75.515424621796072</v>
      </c>
      <c r="G75">
        <f t="shared" ca="1" si="7"/>
        <v>73</v>
      </c>
      <c r="H75">
        <f t="shared" ca="1" si="8"/>
        <v>5512.6259973911128</v>
      </c>
      <c r="I75">
        <f t="shared" ca="1" si="9"/>
        <v>766.07875359992124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41232</v>
      </c>
      <c r="B77" s="66">
        <v>41232</v>
      </c>
      <c r="D77">
        <f t="shared" si="5"/>
        <v>69.850412509105695</v>
      </c>
      <c r="E77">
        <f t="shared" si="6"/>
        <v>69.850412509105695</v>
      </c>
      <c r="G77">
        <f t="shared" ca="1" si="7"/>
        <v>75</v>
      </c>
      <c r="H77">
        <f t="shared" ca="1" si="8"/>
        <v>5238.7809381829275</v>
      </c>
      <c r="I77">
        <f t="shared" ca="1" si="9"/>
        <v>1877.9243426550463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36475</v>
      </c>
      <c r="B80" s="66">
        <v>36475</v>
      </c>
      <c r="D80">
        <f t="shared" si="5"/>
        <v>61.791661725592505</v>
      </c>
      <c r="E80">
        <f t="shared" si="6"/>
        <v>61.791661725592505</v>
      </c>
      <c r="G80">
        <f t="shared" ca="1" si="7"/>
        <v>78</v>
      </c>
      <c r="H80">
        <f t="shared" ca="1" si="8"/>
        <v>4819.749614596215</v>
      </c>
      <c r="I80">
        <f t="shared" ca="1" si="9"/>
        <v>4139.7545024727833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35842</v>
      </c>
      <c r="B82" s="66">
        <v>35842</v>
      </c>
      <c r="D82">
        <f t="shared" si="5"/>
        <v>60.719307459045552</v>
      </c>
      <c r="E82">
        <f t="shared" si="6"/>
        <v>60.719307459045552</v>
      </c>
      <c r="G82">
        <f t="shared" ca="1" si="7"/>
        <v>80</v>
      </c>
      <c r="H82">
        <f t="shared" ca="1" si="8"/>
        <v>4857.5445967236446</v>
      </c>
      <c r="I82">
        <f t="shared" ca="1" si="9"/>
        <v>6298.7559113049338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36824</v>
      </c>
      <c r="B85" s="66">
        <v>36824</v>
      </c>
      <c r="D85">
        <f t="shared" si="5"/>
        <v>62.382896542377473</v>
      </c>
      <c r="E85">
        <f t="shared" si="6"/>
        <v>62.382896542377473</v>
      </c>
      <c r="G85">
        <f t="shared" ca="1" si="7"/>
        <v>83</v>
      </c>
      <c r="H85">
        <f t="shared" ca="1" si="8"/>
        <v>5177.7804130173299</v>
      </c>
      <c r="I85">
        <f t="shared" ca="1" si="9"/>
        <v>10845.020164839123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42221</v>
      </c>
      <c r="B88" s="66">
        <v>42221</v>
      </c>
      <c r="D88">
        <f t="shared" si="5"/>
        <v>71.525860170424707</v>
      </c>
      <c r="E88">
        <f t="shared" si="6"/>
        <v>71.525860170424707</v>
      </c>
      <c r="G88">
        <f t="shared" ca="1" si="7"/>
        <v>86</v>
      </c>
      <c r="H88">
        <f t="shared" ca="1" si="8"/>
        <v>6151.2239746565247</v>
      </c>
      <c r="I88">
        <f t="shared" ca="1" si="9"/>
        <v>18736.661522588751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36802</v>
      </c>
      <c r="B90" s="66">
        <v>36802</v>
      </c>
      <c r="D90">
        <f t="shared" si="5"/>
        <v>62.345626725846621</v>
      </c>
      <c r="E90">
        <f t="shared" si="6"/>
        <v>62.345626725846621</v>
      </c>
      <c r="G90">
        <f t="shared" ca="1" si="7"/>
        <v>88</v>
      </c>
      <c r="H90">
        <f t="shared" ca="1" si="8"/>
        <v>5486.415151874503</v>
      </c>
      <c r="I90">
        <f t="shared" ca="1" si="9"/>
        <v>20617.495659160439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35634</v>
      </c>
      <c r="B93" s="66">
        <v>35634</v>
      </c>
      <c r="D93">
        <f t="shared" si="5"/>
        <v>60.366938284571987</v>
      </c>
      <c r="E93">
        <f t="shared" si="6"/>
        <v>60.366938284571987</v>
      </c>
      <c r="G93">
        <f t="shared" ca="1" si="7"/>
        <v>91</v>
      </c>
      <c r="H93">
        <f t="shared" ca="1" si="8"/>
        <v>5493.3913838960507</v>
      </c>
      <c r="I93">
        <f t="shared" ca="1" si="9"/>
        <v>27093.113988186378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34206</v>
      </c>
      <c r="B95" s="66">
        <v>34206</v>
      </c>
      <c r="D95">
        <f t="shared" si="5"/>
        <v>57.947788375205405</v>
      </c>
      <c r="E95">
        <f t="shared" si="6"/>
        <v>57.947788375205405</v>
      </c>
      <c r="G95">
        <f t="shared" ca="1" si="7"/>
        <v>93</v>
      </c>
      <c r="H95">
        <f t="shared" ca="1" si="8"/>
        <v>5389.144318894103</v>
      </c>
      <c r="I95">
        <f t="shared" ca="1" si="9"/>
        <v>31149.684977338777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36942</v>
      </c>
      <c r="B98" s="66">
        <v>36942</v>
      </c>
      <c r="D98">
        <f t="shared" si="5"/>
        <v>62.582798285588439</v>
      </c>
      <c r="E98">
        <f t="shared" si="6"/>
        <v>62.582798285588439</v>
      </c>
      <c r="G98">
        <f t="shared" ca="1" si="7"/>
        <v>96</v>
      </c>
      <c r="H98">
        <f t="shared" ca="1" si="8"/>
        <v>6007.9486354164901</v>
      </c>
      <c r="I98">
        <f t="shared" ca="1" si="9"/>
        <v>42910.386907886153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35484</v>
      </c>
      <c r="B100" s="66">
        <v>35484</v>
      </c>
      <c r="D100">
        <f t="shared" si="5"/>
        <v>60.112825899134322</v>
      </c>
      <c r="E100">
        <f t="shared" si="6"/>
        <v>60.112825899134322</v>
      </c>
      <c r="G100">
        <f t="shared" ca="1" si="7"/>
        <v>98</v>
      </c>
      <c r="H100">
        <f t="shared" ca="1" si="8"/>
        <v>5891.0569381151636</v>
      </c>
      <c r="I100">
        <f t="shared" ca="1" si="9"/>
        <v>47753.516283490746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35489</v>
      </c>
      <c r="B103" s="66">
        <v>35489</v>
      </c>
      <c r="D103">
        <f t="shared" si="5"/>
        <v>60.121296311982249</v>
      </c>
      <c r="E103">
        <f t="shared" si="6"/>
        <v>60.121296311982249</v>
      </c>
      <c r="G103">
        <f t="shared" ca="1" si="7"/>
        <v>101</v>
      </c>
      <c r="H103">
        <f t="shared" ca="1" si="8"/>
        <v>6072.2509275102075</v>
      </c>
      <c r="I103">
        <f t="shared" ca="1" si="9"/>
        <v>58468.47421763013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39913</v>
      </c>
      <c r="B106" s="66">
        <v>39913</v>
      </c>
      <c r="D106">
        <f t="shared" si="5"/>
        <v>67.615917599823817</v>
      </c>
      <c r="E106">
        <f t="shared" si="6"/>
        <v>67.615917599823817</v>
      </c>
      <c r="G106">
        <f t="shared" ca="1" si="7"/>
        <v>104</v>
      </c>
      <c r="H106">
        <f t="shared" ca="1" si="8"/>
        <v>7032.0554303816771</v>
      </c>
      <c r="I106">
        <f t="shared" ca="1" si="9"/>
        <v>79017.243119749925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37725</v>
      </c>
      <c r="B108" s="66">
        <v>37725</v>
      </c>
      <c r="D108">
        <f t="shared" si="5"/>
        <v>63.909264937573056</v>
      </c>
      <c r="E108">
        <f t="shared" si="6"/>
        <v>63.909264937573056</v>
      </c>
      <c r="G108">
        <f t="shared" ca="1" si="7"/>
        <v>106</v>
      </c>
      <c r="H108">
        <f t="shared" ca="1" si="8"/>
        <v>6774.382083382744</v>
      </c>
      <c r="I108">
        <f t="shared" ca="1" si="9"/>
        <v>83680.186191994522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34221</v>
      </c>
      <c r="B111" s="66">
        <v>34221</v>
      </c>
      <c r="D111">
        <f t="shared" si="5"/>
        <v>57.973199613749173</v>
      </c>
      <c r="E111">
        <f t="shared" si="6"/>
        <v>57.973199613749173</v>
      </c>
      <c r="G111">
        <f t="shared" ca="1" si="7"/>
        <v>109</v>
      </c>
      <c r="H111">
        <f t="shared" ca="1" si="8"/>
        <v>6319.0787578986601</v>
      </c>
      <c r="I111">
        <f t="shared" ca="1" si="9"/>
        <v>89016.088486381559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36054</v>
      </c>
      <c r="B113" s="66">
        <v>36054</v>
      </c>
      <c r="D113">
        <f t="shared" si="5"/>
        <v>61.078452963797453</v>
      </c>
      <c r="E113">
        <f t="shared" si="6"/>
        <v>61.078452963797453</v>
      </c>
      <c r="G113">
        <f t="shared" ca="1" si="7"/>
        <v>111</v>
      </c>
      <c r="H113">
        <f t="shared" ca="1" si="8"/>
        <v>6779.7082789815177</v>
      </c>
      <c r="I113">
        <f t="shared" ca="1" si="9"/>
        <v>103601.878198801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36488</v>
      </c>
      <c r="B116" s="66">
        <v>36488</v>
      </c>
      <c r="D116">
        <f t="shared" si="5"/>
        <v>61.813684798997102</v>
      </c>
      <c r="E116">
        <f t="shared" si="6"/>
        <v>61.813684798997102</v>
      </c>
      <c r="G116">
        <f t="shared" ca="1" si="7"/>
        <v>114</v>
      </c>
      <c r="H116">
        <f t="shared" ca="1" si="8"/>
        <v>7046.76006708567</v>
      </c>
      <c r="I116">
        <f t="shared" ca="1" si="9"/>
        <v>120680.11422040184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33021</v>
      </c>
      <c r="B118" s="66">
        <v>33021</v>
      </c>
      <c r="D118">
        <f t="shared" si="5"/>
        <v>55.940300530247846</v>
      </c>
      <c r="E118">
        <f t="shared" si="6"/>
        <v>55.940300530247846</v>
      </c>
      <c r="G118">
        <f t="shared" ca="1" si="7"/>
        <v>116</v>
      </c>
      <c r="H118">
        <f t="shared" ca="1" si="8"/>
        <v>6489.0748615087505</v>
      </c>
      <c r="I118">
        <f t="shared" ca="1" si="9"/>
        <v>119324.05204422846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25691</v>
      </c>
      <c r="B121" s="66">
        <v>25691</v>
      </c>
      <c r="D121">
        <f t="shared" si="5"/>
        <v>43.522675295193885</v>
      </c>
      <c r="E121">
        <f t="shared" si="6"/>
        <v>43.522675295193885</v>
      </c>
      <c r="G121">
        <f t="shared" ca="1" si="7"/>
        <v>119</v>
      </c>
      <c r="H121">
        <f t="shared" ca="1" si="8"/>
        <v>5179.1983601280726</v>
      </c>
      <c r="I121">
        <f t="shared" ca="1" si="9"/>
        <v>105288.79538424977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20502</v>
      </c>
      <c r="B124" s="66">
        <v>20502</v>
      </c>
      <c r="D124">
        <f t="shared" si="5"/>
        <v>34.732080841620224</v>
      </c>
      <c r="E124">
        <f t="shared" si="6"/>
        <v>34.732080841620224</v>
      </c>
      <c r="G124">
        <f t="shared" ca="1" si="7"/>
        <v>122</v>
      </c>
      <c r="H124">
        <f t="shared" ca="1" si="8"/>
        <v>4237.3138626776672</v>
      </c>
      <c r="I124">
        <f t="shared" ca="1" si="9"/>
        <v>94585.231441673473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18834</v>
      </c>
      <c r="B126" s="66">
        <v>18834</v>
      </c>
      <c r="D126">
        <f t="shared" si="5"/>
        <v>31.90635111555337</v>
      </c>
      <c r="E126">
        <f t="shared" si="6"/>
        <v>31.90635111555337</v>
      </c>
      <c r="G126">
        <f t="shared" ca="1" si="7"/>
        <v>124</v>
      </c>
      <c r="H126">
        <f t="shared" ca="1" si="8"/>
        <v>3956.3875383286181</v>
      </c>
      <c r="I126">
        <f t="shared" ca="1" si="9"/>
        <v>93677.740068710278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18545</v>
      </c>
      <c r="B129" s="66">
        <v>18545</v>
      </c>
      <c r="D129">
        <f t="shared" si="5"/>
        <v>31.41676125294347</v>
      </c>
      <c r="E129">
        <f t="shared" si="6"/>
        <v>31.41676125294347</v>
      </c>
      <c r="G129">
        <f t="shared" ca="1" si="7"/>
        <v>127</v>
      </c>
      <c r="H129">
        <f t="shared" ca="1" si="8"/>
        <v>3989.9286791238205</v>
      </c>
      <c r="I129">
        <f t="shared" ca="1" si="9"/>
        <v>102736.96074467985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17115</v>
      </c>
      <c r="B131" s="66">
        <v>17115</v>
      </c>
      <c r="D131">
        <f t="shared" ref="D131:D194" si="10">IFERROR( 100*A131/MAX(A$2:A$257), 0 )</f>
        <v>28.994223178437718</v>
      </c>
      <c r="E131">
        <f t="shared" ref="E131:E194" si="11">IFERROR( 100*B131/MAX(B$2:B$257), 0 )</f>
        <v>28.994223178437718</v>
      </c>
      <c r="G131">
        <f t="shared" ref="G131:G194" ca="1" si="12">CELL("row",D131)-2</f>
        <v>129</v>
      </c>
      <c r="H131">
        <f t="shared" ref="H131:H194" ca="1" si="13">D131*G131</f>
        <v>3740.2547900184654</v>
      </c>
      <c r="I131">
        <f t="shared" ref="I131:I194" ca="1" si="14">D131*((G131-$L$1)^2)</f>
        <v>101563.06465396858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18998</v>
      </c>
      <c r="B134" s="66">
        <v>18998</v>
      </c>
      <c r="D134">
        <f t="shared" si="10"/>
        <v>32.184180656965218</v>
      </c>
      <c r="E134">
        <f t="shared" si="11"/>
        <v>32.184180656965218</v>
      </c>
      <c r="G134">
        <f t="shared" ca="1" si="12"/>
        <v>132</v>
      </c>
      <c r="H134">
        <f t="shared" ca="1" si="13"/>
        <v>4248.311846719409</v>
      </c>
      <c r="I134">
        <f t="shared" ca="1" si="14"/>
        <v>124455.67410504374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15950</v>
      </c>
      <c r="B136" s="66">
        <v>15950</v>
      </c>
      <c r="D136">
        <f t="shared" si="10"/>
        <v>27.020616984871843</v>
      </c>
      <c r="E136">
        <f t="shared" si="11"/>
        <v>27.020616984871843</v>
      </c>
      <c r="G136">
        <f t="shared" ca="1" si="12"/>
        <v>134</v>
      </c>
      <c r="H136">
        <f t="shared" ca="1" si="13"/>
        <v>3620.7626759728269</v>
      </c>
      <c r="I136">
        <f t="shared" ca="1" si="14"/>
        <v>111317.46024401613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14161</v>
      </c>
      <c r="B139" s="66">
        <v>14161</v>
      </c>
      <c r="D139">
        <f t="shared" si="10"/>
        <v>23.989903267885278</v>
      </c>
      <c r="E139">
        <f t="shared" si="11"/>
        <v>23.989903267885278</v>
      </c>
      <c r="G139">
        <f t="shared" ca="1" si="12"/>
        <v>137</v>
      </c>
      <c r="H139">
        <f t="shared" ca="1" si="13"/>
        <v>3286.6167477002832</v>
      </c>
      <c r="I139">
        <f t="shared" ca="1" si="14"/>
        <v>108286.42964352315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14051</v>
      </c>
      <c r="B142" s="66">
        <v>14051</v>
      </c>
      <c r="D142">
        <f t="shared" si="10"/>
        <v>23.80355418523099</v>
      </c>
      <c r="E142">
        <f t="shared" si="11"/>
        <v>23.80355418523099</v>
      </c>
      <c r="G142">
        <f t="shared" ca="1" si="12"/>
        <v>140</v>
      </c>
      <c r="H142">
        <f t="shared" ca="1" si="13"/>
        <v>3332.4975859323386</v>
      </c>
      <c r="I142">
        <f t="shared" ca="1" si="14"/>
        <v>117254.97350750557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11710</v>
      </c>
      <c r="B144" s="66">
        <v>11710</v>
      </c>
      <c r="D144">
        <f t="shared" si="10"/>
        <v>19.837706889833811</v>
      </c>
      <c r="E144">
        <f t="shared" si="11"/>
        <v>19.837706889833811</v>
      </c>
      <c r="G144">
        <f t="shared" ca="1" si="12"/>
        <v>142</v>
      </c>
      <c r="H144">
        <f t="shared" ca="1" si="13"/>
        <v>2816.9543783564013</v>
      </c>
      <c r="I144">
        <f t="shared" ca="1" si="14"/>
        <v>103368.02620483836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10218</v>
      </c>
      <c r="B147" s="66">
        <v>10218</v>
      </c>
      <c r="D147">
        <f t="shared" si="10"/>
        <v>17.310135696013823</v>
      </c>
      <c r="E147">
        <f t="shared" si="11"/>
        <v>17.310135696013823</v>
      </c>
      <c r="G147">
        <f t="shared" ca="1" si="12"/>
        <v>145</v>
      </c>
      <c r="H147">
        <f t="shared" ca="1" si="13"/>
        <v>2509.9696759220042</v>
      </c>
      <c r="I147">
        <f t="shared" ca="1" si="14"/>
        <v>97850.642157594266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9030</v>
      </c>
      <c r="B149" s="66">
        <v>9030</v>
      </c>
      <c r="D149">
        <f t="shared" si="10"/>
        <v>15.297565603347508</v>
      </c>
      <c r="E149">
        <f t="shared" si="11"/>
        <v>15.297565603347508</v>
      </c>
      <c r="G149">
        <f t="shared" ca="1" si="12"/>
        <v>147</v>
      </c>
      <c r="H149">
        <f t="shared" ca="1" si="13"/>
        <v>2248.7421436920836</v>
      </c>
      <c r="I149">
        <f t="shared" ca="1" si="14"/>
        <v>91135.781116660917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6609</v>
      </c>
      <c r="B152" s="66">
        <v>6609</v>
      </c>
      <c r="D152">
        <f t="shared" si="10"/>
        <v>11.196191702383574</v>
      </c>
      <c r="E152">
        <f t="shared" si="11"/>
        <v>11.196191702383574</v>
      </c>
      <c r="G152">
        <f t="shared" ca="1" si="12"/>
        <v>150</v>
      </c>
      <c r="H152">
        <f t="shared" ca="1" si="13"/>
        <v>1679.4287553575361</v>
      </c>
      <c r="I152">
        <f t="shared" ca="1" si="14"/>
        <v>71987.541637894305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4643</v>
      </c>
      <c r="B154" s="66">
        <v>4643</v>
      </c>
      <c r="D154">
        <f t="shared" si="10"/>
        <v>7.8656253705805623</v>
      </c>
      <c r="E154">
        <f t="shared" si="11"/>
        <v>7.8656253705805623</v>
      </c>
      <c r="G154">
        <f t="shared" ca="1" si="12"/>
        <v>152</v>
      </c>
      <c r="H154">
        <f t="shared" ca="1" si="13"/>
        <v>1195.5750563282454</v>
      </c>
      <c r="I154">
        <f t="shared" ca="1" si="14"/>
        <v>53127.466753290471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2195</v>
      </c>
      <c r="B157" s="66">
        <v>2195</v>
      </c>
      <c r="D157">
        <f t="shared" si="10"/>
        <v>3.7185112402378491</v>
      </c>
      <c r="E157">
        <f t="shared" si="11"/>
        <v>3.7185112402378491</v>
      </c>
      <c r="G157">
        <f t="shared" ca="1" si="12"/>
        <v>155</v>
      </c>
      <c r="H157">
        <f t="shared" ca="1" si="13"/>
        <v>576.36924223686663</v>
      </c>
      <c r="I157">
        <f t="shared" ca="1" si="14"/>
        <v>26983.362004813553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1227</v>
      </c>
      <c r="B160" s="66">
        <v>1227</v>
      </c>
      <c r="D160">
        <f t="shared" si="10"/>
        <v>2.0786393128801097</v>
      </c>
      <c r="E160">
        <f t="shared" si="11"/>
        <v>2.0786393128801097</v>
      </c>
      <c r="G160">
        <f t="shared" ca="1" si="12"/>
        <v>158</v>
      </c>
      <c r="H160">
        <f t="shared" ca="1" si="13"/>
        <v>328.42501143505734</v>
      </c>
      <c r="I160">
        <f t="shared" ca="1" si="14"/>
        <v>16164.759851438734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742</v>
      </c>
      <c r="B162" s="66">
        <v>742</v>
      </c>
      <c r="D162">
        <f t="shared" si="10"/>
        <v>1.2570092666316557</v>
      </c>
      <c r="E162">
        <f t="shared" si="11"/>
        <v>1.2570092666316557</v>
      </c>
      <c r="G162">
        <f t="shared" ca="1" si="12"/>
        <v>160</v>
      </c>
      <c r="H162">
        <f t="shared" ca="1" si="13"/>
        <v>201.1214826610649</v>
      </c>
      <c r="I162">
        <f t="shared" ca="1" si="14"/>
        <v>10223.692182424524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554</v>
      </c>
      <c r="B165" s="66">
        <v>554</v>
      </c>
      <c r="D165">
        <f t="shared" si="10"/>
        <v>0.93852174354978057</v>
      </c>
      <c r="E165">
        <f t="shared" si="11"/>
        <v>0.93852174354978057</v>
      </c>
      <c r="G165">
        <f t="shared" ca="1" si="12"/>
        <v>163</v>
      </c>
      <c r="H165">
        <f t="shared" ca="1" si="13"/>
        <v>152.97904419861425</v>
      </c>
      <c r="I165">
        <f t="shared" ca="1" si="14"/>
        <v>8149.613320691562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149</v>
      </c>
      <c r="B167" s="66">
        <v>149</v>
      </c>
      <c r="D167">
        <f t="shared" si="10"/>
        <v>0.25241830286808181</v>
      </c>
      <c r="E167">
        <f t="shared" si="11"/>
        <v>0.25241830286808181</v>
      </c>
      <c r="G167">
        <f t="shared" ca="1" si="12"/>
        <v>165</v>
      </c>
      <c r="H167">
        <f t="shared" ca="1" si="13"/>
        <v>41.6490199732335</v>
      </c>
      <c r="I167">
        <f t="shared" ca="1" si="14"/>
        <v>2286.9596517461514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354</v>
      </c>
      <c r="B1" s="66" t="s">
        <v>353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71.782281552603393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1.3859356973290315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0.62687781855400315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3521</v>
      </c>
      <c r="B8" s="66">
        <v>3521</v>
      </c>
      <c r="D8">
        <f t="shared" si="0"/>
        <v>4.7350089428598325</v>
      </c>
      <c r="E8">
        <f t="shared" si="1"/>
        <v>4.7350089428598325</v>
      </c>
      <c r="G8">
        <f t="shared" ca="1" si="2"/>
        <v>6</v>
      </c>
      <c r="H8">
        <f t="shared" ca="1" si="3"/>
        <v>28.410053657158997</v>
      </c>
      <c r="I8">
        <f t="shared" ca="1" si="4"/>
        <v>20489.844759783398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6323</v>
      </c>
      <c r="B10" s="66">
        <v>6323</v>
      </c>
      <c r="D10">
        <f t="shared" si="0"/>
        <v>8.5031131910544513</v>
      </c>
      <c r="E10">
        <f t="shared" si="1"/>
        <v>8.5031131910544513</v>
      </c>
      <c r="G10">
        <f t="shared" ca="1" si="2"/>
        <v>8</v>
      </c>
      <c r="H10">
        <f t="shared" ca="1" si="3"/>
        <v>68.02490552843561</v>
      </c>
      <c r="I10">
        <f t="shared" ca="1" si="4"/>
        <v>34592.190260313044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7284</v>
      </c>
      <c r="B13" s="66">
        <v>7284</v>
      </c>
      <c r="D13">
        <f t="shared" si="0"/>
        <v>9.7954572961633115</v>
      </c>
      <c r="E13">
        <f t="shared" si="1"/>
        <v>9.7954572961633115</v>
      </c>
      <c r="G13">
        <f t="shared" ca="1" si="2"/>
        <v>11</v>
      </c>
      <c r="H13">
        <f t="shared" ca="1" si="3"/>
        <v>107.75003025779642</v>
      </c>
      <c r="I13">
        <f t="shared" ca="1" si="4"/>
        <v>36189.177402657042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7163</v>
      </c>
      <c r="B15" s="66">
        <v>7163</v>
      </c>
      <c r="D15">
        <f t="shared" si="0"/>
        <v>9.6327375909414883</v>
      </c>
      <c r="E15">
        <f t="shared" si="1"/>
        <v>9.6327375909414883</v>
      </c>
      <c r="G15">
        <f t="shared" ca="1" si="2"/>
        <v>13</v>
      </c>
      <c r="H15">
        <f t="shared" ca="1" si="3"/>
        <v>125.22558868223935</v>
      </c>
      <c r="I15">
        <f t="shared" ca="1" si="4"/>
        <v>33284.54364721437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11321</v>
      </c>
      <c r="B18" s="66">
        <v>11321</v>
      </c>
      <c r="D18">
        <f t="shared" si="0"/>
        <v>15.224378370382324</v>
      </c>
      <c r="E18">
        <f t="shared" si="1"/>
        <v>15.224378370382324</v>
      </c>
      <c r="G18">
        <f t="shared" ca="1" si="2"/>
        <v>16</v>
      </c>
      <c r="H18">
        <f t="shared" ca="1" si="3"/>
        <v>243.59005392611718</v>
      </c>
      <c r="I18">
        <f t="shared" ca="1" si="4"/>
        <v>47373.133886791133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15177</v>
      </c>
      <c r="B21" s="66">
        <v>15177</v>
      </c>
      <c r="D21">
        <f t="shared" si="0"/>
        <v>20.409892282244726</v>
      </c>
      <c r="E21">
        <f t="shared" si="1"/>
        <v>20.409892282244726</v>
      </c>
      <c r="G21">
        <f t="shared" ca="1" si="2"/>
        <v>19</v>
      </c>
      <c r="H21">
        <f t="shared" ca="1" si="3"/>
        <v>387.78795336264977</v>
      </c>
      <c r="I21">
        <f t="shared" ca="1" si="4"/>
        <v>56861.332210430795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20664</v>
      </c>
      <c r="B23" s="66">
        <v>20664</v>
      </c>
      <c r="D23">
        <f t="shared" si="0"/>
        <v>27.788760237221123</v>
      </c>
      <c r="E23">
        <f t="shared" si="1"/>
        <v>27.788760237221123</v>
      </c>
      <c r="G23">
        <f t="shared" ca="1" si="2"/>
        <v>21</v>
      </c>
      <c r="H23">
        <f t="shared" ca="1" si="3"/>
        <v>583.56396498164361</v>
      </c>
      <c r="I23">
        <f t="shared" ca="1" si="4"/>
        <v>71662.769776133209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24891</v>
      </c>
      <c r="B26" s="66">
        <v>24891</v>
      </c>
      <c r="D26">
        <f t="shared" si="0"/>
        <v>33.473191592366966</v>
      </c>
      <c r="E26">
        <f t="shared" si="1"/>
        <v>33.473191592366966</v>
      </c>
      <c r="G26">
        <f t="shared" ca="1" si="2"/>
        <v>24</v>
      </c>
      <c r="H26">
        <f t="shared" ca="1" si="3"/>
        <v>803.35659821680724</v>
      </c>
      <c r="I26">
        <f t="shared" ca="1" si="4"/>
        <v>76424.197897279475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35519</v>
      </c>
      <c r="B28" s="66">
        <v>35519</v>
      </c>
      <c r="D28">
        <f t="shared" si="0"/>
        <v>47.765629832842485</v>
      </c>
      <c r="E28">
        <f t="shared" si="1"/>
        <v>47.765629832842485</v>
      </c>
      <c r="G28">
        <f t="shared" ca="1" si="2"/>
        <v>26</v>
      </c>
      <c r="H28">
        <f t="shared" ca="1" si="3"/>
        <v>1241.9063756539047</v>
      </c>
      <c r="I28">
        <f t="shared" ca="1" si="4"/>
        <v>100117.5866738273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38737</v>
      </c>
      <c r="B31" s="66">
        <v>38737</v>
      </c>
      <c r="D31">
        <f t="shared" si="0"/>
        <v>52.093167117171639</v>
      </c>
      <c r="E31">
        <f t="shared" si="1"/>
        <v>52.093167117171639</v>
      </c>
      <c r="G31">
        <f t="shared" ca="1" si="2"/>
        <v>29</v>
      </c>
      <c r="H31">
        <f t="shared" ca="1" si="3"/>
        <v>1510.7018463979775</v>
      </c>
      <c r="I31">
        <f t="shared" ca="1" si="4"/>
        <v>95347.353946690288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48418</v>
      </c>
      <c r="B33" s="66">
        <v>48418</v>
      </c>
      <c r="D33">
        <f t="shared" si="0"/>
        <v>65.112088325869749</v>
      </c>
      <c r="E33">
        <f t="shared" si="1"/>
        <v>65.112088325869749</v>
      </c>
      <c r="G33">
        <f t="shared" ca="1" si="2"/>
        <v>31</v>
      </c>
      <c r="H33">
        <f t="shared" ca="1" si="3"/>
        <v>2018.4747381019622</v>
      </c>
      <c r="I33">
        <f t="shared" ca="1" si="4"/>
        <v>108294.06644715497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57205</v>
      </c>
      <c r="B36" s="66">
        <v>57205</v>
      </c>
      <c r="D36">
        <f t="shared" si="0"/>
        <v>76.928766423259503</v>
      </c>
      <c r="E36">
        <f t="shared" si="1"/>
        <v>76.928766423259503</v>
      </c>
      <c r="G36">
        <f t="shared" ca="1" si="2"/>
        <v>34</v>
      </c>
      <c r="H36">
        <f t="shared" ca="1" si="3"/>
        <v>2615.5780583908231</v>
      </c>
      <c r="I36">
        <f t="shared" ca="1" si="4"/>
        <v>109815.8755599195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59213</v>
      </c>
      <c r="B39" s="66">
        <v>59213</v>
      </c>
      <c r="D39">
        <f t="shared" si="0"/>
        <v>79.629106655370421</v>
      </c>
      <c r="E39">
        <f t="shared" si="1"/>
        <v>79.629106655370421</v>
      </c>
      <c r="G39">
        <f t="shared" ca="1" si="2"/>
        <v>37</v>
      </c>
      <c r="H39">
        <f t="shared" ca="1" si="3"/>
        <v>2946.2769462487054</v>
      </c>
      <c r="I39">
        <f t="shared" ca="1" si="4"/>
        <v>96335.859394979707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59725</v>
      </c>
      <c r="B41" s="66">
        <v>59725</v>
      </c>
      <c r="D41">
        <f t="shared" si="0"/>
        <v>80.317639622920623</v>
      </c>
      <c r="E41">
        <f t="shared" si="1"/>
        <v>80.317639622920623</v>
      </c>
      <c r="G41">
        <f t="shared" ca="1" si="2"/>
        <v>39</v>
      </c>
      <c r="H41">
        <f t="shared" ca="1" si="3"/>
        <v>3132.3879452939045</v>
      </c>
      <c r="I41">
        <f t="shared" ca="1" si="4"/>
        <v>86315.599013066341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59480</v>
      </c>
      <c r="B44" s="66">
        <v>59480</v>
      </c>
      <c r="D44">
        <f t="shared" si="0"/>
        <v>79.988165839620237</v>
      </c>
      <c r="E44">
        <f t="shared" si="1"/>
        <v>79.988165839620237</v>
      </c>
      <c r="G44">
        <f t="shared" ca="1" si="2"/>
        <v>42</v>
      </c>
      <c r="H44">
        <f t="shared" ca="1" si="3"/>
        <v>3359.5029652640501</v>
      </c>
      <c r="I44">
        <f t="shared" ca="1" si="4"/>
        <v>70948.246843888046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64372</v>
      </c>
      <c r="B46" s="66">
        <v>64372</v>
      </c>
      <c r="D46">
        <f t="shared" si="0"/>
        <v>86.566883178009974</v>
      </c>
      <c r="E46">
        <f t="shared" si="1"/>
        <v>86.566883178009974</v>
      </c>
      <c r="G46">
        <f t="shared" ca="1" si="2"/>
        <v>44</v>
      </c>
      <c r="H46">
        <f t="shared" ca="1" si="3"/>
        <v>3808.9428598324389</v>
      </c>
      <c r="I46">
        <f t="shared" ca="1" si="4"/>
        <v>66817.096181810164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64478</v>
      </c>
      <c r="B49" s="66">
        <v>64478</v>
      </c>
      <c r="D49">
        <f t="shared" si="0"/>
        <v>86.709431018948109</v>
      </c>
      <c r="E49">
        <f t="shared" si="1"/>
        <v>86.709431018948109</v>
      </c>
      <c r="G49">
        <f t="shared" ca="1" si="2"/>
        <v>47</v>
      </c>
      <c r="H49">
        <f t="shared" ca="1" si="3"/>
        <v>4075.3432578905613</v>
      </c>
      <c r="I49">
        <f t="shared" ca="1" si="4"/>
        <v>53253.592393727515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66606</v>
      </c>
      <c r="B51" s="66">
        <v>66606</v>
      </c>
      <c r="D51">
        <f t="shared" si="0"/>
        <v>89.571146165328599</v>
      </c>
      <c r="E51">
        <f t="shared" si="1"/>
        <v>89.571146165328599</v>
      </c>
      <c r="G51">
        <f t="shared" ca="1" si="2"/>
        <v>49</v>
      </c>
      <c r="H51">
        <f t="shared" ca="1" si="3"/>
        <v>4388.9861621011014</v>
      </c>
      <c r="I51">
        <f t="shared" ca="1" si="4"/>
        <v>46490.322731996399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74361</v>
      </c>
      <c r="B54" s="66">
        <v>74361</v>
      </c>
      <c r="D54">
        <f t="shared" si="0"/>
        <v>100</v>
      </c>
      <c r="E54">
        <f t="shared" si="1"/>
        <v>100</v>
      </c>
      <c r="G54">
        <f t="shared" ca="1" si="2"/>
        <v>52</v>
      </c>
      <c r="H54">
        <f t="shared" ca="1" si="3"/>
        <v>5200</v>
      </c>
      <c r="I54">
        <f t="shared" ca="1" si="4"/>
        <v>39133.866342647249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71610</v>
      </c>
      <c r="B57" s="66">
        <v>71610</v>
      </c>
      <c r="D57">
        <f t="shared" si="0"/>
        <v>96.300480090369959</v>
      </c>
      <c r="E57">
        <f t="shared" si="1"/>
        <v>96.300480090369959</v>
      </c>
      <c r="G57">
        <f t="shared" ca="1" si="2"/>
        <v>55</v>
      </c>
      <c r="H57">
        <f t="shared" ca="1" si="3"/>
        <v>5296.5264049703474</v>
      </c>
      <c r="I57">
        <f t="shared" ca="1" si="4"/>
        <v>27122.546221914879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72678</v>
      </c>
      <c r="B59" s="66">
        <v>72678</v>
      </c>
      <c r="D59">
        <f t="shared" si="0"/>
        <v>97.736716827369179</v>
      </c>
      <c r="E59">
        <f t="shared" si="1"/>
        <v>97.736716827369179</v>
      </c>
      <c r="G59">
        <f t="shared" ca="1" si="2"/>
        <v>57</v>
      </c>
      <c r="H59">
        <f t="shared" ca="1" si="3"/>
        <v>5570.9928591600428</v>
      </c>
      <c r="I59">
        <f t="shared" ca="1" si="4"/>
        <v>21357.021548537639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64593</v>
      </c>
      <c r="B62" s="66">
        <v>64593</v>
      </c>
      <c r="D62">
        <f t="shared" si="0"/>
        <v>86.864081978456454</v>
      </c>
      <c r="E62">
        <f t="shared" si="1"/>
        <v>86.864081978456454</v>
      </c>
      <c r="G62">
        <f t="shared" ca="1" si="2"/>
        <v>60</v>
      </c>
      <c r="H62">
        <f t="shared" ca="1" si="3"/>
        <v>5211.8449187073875</v>
      </c>
      <c r="I62">
        <f t="shared" ca="1" si="4"/>
        <v>12058.659363737932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59772</v>
      </c>
      <c r="B64" s="66">
        <v>59772</v>
      </c>
      <c r="D64">
        <f t="shared" si="0"/>
        <v>80.380844797676204</v>
      </c>
      <c r="E64">
        <f t="shared" si="1"/>
        <v>80.380844797676204</v>
      </c>
      <c r="G64">
        <f t="shared" ca="1" si="2"/>
        <v>62</v>
      </c>
      <c r="H64">
        <f t="shared" ca="1" si="3"/>
        <v>4983.6123774559246</v>
      </c>
      <c r="I64">
        <f t="shared" ca="1" si="4"/>
        <v>7691.8867835060246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53762</v>
      </c>
      <c r="B67" s="66">
        <v>53762</v>
      </c>
      <c r="D67">
        <f t="shared" ref="D67:D130" si="5">IFERROR(100*A67/MAX(A$2:A$257), 0 )</f>
        <v>72.298651174674902</v>
      </c>
      <c r="E67">
        <f t="shared" ref="E67:E130" si="6">IFERROR(100*B67/MAX(B$2:B$257), 0 )</f>
        <v>72.298651174674902</v>
      </c>
      <c r="G67">
        <f t="shared" ref="G67:G130" ca="1" si="7">CELL("row",D67)-2</f>
        <v>65</v>
      </c>
      <c r="H67">
        <f t="shared" ref="H67:H130" ca="1" si="8">D67*G67</f>
        <v>4699.4123263538686</v>
      </c>
      <c r="I67">
        <f t="shared" ref="I67:I130" ca="1" si="9">D67*((G67-$L$1)^2)</f>
        <v>3325.6904580712489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49626</v>
      </c>
      <c r="B69" s="66">
        <v>49626</v>
      </c>
      <c r="D69">
        <f t="shared" si="5"/>
        <v>66.736595796183479</v>
      </c>
      <c r="E69">
        <f t="shared" si="6"/>
        <v>66.736595796183479</v>
      </c>
      <c r="G69">
        <f t="shared" ca="1" si="7"/>
        <v>67</v>
      </c>
      <c r="H69">
        <f t="shared" ca="1" si="8"/>
        <v>4471.3519183442932</v>
      </c>
      <c r="I69">
        <f t="shared" ca="1" si="9"/>
        <v>1526.2804175807823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51904</v>
      </c>
      <c r="B72" s="66">
        <v>51904</v>
      </c>
      <c r="D72">
        <f t="shared" si="5"/>
        <v>69.800029585400949</v>
      </c>
      <c r="E72">
        <f t="shared" si="6"/>
        <v>69.800029585400949</v>
      </c>
      <c r="G72">
        <f t="shared" ca="1" si="7"/>
        <v>70</v>
      </c>
      <c r="H72">
        <f t="shared" ca="1" si="8"/>
        <v>4886.0020709780665</v>
      </c>
      <c r="I72">
        <f t="shared" ca="1" si="9"/>
        <v>221.72171576481603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46185</v>
      </c>
      <c r="B75" s="66">
        <v>46185</v>
      </c>
      <c r="D75">
        <f t="shared" si="5"/>
        <v>62.109170129503369</v>
      </c>
      <c r="E75">
        <f t="shared" si="6"/>
        <v>62.109170129503369</v>
      </c>
      <c r="G75">
        <f t="shared" ca="1" si="7"/>
        <v>73</v>
      </c>
      <c r="H75">
        <f t="shared" ca="1" si="8"/>
        <v>4533.969419453746</v>
      </c>
      <c r="I75">
        <f t="shared" ca="1" si="9"/>
        <v>92.09785110225674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47225</v>
      </c>
      <c r="B77" s="66">
        <v>47225</v>
      </c>
      <c r="D77">
        <f t="shared" si="5"/>
        <v>63.507752719839701</v>
      </c>
      <c r="E77">
        <f t="shared" si="6"/>
        <v>63.507752719839701</v>
      </c>
      <c r="G77">
        <f t="shared" ca="1" si="7"/>
        <v>75</v>
      </c>
      <c r="H77">
        <f t="shared" ca="1" si="8"/>
        <v>4763.0814539879775</v>
      </c>
      <c r="I77">
        <f t="shared" ca="1" si="9"/>
        <v>657.54098185498219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43618</v>
      </c>
      <c r="B80" s="66">
        <v>43618</v>
      </c>
      <c r="D80">
        <f t="shared" si="5"/>
        <v>58.657091755086675</v>
      </c>
      <c r="E80">
        <f t="shared" si="6"/>
        <v>58.657091755086675</v>
      </c>
      <c r="G80">
        <f t="shared" ca="1" si="7"/>
        <v>78</v>
      </c>
      <c r="H80">
        <f t="shared" ca="1" si="8"/>
        <v>4575.2531568967606</v>
      </c>
      <c r="I80">
        <f t="shared" ca="1" si="9"/>
        <v>2267.6844982453549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46093</v>
      </c>
      <c r="B82" s="66">
        <v>46093</v>
      </c>
      <c r="D82">
        <f t="shared" si="5"/>
        <v>61.985449361896691</v>
      </c>
      <c r="E82">
        <f t="shared" si="6"/>
        <v>61.985449361896691</v>
      </c>
      <c r="G82">
        <f t="shared" ca="1" si="7"/>
        <v>80</v>
      </c>
      <c r="H82">
        <f t="shared" ca="1" si="8"/>
        <v>4958.8359489517352</v>
      </c>
      <c r="I82">
        <f t="shared" ca="1" si="9"/>
        <v>4185.9329641668319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47077</v>
      </c>
      <c r="B85" s="66">
        <v>47077</v>
      </c>
      <c r="D85">
        <f t="shared" si="5"/>
        <v>63.308723658907226</v>
      </c>
      <c r="E85">
        <f t="shared" si="6"/>
        <v>63.308723658907226</v>
      </c>
      <c r="G85">
        <f t="shared" ca="1" si="7"/>
        <v>83</v>
      </c>
      <c r="H85">
        <f t="shared" ca="1" si="8"/>
        <v>5254.6240636892999</v>
      </c>
      <c r="I85">
        <f t="shared" ca="1" si="9"/>
        <v>7966.5929744215782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46950</v>
      </c>
      <c r="B88" s="66">
        <v>46950</v>
      </c>
      <c r="D88">
        <f t="shared" si="5"/>
        <v>63.137935207971921</v>
      </c>
      <c r="E88">
        <f t="shared" si="6"/>
        <v>63.137935207971921</v>
      </c>
      <c r="G88">
        <f t="shared" ca="1" si="7"/>
        <v>86</v>
      </c>
      <c r="H88">
        <f t="shared" ca="1" si="8"/>
        <v>5429.862427885585</v>
      </c>
      <c r="I88">
        <f t="shared" ca="1" si="9"/>
        <v>12762.92433268957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45771</v>
      </c>
      <c r="B90" s="66">
        <v>45771</v>
      </c>
      <c r="D90">
        <f t="shared" si="5"/>
        <v>61.552426675273331</v>
      </c>
      <c r="E90">
        <f t="shared" si="6"/>
        <v>61.552426675273331</v>
      </c>
      <c r="G90">
        <f t="shared" ca="1" si="7"/>
        <v>88</v>
      </c>
      <c r="H90">
        <f t="shared" ca="1" si="8"/>
        <v>5416.6135474240527</v>
      </c>
      <c r="I90">
        <f t="shared" ca="1" si="9"/>
        <v>16189.174055902906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51129</v>
      </c>
      <c r="B93" s="66">
        <v>51129</v>
      </c>
      <c r="D93">
        <f t="shared" si="5"/>
        <v>68.757816597409928</v>
      </c>
      <c r="E93">
        <f t="shared" si="6"/>
        <v>68.757816597409928</v>
      </c>
      <c r="G93">
        <f t="shared" ca="1" si="7"/>
        <v>91</v>
      </c>
      <c r="H93">
        <f t="shared" ca="1" si="8"/>
        <v>6256.9613103643032</v>
      </c>
      <c r="I93">
        <f t="shared" ca="1" si="9"/>
        <v>25393.685115979501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53175</v>
      </c>
      <c r="B95" s="66">
        <v>53175</v>
      </c>
      <c r="D95">
        <f t="shared" si="5"/>
        <v>71.509258885706217</v>
      </c>
      <c r="E95">
        <f t="shared" si="6"/>
        <v>71.509258885706217</v>
      </c>
      <c r="G95">
        <f t="shared" ca="1" si="7"/>
        <v>93</v>
      </c>
      <c r="H95">
        <f t="shared" ca="1" si="8"/>
        <v>6650.3610763706783</v>
      </c>
      <c r="I95">
        <f t="shared" ca="1" si="9"/>
        <v>32192.86596442822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51370</v>
      </c>
      <c r="B98" s="66">
        <v>51370</v>
      </c>
      <c r="D98">
        <f t="shared" si="5"/>
        <v>69.081911216901332</v>
      </c>
      <c r="E98">
        <f t="shared" si="6"/>
        <v>69.081911216901332</v>
      </c>
      <c r="G98">
        <f t="shared" ca="1" si="7"/>
        <v>96</v>
      </c>
      <c r="H98">
        <f t="shared" ca="1" si="8"/>
        <v>6631.8634768225274</v>
      </c>
      <c r="I98">
        <f t="shared" ca="1" si="9"/>
        <v>40516.394944636435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53024</v>
      </c>
      <c r="B100" s="66">
        <v>53024</v>
      </c>
      <c r="D100">
        <f t="shared" si="5"/>
        <v>71.306195451917006</v>
      </c>
      <c r="E100">
        <f t="shared" si="6"/>
        <v>71.306195451917006</v>
      </c>
      <c r="G100">
        <f t="shared" ca="1" si="7"/>
        <v>98</v>
      </c>
      <c r="H100">
        <f t="shared" ca="1" si="8"/>
        <v>6988.0071542878668</v>
      </c>
      <c r="I100">
        <f t="shared" ca="1" si="9"/>
        <v>49013.651189955737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48104</v>
      </c>
      <c r="B103" s="66">
        <v>48104</v>
      </c>
      <c r="D103">
        <f t="shared" si="5"/>
        <v>64.689823966864353</v>
      </c>
      <c r="E103">
        <f t="shared" si="6"/>
        <v>64.689823966864353</v>
      </c>
      <c r="G103">
        <f t="shared" ca="1" si="7"/>
        <v>101</v>
      </c>
      <c r="H103">
        <f t="shared" ca="1" si="8"/>
        <v>6533.6722206532995</v>
      </c>
      <c r="I103">
        <f t="shared" ca="1" si="9"/>
        <v>55224.090085443364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47982</v>
      </c>
      <c r="B106" s="66">
        <v>47982</v>
      </c>
      <c r="D106">
        <f t="shared" si="5"/>
        <v>64.525759470690275</v>
      </c>
      <c r="E106">
        <f t="shared" si="6"/>
        <v>64.525759470690275</v>
      </c>
      <c r="G106">
        <f t="shared" ca="1" si="7"/>
        <v>104</v>
      </c>
      <c r="H106">
        <f t="shared" ca="1" si="8"/>
        <v>6710.6789849517882</v>
      </c>
      <c r="I106">
        <f t="shared" ca="1" si="9"/>
        <v>66976.536987129453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43992</v>
      </c>
      <c r="B108" s="66">
        <v>43992</v>
      </c>
      <c r="D108">
        <f t="shared" si="5"/>
        <v>59.160043571226851</v>
      </c>
      <c r="E108">
        <f t="shared" si="6"/>
        <v>59.160043571226851</v>
      </c>
      <c r="G108">
        <f t="shared" ca="1" si="7"/>
        <v>106</v>
      </c>
      <c r="H108">
        <f t="shared" ca="1" si="8"/>
        <v>6270.964618550046</v>
      </c>
      <c r="I108">
        <f t="shared" ca="1" si="9"/>
        <v>69267.67046536156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37091</v>
      </c>
      <c r="B111" s="66">
        <v>37091</v>
      </c>
      <c r="D111">
        <f t="shared" si="5"/>
        <v>49.879641209773943</v>
      </c>
      <c r="E111">
        <f t="shared" si="6"/>
        <v>49.879641209773943</v>
      </c>
      <c r="G111">
        <f t="shared" ca="1" si="7"/>
        <v>109</v>
      </c>
      <c r="H111">
        <f t="shared" ca="1" si="8"/>
        <v>5436.8808918653594</v>
      </c>
      <c r="I111">
        <f t="shared" ca="1" si="9"/>
        <v>69091.212312157542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32906</v>
      </c>
      <c r="B113" s="66">
        <v>32906</v>
      </c>
      <c r="D113">
        <f t="shared" si="5"/>
        <v>44.25169107462245</v>
      </c>
      <c r="E113">
        <f t="shared" si="6"/>
        <v>44.25169107462245</v>
      </c>
      <c r="G113">
        <f t="shared" ca="1" si="7"/>
        <v>111</v>
      </c>
      <c r="H113">
        <f t="shared" ca="1" si="8"/>
        <v>4911.9377092830919</v>
      </c>
      <c r="I113">
        <f t="shared" ca="1" si="9"/>
        <v>68060.403652257723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31013</v>
      </c>
      <c r="B116" s="66">
        <v>31013</v>
      </c>
      <c r="D116">
        <f t="shared" si="5"/>
        <v>41.706001802019877</v>
      </c>
      <c r="E116">
        <f t="shared" si="6"/>
        <v>41.706001802019877</v>
      </c>
      <c r="G116">
        <f t="shared" ca="1" si="7"/>
        <v>114</v>
      </c>
      <c r="H116">
        <f t="shared" ca="1" si="8"/>
        <v>4754.4842054302662</v>
      </c>
      <c r="I116">
        <f t="shared" ca="1" si="9"/>
        <v>74334.098038992161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27802</v>
      </c>
      <c r="B118" s="66">
        <v>27802</v>
      </c>
      <c r="D118">
        <f t="shared" si="5"/>
        <v>37.387878054356449</v>
      </c>
      <c r="E118">
        <f t="shared" si="6"/>
        <v>37.387878054356449</v>
      </c>
      <c r="G118">
        <f t="shared" ca="1" si="7"/>
        <v>116</v>
      </c>
      <c r="H118">
        <f t="shared" ca="1" si="8"/>
        <v>4336.9938543053477</v>
      </c>
      <c r="I118">
        <f t="shared" ca="1" si="9"/>
        <v>73101.026855100659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24304</v>
      </c>
      <c r="B121" s="66">
        <v>24304</v>
      </c>
      <c r="D121">
        <f t="shared" si="5"/>
        <v>32.683799303398288</v>
      </c>
      <c r="E121">
        <f t="shared" si="6"/>
        <v>32.683799303398288</v>
      </c>
      <c r="G121">
        <f t="shared" ca="1" si="7"/>
        <v>119</v>
      </c>
      <c r="H121">
        <f t="shared" ca="1" si="8"/>
        <v>3889.3721171043962</v>
      </c>
      <c r="I121">
        <f t="shared" ca="1" si="9"/>
        <v>72868.95332421246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20521</v>
      </c>
      <c r="B124" s="66">
        <v>20521</v>
      </c>
      <c r="D124">
        <f t="shared" si="5"/>
        <v>27.596455131049879</v>
      </c>
      <c r="E124">
        <f t="shared" si="6"/>
        <v>27.596455131049879</v>
      </c>
      <c r="G124">
        <f t="shared" ca="1" si="7"/>
        <v>122</v>
      </c>
      <c r="H124">
        <f t="shared" ca="1" si="8"/>
        <v>3366.7675259880853</v>
      </c>
      <c r="I124">
        <f t="shared" ca="1" si="9"/>
        <v>69593.271672567949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14625</v>
      </c>
      <c r="B126" s="66">
        <v>14625</v>
      </c>
      <c r="D126">
        <f t="shared" si="5"/>
        <v>19.667567676604673</v>
      </c>
      <c r="E126">
        <f t="shared" si="6"/>
        <v>19.667567676604673</v>
      </c>
      <c r="G126">
        <f t="shared" ca="1" si="7"/>
        <v>124</v>
      </c>
      <c r="H126">
        <f t="shared" ca="1" si="8"/>
        <v>2438.7783918989794</v>
      </c>
      <c r="I126">
        <f t="shared" ca="1" si="9"/>
        <v>53627.362465310332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13681</v>
      </c>
      <c r="B129" s="66">
        <v>13681</v>
      </c>
      <c r="D129">
        <f t="shared" si="5"/>
        <v>18.398085017684</v>
      </c>
      <c r="E129">
        <f t="shared" si="6"/>
        <v>18.398085017684</v>
      </c>
      <c r="G129">
        <f t="shared" ca="1" si="7"/>
        <v>127</v>
      </c>
      <c r="H129">
        <f t="shared" ca="1" si="8"/>
        <v>2336.556797245868</v>
      </c>
      <c r="I129">
        <f t="shared" ca="1" si="9"/>
        <v>56095.695547615709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13328</v>
      </c>
      <c r="B131" s="66">
        <v>13328</v>
      </c>
      <c r="D131">
        <f t="shared" ref="D131:D194" si="10">IFERROR(100*A131/MAX(A$2:A$257), 0 )</f>
        <v>17.923373811540994</v>
      </c>
      <c r="E131">
        <f t="shared" ref="E131:E194" si="11">IFERROR(100*B131/MAX(B$2:B$257), 0 )</f>
        <v>17.923373811540994</v>
      </c>
      <c r="G131">
        <f t="shared" ref="G131:G194" ca="1" si="12">CELL("row",D131)-2</f>
        <v>129</v>
      </c>
      <c r="H131">
        <f t="shared" ref="H131:H194" ca="1" si="13">D131*G131</f>
        <v>2312.1152216887881</v>
      </c>
      <c r="I131">
        <f t="shared" ref="I131:I194" ca="1" si="14">D131*((G131-$L$1)^2)</f>
        <v>58678.747504808867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12752</v>
      </c>
      <c r="B134" s="66">
        <v>12752</v>
      </c>
      <c r="D134">
        <f t="shared" si="10"/>
        <v>17.148774223047027</v>
      </c>
      <c r="E134">
        <f t="shared" si="11"/>
        <v>17.148774223047027</v>
      </c>
      <c r="G134">
        <f t="shared" ca="1" si="12"/>
        <v>132</v>
      </c>
      <c r="H134">
        <f t="shared" ca="1" si="13"/>
        <v>2263.6381974422075</v>
      </c>
      <c r="I134">
        <f t="shared" ca="1" si="14"/>
        <v>62184.432617375533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11631</v>
      </c>
      <c r="B136" s="66">
        <v>11631</v>
      </c>
      <c r="D136">
        <f t="shared" si="10"/>
        <v>15.641263565578731</v>
      </c>
      <c r="E136">
        <f t="shared" si="11"/>
        <v>15.641263565578731</v>
      </c>
      <c r="G136">
        <f t="shared" ca="1" si="12"/>
        <v>134</v>
      </c>
      <c r="H136">
        <f t="shared" ca="1" si="13"/>
        <v>2095.9293177875497</v>
      </c>
      <c r="I136">
        <f t="shared" ca="1" si="14"/>
        <v>60548.027123394211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9357</v>
      </c>
      <c r="B139" s="66">
        <v>9357</v>
      </c>
      <c r="D139">
        <f t="shared" si="10"/>
        <v>12.58320894017025</v>
      </c>
      <c r="E139">
        <f t="shared" si="11"/>
        <v>12.58320894017025</v>
      </c>
      <c r="G139">
        <f t="shared" ca="1" si="12"/>
        <v>137</v>
      </c>
      <c r="H139">
        <f t="shared" ca="1" si="13"/>
        <v>1723.8996248033243</v>
      </c>
      <c r="I139">
        <f t="shared" ca="1" si="14"/>
        <v>53520.801805746036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9544</v>
      </c>
      <c r="B142" s="66">
        <v>9544</v>
      </c>
      <c r="D142">
        <f t="shared" si="10"/>
        <v>12.834684848240341</v>
      </c>
      <c r="E142">
        <f t="shared" si="11"/>
        <v>12.834684848240341</v>
      </c>
      <c r="G142">
        <f t="shared" ca="1" si="12"/>
        <v>140</v>
      </c>
      <c r="H142">
        <f t="shared" ca="1" si="13"/>
        <v>1796.8558787536479</v>
      </c>
      <c r="I142">
        <f t="shared" ca="1" si="14"/>
        <v>59728.222400782703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10838</v>
      </c>
      <c r="B144" s="66">
        <v>10838</v>
      </c>
      <c r="D144">
        <f t="shared" si="10"/>
        <v>14.574844340447278</v>
      </c>
      <c r="E144">
        <f t="shared" si="11"/>
        <v>14.574844340447278</v>
      </c>
      <c r="G144">
        <f t="shared" ca="1" si="12"/>
        <v>142</v>
      </c>
      <c r="H144">
        <f t="shared" ca="1" si="13"/>
        <v>2069.6278963435134</v>
      </c>
      <c r="I144">
        <f t="shared" ca="1" si="14"/>
        <v>71861.677882405173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9327</v>
      </c>
      <c r="B147" s="66">
        <v>9327</v>
      </c>
      <c r="D147">
        <f t="shared" si="10"/>
        <v>12.542865211602857</v>
      </c>
      <c r="E147">
        <f t="shared" si="11"/>
        <v>12.542865211602857</v>
      </c>
      <c r="G147">
        <f t="shared" ca="1" si="12"/>
        <v>145</v>
      </c>
      <c r="H147">
        <f t="shared" ca="1" si="13"/>
        <v>1818.7154556824144</v>
      </c>
      <c r="I147">
        <f t="shared" ca="1" si="14"/>
        <v>67240.221979435708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8643</v>
      </c>
      <c r="B149" s="66">
        <v>8643</v>
      </c>
      <c r="D149">
        <f t="shared" si="10"/>
        <v>11.623028200266269</v>
      </c>
      <c r="E149">
        <f t="shared" si="11"/>
        <v>11.623028200266269</v>
      </c>
      <c r="G149">
        <f t="shared" ca="1" si="12"/>
        <v>147</v>
      </c>
      <c r="H149">
        <f t="shared" ca="1" si="13"/>
        <v>1708.5851454391416</v>
      </c>
      <c r="I149">
        <f t="shared" ca="1" si="14"/>
        <v>65759.666721475354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7788</v>
      </c>
      <c r="B152" s="66">
        <v>7788</v>
      </c>
      <c r="D152">
        <f t="shared" si="10"/>
        <v>10.473231936095534</v>
      </c>
      <c r="E152">
        <f t="shared" si="11"/>
        <v>10.473231936095534</v>
      </c>
      <c r="G152">
        <f t="shared" ca="1" si="12"/>
        <v>150</v>
      </c>
      <c r="H152">
        <f t="shared" ca="1" si="13"/>
        <v>1570.9847904143301</v>
      </c>
      <c r="I152">
        <f t="shared" ca="1" si="14"/>
        <v>64075.35320847894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8019</v>
      </c>
      <c r="B154" s="66">
        <v>8019</v>
      </c>
      <c r="D154">
        <f t="shared" si="10"/>
        <v>10.783878646064469</v>
      </c>
      <c r="E154">
        <f t="shared" si="11"/>
        <v>10.783878646064469</v>
      </c>
      <c r="G154">
        <f t="shared" ca="1" si="12"/>
        <v>152</v>
      </c>
      <c r="H154">
        <f t="shared" ca="1" si="13"/>
        <v>1639.1495542017992</v>
      </c>
      <c r="I154">
        <f t="shared" ca="1" si="14"/>
        <v>69392.990395437868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4504</v>
      </c>
      <c r="B157" s="66">
        <v>4504</v>
      </c>
      <c r="D157">
        <f t="shared" si="10"/>
        <v>6.0569384489181157</v>
      </c>
      <c r="E157">
        <f t="shared" si="11"/>
        <v>6.0569384489181157</v>
      </c>
      <c r="G157">
        <f t="shared" ca="1" si="12"/>
        <v>155</v>
      </c>
      <c r="H157">
        <f t="shared" ca="1" si="13"/>
        <v>938.82545958230799</v>
      </c>
      <c r="I157">
        <f t="shared" ca="1" si="14"/>
        <v>41945.441482511189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3398</v>
      </c>
      <c r="B160" s="66">
        <v>3398</v>
      </c>
      <c r="D160">
        <f t="shared" si="10"/>
        <v>4.5695996557335166</v>
      </c>
      <c r="E160">
        <f t="shared" si="11"/>
        <v>4.5695996557335166</v>
      </c>
      <c r="G160">
        <f t="shared" ca="1" si="12"/>
        <v>158</v>
      </c>
      <c r="H160">
        <f t="shared" ca="1" si="13"/>
        <v>721.99674560589563</v>
      </c>
      <c r="I160">
        <f t="shared" ca="1" si="14"/>
        <v>33968.096075341826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2266</v>
      </c>
      <c r="B162" s="66">
        <v>2266</v>
      </c>
      <c r="D162">
        <f t="shared" si="10"/>
        <v>3.0472962977905085</v>
      </c>
      <c r="E162">
        <f t="shared" si="11"/>
        <v>3.0472962977905085</v>
      </c>
      <c r="G162">
        <f t="shared" ca="1" si="12"/>
        <v>160</v>
      </c>
      <c r="H162">
        <f t="shared" ca="1" si="13"/>
        <v>487.56740764648134</v>
      </c>
      <c r="I162">
        <f t="shared" ca="1" si="14"/>
        <v>23715.174636857144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1389</v>
      </c>
      <c r="B165" s="66">
        <v>1389</v>
      </c>
      <c r="D165">
        <f t="shared" si="10"/>
        <v>1.8679146326703513</v>
      </c>
      <c r="E165">
        <f t="shared" si="11"/>
        <v>1.8679146326703513</v>
      </c>
      <c r="G165">
        <f t="shared" ca="1" si="12"/>
        <v>163</v>
      </c>
      <c r="H165">
        <f t="shared" ca="1" si="13"/>
        <v>304.47008512526725</v>
      </c>
      <c r="I165">
        <f t="shared" ca="1" si="14"/>
        <v>15542.305278979158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1350</v>
      </c>
      <c r="B167" s="66">
        <v>1350</v>
      </c>
      <c r="D167">
        <f t="shared" si="10"/>
        <v>1.815467785532739</v>
      </c>
      <c r="E167">
        <f t="shared" si="11"/>
        <v>1.815467785532739</v>
      </c>
      <c r="G167">
        <f t="shared" ca="1" si="12"/>
        <v>165</v>
      </c>
      <c r="H167">
        <f t="shared" ca="1" si="13"/>
        <v>299.55218461290195</v>
      </c>
      <c r="I167">
        <f t="shared" ca="1" si="14"/>
        <v>15775.585446573396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628</v>
      </c>
      <c r="B170" s="66">
        <v>628</v>
      </c>
      <c r="D170">
        <f t="shared" si="10"/>
        <v>0.84452871801078522</v>
      </c>
      <c r="E170">
        <f t="shared" si="11"/>
        <v>0.84452871801078522</v>
      </c>
      <c r="G170">
        <f t="shared" ca="1" si="12"/>
        <v>168</v>
      </c>
      <c r="H170">
        <f t="shared" ca="1" si="13"/>
        <v>141.88082462581193</v>
      </c>
      <c r="I170">
        <f t="shared" ca="1" si="14"/>
        <v>7818.5196373686758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475</v>
      </c>
      <c r="B173" s="66">
        <v>475</v>
      </c>
      <c r="D173">
        <f t="shared" si="10"/>
        <v>0.63877570231707481</v>
      </c>
      <c r="E173">
        <f t="shared" si="11"/>
        <v>0.63877570231707481</v>
      </c>
      <c r="G173">
        <f t="shared" ca="1" si="12"/>
        <v>171</v>
      </c>
      <c r="H173">
        <f t="shared" ca="1" si="13"/>
        <v>109.23064509621979</v>
      </c>
      <c r="I173">
        <f t="shared" ca="1" si="14"/>
        <v>6288.2074415429597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471</v>
      </c>
      <c r="B175" s="66">
        <v>471</v>
      </c>
      <c r="D175">
        <f t="shared" si="10"/>
        <v>0.63339653850808897</v>
      </c>
      <c r="E175">
        <f t="shared" si="11"/>
        <v>0.63339653850808897</v>
      </c>
      <c r="G175">
        <f t="shared" ca="1" si="12"/>
        <v>173</v>
      </c>
      <c r="H175">
        <f t="shared" ca="1" si="13"/>
        <v>109.57760116189939</v>
      </c>
      <c r="I175">
        <f t="shared" ca="1" si="14"/>
        <v>6489.1643395664778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104</v>
      </c>
      <c r="B178" s="66">
        <v>104</v>
      </c>
      <c r="D178">
        <f t="shared" si="10"/>
        <v>0.13985825903363322</v>
      </c>
      <c r="E178">
        <f t="shared" si="11"/>
        <v>0.13985825903363322</v>
      </c>
      <c r="G178">
        <f t="shared" ca="1" si="12"/>
        <v>176</v>
      </c>
      <c r="H178">
        <f t="shared" ca="1" si="13"/>
        <v>24.615053589919448</v>
      </c>
      <c r="I178">
        <f t="shared" ca="1" si="14"/>
        <v>1519.0471015607729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156</v>
      </c>
      <c r="B180" s="66">
        <v>156</v>
      </c>
      <c r="D180">
        <f t="shared" si="10"/>
        <v>0.20978738855044984</v>
      </c>
      <c r="E180">
        <f t="shared" si="11"/>
        <v>0.20978738855044984</v>
      </c>
      <c r="G180">
        <f t="shared" ca="1" si="12"/>
        <v>178</v>
      </c>
      <c r="H180">
        <f t="shared" ca="1" si="13"/>
        <v>37.342155161980074</v>
      </c>
      <c r="I180">
        <f t="shared" ca="1" si="14"/>
        <v>2366.864053870423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355</v>
      </c>
      <c r="B1" s="68" t="s">
        <v>356</v>
      </c>
      <c r="C1" s="32" t="s">
        <v>357</v>
      </c>
      <c r="D1" s="32" t="s">
        <v>358</v>
      </c>
      <c r="E1" s="32" t="s">
        <v>359</v>
      </c>
    </row>
    <row r="2" spans="1:5">
      <c r="A2" s="68">
        <v>0.19465499999999999</v>
      </c>
      <c r="B2" s="68">
        <v>0.51420699999999997</v>
      </c>
      <c r="C2" s="68">
        <v>0</v>
      </c>
      <c r="D2" s="68">
        <v>1</v>
      </c>
      <c r="E2" s="68" t="s">
        <v>360</v>
      </c>
    </row>
    <row r="3" spans="1:5">
      <c r="A3" s="68">
        <v>0.202012</v>
      </c>
      <c r="B3" s="68">
        <v>0.50050099999999997</v>
      </c>
      <c r="C3" s="68">
        <v>0.385824</v>
      </c>
      <c r="D3" s="89">
        <v>1</v>
      </c>
      <c r="E3" s="68" t="s">
        <v>361</v>
      </c>
    </row>
    <row r="4" spans="1:5">
      <c r="A4" s="68">
        <v>0.20923600000000001</v>
      </c>
      <c r="B4" s="68">
        <v>0.48826000000000003</v>
      </c>
      <c r="C4" s="68">
        <v>0.79375200000000001</v>
      </c>
      <c r="D4" s="89">
        <v>1</v>
      </c>
      <c r="E4" s="68" t="s">
        <v>362</v>
      </c>
    </row>
    <row r="5" spans="1:5">
      <c r="A5" s="89">
        <v>0.216368</v>
      </c>
      <c r="B5" s="89">
        <v>0.476991</v>
      </c>
      <c r="C5" s="89">
        <v>1.1956899999999999</v>
      </c>
      <c r="D5" s="89">
        <v>1</v>
      </c>
      <c r="E5" s="68" t="s">
        <v>363</v>
      </c>
    </row>
    <row r="6" spans="1:5">
      <c r="A6" s="68">
        <v>0.22323299999999999</v>
      </c>
      <c r="B6" s="68">
        <v>0.46682600000000002</v>
      </c>
      <c r="C6" s="68">
        <v>1.60581</v>
      </c>
      <c r="D6" s="68">
        <v>1</v>
      </c>
      <c r="E6" s="68" t="s">
        <v>364</v>
      </c>
    </row>
    <row r="7" spans="1:5">
      <c r="A7" s="68">
        <v>0.23031299999999999</v>
      </c>
      <c r="B7" s="68">
        <v>0.45539200000000002</v>
      </c>
      <c r="C7" s="68">
        <v>2.0073799999999999</v>
      </c>
      <c r="D7" s="68">
        <v>1</v>
      </c>
      <c r="E7" s="68" t="s">
        <v>365</v>
      </c>
    </row>
    <row r="8" spans="1:5">
      <c r="A8" s="68">
        <v>0.23732900000000001</v>
      </c>
      <c r="B8" s="68">
        <v>0.44509599999999999</v>
      </c>
      <c r="C8" s="68">
        <v>2.41961</v>
      </c>
      <c r="D8" s="68">
        <v>1</v>
      </c>
      <c r="E8" s="68" t="s">
        <v>366</v>
      </c>
    </row>
    <row r="9" spans="1:5">
      <c r="A9" s="68">
        <v>0.24409600000000001</v>
      </c>
      <c r="B9" s="68">
        <v>0.43544699999999997</v>
      </c>
      <c r="C9" s="68">
        <v>2.8225099999999999</v>
      </c>
      <c r="D9" s="68">
        <v>1</v>
      </c>
      <c r="E9" s="68" t="s">
        <v>367</v>
      </c>
    </row>
    <row r="10" spans="1:5">
      <c r="A10" s="68">
        <v>0.25070399999999998</v>
      </c>
      <c r="B10" s="68">
        <v>0.42688799999999999</v>
      </c>
      <c r="C10" s="68">
        <v>3.2302300000000002</v>
      </c>
      <c r="D10" s="68">
        <v>1</v>
      </c>
      <c r="E10" s="68" t="s">
        <v>368</v>
      </c>
    </row>
    <row r="11" spans="1:5">
      <c r="A11" s="68">
        <v>0.25708599999999998</v>
      </c>
      <c r="B11" s="68">
        <v>0.41945300000000002</v>
      </c>
      <c r="C11" s="68">
        <v>3.6354799999999998</v>
      </c>
      <c r="D11" s="68">
        <v>1</v>
      </c>
      <c r="E11" s="68" t="s">
        <v>369</v>
      </c>
    </row>
    <row r="12" spans="1:5">
      <c r="A12" s="68">
        <v>0.26321499999999998</v>
      </c>
      <c r="B12" s="68">
        <v>0.413356</v>
      </c>
      <c r="C12" s="68">
        <v>4.0440699999999996</v>
      </c>
      <c r="D12" s="68">
        <v>1</v>
      </c>
      <c r="E12" s="68" t="s">
        <v>370</v>
      </c>
    </row>
    <row r="13" spans="1:5">
      <c r="A13" s="68">
        <v>0.26898899999999998</v>
      </c>
      <c r="B13" s="68">
        <v>0.40762300000000001</v>
      </c>
      <c r="C13" s="68">
        <v>4.4480199999999996</v>
      </c>
      <c r="D13" s="68">
        <v>1</v>
      </c>
      <c r="E13" s="68" t="s">
        <v>371</v>
      </c>
    </row>
    <row r="14" spans="1:5">
      <c r="A14" s="68">
        <v>0.27465800000000001</v>
      </c>
      <c r="B14" s="68">
        <v>0.40182600000000002</v>
      </c>
      <c r="C14" s="68">
        <v>4.8579299999999996</v>
      </c>
      <c r="D14" s="68">
        <v>1</v>
      </c>
      <c r="E14" s="68" t="s">
        <v>372</v>
      </c>
    </row>
    <row r="15" spans="1:5">
      <c r="A15" s="68">
        <v>0.280144</v>
      </c>
      <c r="B15" s="68">
        <v>0.39511200000000002</v>
      </c>
      <c r="C15" s="68">
        <v>5.2607999999999997</v>
      </c>
      <c r="D15" s="68">
        <v>1</v>
      </c>
      <c r="E15" s="68" t="s">
        <v>373</v>
      </c>
    </row>
    <row r="16" spans="1:5">
      <c r="A16" s="68">
        <v>0.28540399999999999</v>
      </c>
      <c r="B16" s="68">
        <v>0.38756400000000002</v>
      </c>
      <c r="C16" s="68">
        <v>5.6666999999999996</v>
      </c>
      <c r="D16" s="68">
        <v>1</v>
      </c>
      <c r="E16" s="68" t="s">
        <v>374</v>
      </c>
    </row>
    <row r="17" spans="1:5">
      <c r="A17" s="68">
        <v>0.290271</v>
      </c>
      <c r="B17" s="68">
        <v>0.379467</v>
      </c>
      <c r="C17" s="68">
        <v>6.0717600000000003</v>
      </c>
      <c r="D17" s="68">
        <v>1</v>
      </c>
      <c r="E17" s="68" t="s">
        <v>375</v>
      </c>
    </row>
    <row r="18" spans="1:5">
      <c r="A18" s="68">
        <v>0.29452800000000001</v>
      </c>
      <c r="B18" s="68">
        <v>0.37205300000000002</v>
      </c>
      <c r="C18" s="68">
        <v>6.48062</v>
      </c>
      <c r="D18" s="68">
        <v>1</v>
      </c>
      <c r="E18" s="68" t="s">
        <v>376</v>
      </c>
    </row>
    <row r="19" spans="1:5">
      <c r="A19" s="68">
        <v>0.29814600000000002</v>
      </c>
      <c r="B19" s="68">
        <v>0.365811</v>
      </c>
      <c r="C19" s="68">
        <v>6.8845400000000003</v>
      </c>
      <c r="D19" s="68">
        <v>1</v>
      </c>
      <c r="E19" s="68" t="s">
        <v>377</v>
      </c>
    </row>
    <row r="20" spans="1:5">
      <c r="A20" s="68">
        <v>0.301201</v>
      </c>
      <c r="B20" s="68">
        <v>0.36016399999999998</v>
      </c>
      <c r="C20" s="68">
        <v>7.2913600000000001</v>
      </c>
      <c r="D20" s="68">
        <v>1</v>
      </c>
      <c r="E20" s="68" t="s">
        <v>378</v>
      </c>
    </row>
    <row r="21" spans="1:5">
      <c r="A21" s="68">
        <v>0.30376500000000001</v>
      </c>
      <c r="B21" s="68">
        <v>0.355323</v>
      </c>
      <c r="C21" s="68">
        <v>7.6952499999999997</v>
      </c>
      <c r="D21" s="68">
        <v>1</v>
      </c>
      <c r="E21" s="68" t="s">
        <v>379</v>
      </c>
    </row>
    <row r="22" spans="1:5">
      <c r="A22" s="68">
        <v>0.306004</v>
      </c>
      <c r="B22" s="68">
        <v>0.35061399999999998</v>
      </c>
      <c r="C22" s="68">
        <v>8.1014099999999996</v>
      </c>
      <c r="D22" s="68">
        <v>1</v>
      </c>
      <c r="E22" s="68" t="s">
        <v>380</v>
      </c>
    </row>
    <row r="23" spans="1:5">
      <c r="A23" s="68">
        <v>0.307979</v>
      </c>
      <c r="B23" s="68">
        <v>0.34651799999999999</v>
      </c>
      <c r="C23" s="68">
        <v>8.5080899999999993</v>
      </c>
      <c r="D23" s="68">
        <v>1</v>
      </c>
      <c r="E23" s="68" t="s">
        <v>381</v>
      </c>
    </row>
    <row r="24" spans="1:5">
      <c r="A24" s="68">
        <v>0.30965799999999999</v>
      </c>
      <c r="B24" s="68">
        <v>0.34230699999999997</v>
      </c>
      <c r="C24" s="68">
        <v>8.9160000000000004</v>
      </c>
      <c r="D24" s="68">
        <v>1</v>
      </c>
      <c r="E24" s="68" t="s">
        <v>382</v>
      </c>
    </row>
    <row r="25" spans="1:5">
      <c r="A25" s="68">
        <v>0.31094899999999998</v>
      </c>
      <c r="B25" s="68">
        <v>0.33815499999999998</v>
      </c>
      <c r="C25" s="68">
        <v>9.3220299999999998</v>
      </c>
      <c r="D25" s="68">
        <v>1</v>
      </c>
      <c r="E25" s="68" t="s">
        <v>383</v>
      </c>
    </row>
    <row r="26" spans="1:5">
      <c r="A26" s="68">
        <v>0.31187500000000001</v>
      </c>
      <c r="B26" s="68">
        <v>0.33427400000000002</v>
      </c>
      <c r="C26" s="68">
        <v>9.7279300000000006</v>
      </c>
      <c r="D26" s="68">
        <v>1</v>
      </c>
      <c r="E26" s="68" t="s">
        <v>384</v>
      </c>
    </row>
    <row r="27" spans="1:5">
      <c r="A27" s="68">
        <v>0.31253399999999998</v>
      </c>
      <c r="B27" s="68">
        <v>0.330704</v>
      </c>
      <c r="C27" s="68">
        <v>10.1348</v>
      </c>
      <c r="D27" s="68">
        <v>1</v>
      </c>
      <c r="E27" s="68" t="s">
        <v>385</v>
      </c>
    </row>
    <row r="28" spans="1:5">
      <c r="A28" s="68">
        <v>0.31296400000000002</v>
      </c>
      <c r="B28" s="68">
        <v>0.327511</v>
      </c>
      <c r="C28" s="68">
        <v>10.540699999999999</v>
      </c>
      <c r="D28" s="68">
        <v>1</v>
      </c>
      <c r="E28" s="68" t="s">
        <v>386</v>
      </c>
    </row>
    <row r="29" spans="1:5">
      <c r="A29" s="68">
        <v>0.31320199999999998</v>
      </c>
      <c r="B29" s="68">
        <v>0.32427</v>
      </c>
      <c r="C29" s="68">
        <v>10.9466</v>
      </c>
      <c r="D29" s="68">
        <v>1</v>
      </c>
      <c r="E29" s="68" t="s">
        <v>387</v>
      </c>
    </row>
    <row r="30" spans="1:5">
      <c r="A30" s="68">
        <v>0.313166</v>
      </c>
      <c r="B30" s="68">
        <v>0.32151400000000002</v>
      </c>
      <c r="C30" s="68">
        <v>11.3535</v>
      </c>
      <c r="D30" s="68">
        <v>1</v>
      </c>
      <c r="E30" s="68" t="s">
        <v>388</v>
      </c>
    </row>
    <row r="31" spans="1:5">
      <c r="A31" s="68">
        <v>0.31288100000000002</v>
      </c>
      <c r="B31" s="68">
        <v>0.31845099999999998</v>
      </c>
      <c r="C31" s="68">
        <v>11.762499999999999</v>
      </c>
      <c r="D31" s="68">
        <v>1</v>
      </c>
      <c r="E31" s="68" t="s">
        <v>389</v>
      </c>
    </row>
    <row r="32" spans="1:5">
      <c r="A32" s="68">
        <v>0.31218800000000002</v>
      </c>
      <c r="B32" s="68">
        <v>0.31554100000000002</v>
      </c>
      <c r="C32" s="68">
        <v>12.1684</v>
      </c>
      <c r="D32" s="68">
        <v>1</v>
      </c>
      <c r="E32" s="68" t="s">
        <v>390</v>
      </c>
    </row>
    <row r="33" spans="1:5">
      <c r="A33" s="68">
        <v>0.31110700000000002</v>
      </c>
      <c r="B33" s="68">
        <v>0.31244100000000002</v>
      </c>
      <c r="C33" s="68">
        <v>12.573700000000001</v>
      </c>
      <c r="D33" s="68">
        <v>1</v>
      </c>
      <c r="E33" s="68" t="s">
        <v>391</v>
      </c>
    </row>
    <row r="34" spans="1:5">
      <c r="A34" s="68">
        <v>0.30970700000000001</v>
      </c>
      <c r="B34" s="68">
        <v>0.30931599999999998</v>
      </c>
      <c r="C34" s="68">
        <v>12.9793</v>
      </c>
      <c r="D34" s="68">
        <v>1</v>
      </c>
      <c r="E34" s="68" t="s">
        <v>392</v>
      </c>
    </row>
    <row r="35" spans="1:5">
      <c r="A35" s="68">
        <v>0.30822300000000002</v>
      </c>
      <c r="B35" s="68">
        <v>0.30635200000000001</v>
      </c>
      <c r="C35" s="68">
        <v>13.3842</v>
      </c>
      <c r="D35" s="68">
        <v>1</v>
      </c>
      <c r="E35" s="68" t="s">
        <v>393</v>
      </c>
    </row>
    <row r="36" spans="1:5">
      <c r="A36" s="68">
        <v>0.30664200000000003</v>
      </c>
      <c r="B36" s="68">
        <v>0.30379899999999999</v>
      </c>
      <c r="C36" s="68">
        <v>13.794</v>
      </c>
      <c r="D36" s="68">
        <v>1</v>
      </c>
      <c r="E36" s="68" t="s">
        <v>394</v>
      </c>
    </row>
    <row r="37" spans="1:5">
      <c r="A37" s="68">
        <v>0.30492999999999998</v>
      </c>
      <c r="B37" s="68">
        <v>0.30152099999999998</v>
      </c>
      <c r="C37" s="68">
        <v>14.198</v>
      </c>
      <c r="D37" s="68">
        <v>1</v>
      </c>
      <c r="E37" s="68" t="s">
        <v>395</v>
      </c>
    </row>
    <row r="38" spans="1:5">
      <c r="A38" s="68">
        <v>0.303143</v>
      </c>
      <c r="B38" s="68">
        <v>0.29945500000000003</v>
      </c>
      <c r="C38" s="68">
        <v>14.606</v>
      </c>
      <c r="D38" s="68">
        <v>1</v>
      </c>
      <c r="E38" s="68" t="s">
        <v>396</v>
      </c>
    </row>
    <row r="39" spans="1:5">
      <c r="A39" s="68">
        <v>0.30110999999999999</v>
      </c>
      <c r="B39" s="68">
        <v>0.29696400000000001</v>
      </c>
      <c r="C39" s="68">
        <v>15.008800000000001</v>
      </c>
      <c r="D39" s="68">
        <v>1</v>
      </c>
      <c r="E39" s="68" t="s">
        <v>397</v>
      </c>
    </row>
    <row r="40" spans="1:5">
      <c r="A40" s="68">
        <v>0.29875499999999999</v>
      </c>
      <c r="B40" s="68">
        <v>0.29458499999999999</v>
      </c>
      <c r="C40" s="68">
        <v>15.416700000000001</v>
      </c>
      <c r="D40" s="68">
        <v>1</v>
      </c>
      <c r="E40" s="68" t="s">
        <v>398</v>
      </c>
    </row>
    <row r="41" spans="1:5">
      <c r="A41" s="68">
        <v>0.29628500000000002</v>
      </c>
      <c r="B41" s="68">
        <v>0.29274</v>
      </c>
      <c r="C41" s="68">
        <v>15.823700000000001</v>
      </c>
      <c r="D41" s="68">
        <v>1</v>
      </c>
      <c r="E41" s="68" t="s">
        <v>399</v>
      </c>
    </row>
    <row r="42" spans="1:5">
      <c r="A42" s="68">
        <v>0.29386499999999999</v>
      </c>
      <c r="B42" s="68">
        <v>0.29200500000000001</v>
      </c>
      <c r="C42" s="68">
        <v>16.229500000000002</v>
      </c>
      <c r="D42" s="68">
        <v>1</v>
      </c>
      <c r="E42" s="68" t="s">
        <v>400</v>
      </c>
    </row>
    <row r="43" spans="1:5">
      <c r="A43" s="68">
        <v>0.29174699999999998</v>
      </c>
      <c r="B43" s="68">
        <v>0.29145500000000002</v>
      </c>
      <c r="C43" s="68">
        <v>16.635400000000001</v>
      </c>
      <c r="D43" s="68">
        <v>1</v>
      </c>
      <c r="E43" s="68" t="s">
        <v>401</v>
      </c>
    </row>
    <row r="44" spans="1:5">
      <c r="A44" s="68">
        <v>0.290242</v>
      </c>
      <c r="B44" s="68">
        <v>0.29078199999999998</v>
      </c>
      <c r="C44" s="68">
        <v>17.040299999999998</v>
      </c>
      <c r="D44" s="68">
        <v>1</v>
      </c>
      <c r="E44" s="68" t="s">
        <v>402</v>
      </c>
    </row>
    <row r="45" spans="1:5">
      <c r="A45" s="68">
        <v>0.28913100000000003</v>
      </c>
      <c r="B45" s="68">
        <v>0.29028599999999999</v>
      </c>
      <c r="C45" s="68">
        <v>17.4466</v>
      </c>
      <c r="D45" s="68">
        <v>1</v>
      </c>
      <c r="E45" s="68" t="s">
        <v>403</v>
      </c>
    </row>
    <row r="46" spans="1:5">
      <c r="A46" s="68">
        <v>0.28846100000000002</v>
      </c>
      <c r="B46" s="68">
        <v>0.28925499999999998</v>
      </c>
      <c r="C46" s="68">
        <v>17.8581</v>
      </c>
      <c r="D46" s="68">
        <v>1</v>
      </c>
      <c r="E46" s="68" t="s">
        <v>404</v>
      </c>
    </row>
    <row r="47" spans="1:5">
      <c r="A47" s="68">
        <v>0.28803800000000002</v>
      </c>
      <c r="B47" s="68">
        <v>0.28772300000000001</v>
      </c>
      <c r="C47" s="68">
        <v>18.2591</v>
      </c>
      <c r="D47" s="68">
        <v>1</v>
      </c>
      <c r="E47" s="68" t="s">
        <v>405</v>
      </c>
    </row>
    <row r="48" spans="1:5">
      <c r="A48" s="68">
        <v>0.28782999999999997</v>
      </c>
      <c r="B48" s="68">
        <v>0.285804</v>
      </c>
      <c r="C48" s="68">
        <v>18.666899999999998</v>
      </c>
      <c r="D48" s="68">
        <v>1</v>
      </c>
      <c r="E48" s="68" t="s">
        <v>406</v>
      </c>
    </row>
    <row r="49" spans="1:5">
      <c r="A49" s="68">
        <v>0.28774</v>
      </c>
      <c r="B49" s="68">
        <v>0.28395999999999999</v>
      </c>
      <c r="C49" s="68">
        <v>19.0731</v>
      </c>
      <c r="D49" s="68">
        <v>1</v>
      </c>
      <c r="E49" s="68" t="s">
        <v>407</v>
      </c>
    </row>
    <row r="50" spans="1:5">
      <c r="A50" s="68">
        <v>0.28774899999999998</v>
      </c>
      <c r="B50" s="68">
        <v>0.28186</v>
      </c>
      <c r="C50" s="68">
        <v>19.478999999999999</v>
      </c>
      <c r="D50" s="68">
        <v>1</v>
      </c>
      <c r="E50" s="68" t="s">
        <v>408</v>
      </c>
    </row>
    <row r="51" spans="1:5">
      <c r="A51" s="68">
        <v>0.28783300000000001</v>
      </c>
      <c r="B51" s="68">
        <v>0.27977299999999999</v>
      </c>
      <c r="C51" s="68">
        <v>19.8857</v>
      </c>
      <c r="D51" s="68">
        <v>1</v>
      </c>
      <c r="E51" s="68" t="s">
        <v>409</v>
      </c>
    </row>
    <row r="52" spans="1:5">
      <c r="A52" s="68">
        <v>0.28766999999999998</v>
      </c>
      <c r="B52" s="68">
        <v>0.27799299999999999</v>
      </c>
      <c r="C52" s="68">
        <v>20.291599999999999</v>
      </c>
      <c r="D52" s="68">
        <v>1</v>
      </c>
      <c r="E52" s="68" t="s">
        <v>410</v>
      </c>
    </row>
    <row r="53" spans="1:5">
      <c r="A53" s="68">
        <v>0.28783799999999998</v>
      </c>
      <c r="B53" s="68">
        <v>0.27590500000000001</v>
      </c>
      <c r="C53" s="68">
        <v>20.697600000000001</v>
      </c>
      <c r="D53" s="68">
        <v>1</v>
      </c>
      <c r="E53" s="68" t="s">
        <v>411</v>
      </c>
    </row>
    <row r="54" spans="1:5">
      <c r="A54" s="68">
        <v>0.28800799999999999</v>
      </c>
      <c r="B54" s="68">
        <v>0.27385199999999998</v>
      </c>
      <c r="C54" s="68">
        <v>21.102499999999999</v>
      </c>
      <c r="D54" s="68">
        <v>1</v>
      </c>
      <c r="E54" s="68" t="s">
        <v>412</v>
      </c>
    </row>
    <row r="55" spans="1:5">
      <c r="A55" s="68">
        <v>0.28831899999999999</v>
      </c>
      <c r="B55" s="68">
        <v>0.27168599999999998</v>
      </c>
      <c r="C55" s="68">
        <v>21.508400000000002</v>
      </c>
      <c r="D55" s="68">
        <v>1</v>
      </c>
      <c r="E55" s="68" t="s">
        <v>413</v>
      </c>
    </row>
    <row r="56" spans="1:5">
      <c r="A56" s="68">
        <v>0.289078</v>
      </c>
      <c r="B56" s="68">
        <v>0.26961299999999999</v>
      </c>
      <c r="C56" s="68">
        <v>21.9192</v>
      </c>
      <c r="D56" s="68">
        <v>1</v>
      </c>
      <c r="E56" s="68" t="s">
        <v>414</v>
      </c>
    </row>
    <row r="57" spans="1:5">
      <c r="A57" s="68">
        <v>0.28984100000000002</v>
      </c>
      <c r="B57" s="68">
        <v>0.26832400000000001</v>
      </c>
      <c r="C57" s="68">
        <v>22.324200000000001</v>
      </c>
      <c r="D57" s="68">
        <v>1</v>
      </c>
      <c r="E57" s="68" t="s">
        <v>415</v>
      </c>
    </row>
    <row r="58" spans="1:5">
      <c r="A58" s="68">
        <v>0.29090899999999997</v>
      </c>
      <c r="B58" s="68">
        <v>0.26733800000000002</v>
      </c>
      <c r="C58" s="68">
        <v>22.728100000000001</v>
      </c>
      <c r="D58" s="68">
        <v>1</v>
      </c>
      <c r="E58" s="68" t="s">
        <v>416</v>
      </c>
    </row>
    <row r="59" spans="1:5">
      <c r="A59" s="68">
        <v>0.292186</v>
      </c>
      <c r="B59" s="68">
        <v>0.26663300000000001</v>
      </c>
      <c r="C59" s="68">
        <v>23.132100000000001</v>
      </c>
      <c r="D59" s="68">
        <v>1</v>
      </c>
      <c r="E59" s="68" t="s">
        <v>417</v>
      </c>
    </row>
    <row r="60" spans="1:5">
      <c r="A60" s="68">
        <v>0.29343799999999998</v>
      </c>
      <c r="B60" s="68">
        <v>0.26633499999999999</v>
      </c>
      <c r="C60" s="68">
        <v>23.539300000000001</v>
      </c>
      <c r="D60" s="68">
        <v>1</v>
      </c>
      <c r="E60" s="68" t="s">
        <v>418</v>
      </c>
    </row>
    <row r="61" spans="1:5">
      <c r="A61" s="68">
        <v>0.29468899999999998</v>
      </c>
      <c r="B61" s="68">
        <v>0.26621099999999998</v>
      </c>
      <c r="C61" s="68">
        <v>23.945799999999998</v>
      </c>
      <c r="D61" s="68">
        <v>1</v>
      </c>
      <c r="E61" s="68" t="s">
        <v>419</v>
      </c>
    </row>
    <row r="62" spans="1:5">
      <c r="A62" s="68">
        <v>0.29604999999999998</v>
      </c>
      <c r="B62" s="68">
        <v>0.26605200000000001</v>
      </c>
      <c r="C62" s="68">
        <v>24.3584</v>
      </c>
      <c r="D62" s="68">
        <v>1</v>
      </c>
      <c r="E62" s="68" t="s">
        <v>420</v>
      </c>
    </row>
    <row r="63" spans="1:5">
      <c r="A63" s="68">
        <v>0.29763000000000001</v>
      </c>
      <c r="B63" s="68">
        <v>0.265538</v>
      </c>
      <c r="C63" s="68">
        <v>24.7636</v>
      </c>
      <c r="D63" s="68">
        <v>1</v>
      </c>
      <c r="E63" s="68" t="s">
        <v>421</v>
      </c>
    </row>
    <row r="64" spans="1:5">
      <c r="A64" s="68">
        <v>0.29938900000000002</v>
      </c>
      <c r="B64" s="68">
        <v>0.26580300000000001</v>
      </c>
      <c r="C64" s="68">
        <v>25.165600000000001</v>
      </c>
      <c r="D64" s="68">
        <v>1</v>
      </c>
      <c r="E64" s="68" t="s">
        <v>422</v>
      </c>
    </row>
    <row r="65" spans="1:5">
      <c r="A65" s="68">
        <v>0.30174400000000001</v>
      </c>
      <c r="B65" s="68">
        <v>0.26611099999999999</v>
      </c>
      <c r="C65" s="68">
        <v>25.5718</v>
      </c>
      <c r="D65" s="68">
        <v>1</v>
      </c>
      <c r="E65" s="68" t="s">
        <v>423</v>
      </c>
    </row>
    <row r="66" spans="1:5">
      <c r="A66" s="68">
        <v>0.30420799999999998</v>
      </c>
      <c r="B66" s="68">
        <v>0.26691999999999999</v>
      </c>
      <c r="C66" s="68">
        <v>25.979399999999998</v>
      </c>
      <c r="D66" s="68">
        <v>1</v>
      </c>
      <c r="E66" s="68" t="s">
        <v>424</v>
      </c>
    </row>
    <row r="67" spans="1:5">
      <c r="A67" s="68">
        <v>0.30619400000000002</v>
      </c>
      <c r="B67" s="68">
        <v>0.26796199999999998</v>
      </c>
      <c r="C67" s="68">
        <v>26.386299999999999</v>
      </c>
      <c r="D67" s="68">
        <v>1</v>
      </c>
      <c r="E67" s="68" t="s">
        <v>425</v>
      </c>
    </row>
    <row r="68" spans="1:5">
      <c r="A68" s="68">
        <v>0.30789800000000001</v>
      </c>
      <c r="B68" s="68">
        <v>0.26847199999999999</v>
      </c>
      <c r="C68" s="68">
        <v>26.793199999999999</v>
      </c>
      <c r="D68" s="68">
        <v>1</v>
      </c>
      <c r="E68" s="68" t="s">
        <v>426</v>
      </c>
    </row>
    <row r="69" spans="1:5">
      <c r="A69" s="68">
        <v>0.30942399999999998</v>
      </c>
      <c r="B69" s="68">
        <v>0.26850600000000002</v>
      </c>
      <c r="C69" s="68">
        <v>27.1951</v>
      </c>
      <c r="D69" s="68">
        <v>1</v>
      </c>
      <c r="E69" s="68" t="s">
        <v>427</v>
      </c>
    </row>
    <row r="70" spans="1:5">
      <c r="A70" s="68">
        <v>0.310587</v>
      </c>
      <c r="B70" s="68">
        <v>0.26909100000000002</v>
      </c>
      <c r="C70" s="68">
        <v>27.604299999999999</v>
      </c>
      <c r="D70" s="68">
        <v>1</v>
      </c>
      <c r="E70" s="68" t="s">
        <v>428</v>
      </c>
    </row>
    <row r="71" spans="1:5">
      <c r="A71" s="68">
        <v>0.31141600000000003</v>
      </c>
      <c r="B71" s="68">
        <v>0.27005699999999999</v>
      </c>
      <c r="C71" s="68">
        <v>28.01</v>
      </c>
      <c r="D71" s="68">
        <v>1</v>
      </c>
      <c r="E71" s="68" t="s">
        <v>429</v>
      </c>
    </row>
    <row r="72" spans="1:5">
      <c r="A72" s="68">
        <v>0.31186399999999997</v>
      </c>
      <c r="B72" s="68">
        <v>0.271505</v>
      </c>
      <c r="C72" s="68">
        <v>28.416799999999999</v>
      </c>
      <c r="D72" s="68">
        <v>1</v>
      </c>
      <c r="E72" s="68" t="s">
        <v>430</v>
      </c>
    </row>
    <row r="73" spans="1:5">
      <c r="A73" s="68">
        <v>0.31229899999999999</v>
      </c>
      <c r="B73" s="68">
        <v>0.27256200000000003</v>
      </c>
      <c r="C73" s="68">
        <v>28.823</v>
      </c>
      <c r="D73" s="68">
        <v>1</v>
      </c>
      <c r="E73" s="68" t="s">
        <v>431</v>
      </c>
    </row>
    <row r="74" spans="1:5">
      <c r="A74" s="68">
        <v>0.312525</v>
      </c>
      <c r="B74" s="68">
        <v>0.27398</v>
      </c>
      <c r="C74" s="68">
        <v>29.229700000000001</v>
      </c>
      <c r="D74" s="68">
        <v>1</v>
      </c>
      <c r="E74" s="68" t="s">
        <v>432</v>
      </c>
    </row>
    <row r="75" spans="1:5">
      <c r="A75" s="68">
        <v>0.312525</v>
      </c>
      <c r="B75" s="68">
        <v>0.27594200000000002</v>
      </c>
      <c r="C75" s="68">
        <v>29.633600000000001</v>
      </c>
      <c r="D75" s="68">
        <v>1</v>
      </c>
      <c r="E75" s="68" t="s">
        <v>433</v>
      </c>
    </row>
    <row r="76" spans="1:5">
      <c r="A76" s="68">
        <v>0.31227899999999997</v>
      </c>
      <c r="B76" s="68">
        <v>0.278061</v>
      </c>
      <c r="C76" s="68">
        <v>30.044599999999999</v>
      </c>
      <c r="D76" s="68">
        <v>1</v>
      </c>
      <c r="E76" s="68" t="s">
        <v>434</v>
      </c>
    </row>
    <row r="77" spans="1:5">
      <c r="A77" s="68">
        <v>0.31145</v>
      </c>
      <c r="B77" s="68">
        <v>0.28091899999999997</v>
      </c>
      <c r="C77" s="68">
        <v>30.638500000000001</v>
      </c>
      <c r="D77" s="68">
        <v>2</v>
      </c>
      <c r="E77" s="68" t="s">
        <v>435</v>
      </c>
    </row>
    <row r="78" spans="1:5">
      <c r="A78" s="68">
        <v>0.31079600000000002</v>
      </c>
      <c r="B78" s="68">
        <v>0.28314099999999998</v>
      </c>
      <c r="C78" s="68">
        <v>31.01</v>
      </c>
      <c r="D78" s="68">
        <v>2</v>
      </c>
      <c r="E78" s="68" t="s">
        <v>436</v>
      </c>
    </row>
    <row r="79" spans="1:5">
      <c r="A79" s="68">
        <v>0.310004</v>
      </c>
      <c r="B79" s="68">
        <v>0.285578</v>
      </c>
      <c r="C79" s="68">
        <v>31.384899999999998</v>
      </c>
      <c r="D79" s="68">
        <v>2</v>
      </c>
      <c r="E79" s="68" t="s">
        <v>437</v>
      </c>
    </row>
    <row r="80" spans="1:5">
      <c r="A80" s="68">
        <v>0.30876999999999999</v>
      </c>
      <c r="B80" s="68">
        <v>0.28812500000000002</v>
      </c>
      <c r="C80" s="68">
        <v>31.757200000000001</v>
      </c>
      <c r="D80" s="68">
        <v>2</v>
      </c>
      <c r="E80" s="68" t="s">
        <v>438</v>
      </c>
    </row>
    <row r="81" spans="1:5">
      <c r="A81" s="68">
        <v>0.307226</v>
      </c>
      <c r="B81" s="68">
        <v>0.29081000000000001</v>
      </c>
      <c r="C81" s="68">
        <v>32.133899999999997</v>
      </c>
      <c r="D81" s="68">
        <v>2</v>
      </c>
      <c r="E81" s="68" t="s">
        <v>439</v>
      </c>
    </row>
    <row r="82" spans="1:5">
      <c r="A82" s="68">
        <v>0.30563699999999999</v>
      </c>
      <c r="B82" s="68">
        <v>0.29367700000000002</v>
      </c>
      <c r="C82" s="68">
        <v>32.542900000000003</v>
      </c>
      <c r="D82" s="68">
        <v>2</v>
      </c>
      <c r="E82" s="68" t="s">
        <v>440</v>
      </c>
    </row>
    <row r="83" spans="1:5">
      <c r="A83" s="68">
        <v>0.303647</v>
      </c>
      <c r="B83" s="68">
        <v>0.29697299999999999</v>
      </c>
      <c r="C83" s="68">
        <v>32.948099999999997</v>
      </c>
      <c r="D83" s="68">
        <v>2</v>
      </c>
      <c r="E83" s="68" t="s">
        <v>441</v>
      </c>
    </row>
    <row r="84" spans="1:5">
      <c r="A84" s="68">
        <v>0.30152600000000002</v>
      </c>
      <c r="B84" s="68">
        <v>0.300682</v>
      </c>
      <c r="C84" s="68">
        <v>33.352699999999999</v>
      </c>
      <c r="D84" s="68">
        <v>2</v>
      </c>
      <c r="E84" s="68" t="s">
        <v>442</v>
      </c>
    </row>
    <row r="85" spans="1:5">
      <c r="A85" s="68">
        <v>0.29940600000000001</v>
      </c>
      <c r="B85" s="68">
        <v>0.30429600000000001</v>
      </c>
      <c r="C85" s="68">
        <v>33.760599999999997</v>
      </c>
      <c r="D85" s="68">
        <v>2</v>
      </c>
      <c r="E85" s="68" t="s">
        <v>443</v>
      </c>
    </row>
    <row r="86" spans="1:5">
      <c r="A86" s="68">
        <v>0.29723699999999997</v>
      </c>
      <c r="B86" s="68">
        <v>0.30819299999999999</v>
      </c>
      <c r="C86" s="68">
        <v>34.1676</v>
      </c>
      <c r="D86" s="68">
        <v>2</v>
      </c>
      <c r="E86" s="68" t="s">
        <v>444</v>
      </c>
    </row>
    <row r="87" spans="1:5">
      <c r="A87" s="68">
        <v>0.29473700000000003</v>
      </c>
      <c r="B87" s="68">
        <v>0.31248100000000001</v>
      </c>
      <c r="C87" s="68">
        <v>34.5715</v>
      </c>
      <c r="D87" s="68">
        <v>2</v>
      </c>
      <c r="E87" s="68" t="s">
        <v>445</v>
      </c>
    </row>
    <row r="88" spans="1:5">
      <c r="A88" s="68">
        <v>0.29192699999999999</v>
      </c>
      <c r="B88" s="68">
        <v>0.31769199999999997</v>
      </c>
      <c r="C88" s="68">
        <v>34.977499999999999</v>
      </c>
      <c r="D88" s="68">
        <v>2</v>
      </c>
      <c r="E88" s="68" t="s">
        <v>446</v>
      </c>
    </row>
    <row r="89" spans="1:5">
      <c r="A89" s="68">
        <v>0.28870299999999999</v>
      </c>
      <c r="B89" s="68">
        <v>0.32440400000000003</v>
      </c>
      <c r="C89" s="68">
        <v>35.388300000000001</v>
      </c>
      <c r="D89" s="68">
        <v>2</v>
      </c>
      <c r="E89" s="68" t="s">
        <v>447</v>
      </c>
    </row>
    <row r="90" spans="1:5">
      <c r="A90" s="68">
        <v>0.28490700000000002</v>
      </c>
      <c r="B90" s="68">
        <v>0.332737</v>
      </c>
      <c r="C90" s="68">
        <v>35.795299999999997</v>
      </c>
      <c r="D90" s="68">
        <v>2</v>
      </c>
      <c r="E90" s="68" t="s">
        <v>448</v>
      </c>
    </row>
    <row r="91" spans="1:5">
      <c r="A91" s="68">
        <v>0.28120899999999999</v>
      </c>
      <c r="B91" s="68">
        <v>0.34184999999999999</v>
      </c>
      <c r="C91" s="68">
        <v>36.197099999999999</v>
      </c>
      <c r="D91" s="68">
        <v>2</v>
      </c>
      <c r="E91" s="68" t="s">
        <v>449</v>
      </c>
    </row>
    <row r="92" spans="1:5">
      <c r="A92" s="68">
        <v>0.27794999999999997</v>
      </c>
      <c r="B92" s="68">
        <v>0.35069400000000001</v>
      </c>
      <c r="C92" s="68">
        <v>36.604999999999997</v>
      </c>
      <c r="D92" s="68">
        <v>2</v>
      </c>
      <c r="E92" s="68" t="s">
        <v>450</v>
      </c>
    </row>
    <row r="93" spans="1:5">
      <c r="A93" s="68">
        <v>0.27491199999999999</v>
      </c>
      <c r="B93" s="68">
        <v>0.36054700000000001</v>
      </c>
      <c r="C93" s="68">
        <v>37.007300000000001</v>
      </c>
      <c r="D93" s="68">
        <v>2</v>
      </c>
      <c r="E93" s="68" t="s">
        <v>451</v>
      </c>
    </row>
    <row r="94" spans="1:5">
      <c r="A94" s="68">
        <v>0.27210499999999999</v>
      </c>
      <c r="B94" s="68">
        <v>0.36968099999999998</v>
      </c>
      <c r="C94" s="68">
        <v>37.414900000000003</v>
      </c>
      <c r="D94" s="68">
        <v>2</v>
      </c>
      <c r="E94" s="68" t="s">
        <v>452</v>
      </c>
    </row>
    <row r="95" spans="1:5">
      <c r="A95" s="68">
        <v>0.26990999999999998</v>
      </c>
      <c r="B95" s="68">
        <v>0.37755300000000003</v>
      </c>
      <c r="C95" s="68">
        <v>37.826700000000002</v>
      </c>
      <c r="D95" s="68">
        <v>2</v>
      </c>
      <c r="E95" s="68" t="s">
        <v>453</v>
      </c>
    </row>
    <row r="96" spans="1:5">
      <c r="A96" s="68">
        <v>0.26802300000000001</v>
      </c>
      <c r="B96" s="68">
        <v>0.38520399999999999</v>
      </c>
      <c r="C96" s="68">
        <v>38.230699999999999</v>
      </c>
      <c r="D96" s="68">
        <v>2</v>
      </c>
      <c r="E96" s="68" t="s">
        <v>454</v>
      </c>
    </row>
    <row r="97" spans="1:5">
      <c r="A97" s="68">
        <v>0.26600200000000002</v>
      </c>
      <c r="B97" s="68">
        <v>0.39297799999999999</v>
      </c>
      <c r="C97" s="68">
        <v>38.635599999999997</v>
      </c>
      <c r="D97" s="68">
        <v>2</v>
      </c>
      <c r="E97" s="68" t="s">
        <v>455</v>
      </c>
    </row>
    <row r="98" spans="1:5">
      <c r="A98" s="68">
        <v>0.26418700000000001</v>
      </c>
      <c r="B98" s="68">
        <v>0.40024300000000002</v>
      </c>
      <c r="C98" s="68">
        <v>39.0398</v>
      </c>
      <c r="D98" s="68">
        <v>2</v>
      </c>
      <c r="E98" s="68" t="s">
        <v>456</v>
      </c>
    </row>
    <row r="99" spans="1:5">
      <c r="A99" s="68">
        <v>0.26247599999999999</v>
      </c>
      <c r="B99" s="68">
        <v>0.40719699999999998</v>
      </c>
      <c r="C99" s="68">
        <v>39.444499999999998</v>
      </c>
      <c r="D99" s="68">
        <v>2</v>
      </c>
      <c r="E99" s="68" t="s">
        <v>457</v>
      </c>
    </row>
    <row r="100" spans="1:5">
      <c r="A100" s="68">
        <v>0.261133</v>
      </c>
      <c r="B100" s="68">
        <v>0.41373700000000002</v>
      </c>
      <c r="C100" s="68">
        <v>39.8553</v>
      </c>
      <c r="D100" s="68">
        <v>2</v>
      </c>
      <c r="E100" s="68" t="s">
        <v>458</v>
      </c>
    </row>
    <row r="101" spans="1:5">
      <c r="A101" s="68">
        <v>0.26015899999999997</v>
      </c>
      <c r="B101" s="68">
        <v>0.419817</v>
      </c>
      <c r="C101" s="68">
        <v>40.262300000000003</v>
      </c>
      <c r="D101" s="68">
        <v>2</v>
      </c>
      <c r="E101" s="68" t="s">
        <v>459</v>
      </c>
    </row>
    <row r="102" spans="1:5">
      <c r="A102" s="68">
        <v>0.25942500000000002</v>
      </c>
      <c r="B102" s="68">
        <v>0.42566799999999999</v>
      </c>
      <c r="C102" s="68">
        <v>40.667200000000001</v>
      </c>
      <c r="D102" s="68">
        <v>2</v>
      </c>
      <c r="E102" s="68" t="s">
        <v>460</v>
      </c>
    </row>
    <row r="103" spans="1:5">
      <c r="A103" s="68">
        <v>0.25889000000000001</v>
      </c>
      <c r="B103" s="68">
        <v>0.43096800000000002</v>
      </c>
      <c r="C103" s="68">
        <v>41.07</v>
      </c>
      <c r="D103" s="68">
        <v>2</v>
      </c>
      <c r="E103" s="68" t="s">
        <v>461</v>
      </c>
    </row>
    <row r="104" spans="1:5">
      <c r="A104" s="68">
        <v>0.258413</v>
      </c>
      <c r="B104" s="68">
        <v>0.43590699999999999</v>
      </c>
      <c r="C104" s="68">
        <v>41.4788</v>
      </c>
      <c r="D104" s="68">
        <v>2</v>
      </c>
      <c r="E104" s="68" t="s">
        <v>462</v>
      </c>
    </row>
    <row r="105" spans="1:5">
      <c r="A105" s="68">
        <v>0.25801800000000003</v>
      </c>
      <c r="B105" s="68">
        <v>0.440247</v>
      </c>
      <c r="C105" s="68">
        <v>41.885899999999999</v>
      </c>
      <c r="D105" s="68">
        <v>2</v>
      </c>
      <c r="E105" s="68" t="s">
        <v>463</v>
      </c>
    </row>
    <row r="106" spans="1:5">
      <c r="A106" s="68">
        <v>0.25780799999999998</v>
      </c>
      <c r="B106" s="68">
        <v>0.44420199999999999</v>
      </c>
      <c r="C106" s="68">
        <v>42.294800000000002</v>
      </c>
      <c r="D106" s="68">
        <v>2</v>
      </c>
      <c r="E106" s="68" t="s">
        <v>464</v>
      </c>
    </row>
    <row r="107" spans="1:5">
      <c r="A107" s="68">
        <v>0.25775399999999998</v>
      </c>
      <c r="B107" s="68">
        <v>0.447432</v>
      </c>
      <c r="C107" s="68">
        <v>42.698700000000002</v>
      </c>
      <c r="D107" s="68">
        <v>2</v>
      </c>
      <c r="E107" s="68" t="s">
        <v>465</v>
      </c>
    </row>
    <row r="108" spans="1:5">
      <c r="A108" s="68">
        <v>0.25809100000000001</v>
      </c>
      <c r="B108" s="68">
        <v>0.44992199999999999</v>
      </c>
      <c r="C108" s="68">
        <v>43.102600000000002</v>
      </c>
      <c r="D108" s="68">
        <v>2</v>
      </c>
      <c r="E108" s="68" t="s">
        <v>466</v>
      </c>
    </row>
    <row r="109" spans="1:5">
      <c r="A109" s="68">
        <v>0.25867000000000001</v>
      </c>
      <c r="B109" s="68">
        <v>0.451098</v>
      </c>
      <c r="C109" s="68">
        <v>43.508899999999997</v>
      </c>
      <c r="D109" s="68">
        <v>2</v>
      </c>
      <c r="E109" s="68" t="s">
        <v>467</v>
      </c>
    </row>
    <row r="110" spans="1:5">
      <c r="A110" s="68">
        <v>0.25957000000000002</v>
      </c>
      <c r="B110" s="68">
        <v>0.45141399999999998</v>
      </c>
      <c r="C110" s="68">
        <v>43.915399999999998</v>
      </c>
      <c r="D110" s="68">
        <v>2</v>
      </c>
      <c r="E110" s="68" t="s">
        <v>468</v>
      </c>
    </row>
    <row r="111" spans="1:5">
      <c r="A111" s="68">
        <v>0.26053700000000002</v>
      </c>
      <c r="B111" s="68">
        <v>0.45133099999999998</v>
      </c>
      <c r="C111" s="68">
        <v>44.324399999999997</v>
      </c>
      <c r="D111" s="68">
        <v>2</v>
      </c>
      <c r="E111" s="68" t="s">
        <v>469</v>
      </c>
    </row>
    <row r="112" spans="1:5">
      <c r="A112" s="68">
        <v>0.26163599999999998</v>
      </c>
      <c r="B112" s="68">
        <v>0.45077899999999999</v>
      </c>
      <c r="C112" s="68">
        <v>44.730200000000004</v>
      </c>
      <c r="D112" s="68">
        <v>2</v>
      </c>
      <c r="E112" s="68" t="s">
        <v>470</v>
      </c>
    </row>
    <row r="113" spans="1:5">
      <c r="A113" s="68">
        <v>0.26281700000000002</v>
      </c>
      <c r="B113" s="68">
        <v>0.44951799999999997</v>
      </c>
      <c r="C113" s="68">
        <v>45.136200000000002</v>
      </c>
      <c r="D113" s="68">
        <v>2</v>
      </c>
      <c r="E113" s="68" t="s">
        <v>471</v>
      </c>
    </row>
    <row r="114" spans="1:5">
      <c r="A114" s="68">
        <v>0.26374700000000001</v>
      </c>
      <c r="B114" s="68">
        <v>0.44755499999999998</v>
      </c>
      <c r="C114" s="68">
        <v>45.5381</v>
      </c>
      <c r="D114" s="68">
        <v>2</v>
      </c>
      <c r="E114" s="68" t="s">
        <v>472</v>
      </c>
    </row>
    <row r="115" spans="1:5">
      <c r="A115" s="68">
        <v>0.26467600000000002</v>
      </c>
      <c r="B115" s="68">
        <v>0.44533600000000001</v>
      </c>
      <c r="C115" s="68">
        <v>45.948099999999997</v>
      </c>
      <c r="D115" s="68">
        <v>2</v>
      </c>
      <c r="E115" s="68" t="s">
        <v>473</v>
      </c>
    </row>
    <row r="116" spans="1:5">
      <c r="A116" s="68">
        <v>0.26554</v>
      </c>
      <c r="B116" s="68">
        <v>0.443079</v>
      </c>
      <c r="C116" s="68">
        <v>46.353999999999999</v>
      </c>
      <c r="D116" s="68">
        <v>2</v>
      </c>
      <c r="E116" s="68" t="s">
        <v>474</v>
      </c>
    </row>
    <row r="117" spans="1:5">
      <c r="A117" s="68">
        <v>0.26633600000000002</v>
      </c>
      <c r="B117" s="68">
        <v>0.44176500000000002</v>
      </c>
      <c r="C117" s="68">
        <v>46.762799999999999</v>
      </c>
      <c r="D117" s="68">
        <v>2</v>
      </c>
      <c r="E117" s="68" t="s">
        <v>475</v>
      </c>
    </row>
    <row r="118" spans="1:5">
      <c r="A118" s="68">
        <v>0.26684600000000003</v>
      </c>
      <c r="B118" s="68">
        <v>0.44081599999999999</v>
      </c>
      <c r="C118" s="68">
        <v>47.163699999999999</v>
      </c>
      <c r="D118" s="68">
        <v>2</v>
      </c>
      <c r="E118" s="68" t="s">
        <v>476</v>
      </c>
    </row>
    <row r="119" spans="1:5">
      <c r="A119" s="68">
        <v>0.26728299999999999</v>
      </c>
      <c r="B119" s="68">
        <v>0.44016100000000002</v>
      </c>
      <c r="C119" s="68">
        <v>47.575099999999999</v>
      </c>
      <c r="D119" s="68">
        <v>2</v>
      </c>
      <c r="E119" s="68" t="s">
        <v>477</v>
      </c>
    </row>
    <row r="120" spans="1:5">
      <c r="A120" s="68">
        <v>0.26764700000000002</v>
      </c>
      <c r="B120" s="68">
        <v>0.439641</v>
      </c>
      <c r="C120" s="68">
        <v>47.975700000000003</v>
      </c>
      <c r="D120" s="68">
        <v>2</v>
      </c>
      <c r="E120" s="68" t="s">
        <v>478</v>
      </c>
    </row>
    <row r="121" spans="1:5">
      <c r="A121" s="68">
        <v>0.26791199999999998</v>
      </c>
      <c r="B121" s="68">
        <v>0.43894899999999998</v>
      </c>
      <c r="C121" s="68">
        <v>48.386499999999998</v>
      </c>
      <c r="D121" s="68">
        <v>2</v>
      </c>
      <c r="E121" s="68" t="s">
        <v>479</v>
      </c>
    </row>
    <row r="122" spans="1:5">
      <c r="A122" s="68">
        <v>0.26796999999999999</v>
      </c>
      <c r="B122" s="68">
        <v>0.43833899999999998</v>
      </c>
      <c r="C122" s="68">
        <v>48.792400000000001</v>
      </c>
      <c r="D122" s="68">
        <v>2</v>
      </c>
      <c r="E122" s="68" t="s">
        <v>480</v>
      </c>
    </row>
    <row r="123" spans="1:5">
      <c r="A123" s="68">
        <v>0.26819799999999999</v>
      </c>
      <c r="B123" s="68">
        <v>0.438475</v>
      </c>
      <c r="C123" s="68">
        <v>49.197499999999998</v>
      </c>
      <c r="D123" s="68">
        <v>2</v>
      </c>
      <c r="E123" s="68" t="s">
        <v>481</v>
      </c>
    </row>
    <row r="124" spans="1:5">
      <c r="A124" s="68">
        <v>0.26879399999999998</v>
      </c>
      <c r="B124" s="68">
        <v>0.43888899999999997</v>
      </c>
      <c r="C124" s="68">
        <v>49.603499999999997</v>
      </c>
      <c r="D124" s="68">
        <v>2</v>
      </c>
      <c r="E124" s="68" t="s">
        <v>482</v>
      </c>
    </row>
    <row r="125" spans="1:5">
      <c r="A125" s="68">
        <v>0.269451</v>
      </c>
      <c r="B125" s="68">
        <v>0.43898599999999999</v>
      </c>
      <c r="C125" s="68">
        <v>50.0122</v>
      </c>
      <c r="D125" s="68">
        <v>2</v>
      </c>
      <c r="E125" s="68" t="s">
        <v>483</v>
      </c>
    </row>
    <row r="126" spans="1:5">
      <c r="A126" s="68">
        <v>0.26982</v>
      </c>
      <c r="B126" s="68">
        <v>0.43869799999999998</v>
      </c>
      <c r="C126" s="68">
        <v>50.414400000000001</v>
      </c>
      <c r="D126" s="68">
        <v>2</v>
      </c>
      <c r="E126" s="68" t="s">
        <v>484</v>
      </c>
    </row>
    <row r="127" spans="1:5">
      <c r="A127" s="68">
        <v>0.26986100000000002</v>
      </c>
      <c r="B127" s="68">
        <v>0.43782599999999999</v>
      </c>
      <c r="C127" s="68">
        <v>50.821899999999999</v>
      </c>
      <c r="D127" s="68">
        <v>2</v>
      </c>
      <c r="E127" s="68" t="s">
        <v>485</v>
      </c>
    </row>
    <row r="128" spans="1:5">
      <c r="A128" s="68">
        <v>0.26992899999999997</v>
      </c>
      <c r="B128" s="68">
        <v>0.43655300000000002</v>
      </c>
      <c r="C128" s="68">
        <v>51.226999999999997</v>
      </c>
      <c r="D128" s="68">
        <v>2</v>
      </c>
      <c r="E128" s="68" t="s">
        <v>486</v>
      </c>
    </row>
    <row r="129" spans="1:5">
      <c r="A129" s="68">
        <v>0.270036</v>
      </c>
      <c r="B129" s="68">
        <v>0.43528099999999997</v>
      </c>
      <c r="C129" s="68">
        <v>51.635100000000001</v>
      </c>
      <c r="D129" s="68">
        <v>2</v>
      </c>
      <c r="E129" s="68" t="s">
        <v>487</v>
      </c>
    </row>
    <row r="130" spans="1:5">
      <c r="A130" s="68">
        <v>0.27027800000000002</v>
      </c>
      <c r="B130" s="68">
        <v>0.43406</v>
      </c>
      <c r="C130" s="68">
        <v>52.041699999999999</v>
      </c>
      <c r="D130" s="68">
        <v>2</v>
      </c>
      <c r="E130" s="68" t="s">
        <v>488</v>
      </c>
    </row>
    <row r="131" spans="1:5">
      <c r="A131" s="68">
        <v>0.27060299999999998</v>
      </c>
      <c r="B131" s="68">
        <v>0.43233300000000002</v>
      </c>
      <c r="C131" s="68">
        <v>52.449599999999997</v>
      </c>
      <c r="D131" s="68">
        <v>2</v>
      </c>
      <c r="E131" s="68" t="s">
        <v>489</v>
      </c>
    </row>
    <row r="132" spans="1:5">
      <c r="A132" s="68">
        <v>0.270924</v>
      </c>
      <c r="B132" s="68">
        <v>0.43044700000000002</v>
      </c>
      <c r="C132" s="68">
        <v>52.857700000000001</v>
      </c>
      <c r="D132" s="68">
        <v>2</v>
      </c>
      <c r="E132" s="68" t="s">
        <v>490</v>
      </c>
    </row>
    <row r="133" spans="1:5">
      <c r="A133" s="68">
        <v>0.27108700000000002</v>
      </c>
      <c r="B133" s="68">
        <v>0.42823699999999998</v>
      </c>
      <c r="C133" s="68">
        <v>53.261400000000002</v>
      </c>
      <c r="D133" s="68">
        <v>2</v>
      </c>
      <c r="E133" s="68" t="s">
        <v>491</v>
      </c>
    </row>
    <row r="134" spans="1:5">
      <c r="A134" s="68">
        <v>0.27110299999999998</v>
      </c>
      <c r="B134" s="68">
        <v>0.42655399999999999</v>
      </c>
      <c r="C134" s="68">
        <v>53.664299999999997</v>
      </c>
      <c r="D134" s="68">
        <v>2</v>
      </c>
      <c r="E134" s="68" t="s">
        <v>492</v>
      </c>
    </row>
    <row r="135" spans="1:5">
      <c r="A135" s="68">
        <v>0.27069399999999999</v>
      </c>
      <c r="B135" s="68">
        <v>0.42562800000000001</v>
      </c>
      <c r="C135" s="68">
        <v>54.075499999999998</v>
      </c>
      <c r="D135" s="68">
        <v>2</v>
      </c>
      <c r="E135" s="68" t="s">
        <v>493</v>
      </c>
    </row>
    <row r="136" spans="1:5">
      <c r="A136" s="68">
        <v>0.270117</v>
      </c>
      <c r="B136" s="68">
        <v>0.42510500000000001</v>
      </c>
      <c r="C136" s="68">
        <v>54.481200000000001</v>
      </c>
      <c r="D136" s="68">
        <v>2</v>
      </c>
      <c r="E136" s="68" t="s">
        <v>494</v>
      </c>
    </row>
    <row r="137" spans="1:5">
      <c r="A137" s="68">
        <v>0.26949800000000002</v>
      </c>
      <c r="B137" s="68">
        <v>0.42529299999999998</v>
      </c>
      <c r="C137" s="68">
        <v>54.8872</v>
      </c>
      <c r="D137" s="68">
        <v>2</v>
      </c>
      <c r="E137" s="68" t="s">
        <v>495</v>
      </c>
    </row>
    <row r="138" spans="1:5">
      <c r="A138" s="68">
        <v>0.26873900000000001</v>
      </c>
      <c r="B138" s="68">
        <v>0.42662699999999998</v>
      </c>
      <c r="C138" s="68">
        <v>55.292099999999998</v>
      </c>
      <c r="D138" s="68">
        <v>2</v>
      </c>
      <c r="E138" s="68" t="s">
        <v>496</v>
      </c>
    </row>
    <row r="139" spans="1:5">
      <c r="A139" s="68">
        <v>0.26832</v>
      </c>
      <c r="B139" s="68">
        <v>0.429199</v>
      </c>
      <c r="C139" s="68">
        <v>55.695</v>
      </c>
      <c r="D139" s="68">
        <v>2</v>
      </c>
      <c r="E139" s="68" t="s">
        <v>497</v>
      </c>
    </row>
    <row r="140" spans="1:5">
      <c r="A140" s="68">
        <v>0.26805200000000001</v>
      </c>
      <c r="B140" s="68">
        <v>0.432361</v>
      </c>
      <c r="C140" s="68">
        <v>56.104199999999999</v>
      </c>
      <c r="D140" s="68">
        <v>2</v>
      </c>
      <c r="E140" s="68" t="s">
        <v>498</v>
      </c>
    </row>
    <row r="141" spans="1:5">
      <c r="A141" s="68">
        <v>0.26763799999999999</v>
      </c>
      <c r="B141" s="68">
        <v>0.435666</v>
      </c>
      <c r="C141" s="68">
        <v>56.511899999999997</v>
      </c>
      <c r="D141" s="68">
        <v>2</v>
      </c>
      <c r="E141" s="68" t="s">
        <v>499</v>
      </c>
    </row>
    <row r="142" spans="1:5">
      <c r="A142" s="68">
        <v>0.26735399999999998</v>
      </c>
      <c r="B142" s="68">
        <v>0.43838899999999997</v>
      </c>
      <c r="C142" s="68">
        <v>56.917700000000004</v>
      </c>
      <c r="D142" s="68">
        <v>2</v>
      </c>
      <c r="E142" s="68" t="s">
        <v>500</v>
      </c>
    </row>
    <row r="143" spans="1:5">
      <c r="A143" s="68">
        <v>0.26727099999999998</v>
      </c>
      <c r="B143" s="68">
        <v>0.44098799999999999</v>
      </c>
      <c r="C143" s="68">
        <v>57.325600000000001</v>
      </c>
      <c r="D143" s="68">
        <v>2</v>
      </c>
      <c r="E143" s="68" t="s">
        <v>501</v>
      </c>
    </row>
    <row r="144" spans="1:5">
      <c r="A144" s="68">
        <v>0.26737300000000003</v>
      </c>
      <c r="B144" s="68">
        <v>0.44370399999999999</v>
      </c>
      <c r="C144" s="68">
        <v>57.7256</v>
      </c>
      <c r="D144" s="68">
        <v>2</v>
      </c>
      <c r="E144" s="68" t="s">
        <v>502</v>
      </c>
    </row>
    <row r="145" spans="1:5">
      <c r="A145" s="68">
        <v>0.26742500000000002</v>
      </c>
      <c r="B145" s="68">
        <v>0.44728000000000001</v>
      </c>
      <c r="C145" s="68">
        <v>58.133499999999998</v>
      </c>
      <c r="D145" s="68">
        <v>2</v>
      </c>
      <c r="E145" s="68" t="s">
        <v>503</v>
      </c>
    </row>
    <row r="146" spans="1:5">
      <c r="A146" s="68">
        <v>0.26789600000000002</v>
      </c>
      <c r="B146" s="68">
        <v>0.45158199999999998</v>
      </c>
      <c r="C146" s="68">
        <v>58.543399999999998</v>
      </c>
      <c r="D146" s="68">
        <v>2</v>
      </c>
      <c r="E146" s="68" t="s">
        <v>504</v>
      </c>
    </row>
    <row r="147" spans="1:5">
      <c r="A147" s="68">
        <v>0.27063700000000002</v>
      </c>
      <c r="B147" s="68">
        <v>0.45741799999999999</v>
      </c>
      <c r="C147" s="68">
        <v>58.9495</v>
      </c>
      <c r="D147" s="68">
        <v>2</v>
      </c>
      <c r="E147" s="68" t="s">
        <v>505</v>
      </c>
    </row>
    <row r="148" spans="1:5">
      <c r="A148" s="68">
        <v>0.27397300000000002</v>
      </c>
      <c r="B148" s="68">
        <v>0.46218100000000001</v>
      </c>
      <c r="C148" s="68">
        <v>59.3523</v>
      </c>
      <c r="D148" s="68">
        <v>2</v>
      </c>
      <c r="E148" s="68" t="s">
        <v>506</v>
      </c>
    </row>
    <row r="149" spans="1:5">
      <c r="A149" s="68">
        <v>0.276169</v>
      </c>
      <c r="B149" s="68">
        <v>0.46310600000000002</v>
      </c>
      <c r="C149" s="68">
        <v>59.758200000000002</v>
      </c>
      <c r="D149" s="68">
        <v>2</v>
      </c>
      <c r="E149" s="68" t="s">
        <v>507</v>
      </c>
    </row>
    <row r="150" spans="1:5">
      <c r="A150" s="68">
        <v>0.27811599999999997</v>
      </c>
      <c r="B150" s="68">
        <v>0.46599299999999999</v>
      </c>
      <c r="C150" s="32">
        <v>60.17</v>
      </c>
      <c r="D150" s="32">
        <v>2</v>
      </c>
      <c r="E150" s="32" t="s">
        <v>508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509</v>
      </c>
      <c r="B1" s="66" t="s">
        <v>510</v>
      </c>
      <c r="C1" s="66" t="s">
        <v>512</v>
      </c>
      <c r="D1" s="66" t="s">
        <v>513</v>
      </c>
      <c r="E1" s="66" t="s">
        <v>514</v>
      </c>
      <c r="F1" s="66" t="s">
        <v>293</v>
      </c>
      <c r="G1" s="66" t="s">
        <v>294</v>
      </c>
      <c r="H1" s="66" t="s">
        <v>515</v>
      </c>
      <c r="I1" s="66" t="s">
        <v>516</v>
      </c>
      <c r="J1" s="66" t="s">
        <v>517</v>
      </c>
      <c r="K1" s="66" t="s">
        <v>518</v>
      </c>
      <c r="L1" s="66" t="s">
        <v>519</v>
      </c>
      <c r="M1" s="66" t="s">
        <v>520</v>
      </c>
      <c r="N1" s="66"/>
    </row>
    <row r="2" spans="1:14">
      <c r="A2" s="75">
        <v>43607.386064814818</v>
      </c>
      <c r="B2" s="66" t="s">
        <v>511</v>
      </c>
      <c r="C2" s="66"/>
      <c r="D2" s="66"/>
      <c r="E2" s="66">
        <v>4.9234099999999996</v>
      </c>
      <c r="F2" s="66">
        <v>1.3851500000000001</v>
      </c>
      <c r="G2" s="66">
        <v>0.627521</v>
      </c>
      <c r="H2" s="66">
        <v>0</v>
      </c>
      <c r="I2" s="66">
        <v>74361</v>
      </c>
      <c r="J2" s="66">
        <v>52</v>
      </c>
      <c r="K2" s="66">
        <v>52</v>
      </c>
      <c r="L2" s="66">
        <v>0</v>
      </c>
      <c r="M2" s="66" t="s">
        <v>521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2019-05-22T01:17:09Z</cp:lastPrinted>
  <dcterms:created xsi:type="dcterms:W3CDTF">2010-10-29T12:53:05Z</dcterms:created>
  <dcterms:modified xsi:type="dcterms:W3CDTF">2019-05-22T01:17:28Z</dcterms:modified>
</cp:coreProperties>
</file>