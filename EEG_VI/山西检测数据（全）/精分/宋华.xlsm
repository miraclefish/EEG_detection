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P5" i="11" l="1"/>
  <c r="Q17" i="1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<sst xmlns="http://schemas.openxmlformats.org/spreadsheetml/2006/main" count="702" uniqueCount="520">
  <si>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</si>
  <si>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</si>
  <si>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</si>
  <si>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</si>
  <si>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</si>
  <si>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</si>
  <si>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</si>
  <si>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</si>
  <si>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</si>
  <si>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</si>
  <si>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</si>
  <si>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</si>
  <si>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</si>
  <si>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</si>
  <si>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</si>
  <si>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</si>
  <si>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</si>
  <si>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</si>
  <si>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</si>
  <si>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</si>
  <si>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</si>
  <si>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</si>
  <si>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</si>
  <si>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</si>
  <si>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</si>
  <si>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</si>
  <si>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</si>
  <si>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</si>
  <si>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</si>
  <si>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</si>
  <si>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</si>
  <si>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</si>
  <si>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</si>
  <si>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</si>
  <si>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</si>
  <si>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</si>
  <si>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</si>
  <si>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</si>
  <si>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</si>
  <si>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</si>
  <si>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</si>
  <si>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</si>
  <si>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</si>
  <si>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</si>
  <si>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</si>
  <si>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</si>
  <si>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</si>
  <si>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</si>
  <si>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</si>
  <si>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</si>
  <si>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</si>
  <si>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</si>
  <si>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</si>
  <si>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</si>
  <si>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</si>
  <si>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</si>
  <si>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</si>
  <si>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</si>
  <si>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</si>
  <si>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</si>
  <si>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</si>
  <si>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</si>
  <si>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</si>
  <si>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</si>
  <si>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</si>
  <si>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</si>
  <si>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</si>
  <si>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</si>
  <si>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</si>
  <si>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</si>
  <si>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</si>
  <si>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</si>
  <si>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</si>
  <si>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</si>
  <si>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</si>
  <si>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</si>
  <si>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</si>
  <si>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</si>
  <si>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</si>
  <si>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</si>
  <si>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</si>
  <si>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</si>
  <si>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</si>
  <si>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</si>
  <si>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</si>
  <si>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</si>
  <si>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</si>
  <si>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</si>
  <si>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</si>
  <si>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</si>
  <si>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</si>
  <si>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</si>
  <si>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</si>
  <si>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</si>
  <si>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</si>
  <si>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</si>
  <si>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</si>
  <si>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</si>
  <si>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</si>
  <si>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</si>
  <si>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</si>
  <si>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</si>
  <si>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</si>
  <si>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</si>
  <si>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</si>
  <si>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</si>
  <si>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</si>
  <si>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</si>
  <si>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</si>
  <si>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</si>
  <si>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</si>
  <si>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</si>
  <si>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</si>
  <si>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</si>
  <si>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</si>
  <si>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</si>
  <si>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</si>
  <si>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</si>
  <si>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</si>
  <si>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</si>
  <si>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</si>
  <si>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</si>
  <si>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</si>
  <si>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</si>
  <si>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</si>
  <si>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</si>
  <si>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</si>
  <si>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</si>
  <si>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</si>
  <si>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</si>
  <si>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</si>
  <si>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</si>
  <si>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</si>
  <si>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</si>
  <si>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</si>
  <si>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</si>
  <si>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</si>
  <si>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</si>
  <si>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</si>
  <si>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</si>
  <si>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</si>
  <si>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</si>
  <si>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</si>
  <si>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</si>
  <si>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</si>
  <si>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</si>
  <si>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</si>
  <si>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</si>
  <si>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</si>
  <si>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</si>
  <si>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</si>
  <si>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</si>
  <si>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</si>
  <si>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</si>
  <si>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</si>
  <si>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</si>
  <si>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</si>
  <si>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</si>
  <si>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</si>
  <si>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</si>
  <si>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</si>
  <si>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</si>
  <si>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</si>
  <si>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</si>
  <si>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</si>
  <si>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</si>
  <si>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</si>
  <si>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</si>
  <si>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</si>
  <si>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</si>
  <si>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</si>
  <si>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</si>
  <si>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</si>
  <si>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</si>
  <si>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</si>
  <si>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</si>
  <si>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</si>
  <si>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</si>
  <si>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</si>
  <si>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</si>
  <si>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</si>
  <si>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</si>
  <si>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</si>
  <si>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</si>
  <si>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</si>
  <si>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</si>
  <si>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</si>
  <si>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</si>
  <si>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</si>
  <si>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</si>
  <si>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</si>
  <si>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</si>
  <si>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</si>
  <si>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</si>
  <si>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</si>
  <si>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</si>
  <si>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</si>
  <si>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</si>
  <si>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</si>
  <si>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</si>
  <si>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</si>
  <si>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</si>
  <si>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</si>
  <si>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</si>
  <si>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</si>
  <si>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</si>
  <si>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</si>
  <si>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</si>
  <si>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</si>
  <si>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</si>
  <si>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</si>
  <si>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</si>
  <si>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</si>
  <si>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</si>
  <si>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</si>
  <si>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</si>
  <si>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</si>
  <si>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</si>
  <si>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</si>
  <si>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</si>
  <si>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</si>
  <si>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</si>
  <si>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</si>
  <si>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</si>
  <si>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</si>
  <si>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</si>
  <si>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</si>
  <si>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</si>
  <si>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</si>
  <si>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</si>
  <si>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</si>
  <si>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</si>
  <si>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</si>
  <si>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</si>
  <si>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</si>
  <si>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</si>
  <si>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</si>
  <si>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</si>
  <si>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</si>
  <si>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</si>
  <si>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</si>
  <si>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</si>
  <si>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</si>
  <si>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</si>
  <si>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</si>
  <si>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</si>
  <si>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</si>
  <si>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</si>
  <si>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</si>
  <si>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</si>
  <si>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</si>
  <si>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</si>
  <si>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</si>
  <si>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</si>
  <si>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</si>
  <si>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</si>
  <si>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</si>
  <si>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</si>
  <si>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</si>
  <si>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</si>
  <si>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</si>
  <si>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</si>
  <si>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</si>
  <si>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</si>
  <si>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</si>
  <si>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</si>
  <si>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</si>
  <si>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</si>
  <si>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</si>
  <si>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</si>
  <si>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</si>
  <si>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</si>
  <si>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</si>
  <si>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</si>
  <si>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</si>
  <si>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</si>
  <si>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</si>
  <si>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</si>
  <si>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</si>
  <si>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</si>
  <si>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</si>
  <si>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</si>
  <si>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</si>
  <si>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</si>
  <si>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</si>
  <si>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</si>
  <si>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</si>
  <si>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</si>
  <si>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</si>
  <si>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</si>
  <si>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</si>
  <si>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</si>
  <si>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</si>
  <si>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</si>
  <si>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</si>
  <si>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</si>
  <si>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</si>
  <si>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</si>
  <si>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</si>
  <si>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</si>
  <si>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</si>
  <si>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</si>
  <si>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</si>
  <si>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</si>
  <si>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</si>
  <si>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</si>
  <si>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</si>
  <si>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</si>
  <si>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</si>
  <si>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</si>
  <si>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</si>
  <si>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</si>
  <si>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</si>
  <si>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</si>
  <si>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</si>
  <si>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</si>
  <si>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</si>
  <si>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</si>
  <si>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</si>
  <si>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</si>
  <si>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</si>
  <si>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</si>
  <si>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</si>
  <si>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</si>
  <si>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</si>
  <si>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</si>
  <si>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</si>
  <si>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</si>
  <si>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</si>
  <si>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</si>
  <si>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</si>
  <si>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</si>
  <si>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</si>
  <si>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</si>
  <si>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</si>
  <si>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</si>
  <si>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</si>
  <si>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</si>
  <si>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</si>
  <si>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</si>
  <si>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</si>
  <si>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</si>
  <si>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</si>
  <si>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</si>
  <si>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</si>
  <si>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</si>
  <si>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S</t>
    <phoneticPr fontId="29" type="noConversion"/>
  </si>
  <si>
    <t>Vi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</si>
  <si>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</si>
  <si>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</si>
  <si>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</si>
  <si>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</si>
  <si>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</si>
  <si>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</si>
  <si>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</si>
  <si>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</si>
  <si>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[0.381890]</t>
  </si>
  <si>
    <t>1 [0.785800]</t>
  </si>
  <si>
    <t>1 [1.189816]</t>
  </si>
  <si>
    <t>1 [1.595678]</t>
  </si>
  <si>
    <t>1 [2.002732]</t>
  </si>
  <si>
    <t>1 [2.409534]</t>
  </si>
  <si>
    <t>1 [2.817387]</t>
  </si>
  <si>
    <t>1 [3.222443]</t>
  </si>
  <si>
    <t>1 [3.626258]</t>
  </si>
  <si>
    <t>1 [4.036261]</t>
  </si>
  <si>
    <t>1 [4.443031]</t>
  </si>
  <si>
    <t>1 [4.844003]</t>
  </si>
  <si>
    <t>1 [5.255029]</t>
  </si>
  <si>
    <t>1 [5.658857]</t>
  </si>
  <si>
    <t>1 [6.063972]</t>
  </si>
  <si>
    <t>1 [6.470729]</t>
  </si>
  <si>
    <t>1 [6.878518]</t>
  </si>
  <si>
    <t>1 [7.284409]</t>
  </si>
  <si>
    <t>1 [7.689358]</t>
  </si>
  <si>
    <t>1 [8.095736]</t>
  </si>
  <si>
    <t>1 [8.502185]</t>
  </si>
  <si>
    <t>1 [8.912164]</t>
  </si>
  <si>
    <t>1 [9.317055]</t>
  </si>
  <si>
    <t>1 [9.721283]</t>
  </si>
  <si>
    <t>1 [10.126827]</t>
  </si>
  <si>
    <t>1 [10.532849]</t>
  </si>
  <si>
    <t>1 [10.941703]</t>
  </si>
  <si>
    <t>1 [11.348553]</t>
  </si>
  <si>
    <t>1 [11.752494]</t>
  </si>
  <si>
    <t>1 [12.158414]</t>
  </si>
  <si>
    <t>1 [12.565337]</t>
  </si>
  <si>
    <t>1 [12.969182]</t>
  </si>
  <si>
    <t>1 [13.374097]</t>
  </si>
  <si>
    <t>1 [13.786033]</t>
  </si>
  <si>
    <t>1 [14.192976]</t>
  </si>
  <si>
    <t>1 [14.596823]</t>
  </si>
  <si>
    <t>1 [15.002742]</t>
  </si>
  <si>
    <t>1 [15.407970]</t>
  </si>
  <si>
    <t>1 [15.813823]</t>
  </si>
  <si>
    <t>1 [16.224556]</t>
  </si>
  <si>
    <t>1 [16.627413]</t>
  </si>
  <si>
    <t>1 [17.035382]</t>
  </si>
  <si>
    <t>1 [17.440516]</t>
  </si>
  <si>
    <t>1 [17.845230]</t>
  </si>
  <si>
    <t>1 [18.253125]</t>
  </si>
  <si>
    <t>1 [18.658996]</t>
  </si>
  <si>
    <t>1 [19.064937]</t>
  </si>
  <si>
    <t>1 [19.469883]</t>
  </si>
  <si>
    <t>1 [19.878809]</t>
  </si>
  <si>
    <t>1 [20.285694]</t>
  </si>
  <si>
    <t>1 [20.687970]</t>
  </si>
  <si>
    <t>1 [21.096498]</t>
  </si>
  <si>
    <t>1 [21.502426]</t>
  </si>
  <si>
    <t>1 [21.908404]</t>
  </si>
  <si>
    <t>1 [22.317246]</t>
  </si>
  <si>
    <t>1 [22.724122]</t>
  </si>
  <si>
    <t>1 [23.127087]</t>
  </si>
  <si>
    <t>1 [23.534965]</t>
  </si>
  <si>
    <t>1 [23.941915]</t>
  </si>
  <si>
    <t>1 [24.344817]</t>
  </si>
  <si>
    <t>1 [24.755794]</t>
  </si>
  <si>
    <t>1 [25.158672]</t>
  </si>
  <si>
    <t>1 [25.563680]</t>
  </si>
  <si>
    <t>1 [25.970905]</t>
  </si>
  <si>
    <t>1 [26.379349]</t>
  </si>
  <si>
    <t>1 [26.786308]</t>
  </si>
  <si>
    <t>1 [27.191265]</t>
  </si>
  <si>
    <t>1 [27.594090]</t>
  </si>
  <si>
    <t>1 [28.002450]</t>
  </si>
  <si>
    <t>1 [28.410937]</t>
  </si>
  <si>
    <t>1 [28.816874]</t>
  </si>
  <si>
    <t>1 [29.221876]</t>
  </si>
  <si>
    <t>1 [29.626691]</t>
  </si>
  <si>
    <t>1 [30.036582]</t>
  </si>
  <si>
    <t>2 [30.612234]</t>
  </si>
  <si>
    <t>2 [30.989138]</t>
  </si>
  <si>
    <t>2 [31.363085]</t>
  </si>
  <si>
    <t>2 [31.741110]</t>
  </si>
  <si>
    <t>2 [32.112114]</t>
  </si>
  <si>
    <t>2 [32.517972]</t>
  </si>
  <si>
    <t>2 [32.922968]</t>
  </si>
  <si>
    <t>2 [33.330019]</t>
  </si>
  <si>
    <t>2 [33.738724]</t>
  </si>
  <si>
    <t>2 [34.140674]</t>
  </si>
  <si>
    <t>2 [34.551559]</t>
  </si>
  <si>
    <t>2 [34.954705]</t>
  </si>
  <si>
    <t>2 [35.361410]</t>
  </si>
  <si>
    <t>2 [35.767298]</t>
  </si>
  <si>
    <t>2 [36.172343]</t>
  </si>
  <si>
    <t>2 [36.579194]</t>
  </si>
  <si>
    <t>2 [36.989076]</t>
  </si>
  <si>
    <t>2 [37.394079]</t>
  </si>
  <si>
    <t>2 [37.798933]</t>
  </si>
  <si>
    <t>2 [38.205805]</t>
  </si>
  <si>
    <t>2 [38.609893]</t>
  </si>
  <si>
    <t>2 [39.016661]</t>
  </si>
  <si>
    <t>2 [39.424617]</t>
  </si>
  <si>
    <t>2 [39.832436]</t>
  </si>
  <si>
    <t>2 [40.235347]</t>
  </si>
  <si>
    <t>2 [40.641451]</t>
  </si>
  <si>
    <t>2 [41.050212]</t>
  </si>
  <si>
    <t>2 [41.456116]</t>
  </si>
  <si>
    <t>2 [41.862066]</t>
  </si>
  <si>
    <t>2 [42.267989]</t>
  </si>
  <si>
    <t>2 [42.672944]</t>
  </si>
  <si>
    <t>2 [43.083899]</t>
  </si>
  <si>
    <t>2 [43.488166]</t>
  </si>
  <si>
    <t>2 [43.896646]</t>
  </si>
  <si>
    <t>2 [44.298506]</t>
  </si>
  <si>
    <t>2 [44.704769]</t>
  </si>
  <si>
    <t>2 [45.111374]</t>
  </si>
  <si>
    <t>2 [45.519322]</t>
  </si>
  <si>
    <t>2 [45.926130]</t>
  </si>
  <si>
    <t>2 [46.331017]</t>
  </si>
  <si>
    <t>2 [46.737242]</t>
  </si>
  <si>
    <t>2 [47.140845]</t>
  </si>
  <si>
    <t>2 [47.550782]</t>
  </si>
  <si>
    <t>2 [47.957671]</t>
  </si>
  <si>
    <t>2 [48.360677]</t>
  </si>
  <si>
    <t>2 [48.767885]</t>
  </si>
  <si>
    <t>2 [49.174517]</t>
  </si>
  <si>
    <t>2 [49.579404]</t>
  </si>
  <si>
    <t>2 [49.989328]</t>
  </si>
  <si>
    <t>2 [50.392260]</t>
  </si>
  <si>
    <t>2 [50.798092]</t>
  </si>
  <si>
    <t>2 [51.208027]</t>
  </si>
  <si>
    <t>2 [51.610969]</t>
  </si>
  <si>
    <t>2 [52.017894]</t>
  </si>
  <si>
    <t>2 [52.422797]</t>
  </si>
  <si>
    <t>2 [52.828710]</t>
  </si>
  <si>
    <t>2 [53.235674]</t>
  </si>
  <si>
    <t>2 [53.646484]</t>
  </si>
  <si>
    <t>2 [54.052447]</t>
  </si>
  <si>
    <t>2 [54.457380]</t>
  </si>
  <si>
    <t>2 [54.859224]</t>
  </si>
  <si>
    <t>2 [55.269135]</t>
  </si>
  <si>
    <t>2 [55.678108]</t>
  </si>
  <si>
    <t>2 [56.082079]</t>
  </si>
  <si>
    <t>2 [56.486944]</t>
  </si>
  <si>
    <t>2 [56.891873]</t>
  </si>
  <si>
    <t>2 [57.299812]</t>
  </si>
  <si>
    <t>2 [57.707609]</t>
  </si>
  <si>
    <t>2 [58.114627]</t>
  </si>
  <si>
    <t>2 [58.518425]</t>
  </si>
  <si>
    <t>2 [58.923484]</t>
  </si>
  <si>
    <t>2 [59.330668]</t>
  </si>
  <si>
    <t>2 [59.739246]</t>
  </si>
  <si>
    <t>2 [60.145110]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</si>
  <si>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</si>
  <si>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</si>
  <si>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</si>
  <si>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</si>
  <si>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</si>
  <si>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M</t>
    <phoneticPr fontId="29" type="noConversion"/>
  </si>
  <si>
    <t>S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</si>
  <si>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</si>
  <si>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</si>
  <si>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</si>
  <si>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</si>
  <si>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</si>
  <si>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</si>
  <si>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</si>
  <si>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</si>
  <si>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宋华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</si>
</sst>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27.6189</c:v>
                </c:pt>
                <c:pt idx="1">
                  <c:v>40.1447</c:v>
                </c:pt>
                <c:pt idx="2">
                  <c:v>27.881900000000002</c:v>
                </c:pt>
                <c:pt idx="3">
                  <c:v>32.819600000000001</c:v>
                </c:pt>
                <c:pt idx="4">
                  <c:v>64.821899999999999</c:v>
                </c:pt>
                <c:pt idx="5">
                  <c:v>56.660200000000003</c:v>
                </c:pt>
                <c:pt idx="6">
                  <c:v>9.6183899999999998</c:v>
                </c:pt>
                <c:pt idx="7">
                  <c:v>66.588499999999996</c:v>
                </c:pt>
                <c:pt idx="8">
                  <c:v>18.156500000000001</c:v>
                </c:pt>
                <c:pt idx="9">
                  <c:v>31.153300000000002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0.46539838660911415</c:v>
                </c:pt>
                <c:pt idx="1">
                  <c:v>0.3024318667194289</c:v>
                </c:pt>
                <c:pt idx="2">
                  <c:v>0.23216974667145701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28383</c:v>
                </c:pt>
                <c:pt idx="7">
                  <c:v>0</c:v>
                </c:pt>
                <c:pt idx="8">
                  <c:v>44060</c:v>
                </c:pt>
                <c:pt idx="9">
                  <c:v>0</c:v>
                </c:pt>
                <c:pt idx="10">
                  <c:v>0</c:v>
                </c:pt>
                <c:pt idx="11">
                  <c:v>64892</c:v>
                </c:pt>
                <c:pt idx="12">
                  <c:v>0</c:v>
                </c:pt>
                <c:pt idx="13">
                  <c:v>78072</c:v>
                </c:pt>
                <c:pt idx="14">
                  <c:v>0</c:v>
                </c:pt>
                <c:pt idx="15">
                  <c:v>0</c:v>
                </c:pt>
                <c:pt idx="16">
                  <c:v>84021</c:v>
                </c:pt>
                <c:pt idx="17">
                  <c:v>0</c:v>
                </c:pt>
                <c:pt idx="18">
                  <c:v>0</c:v>
                </c:pt>
                <c:pt idx="19">
                  <c:v>94434</c:v>
                </c:pt>
                <c:pt idx="20">
                  <c:v>0</c:v>
                </c:pt>
                <c:pt idx="21">
                  <c:v>84317</c:v>
                </c:pt>
                <c:pt idx="22">
                  <c:v>0</c:v>
                </c:pt>
                <c:pt idx="23">
                  <c:v>0</c:v>
                </c:pt>
                <c:pt idx="24">
                  <c:v>105728</c:v>
                </c:pt>
                <c:pt idx="25">
                  <c:v>0</c:v>
                </c:pt>
                <c:pt idx="26">
                  <c:v>109603</c:v>
                </c:pt>
                <c:pt idx="27">
                  <c:v>0</c:v>
                </c:pt>
                <c:pt idx="28">
                  <c:v>0</c:v>
                </c:pt>
                <c:pt idx="29">
                  <c:v>118922</c:v>
                </c:pt>
                <c:pt idx="30">
                  <c:v>0</c:v>
                </c:pt>
                <c:pt idx="31">
                  <c:v>101941</c:v>
                </c:pt>
                <c:pt idx="32">
                  <c:v>0</c:v>
                </c:pt>
                <c:pt idx="33">
                  <c:v>0</c:v>
                </c:pt>
                <c:pt idx="34">
                  <c:v>109872</c:v>
                </c:pt>
                <c:pt idx="35">
                  <c:v>0</c:v>
                </c:pt>
                <c:pt idx="36">
                  <c:v>0</c:v>
                </c:pt>
                <c:pt idx="37">
                  <c:v>107930</c:v>
                </c:pt>
                <c:pt idx="38">
                  <c:v>0</c:v>
                </c:pt>
                <c:pt idx="39">
                  <c:v>103931</c:v>
                </c:pt>
                <c:pt idx="40">
                  <c:v>0</c:v>
                </c:pt>
                <c:pt idx="41">
                  <c:v>0</c:v>
                </c:pt>
                <c:pt idx="42">
                  <c:v>103897</c:v>
                </c:pt>
                <c:pt idx="43">
                  <c:v>0</c:v>
                </c:pt>
                <c:pt idx="44">
                  <c:v>96749</c:v>
                </c:pt>
                <c:pt idx="45">
                  <c:v>0</c:v>
                </c:pt>
                <c:pt idx="46">
                  <c:v>0</c:v>
                </c:pt>
                <c:pt idx="47">
                  <c:v>87401</c:v>
                </c:pt>
                <c:pt idx="48">
                  <c:v>0</c:v>
                </c:pt>
                <c:pt idx="49">
                  <c:v>93779</c:v>
                </c:pt>
                <c:pt idx="50">
                  <c:v>0</c:v>
                </c:pt>
                <c:pt idx="51">
                  <c:v>0</c:v>
                </c:pt>
                <c:pt idx="52">
                  <c:v>86310</c:v>
                </c:pt>
                <c:pt idx="53">
                  <c:v>0</c:v>
                </c:pt>
                <c:pt idx="54">
                  <c:v>0</c:v>
                </c:pt>
                <c:pt idx="55">
                  <c:v>84351</c:v>
                </c:pt>
                <c:pt idx="56">
                  <c:v>0</c:v>
                </c:pt>
                <c:pt idx="57">
                  <c:v>76606</c:v>
                </c:pt>
                <c:pt idx="58">
                  <c:v>0</c:v>
                </c:pt>
                <c:pt idx="59">
                  <c:v>0</c:v>
                </c:pt>
                <c:pt idx="60">
                  <c:v>79811</c:v>
                </c:pt>
                <c:pt idx="61">
                  <c:v>0</c:v>
                </c:pt>
                <c:pt idx="62">
                  <c:v>77927</c:v>
                </c:pt>
                <c:pt idx="63">
                  <c:v>0</c:v>
                </c:pt>
                <c:pt idx="64">
                  <c:v>0</c:v>
                </c:pt>
                <c:pt idx="65">
                  <c:v>78483</c:v>
                </c:pt>
                <c:pt idx="66">
                  <c:v>0</c:v>
                </c:pt>
                <c:pt idx="67">
                  <c:v>69086</c:v>
                </c:pt>
                <c:pt idx="68">
                  <c:v>0</c:v>
                </c:pt>
                <c:pt idx="69">
                  <c:v>0</c:v>
                </c:pt>
                <c:pt idx="70">
                  <c:v>65887</c:v>
                </c:pt>
                <c:pt idx="71">
                  <c:v>0</c:v>
                </c:pt>
                <c:pt idx="72">
                  <c:v>0</c:v>
                </c:pt>
                <c:pt idx="73">
                  <c:v>59806</c:v>
                </c:pt>
                <c:pt idx="74">
                  <c:v>0</c:v>
                </c:pt>
                <c:pt idx="75">
                  <c:v>52787</c:v>
                </c:pt>
                <c:pt idx="76">
                  <c:v>0</c:v>
                </c:pt>
                <c:pt idx="77">
                  <c:v>0</c:v>
                </c:pt>
                <c:pt idx="78">
                  <c:v>56449</c:v>
                </c:pt>
                <c:pt idx="79">
                  <c:v>0</c:v>
                </c:pt>
                <c:pt idx="80">
                  <c:v>48154</c:v>
                </c:pt>
                <c:pt idx="81">
                  <c:v>0</c:v>
                </c:pt>
                <c:pt idx="82">
                  <c:v>0</c:v>
                </c:pt>
                <c:pt idx="83">
                  <c:v>44501</c:v>
                </c:pt>
                <c:pt idx="84">
                  <c:v>0</c:v>
                </c:pt>
                <c:pt idx="85">
                  <c:v>0</c:v>
                </c:pt>
                <c:pt idx="86">
                  <c:v>47252</c:v>
                </c:pt>
                <c:pt idx="87">
                  <c:v>0</c:v>
                </c:pt>
                <c:pt idx="88">
                  <c:v>36669</c:v>
                </c:pt>
                <c:pt idx="89">
                  <c:v>0</c:v>
                </c:pt>
                <c:pt idx="90">
                  <c:v>0</c:v>
                </c:pt>
                <c:pt idx="91">
                  <c:v>36341</c:v>
                </c:pt>
                <c:pt idx="92">
                  <c:v>0</c:v>
                </c:pt>
                <c:pt idx="93">
                  <c:v>29318</c:v>
                </c:pt>
                <c:pt idx="94">
                  <c:v>0</c:v>
                </c:pt>
                <c:pt idx="95">
                  <c:v>0</c:v>
                </c:pt>
                <c:pt idx="96">
                  <c:v>27201</c:v>
                </c:pt>
                <c:pt idx="97">
                  <c:v>0</c:v>
                </c:pt>
                <c:pt idx="98">
                  <c:v>20562</c:v>
                </c:pt>
                <c:pt idx="99">
                  <c:v>0</c:v>
                </c:pt>
                <c:pt idx="100">
                  <c:v>0</c:v>
                </c:pt>
                <c:pt idx="101">
                  <c:v>16640</c:v>
                </c:pt>
                <c:pt idx="102">
                  <c:v>0</c:v>
                </c:pt>
                <c:pt idx="103">
                  <c:v>0</c:v>
                </c:pt>
                <c:pt idx="104">
                  <c:v>11409</c:v>
                </c:pt>
                <c:pt idx="105">
                  <c:v>0</c:v>
                </c:pt>
                <c:pt idx="106">
                  <c:v>10406</c:v>
                </c:pt>
                <c:pt idx="107">
                  <c:v>0</c:v>
                </c:pt>
                <c:pt idx="108">
                  <c:v>0</c:v>
                </c:pt>
                <c:pt idx="109">
                  <c:v>9841</c:v>
                </c:pt>
                <c:pt idx="110">
                  <c:v>0</c:v>
                </c:pt>
                <c:pt idx="111">
                  <c:v>8416</c:v>
                </c:pt>
                <c:pt idx="112">
                  <c:v>0</c:v>
                </c:pt>
                <c:pt idx="113">
                  <c:v>0</c:v>
                </c:pt>
                <c:pt idx="114">
                  <c:v>7758</c:v>
                </c:pt>
                <c:pt idx="115">
                  <c:v>0</c:v>
                </c:pt>
                <c:pt idx="116">
                  <c:v>6950</c:v>
                </c:pt>
                <c:pt idx="117">
                  <c:v>0</c:v>
                </c:pt>
                <c:pt idx="118">
                  <c:v>0</c:v>
                </c:pt>
                <c:pt idx="119">
                  <c:v>7167</c:v>
                </c:pt>
                <c:pt idx="120">
                  <c:v>0</c:v>
                </c:pt>
                <c:pt idx="121">
                  <c:v>0</c:v>
                </c:pt>
                <c:pt idx="122">
                  <c:v>5690</c:v>
                </c:pt>
                <c:pt idx="123">
                  <c:v>0</c:v>
                </c:pt>
                <c:pt idx="124">
                  <c:v>4980</c:v>
                </c:pt>
                <c:pt idx="125">
                  <c:v>0</c:v>
                </c:pt>
                <c:pt idx="126">
                  <c:v>0</c:v>
                </c:pt>
                <c:pt idx="127">
                  <c:v>4586</c:v>
                </c:pt>
                <c:pt idx="128">
                  <c:v>0</c:v>
                </c:pt>
                <c:pt idx="129">
                  <c:v>2371</c:v>
                </c:pt>
                <c:pt idx="130">
                  <c:v>0</c:v>
                </c:pt>
                <c:pt idx="131">
                  <c:v>0</c:v>
                </c:pt>
                <c:pt idx="132">
                  <c:v>1550</c:v>
                </c:pt>
                <c:pt idx="133">
                  <c:v>0</c:v>
                </c:pt>
                <c:pt idx="134">
                  <c:v>503</c:v>
                </c:pt>
                <c:pt idx="135">
                  <c:v>0</c:v>
                </c:pt>
                <c:pt idx="136">
                  <c:v>0</c:v>
                </c:pt>
                <c:pt idx="137">
                  <c:v>555</c:v>
                </c:pt>
                <c:pt idx="138">
                  <c:v>0</c:v>
                </c:pt>
                <c:pt idx="139">
                  <c:v>0</c:v>
                </c:pt>
                <c:pt idx="140">
                  <c:v>301</c:v>
                </c:pt>
                <c:pt idx="141">
                  <c:v>0</c:v>
                </c:pt>
                <c:pt idx="142">
                  <c:v>248</c:v>
                </c:pt>
                <c:pt idx="143">
                  <c:v>0</c:v>
                </c:pt>
                <c:pt idx="144">
                  <c:v>0</c:v>
                </c:pt>
                <c:pt idx="145">
                  <c:v>428</c:v>
                </c:pt>
                <c:pt idx="146">
                  <c:v>0</c:v>
                </c:pt>
                <c:pt idx="147">
                  <c:v>550</c:v>
                </c:pt>
                <c:pt idx="148">
                  <c:v>0</c:v>
                </c:pt>
                <c:pt idx="149">
                  <c:v>0</c:v>
                </c:pt>
                <c:pt idx="150">
                  <c:v>210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1.1651899999999999</c:v>
                </c:pt>
                <c:pt idx="1">
                  <c:v>1.1944399999999999</c:v>
                </c:pt>
                <c:pt idx="2">
                  <c:v>1.2242899999999999</c:v>
                </c:pt>
                <c:pt idx="3">
                  <c:v>1.2573599999999998</c:v>
                </c:pt>
                <c:pt idx="4">
                  <c:v>1.29366</c:v>
                </c:pt>
                <c:pt idx="5">
                  <c:v>1.3289500000000001</c:v>
                </c:pt>
                <c:pt idx="6">
                  <c:v>1.3648400000000001</c:v>
                </c:pt>
                <c:pt idx="7">
                  <c:v>1.3997000000000002</c:v>
                </c:pt>
                <c:pt idx="8">
                  <c:v>1.4358399999999998</c:v>
                </c:pt>
                <c:pt idx="9">
                  <c:v>1.47234</c:v>
                </c:pt>
                <c:pt idx="10">
                  <c:v>1.5096599999999998</c:v>
                </c:pt>
                <c:pt idx="11">
                  <c:v>1.5469200000000001</c:v>
                </c:pt>
                <c:pt idx="12">
                  <c:v>1.5828600000000002</c:v>
                </c:pt>
                <c:pt idx="13">
                  <c:v>1.6177299999999999</c:v>
                </c:pt>
                <c:pt idx="14">
                  <c:v>1.6513</c:v>
                </c:pt>
                <c:pt idx="15">
                  <c:v>1.6853499999999999</c:v>
                </c:pt>
                <c:pt idx="16">
                  <c:v>1.7216100000000001</c:v>
                </c:pt>
                <c:pt idx="17">
                  <c:v>1.75963</c:v>
                </c:pt>
                <c:pt idx="18">
                  <c:v>1.7971500000000002</c:v>
                </c:pt>
                <c:pt idx="19">
                  <c:v>1.8325100000000001</c:v>
                </c:pt>
                <c:pt idx="20">
                  <c:v>1.8677999999999999</c:v>
                </c:pt>
                <c:pt idx="21">
                  <c:v>1.9020899999999998</c:v>
                </c:pt>
                <c:pt idx="22">
                  <c:v>1.93462</c:v>
                </c:pt>
                <c:pt idx="23">
                  <c:v>1.9634399999999999</c:v>
                </c:pt>
                <c:pt idx="24">
                  <c:v>1.9927900000000001</c:v>
                </c:pt>
                <c:pt idx="25">
                  <c:v>2.02169</c:v>
                </c:pt>
                <c:pt idx="26">
                  <c:v>2.0490900000000001</c:v>
                </c:pt>
                <c:pt idx="27">
                  <c:v>2.0750099999999998</c:v>
                </c:pt>
                <c:pt idx="28">
                  <c:v>2.1007600000000002</c:v>
                </c:pt>
                <c:pt idx="29">
                  <c:v>2.1252299999999997</c:v>
                </c:pt>
                <c:pt idx="30">
                  <c:v>2.1486999999999998</c:v>
                </c:pt>
                <c:pt idx="31">
                  <c:v>2.1703700000000001</c:v>
                </c:pt>
                <c:pt idx="32">
                  <c:v>2.1902599999999999</c:v>
                </c:pt>
                <c:pt idx="33">
                  <c:v>2.2104599999999999</c:v>
                </c:pt>
                <c:pt idx="34">
                  <c:v>2.2312000000000003</c:v>
                </c:pt>
                <c:pt idx="35">
                  <c:v>2.25047</c:v>
                </c:pt>
                <c:pt idx="36">
                  <c:v>2.2674099999999999</c:v>
                </c:pt>
                <c:pt idx="37">
                  <c:v>2.28424</c:v>
                </c:pt>
                <c:pt idx="38">
                  <c:v>2.3008999999999999</c:v>
                </c:pt>
                <c:pt idx="39">
                  <c:v>2.3176899999999998</c:v>
                </c:pt>
                <c:pt idx="40">
                  <c:v>2.3327400000000003</c:v>
                </c:pt>
                <c:pt idx="41">
                  <c:v>2.3444799999999999</c:v>
                </c:pt>
                <c:pt idx="42">
                  <c:v>2.3546200000000002</c:v>
                </c:pt>
                <c:pt idx="43">
                  <c:v>2.36341</c:v>
                </c:pt>
                <c:pt idx="44">
                  <c:v>2.3729900000000002</c:v>
                </c:pt>
                <c:pt idx="45">
                  <c:v>2.3811200000000001</c:v>
                </c:pt>
                <c:pt idx="46">
                  <c:v>2.3853800000000001</c:v>
                </c:pt>
                <c:pt idx="47">
                  <c:v>2.3882700000000003</c:v>
                </c:pt>
                <c:pt idx="48">
                  <c:v>2.3898000000000001</c:v>
                </c:pt>
                <c:pt idx="49">
                  <c:v>2.3894199999999999</c:v>
                </c:pt>
                <c:pt idx="50">
                  <c:v>2.3906399999999999</c:v>
                </c:pt>
                <c:pt idx="51">
                  <c:v>2.3900999999999999</c:v>
                </c:pt>
                <c:pt idx="52">
                  <c:v>2.3892600000000002</c:v>
                </c:pt>
                <c:pt idx="53">
                  <c:v>2.3859900000000001</c:v>
                </c:pt>
                <c:pt idx="54">
                  <c:v>2.3809300000000002</c:v>
                </c:pt>
                <c:pt idx="55">
                  <c:v>2.37134</c:v>
                </c:pt>
                <c:pt idx="56">
                  <c:v>2.3649500000000003</c:v>
                </c:pt>
                <c:pt idx="57">
                  <c:v>2.36151</c:v>
                </c:pt>
                <c:pt idx="58">
                  <c:v>2.3465600000000002</c:v>
                </c:pt>
                <c:pt idx="59">
                  <c:v>2.3321100000000001</c:v>
                </c:pt>
                <c:pt idx="60">
                  <c:v>2.3212700000000002</c:v>
                </c:pt>
                <c:pt idx="61">
                  <c:v>2.2976700000000001</c:v>
                </c:pt>
                <c:pt idx="62">
                  <c:v>2.2847600000000003</c:v>
                </c:pt>
                <c:pt idx="63">
                  <c:v>2.26484</c:v>
                </c:pt>
                <c:pt idx="64">
                  <c:v>2.24464</c:v>
                </c:pt>
                <c:pt idx="65">
                  <c:v>2.2224599999999999</c:v>
                </c:pt>
                <c:pt idx="66">
                  <c:v>2.1942900000000001</c:v>
                </c:pt>
                <c:pt idx="67">
                  <c:v>2.1685599999999998</c:v>
                </c:pt>
                <c:pt idx="68">
                  <c:v>2.1491400000000001</c:v>
                </c:pt>
                <c:pt idx="69">
                  <c:v>2.1147399999999998</c:v>
                </c:pt>
                <c:pt idx="70">
                  <c:v>2.0925799999999999</c:v>
                </c:pt>
                <c:pt idx="71">
                  <c:v>2.0670799999999998</c:v>
                </c:pt>
                <c:pt idx="72">
                  <c:v>2.0403599999999997</c:v>
                </c:pt>
                <c:pt idx="73">
                  <c:v>2.0076399999999999</c:v>
                </c:pt>
                <c:pt idx="74">
                  <c:v>1.9812699999999999</c:v>
                </c:pt>
                <c:pt idx="75">
                  <c:v>1.9530800000000001</c:v>
                </c:pt>
                <c:pt idx="76">
                  <c:v>1.9231799999999999</c:v>
                </c:pt>
                <c:pt idx="77">
                  <c:v>1.89246</c:v>
                </c:pt>
                <c:pt idx="78">
                  <c:v>1.86202</c:v>
                </c:pt>
                <c:pt idx="79">
                  <c:v>1.83182</c:v>
                </c:pt>
                <c:pt idx="80">
                  <c:v>1.8021699999999998</c:v>
                </c:pt>
                <c:pt idx="81">
                  <c:v>1.7738499999999999</c:v>
                </c:pt>
                <c:pt idx="82">
                  <c:v>1.74675</c:v>
                </c:pt>
                <c:pt idx="83">
                  <c:v>1.7114099999999999</c:v>
                </c:pt>
                <c:pt idx="84">
                  <c:v>1.6750399999999999</c:v>
                </c:pt>
                <c:pt idx="85">
                  <c:v>1.6414899999999999</c:v>
                </c:pt>
                <c:pt idx="86">
                  <c:v>1.6083800000000001</c:v>
                </c:pt>
                <c:pt idx="87">
                  <c:v>1.5748899999999999</c:v>
                </c:pt>
                <c:pt idx="88">
                  <c:v>1.53939</c:v>
                </c:pt>
                <c:pt idx="89">
                  <c:v>1.5049699999999999</c:v>
                </c:pt>
                <c:pt idx="90">
                  <c:v>1.4730599999999998</c:v>
                </c:pt>
                <c:pt idx="91">
                  <c:v>1.4423300000000001</c:v>
                </c:pt>
                <c:pt idx="92">
                  <c:v>1.4139299999999999</c:v>
                </c:pt>
                <c:pt idx="93">
                  <c:v>1.3853499999999999</c:v>
                </c:pt>
                <c:pt idx="94">
                  <c:v>1.3590599999999999</c:v>
                </c:pt>
                <c:pt idx="95">
                  <c:v>1.3348399999999998</c:v>
                </c:pt>
                <c:pt idx="96">
                  <c:v>1.3165499999999999</c:v>
                </c:pt>
                <c:pt idx="97">
                  <c:v>1.3041700000000001</c:v>
                </c:pt>
                <c:pt idx="98">
                  <c:v>1.3008900000000001</c:v>
                </c:pt>
                <c:pt idx="99">
                  <c:v>1.3048999999999999</c:v>
                </c:pt>
                <c:pt idx="100">
                  <c:v>1.3150200000000001</c:v>
                </c:pt>
                <c:pt idx="101">
                  <c:v>1.3272600000000001</c:v>
                </c:pt>
                <c:pt idx="102">
                  <c:v>1.34572</c:v>
                </c:pt>
                <c:pt idx="103">
                  <c:v>1.36429</c:v>
                </c:pt>
                <c:pt idx="104">
                  <c:v>1.3834</c:v>
                </c:pt>
                <c:pt idx="105">
                  <c:v>1.4028399999999999</c:v>
                </c:pt>
                <c:pt idx="106">
                  <c:v>1.42116</c:v>
                </c:pt>
                <c:pt idx="107">
                  <c:v>1.4412</c:v>
                </c:pt>
                <c:pt idx="108">
                  <c:v>1.4669099999999999</c:v>
                </c:pt>
                <c:pt idx="109">
                  <c:v>1.4963000000000002</c:v>
                </c:pt>
                <c:pt idx="110">
                  <c:v>1.5323100000000001</c:v>
                </c:pt>
                <c:pt idx="111">
                  <c:v>1.5712100000000002</c:v>
                </c:pt>
                <c:pt idx="112">
                  <c:v>1.61002</c:v>
                </c:pt>
                <c:pt idx="113">
                  <c:v>1.6484199999999998</c:v>
                </c:pt>
                <c:pt idx="114">
                  <c:v>1.68685</c:v>
                </c:pt>
                <c:pt idx="115">
                  <c:v>1.72255</c:v>
                </c:pt>
                <c:pt idx="116">
                  <c:v>1.7551099999999999</c:v>
                </c:pt>
                <c:pt idx="117">
                  <c:v>1.7885499999999999</c:v>
                </c:pt>
                <c:pt idx="118">
                  <c:v>1.8243400000000001</c:v>
                </c:pt>
                <c:pt idx="119">
                  <c:v>1.8567</c:v>
                </c:pt>
                <c:pt idx="120">
                  <c:v>1.8876399999999998</c:v>
                </c:pt>
                <c:pt idx="121">
                  <c:v>1.9201099999999998</c:v>
                </c:pt>
                <c:pt idx="122">
                  <c:v>1.95364</c:v>
                </c:pt>
                <c:pt idx="123">
                  <c:v>1.9839300000000002</c:v>
                </c:pt>
                <c:pt idx="124">
                  <c:v>2.0024600000000001</c:v>
                </c:pt>
                <c:pt idx="125">
                  <c:v>2.0140899999999999</c:v>
                </c:pt>
                <c:pt idx="126">
                  <c:v>2.0268600000000001</c:v>
                </c:pt>
                <c:pt idx="127">
                  <c:v>2.0402200000000001</c:v>
                </c:pt>
                <c:pt idx="128">
                  <c:v>2.0548099999999998</c:v>
                </c:pt>
                <c:pt idx="129">
                  <c:v>2.07104</c:v>
                </c:pt>
                <c:pt idx="130">
                  <c:v>2.0892200000000001</c:v>
                </c:pt>
                <c:pt idx="131">
                  <c:v>2.1083499999999997</c:v>
                </c:pt>
                <c:pt idx="132">
                  <c:v>2.12758</c:v>
                </c:pt>
                <c:pt idx="133">
                  <c:v>2.1455600000000001</c:v>
                </c:pt>
                <c:pt idx="134">
                  <c:v>2.16343</c:v>
                </c:pt>
                <c:pt idx="135">
                  <c:v>2.1773799999999999</c:v>
                </c:pt>
                <c:pt idx="136">
                  <c:v>2.1901000000000002</c:v>
                </c:pt>
                <c:pt idx="137">
                  <c:v>2.20323</c:v>
                </c:pt>
                <c:pt idx="138">
                  <c:v>2.2176100000000001</c:v>
                </c:pt>
                <c:pt idx="139">
                  <c:v>2.2301000000000002</c:v>
                </c:pt>
                <c:pt idx="140">
                  <c:v>2.2456400000000003</c:v>
                </c:pt>
                <c:pt idx="141">
                  <c:v>2.2643599999999999</c:v>
                </c:pt>
                <c:pt idx="142">
                  <c:v>2.2822899999999997</c:v>
                </c:pt>
                <c:pt idx="143">
                  <c:v>2.2948</c:v>
                </c:pt>
                <c:pt idx="144">
                  <c:v>2.3153099999999998</c:v>
                </c:pt>
                <c:pt idx="145">
                  <c:v>2.3410800000000003</c:v>
                </c:pt>
                <c:pt idx="146">
                  <c:v>2.3516900000000001</c:v>
                </c:pt>
                <c:pt idx="147">
                  <c:v>2.3553699999999997</c:v>
                </c:pt>
                <c:pt idx="148">
                  <c:v>2.3649400000000003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69.485399999999998</c:v>
                </c:pt>
                <c:pt idx="1">
                  <c:v>68.548100000000005</c:v>
                </c:pt>
                <c:pt idx="2">
                  <c:v>67.587100000000007</c:v>
                </c:pt>
                <c:pt idx="3">
                  <c:v>66.561099999999996</c:v>
                </c:pt>
                <c:pt idx="4">
                  <c:v>65.472699999999989</c:v>
                </c:pt>
                <c:pt idx="5">
                  <c:v>64.407200000000003</c:v>
                </c:pt>
                <c:pt idx="6">
                  <c:v>63.343199999999996</c:v>
                </c:pt>
                <c:pt idx="7">
                  <c:v>62.246299999999998</c:v>
                </c:pt>
                <c:pt idx="8">
                  <c:v>61.102699999999999</c:v>
                </c:pt>
                <c:pt idx="9">
                  <c:v>59.986399999999996</c:v>
                </c:pt>
                <c:pt idx="10">
                  <c:v>58.908899999999996</c:v>
                </c:pt>
                <c:pt idx="11">
                  <c:v>57.889400000000002</c:v>
                </c:pt>
                <c:pt idx="12">
                  <c:v>56.946600000000004</c:v>
                </c:pt>
                <c:pt idx="13">
                  <c:v>56.0867</c:v>
                </c:pt>
                <c:pt idx="14">
                  <c:v>55.332400000000007</c:v>
                </c:pt>
                <c:pt idx="15">
                  <c:v>54.629799999999996</c:v>
                </c:pt>
                <c:pt idx="16">
                  <c:v>53.845600000000005</c:v>
                </c:pt>
                <c:pt idx="17">
                  <c:v>53.061999999999998</c:v>
                </c:pt>
                <c:pt idx="18">
                  <c:v>52.319000000000003</c:v>
                </c:pt>
                <c:pt idx="19">
                  <c:v>51.683199999999999</c:v>
                </c:pt>
                <c:pt idx="20">
                  <c:v>51.0505</c:v>
                </c:pt>
                <c:pt idx="21">
                  <c:v>50.510600000000004</c:v>
                </c:pt>
                <c:pt idx="22">
                  <c:v>50.100100000000005</c:v>
                </c:pt>
                <c:pt idx="23">
                  <c:v>49.8322</c:v>
                </c:pt>
                <c:pt idx="24">
                  <c:v>49.525700000000001</c:v>
                </c:pt>
                <c:pt idx="25">
                  <c:v>49.259599999999999</c:v>
                </c:pt>
                <c:pt idx="26">
                  <c:v>49.067100000000003</c:v>
                </c:pt>
                <c:pt idx="27">
                  <c:v>48.936</c:v>
                </c:pt>
                <c:pt idx="28">
                  <c:v>48.747800000000005</c:v>
                </c:pt>
                <c:pt idx="29">
                  <c:v>48.542900000000003</c:v>
                </c:pt>
                <c:pt idx="30">
                  <c:v>48.357099999999996</c:v>
                </c:pt>
                <c:pt idx="31">
                  <c:v>48.2194</c:v>
                </c:pt>
                <c:pt idx="32">
                  <c:v>48.0839</c:v>
                </c:pt>
                <c:pt idx="33">
                  <c:v>47.881099999999996</c:v>
                </c:pt>
                <c:pt idx="34">
                  <c:v>47.686299999999996</c:v>
                </c:pt>
                <c:pt idx="35">
                  <c:v>47.539900000000003</c:v>
                </c:pt>
                <c:pt idx="36">
                  <c:v>47.440800000000003</c:v>
                </c:pt>
                <c:pt idx="37">
                  <c:v>47.328900000000004</c:v>
                </c:pt>
                <c:pt idx="38">
                  <c:v>47.223599999999998</c:v>
                </c:pt>
                <c:pt idx="39">
                  <c:v>47.107199999999999</c:v>
                </c:pt>
                <c:pt idx="40">
                  <c:v>46.988900000000001</c:v>
                </c:pt>
                <c:pt idx="41">
                  <c:v>46.9343</c:v>
                </c:pt>
                <c:pt idx="42">
                  <c:v>46.841500000000003</c:v>
                </c:pt>
                <c:pt idx="43">
                  <c:v>46.762700000000002</c:v>
                </c:pt>
                <c:pt idx="44">
                  <c:v>46.649299999999997</c:v>
                </c:pt>
                <c:pt idx="45">
                  <c:v>46.5852</c:v>
                </c:pt>
                <c:pt idx="46">
                  <c:v>46.583799999999997</c:v>
                </c:pt>
                <c:pt idx="47">
                  <c:v>46.555</c:v>
                </c:pt>
                <c:pt idx="48">
                  <c:v>46.479500000000002</c:v>
                </c:pt>
                <c:pt idx="49">
                  <c:v>46.404200000000003</c:v>
                </c:pt>
                <c:pt idx="50">
                  <c:v>46.350999999999999</c:v>
                </c:pt>
                <c:pt idx="51">
                  <c:v>46.216799999999999</c:v>
                </c:pt>
                <c:pt idx="52">
                  <c:v>46.0426</c:v>
                </c:pt>
                <c:pt idx="53">
                  <c:v>45.883200000000002</c:v>
                </c:pt>
                <c:pt idx="54">
                  <c:v>45.7117</c:v>
                </c:pt>
                <c:pt idx="55">
                  <c:v>45.463200000000001</c:v>
                </c:pt>
                <c:pt idx="56">
                  <c:v>45.279799999999994</c:v>
                </c:pt>
                <c:pt idx="57">
                  <c:v>45.140500000000003</c:v>
                </c:pt>
                <c:pt idx="58">
                  <c:v>45.273400000000002</c:v>
                </c:pt>
                <c:pt idx="59">
                  <c:v>45.4908</c:v>
                </c:pt>
                <c:pt idx="60">
                  <c:v>45.582099999999997</c:v>
                </c:pt>
                <c:pt idx="61">
                  <c:v>45.847799999999999</c:v>
                </c:pt>
                <c:pt idx="62">
                  <c:v>45.954499999999996</c:v>
                </c:pt>
                <c:pt idx="63">
                  <c:v>46.210999999999999</c:v>
                </c:pt>
                <c:pt idx="64">
                  <c:v>46.503799999999998</c:v>
                </c:pt>
                <c:pt idx="65">
                  <c:v>46.816299999999998</c:v>
                </c:pt>
                <c:pt idx="66">
                  <c:v>47.2849</c:v>
                </c:pt>
                <c:pt idx="67">
                  <c:v>47.689</c:v>
                </c:pt>
                <c:pt idx="68">
                  <c:v>48.012700000000002</c:v>
                </c:pt>
                <c:pt idx="69">
                  <c:v>48.683999999999997</c:v>
                </c:pt>
                <c:pt idx="70">
                  <c:v>49.1539</c:v>
                </c:pt>
                <c:pt idx="71">
                  <c:v>49.640599999999999</c:v>
                </c:pt>
                <c:pt idx="72">
                  <c:v>50.0749</c:v>
                </c:pt>
                <c:pt idx="73">
                  <c:v>50.517000000000003</c:v>
                </c:pt>
                <c:pt idx="74">
                  <c:v>50.955600000000004</c:v>
                </c:pt>
                <c:pt idx="75">
                  <c:v>51.443399999999997</c:v>
                </c:pt>
                <c:pt idx="76">
                  <c:v>51.974399999999996</c:v>
                </c:pt>
                <c:pt idx="77">
                  <c:v>52.512700000000002</c:v>
                </c:pt>
                <c:pt idx="78">
                  <c:v>53.091000000000001</c:v>
                </c:pt>
                <c:pt idx="79">
                  <c:v>53.763399999999997</c:v>
                </c:pt>
                <c:pt idx="80">
                  <c:v>54.474000000000004</c:v>
                </c:pt>
                <c:pt idx="81">
                  <c:v>55.169599999999996</c:v>
                </c:pt>
                <c:pt idx="82">
                  <c:v>55.818400000000004</c:v>
                </c:pt>
                <c:pt idx="83">
                  <c:v>56.368899999999996</c:v>
                </c:pt>
                <c:pt idx="84">
                  <c:v>56.901999999999994</c:v>
                </c:pt>
                <c:pt idx="85">
                  <c:v>57.344999999999999</c:v>
                </c:pt>
                <c:pt idx="86">
                  <c:v>57.753299999999996</c:v>
                </c:pt>
                <c:pt idx="87">
                  <c:v>58.181899999999999</c:v>
                </c:pt>
                <c:pt idx="88">
                  <c:v>58.717100000000002</c:v>
                </c:pt>
                <c:pt idx="89">
                  <c:v>59.293600000000005</c:v>
                </c:pt>
                <c:pt idx="90">
                  <c:v>59.8521</c:v>
                </c:pt>
                <c:pt idx="91">
                  <c:v>60.443800000000003</c:v>
                </c:pt>
                <c:pt idx="92">
                  <c:v>61.031700000000001</c:v>
                </c:pt>
                <c:pt idx="93">
                  <c:v>61.695299999999996</c:v>
                </c:pt>
                <c:pt idx="94">
                  <c:v>62.2834</c:v>
                </c:pt>
                <c:pt idx="95">
                  <c:v>62.807000000000002</c:v>
                </c:pt>
                <c:pt idx="96">
                  <c:v>63.222699999999996</c:v>
                </c:pt>
                <c:pt idx="97">
                  <c:v>63.494900000000001</c:v>
                </c:pt>
                <c:pt idx="98">
                  <c:v>63.5398</c:v>
                </c:pt>
                <c:pt idx="99">
                  <c:v>63.320600000000006</c:v>
                </c:pt>
                <c:pt idx="100">
                  <c:v>62.893799999999999</c:v>
                </c:pt>
                <c:pt idx="101">
                  <c:v>62.4039</c:v>
                </c:pt>
                <c:pt idx="102">
                  <c:v>61.754600000000003</c:v>
                </c:pt>
                <c:pt idx="103">
                  <c:v>61.173100000000005</c:v>
                </c:pt>
                <c:pt idx="104">
                  <c:v>60.628300000000003</c:v>
                </c:pt>
                <c:pt idx="105">
                  <c:v>60.139800000000001</c:v>
                </c:pt>
                <c:pt idx="106">
                  <c:v>59.707900000000002</c:v>
                </c:pt>
                <c:pt idx="107">
                  <c:v>59.226700000000001</c:v>
                </c:pt>
                <c:pt idx="108">
                  <c:v>58.609900000000003</c:v>
                </c:pt>
                <c:pt idx="109">
                  <c:v>57.931800000000003</c:v>
                </c:pt>
                <c:pt idx="110">
                  <c:v>57.079899999999995</c:v>
                </c:pt>
                <c:pt idx="111">
                  <c:v>56.264400000000002</c:v>
                </c:pt>
                <c:pt idx="112">
                  <c:v>55.527700000000003</c:v>
                </c:pt>
                <c:pt idx="113">
                  <c:v>54.901400000000002</c:v>
                </c:pt>
                <c:pt idx="114">
                  <c:v>54.307700000000004</c:v>
                </c:pt>
                <c:pt idx="115">
                  <c:v>53.802999999999997</c:v>
                </c:pt>
                <c:pt idx="116">
                  <c:v>53.360199999999999</c:v>
                </c:pt>
                <c:pt idx="117">
                  <c:v>52.884799999999998</c:v>
                </c:pt>
                <c:pt idx="118">
                  <c:v>52.354599999999998</c:v>
                </c:pt>
                <c:pt idx="119">
                  <c:v>51.920100000000005</c:v>
                </c:pt>
                <c:pt idx="120">
                  <c:v>51.4925</c:v>
                </c:pt>
                <c:pt idx="121">
                  <c:v>50.973199999999999</c:v>
                </c:pt>
                <c:pt idx="122">
                  <c:v>50.4803</c:v>
                </c:pt>
                <c:pt idx="123">
                  <c:v>49.995899999999999</c:v>
                </c:pt>
                <c:pt idx="124">
                  <c:v>49.686199999999999</c:v>
                </c:pt>
                <c:pt idx="125">
                  <c:v>49.558700000000002</c:v>
                </c:pt>
                <c:pt idx="126">
                  <c:v>49.4405</c:v>
                </c:pt>
                <c:pt idx="127">
                  <c:v>49.331199999999995</c:v>
                </c:pt>
                <c:pt idx="128">
                  <c:v>49.2179</c:v>
                </c:pt>
                <c:pt idx="129">
                  <c:v>49.080400000000004</c:v>
                </c:pt>
                <c:pt idx="130">
                  <c:v>48.920900000000003</c:v>
                </c:pt>
                <c:pt idx="131">
                  <c:v>48.761900000000004</c:v>
                </c:pt>
                <c:pt idx="132">
                  <c:v>48.615600000000001</c:v>
                </c:pt>
                <c:pt idx="133">
                  <c:v>48.498100000000001</c:v>
                </c:pt>
                <c:pt idx="134">
                  <c:v>48.382199999999997</c:v>
                </c:pt>
                <c:pt idx="135">
                  <c:v>48.282399999999996</c:v>
                </c:pt>
                <c:pt idx="136">
                  <c:v>48.179000000000002</c:v>
                </c:pt>
                <c:pt idx="137">
                  <c:v>48.076099999999997</c:v>
                </c:pt>
                <c:pt idx="138">
                  <c:v>47.956600000000002</c:v>
                </c:pt>
                <c:pt idx="139">
                  <c:v>47.8065</c:v>
                </c:pt>
                <c:pt idx="140">
                  <c:v>47.622700000000002</c:v>
                </c:pt>
                <c:pt idx="141">
                  <c:v>47.379399999999997</c:v>
                </c:pt>
                <c:pt idx="142">
                  <c:v>47.145299999999999</c:v>
                </c:pt>
                <c:pt idx="143">
                  <c:v>46.937200000000004</c:v>
                </c:pt>
                <c:pt idx="144">
                  <c:v>46.683400000000006</c:v>
                </c:pt>
                <c:pt idx="145">
                  <c:v>46.529399999999995</c:v>
                </c:pt>
                <c:pt idx="146">
                  <c:v>46.483200000000004</c:v>
                </c:pt>
                <c:pt idx="147">
                  <c:v>46.2988</c:v>
                </c:pt>
                <c:pt idx="148">
                  <c:v>46.077400000000004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1.1651899999999999</c:v>
                </c:pt>
                <c:pt idx="1">
                  <c:v>1.1944399999999999</c:v>
                </c:pt>
                <c:pt idx="2">
                  <c:v>1.2242899999999999</c:v>
                </c:pt>
                <c:pt idx="3">
                  <c:v>1.2573599999999998</c:v>
                </c:pt>
                <c:pt idx="4">
                  <c:v>1.29366</c:v>
                </c:pt>
                <c:pt idx="5">
                  <c:v>1.3289500000000001</c:v>
                </c:pt>
                <c:pt idx="6">
                  <c:v>1.3648400000000001</c:v>
                </c:pt>
                <c:pt idx="7">
                  <c:v>1.3997000000000002</c:v>
                </c:pt>
                <c:pt idx="8">
                  <c:v>1.4358399999999998</c:v>
                </c:pt>
                <c:pt idx="9">
                  <c:v>1.47234</c:v>
                </c:pt>
                <c:pt idx="10">
                  <c:v>1.5096599999999998</c:v>
                </c:pt>
                <c:pt idx="11">
                  <c:v>1.5469200000000001</c:v>
                </c:pt>
                <c:pt idx="12">
                  <c:v>1.5828600000000002</c:v>
                </c:pt>
                <c:pt idx="13">
                  <c:v>1.6177299999999999</c:v>
                </c:pt>
                <c:pt idx="14">
                  <c:v>1.6513</c:v>
                </c:pt>
                <c:pt idx="15">
                  <c:v>1.6853499999999999</c:v>
                </c:pt>
                <c:pt idx="16">
                  <c:v>1.7216100000000001</c:v>
                </c:pt>
                <c:pt idx="17">
                  <c:v>1.75963</c:v>
                </c:pt>
                <c:pt idx="18">
                  <c:v>1.7971500000000002</c:v>
                </c:pt>
                <c:pt idx="19">
                  <c:v>1.8325100000000001</c:v>
                </c:pt>
                <c:pt idx="20">
                  <c:v>1.8677999999999999</c:v>
                </c:pt>
                <c:pt idx="21">
                  <c:v>1.9020899999999998</c:v>
                </c:pt>
                <c:pt idx="22">
                  <c:v>1.93462</c:v>
                </c:pt>
                <c:pt idx="23">
                  <c:v>1.9634399999999999</c:v>
                </c:pt>
                <c:pt idx="24">
                  <c:v>1.9927900000000001</c:v>
                </c:pt>
                <c:pt idx="25">
                  <c:v>2.02169</c:v>
                </c:pt>
                <c:pt idx="26">
                  <c:v>2.0490900000000001</c:v>
                </c:pt>
                <c:pt idx="27">
                  <c:v>2.0750099999999998</c:v>
                </c:pt>
                <c:pt idx="28">
                  <c:v>2.1007600000000002</c:v>
                </c:pt>
                <c:pt idx="29">
                  <c:v>2.1252299999999997</c:v>
                </c:pt>
                <c:pt idx="30">
                  <c:v>2.1486999999999998</c:v>
                </c:pt>
                <c:pt idx="31">
                  <c:v>2.1703700000000001</c:v>
                </c:pt>
                <c:pt idx="32">
                  <c:v>2.1902599999999999</c:v>
                </c:pt>
                <c:pt idx="33">
                  <c:v>2.2104599999999999</c:v>
                </c:pt>
                <c:pt idx="34">
                  <c:v>2.2312000000000003</c:v>
                </c:pt>
                <c:pt idx="35">
                  <c:v>2.25047</c:v>
                </c:pt>
                <c:pt idx="36">
                  <c:v>2.2674099999999999</c:v>
                </c:pt>
                <c:pt idx="37">
                  <c:v>2.28424</c:v>
                </c:pt>
                <c:pt idx="38">
                  <c:v>2.3008999999999999</c:v>
                </c:pt>
                <c:pt idx="39">
                  <c:v>2.3176899999999998</c:v>
                </c:pt>
                <c:pt idx="40">
                  <c:v>2.3327400000000003</c:v>
                </c:pt>
                <c:pt idx="41">
                  <c:v>2.3444799999999999</c:v>
                </c:pt>
                <c:pt idx="42">
                  <c:v>2.3546200000000002</c:v>
                </c:pt>
                <c:pt idx="43">
                  <c:v>2.36341</c:v>
                </c:pt>
                <c:pt idx="44">
                  <c:v>2.3729900000000002</c:v>
                </c:pt>
                <c:pt idx="45">
                  <c:v>2.3811200000000001</c:v>
                </c:pt>
                <c:pt idx="46">
                  <c:v>2.3853800000000001</c:v>
                </c:pt>
                <c:pt idx="47">
                  <c:v>2.3882700000000003</c:v>
                </c:pt>
                <c:pt idx="48">
                  <c:v>2.3898000000000001</c:v>
                </c:pt>
                <c:pt idx="49">
                  <c:v>2.3894199999999999</c:v>
                </c:pt>
                <c:pt idx="50">
                  <c:v>2.3906399999999999</c:v>
                </c:pt>
                <c:pt idx="51">
                  <c:v>2.3900999999999999</c:v>
                </c:pt>
                <c:pt idx="52">
                  <c:v>2.3892600000000002</c:v>
                </c:pt>
                <c:pt idx="53">
                  <c:v>2.3859900000000001</c:v>
                </c:pt>
                <c:pt idx="54">
                  <c:v>2.3809300000000002</c:v>
                </c:pt>
                <c:pt idx="55">
                  <c:v>2.37134</c:v>
                </c:pt>
                <c:pt idx="56">
                  <c:v>2.3649500000000003</c:v>
                </c:pt>
                <c:pt idx="57">
                  <c:v>2.36151</c:v>
                </c:pt>
                <c:pt idx="58">
                  <c:v>2.3465600000000002</c:v>
                </c:pt>
                <c:pt idx="59">
                  <c:v>2.3321100000000001</c:v>
                </c:pt>
                <c:pt idx="60">
                  <c:v>2.3212700000000002</c:v>
                </c:pt>
                <c:pt idx="61">
                  <c:v>2.2976700000000001</c:v>
                </c:pt>
                <c:pt idx="62">
                  <c:v>2.2847600000000003</c:v>
                </c:pt>
                <c:pt idx="63">
                  <c:v>2.26484</c:v>
                </c:pt>
                <c:pt idx="64">
                  <c:v>2.24464</c:v>
                </c:pt>
                <c:pt idx="65">
                  <c:v>2.2224599999999999</c:v>
                </c:pt>
                <c:pt idx="66">
                  <c:v>2.1942900000000001</c:v>
                </c:pt>
                <c:pt idx="67">
                  <c:v>2.1685599999999998</c:v>
                </c:pt>
                <c:pt idx="68">
                  <c:v>2.1491400000000001</c:v>
                </c:pt>
                <c:pt idx="69">
                  <c:v>2.1147399999999998</c:v>
                </c:pt>
                <c:pt idx="70">
                  <c:v>2.0925799999999999</c:v>
                </c:pt>
                <c:pt idx="71">
                  <c:v>2.0670799999999998</c:v>
                </c:pt>
                <c:pt idx="72">
                  <c:v>2.0403599999999997</c:v>
                </c:pt>
                <c:pt idx="73">
                  <c:v>2.0076399999999999</c:v>
                </c:pt>
                <c:pt idx="74">
                  <c:v>1.9812699999999999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69.485399999999998</c:v>
                </c:pt>
                <c:pt idx="1">
                  <c:v>68.548100000000005</c:v>
                </c:pt>
                <c:pt idx="2">
                  <c:v>67.587100000000007</c:v>
                </c:pt>
                <c:pt idx="3">
                  <c:v>66.561099999999996</c:v>
                </c:pt>
                <c:pt idx="4">
                  <c:v>65.472699999999989</c:v>
                </c:pt>
                <c:pt idx="5">
                  <c:v>64.407200000000003</c:v>
                </c:pt>
                <c:pt idx="6">
                  <c:v>63.343199999999996</c:v>
                </c:pt>
                <c:pt idx="7">
                  <c:v>62.246299999999998</c:v>
                </c:pt>
                <c:pt idx="8">
                  <c:v>61.102699999999999</c:v>
                </c:pt>
                <c:pt idx="9">
                  <c:v>59.986399999999996</c:v>
                </c:pt>
                <c:pt idx="10">
                  <c:v>58.908899999999996</c:v>
                </c:pt>
                <c:pt idx="11">
                  <c:v>57.889400000000002</c:v>
                </c:pt>
                <c:pt idx="12">
                  <c:v>56.946600000000004</c:v>
                </c:pt>
                <c:pt idx="13">
                  <c:v>56.0867</c:v>
                </c:pt>
                <c:pt idx="14">
                  <c:v>55.332400000000007</c:v>
                </c:pt>
                <c:pt idx="15">
                  <c:v>54.629799999999996</c:v>
                </c:pt>
                <c:pt idx="16">
                  <c:v>53.845600000000005</c:v>
                </c:pt>
                <c:pt idx="17">
                  <c:v>53.061999999999998</c:v>
                </c:pt>
                <c:pt idx="18">
                  <c:v>52.319000000000003</c:v>
                </c:pt>
                <c:pt idx="19">
                  <c:v>51.683199999999999</c:v>
                </c:pt>
                <c:pt idx="20">
                  <c:v>51.0505</c:v>
                </c:pt>
                <c:pt idx="21">
                  <c:v>50.510600000000004</c:v>
                </c:pt>
                <c:pt idx="22">
                  <c:v>50.100100000000005</c:v>
                </c:pt>
                <c:pt idx="23">
                  <c:v>49.8322</c:v>
                </c:pt>
                <c:pt idx="24">
                  <c:v>49.525700000000001</c:v>
                </c:pt>
                <c:pt idx="25">
                  <c:v>49.259599999999999</c:v>
                </c:pt>
                <c:pt idx="26">
                  <c:v>49.067100000000003</c:v>
                </c:pt>
                <c:pt idx="27">
                  <c:v>48.936</c:v>
                </c:pt>
                <c:pt idx="28">
                  <c:v>48.747800000000005</c:v>
                </c:pt>
                <c:pt idx="29">
                  <c:v>48.542900000000003</c:v>
                </c:pt>
                <c:pt idx="30">
                  <c:v>48.357099999999996</c:v>
                </c:pt>
                <c:pt idx="31">
                  <c:v>48.2194</c:v>
                </c:pt>
                <c:pt idx="32">
                  <c:v>48.0839</c:v>
                </c:pt>
                <c:pt idx="33">
                  <c:v>47.881099999999996</c:v>
                </c:pt>
                <c:pt idx="34">
                  <c:v>47.686299999999996</c:v>
                </c:pt>
                <c:pt idx="35">
                  <c:v>47.539900000000003</c:v>
                </c:pt>
                <c:pt idx="36">
                  <c:v>47.440800000000003</c:v>
                </c:pt>
                <c:pt idx="37">
                  <c:v>47.328900000000004</c:v>
                </c:pt>
                <c:pt idx="38">
                  <c:v>47.223599999999998</c:v>
                </c:pt>
                <c:pt idx="39">
                  <c:v>47.107199999999999</c:v>
                </c:pt>
                <c:pt idx="40">
                  <c:v>46.988900000000001</c:v>
                </c:pt>
                <c:pt idx="41">
                  <c:v>46.9343</c:v>
                </c:pt>
                <c:pt idx="42">
                  <c:v>46.841500000000003</c:v>
                </c:pt>
                <c:pt idx="43">
                  <c:v>46.762700000000002</c:v>
                </c:pt>
                <c:pt idx="44">
                  <c:v>46.649299999999997</c:v>
                </c:pt>
                <c:pt idx="45">
                  <c:v>46.5852</c:v>
                </c:pt>
                <c:pt idx="46">
                  <c:v>46.583799999999997</c:v>
                </c:pt>
                <c:pt idx="47">
                  <c:v>46.555</c:v>
                </c:pt>
                <c:pt idx="48">
                  <c:v>46.479500000000002</c:v>
                </c:pt>
                <c:pt idx="49">
                  <c:v>46.404200000000003</c:v>
                </c:pt>
                <c:pt idx="50">
                  <c:v>46.350999999999999</c:v>
                </c:pt>
                <c:pt idx="51">
                  <c:v>46.216799999999999</c:v>
                </c:pt>
                <c:pt idx="52">
                  <c:v>46.0426</c:v>
                </c:pt>
                <c:pt idx="53">
                  <c:v>45.883200000000002</c:v>
                </c:pt>
                <c:pt idx="54">
                  <c:v>45.7117</c:v>
                </c:pt>
                <c:pt idx="55">
                  <c:v>45.463200000000001</c:v>
                </c:pt>
                <c:pt idx="56">
                  <c:v>45.279799999999994</c:v>
                </c:pt>
                <c:pt idx="57">
                  <c:v>45.140500000000003</c:v>
                </c:pt>
                <c:pt idx="58">
                  <c:v>45.273400000000002</c:v>
                </c:pt>
                <c:pt idx="59">
                  <c:v>45.4908</c:v>
                </c:pt>
                <c:pt idx="60">
                  <c:v>45.582099999999997</c:v>
                </c:pt>
                <c:pt idx="61">
                  <c:v>45.847799999999999</c:v>
                </c:pt>
                <c:pt idx="62">
                  <c:v>45.954499999999996</c:v>
                </c:pt>
                <c:pt idx="63">
                  <c:v>46.210999999999999</c:v>
                </c:pt>
                <c:pt idx="64">
                  <c:v>46.503799999999998</c:v>
                </c:pt>
                <c:pt idx="65">
                  <c:v>46.816299999999998</c:v>
                </c:pt>
                <c:pt idx="66">
                  <c:v>47.2849</c:v>
                </c:pt>
                <c:pt idx="67">
                  <c:v>47.689</c:v>
                </c:pt>
                <c:pt idx="68">
                  <c:v>48.012700000000002</c:v>
                </c:pt>
                <c:pt idx="69">
                  <c:v>48.683999999999997</c:v>
                </c:pt>
                <c:pt idx="70">
                  <c:v>49.1539</c:v>
                </c:pt>
                <c:pt idx="71">
                  <c:v>49.640599999999999</c:v>
                </c:pt>
                <c:pt idx="72">
                  <c:v>50.0749</c:v>
                </c:pt>
                <c:pt idx="73">
                  <c:v>50.517000000000003</c:v>
                </c:pt>
                <c:pt idx="74">
                  <c:v>50.955600000000004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1.9812699999999999</c:v>
                </c:pt>
                <c:pt idx="1">
                  <c:v>1.9530800000000001</c:v>
                </c:pt>
                <c:pt idx="2">
                  <c:v>1.9231799999999999</c:v>
                </c:pt>
                <c:pt idx="3">
                  <c:v>1.89246</c:v>
                </c:pt>
                <c:pt idx="4">
                  <c:v>1.86202</c:v>
                </c:pt>
                <c:pt idx="5">
                  <c:v>1.83182</c:v>
                </c:pt>
                <c:pt idx="6">
                  <c:v>1.8021699999999998</c:v>
                </c:pt>
                <c:pt idx="7">
                  <c:v>1.7738499999999999</c:v>
                </c:pt>
                <c:pt idx="8">
                  <c:v>1.74675</c:v>
                </c:pt>
                <c:pt idx="9">
                  <c:v>1.7114099999999999</c:v>
                </c:pt>
                <c:pt idx="10">
                  <c:v>1.6750399999999999</c:v>
                </c:pt>
                <c:pt idx="11">
                  <c:v>1.6414899999999999</c:v>
                </c:pt>
                <c:pt idx="12">
                  <c:v>1.6083800000000001</c:v>
                </c:pt>
                <c:pt idx="13">
                  <c:v>1.5748899999999999</c:v>
                </c:pt>
                <c:pt idx="14">
                  <c:v>1.53939</c:v>
                </c:pt>
                <c:pt idx="15">
                  <c:v>1.5049699999999999</c:v>
                </c:pt>
                <c:pt idx="16">
                  <c:v>1.4730599999999998</c:v>
                </c:pt>
                <c:pt idx="17">
                  <c:v>1.4423300000000001</c:v>
                </c:pt>
                <c:pt idx="18">
                  <c:v>1.4139299999999999</c:v>
                </c:pt>
                <c:pt idx="19">
                  <c:v>1.3853499999999999</c:v>
                </c:pt>
                <c:pt idx="20">
                  <c:v>1.3590599999999999</c:v>
                </c:pt>
                <c:pt idx="21">
                  <c:v>1.3348399999999998</c:v>
                </c:pt>
                <c:pt idx="22">
                  <c:v>1.3165499999999999</c:v>
                </c:pt>
                <c:pt idx="23">
                  <c:v>1.3041700000000001</c:v>
                </c:pt>
                <c:pt idx="24">
                  <c:v>1.3008900000000001</c:v>
                </c:pt>
                <c:pt idx="25">
                  <c:v>1.3048999999999999</c:v>
                </c:pt>
                <c:pt idx="26">
                  <c:v>1.3150200000000001</c:v>
                </c:pt>
                <c:pt idx="27">
                  <c:v>1.3272600000000001</c:v>
                </c:pt>
                <c:pt idx="28">
                  <c:v>1.34572</c:v>
                </c:pt>
                <c:pt idx="29">
                  <c:v>1.36429</c:v>
                </c:pt>
                <c:pt idx="30">
                  <c:v>1.3834</c:v>
                </c:pt>
                <c:pt idx="31">
                  <c:v>1.4028399999999999</c:v>
                </c:pt>
                <c:pt idx="32">
                  <c:v>1.42116</c:v>
                </c:pt>
                <c:pt idx="33">
                  <c:v>1.4412</c:v>
                </c:pt>
                <c:pt idx="34">
                  <c:v>1.4669099999999999</c:v>
                </c:pt>
                <c:pt idx="35">
                  <c:v>1.4963000000000002</c:v>
                </c:pt>
                <c:pt idx="36">
                  <c:v>1.5323100000000001</c:v>
                </c:pt>
                <c:pt idx="37">
                  <c:v>1.5712100000000002</c:v>
                </c:pt>
                <c:pt idx="38">
                  <c:v>1.61002</c:v>
                </c:pt>
                <c:pt idx="39">
                  <c:v>1.6484199999999998</c:v>
                </c:pt>
                <c:pt idx="40">
                  <c:v>1.68685</c:v>
                </c:pt>
                <c:pt idx="41">
                  <c:v>1.72255</c:v>
                </c:pt>
                <c:pt idx="42">
                  <c:v>1.7551099999999999</c:v>
                </c:pt>
                <c:pt idx="43">
                  <c:v>1.7885499999999999</c:v>
                </c:pt>
                <c:pt idx="44">
                  <c:v>1.8243400000000001</c:v>
                </c:pt>
                <c:pt idx="45">
                  <c:v>1.8567</c:v>
                </c:pt>
                <c:pt idx="46">
                  <c:v>1.8876399999999998</c:v>
                </c:pt>
                <c:pt idx="47">
                  <c:v>1.9201099999999998</c:v>
                </c:pt>
                <c:pt idx="48">
                  <c:v>1.95364</c:v>
                </c:pt>
                <c:pt idx="49">
                  <c:v>1.9839300000000002</c:v>
                </c:pt>
                <c:pt idx="50">
                  <c:v>2.0024600000000001</c:v>
                </c:pt>
                <c:pt idx="51">
                  <c:v>2.0140899999999999</c:v>
                </c:pt>
                <c:pt idx="52">
                  <c:v>2.0268600000000001</c:v>
                </c:pt>
                <c:pt idx="53">
                  <c:v>2.0402200000000001</c:v>
                </c:pt>
                <c:pt idx="54">
                  <c:v>2.0548099999999998</c:v>
                </c:pt>
                <c:pt idx="55">
                  <c:v>2.07104</c:v>
                </c:pt>
                <c:pt idx="56">
                  <c:v>2.0892200000000001</c:v>
                </c:pt>
                <c:pt idx="57">
                  <c:v>2.1083499999999997</c:v>
                </c:pt>
                <c:pt idx="58">
                  <c:v>2.12758</c:v>
                </c:pt>
                <c:pt idx="59">
                  <c:v>2.1455600000000001</c:v>
                </c:pt>
                <c:pt idx="60">
                  <c:v>2.16343</c:v>
                </c:pt>
                <c:pt idx="61">
                  <c:v>2.1773799999999999</c:v>
                </c:pt>
                <c:pt idx="62">
                  <c:v>2.1901000000000002</c:v>
                </c:pt>
                <c:pt idx="63">
                  <c:v>2.20323</c:v>
                </c:pt>
                <c:pt idx="64">
                  <c:v>2.2176100000000001</c:v>
                </c:pt>
                <c:pt idx="65">
                  <c:v>2.2301000000000002</c:v>
                </c:pt>
                <c:pt idx="66">
                  <c:v>2.2456400000000003</c:v>
                </c:pt>
                <c:pt idx="67">
                  <c:v>2.2643599999999999</c:v>
                </c:pt>
                <c:pt idx="68">
                  <c:v>2.2822899999999997</c:v>
                </c:pt>
                <c:pt idx="69">
                  <c:v>2.2948</c:v>
                </c:pt>
                <c:pt idx="70">
                  <c:v>2.3153099999999998</c:v>
                </c:pt>
                <c:pt idx="71">
                  <c:v>2.3410800000000003</c:v>
                </c:pt>
                <c:pt idx="72">
                  <c:v>2.3516900000000001</c:v>
                </c:pt>
                <c:pt idx="73">
                  <c:v>2.3553699999999997</c:v>
                </c:pt>
                <c:pt idx="74">
                  <c:v>2.3649400000000003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50.955600000000004</c:v>
                </c:pt>
                <c:pt idx="1">
                  <c:v>51.443399999999997</c:v>
                </c:pt>
                <c:pt idx="2">
                  <c:v>51.974399999999996</c:v>
                </c:pt>
                <c:pt idx="3">
                  <c:v>52.512700000000002</c:v>
                </c:pt>
                <c:pt idx="4">
                  <c:v>53.091000000000001</c:v>
                </c:pt>
                <c:pt idx="5">
                  <c:v>53.763399999999997</c:v>
                </c:pt>
                <c:pt idx="6">
                  <c:v>54.474000000000004</c:v>
                </c:pt>
                <c:pt idx="7">
                  <c:v>55.169599999999996</c:v>
                </c:pt>
                <c:pt idx="8">
                  <c:v>55.818400000000004</c:v>
                </c:pt>
                <c:pt idx="9">
                  <c:v>56.368899999999996</c:v>
                </c:pt>
                <c:pt idx="10">
                  <c:v>56.901999999999994</c:v>
                </c:pt>
                <c:pt idx="11">
                  <c:v>57.344999999999999</c:v>
                </c:pt>
                <c:pt idx="12">
                  <c:v>57.753299999999996</c:v>
                </c:pt>
                <c:pt idx="13">
                  <c:v>58.181899999999999</c:v>
                </c:pt>
                <c:pt idx="14">
                  <c:v>58.717100000000002</c:v>
                </c:pt>
                <c:pt idx="15">
                  <c:v>59.293600000000005</c:v>
                </c:pt>
                <c:pt idx="16">
                  <c:v>59.8521</c:v>
                </c:pt>
                <c:pt idx="17">
                  <c:v>60.443800000000003</c:v>
                </c:pt>
                <c:pt idx="18">
                  <c:v>61.031700000000001</c:v>
                </c:pt>
                <c:pt idx="19">
                  <c:v>61.695299999999996</c:v>
                </c:pt>
                <c:pt idx="20">
                  <c:v>62.2834</c:v>
                </c:pt>
                <c:pt idx="21">
                  <c:v>62.807000000000002</c:v>
                </c:pt>
                <c:pt idx="22">
                  <c:v>63.222699999999996</c:v>
                </c:pt>
                <c:pt idx="23">
                  <c:v>63.494900000000001</c:v>
                </c:pt>
                <c:pt idx="24">
                  <c:v>63.5398</c:v>
                </c:pt>
                <c:pt idx="25">
                  <c:v>63.320600000000006</c:v>
                </c:pt>
                <c:pt idx="26">
                  <c:v>62.893799999999999</c:v>
                </c:pt>
                <c:pt idx="27">
                  <c:v>62.4039</c:v>
                </c:pt>
                <c:pt idx="28">
                  <c:v>61.754600000000003</c:v>
                </c:pt>
                <c:pt idx="29">
                  <c:v>61.173100000000005</c:v>
                </c:pt>
                <c:pt idx="30">
                  <c:v>60.628300000000003</c:v>
                </c:pt>
                <c:pt idx="31">
                  <c:v>60.139800000000001</c:v>
                </c:pt>
                <c:pt idx="32">
                  <c:v>59.707900000000002</c:v>
                </c:pt>
                <c:pt idx="33">
                  <c:v>59.226700000000001</c:v>
                </c:pt>
                <c:pt idx="34">
                  <c:v>58.609900000000003</c:v>
                </c:pt>
                <c:pt idx="35">
                  <c:v>57.931800000000003</c:v>
                </c:pt>
                <c:pt idx="36">
                  <c:v>57.079899999999995</c:v>
                </c:pt>
                <c:pt idx="37">
                  <c:v>56.264400000000002</c:v>
                </c:pt>
                <c:pt idx="38">
                  <c:v>55.527700000000003</c:v>
                </c:pt>
                <c:pt idx="39">
                  <c:v>54.901400000000002</c:v>
                </c:pt>
                <c:pt idx="40">
                  <c:v>54.307700000000004</c:v>
                </c:pt>
                <c:pt idx="41">
                  <c:v>53.802999999999997</c:v>
                </c:pt>
                <c:pt idx="42">
                  <c:v>53.360199999999999</c:v>
                </c:pt>
                <c:pt idx="43">
                  <c:v>52.884799999999998</c:v>
                </c:pt>
                <c:pt idx="44">
                  <c:v>52.354599999999998</c:v>
                </c:pt>
                <c:pt idx="45">
                  <c:v>51.920100000000005</c:v>
                </c:pt>
                <c:pt idx="46">
                  <c:v>51.4925</c:v>
                </c:pt>
                <c:pt idx="47">
                  <c:v>50.973199999999999</c:v>
                </c:pt>
                <c:pt idx="48">
                  <c:v>50.4803</c:v>
                </c:pt>
                <c:pt idx="49">
                  <c:v>49.995899999999999</c:v>
                </c:pt>
                <c:pt idx="50">
                  <c:v>49.686199999999999</c:v>
                </c:pt>
                <c:pt idx="51">
                  <c:v>49.558700000000002</c:v>
                </c:pt>
                <c:pt idx="52">
                  <c:v>49.4405</c:v>
                </c:pt>
                <c:pt idx="53">
                  <c:v>49.331199999999995</c:v>
                </c:pt>
                <c:pt idx="54">
                  <c:v>49.2179</c:v>
                </c:pt>
                <c:pt idx="55">
                  <c:v>49.080400000000004</c:v>
                </c:pt>
                <c:pt idx="56">
                  <c:v>48.920900000000003</c:v>
                </c:pt>
                <c:pt idx="57">
                  <c:v>48.761900000000004</c:v>
                </c:pt>
                <c:pt idx="58">
                  <c:v>48.615600000000001</c:v>
                </c:pt>
                <c:pt idx="59">
                  <c:v>48.498100000000001</c:v>
                </c:pt>
                <c:pt idx="60">
                  <c:v>48.382199999999997</c:v>
                </c:pt>
                <c:pt idx="61">
                  <c:v>48.282399999999996</c:v>
                </c:pt>
                <c:pt idx="62">
                  <c:v>48.179000000000002</c:v>
                </c:pt>
                <c:pt idx="63">
                  <c:v>48.076099999999997</c:v>
                </c:pt>
                <c:pt idx="64">
                  <c:v>47.956600000000002</c:v>
                </c:pt>
                <c:pt idx="65">
                  <c:v>47.8065</c:v>
                </c:pt>
                <c:pt idx="66">
                  <c:v>47.622700000000002</c:v>
                </c:pt>
                <c:pt idx="67">
                  <c:v>47.379399999999997</c:v>
                </c:pt>
                <c:pt idx="68">
                  <c:v>47.145299999999999</c:v>
                </c:pt>
                <c:pt idx="69">
                  <c:v>46.937200000000004</c:v>
                </c:pt>
                <c:pt idx="70">
                  <c:v>46.683400000000006</c:v>
                </c:pt>
                <c:pt idx="71">
                  <c:v>46.529399999999995</c:v>
                </c:pt>
                <c:pt idx="72">
                  <c:v>46.483200000000004</c:v>
                </c:pt>
                <c:pt idx="73">
                  <c:v>46.2988</c:v>
                </c:pt>
                <c:pt idx="74">
                  <c:v>46.077400000000004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2.0287999999999999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50.858032432432445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1.7929095945945956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54.191144594594597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1.7929095945945956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54.191144594594597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0.31047514730896769</c:v>
                </c:pt>
                <c:pt idx="1">
                  <c:v>0.28682126149466636</c:v>
                </c:pt>
                <c:pt idx="2">
                  <c:v>0.4027035911963659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0.38189000000000001</c:v>
                </c:pt>
                <c:pt idx="2">
                  <c:v>0.78580000000000005</c:v>
                </c:pt>
                <c:pt idx="3">
                  <c:v>1.1898200000000001</c:v>
                </c:pt>
                <c:pt idx="4">
                  <c:v>1.59568</c:v>
                </c:pt>
                <c:pt idx="5">
                  <c:v>2.0027300000000001</c:v>
                </c:pt>
                <c:pt idx="6">
                  <c:v>2.4095300000000002</c:v>
                </c:pt>
                <c:pt idx="7">
                  <c:v>2.8173900000000001</c:v>
                </c:pt>
                <c:pt idx="8">
                  <c:v>3.2224400000000002</c:v>
                </c:pt>
                <c:pt idx="9">
                  <c:v>3.6262599999999998</c:v>
                </c:pt>
                <c:pt idx="10">
                  <c:v>4.0362600000000004</c:v>
                </c:pt>
                <c:pt idx="11">
                  <c:v>4.4430300000000003</c:v>
                </c:pt>
                <c:pt idx="12">
                  <c:v>4.8440000000000003</c:v>
                </c:pt>
                <c:pt idx="13">
                  <c:v>5.2550299999999996</c:v>
                </c:pt>
                <c:pt idx="14">
                  <c:v>5.6588599999999998</c:v>
                </c:pt>
                <c:pt idx="15">
                  <c:v>6.0639700000000003</c:v>
                </c:pt>
                <c:pt idx="16">
                  <c:v>6.4707299999999996</c:v>
                </c:pt>
                <c:pt idx="17">
                  <c:v>6.87852</c:v>
                </c:pt>
                <c:pt idx="18">
                  <c:v>7.2844100000000003</c:v>
                </c:pt>
                <c:pt idx="19">
                  <c:v>7.6893599999999998</c:v>
                </c:pt>
                <c:pt idx="20">
                  <c:v>8.0957399999999993</c:v>
                </c:pt>
                <c:pt idx="21">
                  <c:v>8.5021900000000006</c:v>
                </c:pt>
                <c:pt idx="22">
                  <c:v>8.9121600000000001</c:v>
                </c:pt>
                <c:pt idx="23">
                  <c:v>9.3170599999999997</c:v>
                </c:pt>
                <c:pt idx="24">
                  <c:v>9.7212800000000001</c:v>
                </c:pt>
                <c:pt idx="25">
                  <c:v>10.126799999999999</c:v>
                </c:pt>
                <c:pt idx="26">
                  <c:v>10.5328</c:v>
                </c:pt>
                <c:pt idx="27">
                  <c:v>10.941700000000001</c:v>
                </c:pt>
                <c:pt idx="28">
                  <c:v>11.348599999999999</c:v>
                </c:pt>
                <c:pt idx="29">
                  <c:v>11.7525</c:v>
                </c:pt>
                <c:pt idx="30">
                  <c:v>12.1584</c:v>
                </c:pt>
                <c:pt idx="31">
                  <c:v>12.565300000000001</c:v>
                </c:pt>
                <c:pt idx="32">
                  <c:v>12.969200000000001</c:v>
                </c:pt>
                <c:pt idx="33">
                  <c:v>13.3741</c:v>
                </c:pt>
                <c:pt idx="34">
                  <c:v>13.786</c:v>
                </c:pt>
                <c:pt idx="35">
                  <c:v>14.193</c:v>
                </c:pt>
                <c:pt idx="36">
                  <c:v>14.5968</c:v>
                </c:pt>
                <c:pt idx="37">
                  <c:v>15.002700000000001</c:v>
                </c:pt>
                <c:pt idx="38">
                  <c:v>15.407999999999999</c:v>
                </c:pt>
                <c:pt idx="39">
                  <c:v>15.813800000000001</c:v>
                </c:pt>
                <c:pt idx="40">
                  <c:v>16.224599999999999</c:v>
                </c:pt>
                <c:pt idx="41">
                  <c:v>16.627400000000002</c:v>
                </c:pt>
                <c:pt idx="42">
                  <c:v>17.035399999999999</c:v>
                </c:pt>
                <c:pt idx="43">
                  <c:v>17.4405</c:v>
                </c:pt>
                <c:pt idx="44">
                  <c:v>17.845199999999998</c:v>
                </c:pt>
                <c:pt idx="45">
                  <c:v>18.2531</c:v>
                </c:pt>
                <c:pt idx="46">
                  <c:v>18.658999999999999</c:v>
                </c:pt>
                <c:pt idx="47">
                  <c:v>19.064900000000002</c:v>
                </c:pt>
                <c:pt idx="48">
                  <c:v>19.469899999999999</c:v>
                </c:pt>
                <c:pt idx="49">
                  <c:v>19.878799999999998</c:v>
                </c:pt>
                <c:pt idx="50">
                  <c:v>20.285699999999999</c:v>
                </c:pt>
                <c:pt idx="51">
                  <c:v>20.687999999999999</c:v>
                </c:pt>
                <c:pt idx="52">
                  <c:v>21.096499999999999</c:v>
                </c:pt>
                <c:pt idx="53">
                  <c:v>21.502400000000002</c:v>
                </c:pt>
                <c:pt idx="54">
                  <c:v>21.9084</c:v>
                </c:pt>
                <c:pt idx="55">
                  <c:v>22.3172</c:v>
                </c:pt>
                <c:pt idx="56">
                  <c:v>22.7241</c:v>
                </c:pt>
                <c:pt idx="57">
                  <c:v>23.127099999999999</c:v>
                </c:pt>
                <c:pt idx="58">
                  <c:v>23.535</c:v>
                </c:pt>
                <c:pt idx="59">
                  <c:v>23.9419</c:v>
                </c:pt>
                <c:pt idx="60">
                  <c:v>24.344799999999999</c:v>
                </c:pt>
                <c:pt idx="61">
                  <c:v>24.755800000000001</c:v>
                </c:pt>
                <c:pt idx="62">
                  <c:v>25.1587</c:v>
                </c:pt>
                <c:pt idx="63">
                  <c:v>25.563700000000001</c:v>
                </c:pt>
                <c:pt idx="64">
                  <c:v>25.9709</c:v>
                </c:pt>
                <c:pt idx="65">
                  <c:v>26.379300000000001</c:v>
                </c:pt>
                <c:pt idx="66">
                  <c:v>26.786300000000001</c:v>
                </c:pt>
                <c:pt idx="67">
                  <c:v>27.191299999999998</c:v>
                </c:pt>
                <c:pt idx="68">
                  <c:v>27.594100000000001</c:v>
                </c:pt>
                <c:pt idx="69">
                  <c:v>28.002500000000001</c:v>
                </c:pt>
                <c:pt idx="70">
                  <c:v>28.410900000000002</c:v>
                </c:pt>
                <c:pt idx="71">
                  <c:v>28.8169</c:v>
                </c:pt>
                <c:pt idx="72">
                  <c:v>29.221900000000002</c:v>
                </c:pt>
                <c:pt idx="73">
                  <c:v>29.6267</c:v>
                </c:pt>
                <c:pt idx="74">
                  <c:v>30.0366</c:v>
                </c:pt>
                <c:pt idx="75">
                  <c:v>30.612200000000001</c:v>
                </c:pt>
                <c:pt idx="76">
                  <c:v>30.989100000000001</c:v>
                </c:pt>
                <c:pt idx="77">
                  <c:v>31.363099999999999</c:v>
                </c:pt>
                <c:pt idx="78">
                  <c:v>31.741099999999999</c:v>
                </c:pt>
                <c:pt idx="79">
                  <c:v>32.112099999999998</c:v>
                </c:pt>
                <c:pt idx="80">
                  <c:v>32.518000000000001</c:v>
                </c:pt>
                <c:pt idx="81">
                  <c:v>32.923000000000002</c:v>
                </c:pt>
                <c:pt idx="82">
                  <c:v>33.33</c:v>
                </c:pt>
                <c:pt idx="83">
                  <c:v>33.738700000000001</c:v>
                </c:pt>
                <c:pt idx="84">
                  <c:v>34.140700000000002</c:v>
                </c:pt>
                <c:pt idx="85">
                  <c:v>34.551600000000001</c:v>
                </c:pt>
                <c:pt idx="86">
                  <c:v>34.954700000000003</c:v>
                </c:pt>
                <c:pt idx="87">
                  <c:v>35.361400000000003</c:v>
                </c:pt>
                <c:pt idx="88">
                  <c:v>35.767299999999999</c:v>
                </c:pt>
                <c:pt idx="89">
                  <c:v>36.1723</c:v>
                </c:pt>
                <c:pt idx="90">
                  <c:v>36.5792</c:v>
                </c:pt>
                <c:pt idx="91">
                  <c:v>36.989100000000001</c:v>
                </c:pt>
                <c:pt idx="92">
                  <c:v>37.394100000000002</c:v>
                </c:pt>
                <c:pt idx="93">
                  <c:v>37.798900000000003</c:v>
                </c:pt>
                <c:pt idx="94">
                  <c:v>38.205800000000004</c:v>
                </c:pt>
                <c:pt idx="95">
                  <c:v>38.609900000000003</c:v>
                </c:pt>
                <c:pt idx="96">
                  <c:v>39.0167</c:v>
                </c:pt>
                <c:pt idx="97">
                  <c:v>39.424599999999998</c:v>
                </c:pt>
                <c:pt idx="98">
                  <c:v>39.8324</c:v>
                </c:pt>
                <c:pt idx="99">
                  <c:v>40.235300000000002</c:v>
                </c:pt>
                <c:pt idx="100">
                  <c:v>40.641500000000001</c:v>
                </c:pt>
                <c:pt idx="101">
                  <c:v>41.050199999999997</c:v>
                </c:pt>
                <c:pt idx="102">
                  <c:v>41.456099999999999</c:v>
                </c:pt>
                <c:pt idx="103">
                  <c:v>41.862099999999998</c:v>
                </c:pt>
                <c:pt idx="104">
                  <c:v>42.268000000000001</c:v>
                </c:pt>
                <c:pt idx="105">
                  <c:v>42.672899999999998</c:v>
                </c:pt>
                <c:pt idx="106">
                  <c:v>43.0839</c:v>
                </c:pt>
                <c:pt idx="107">
                  <c:v>43.488199999999999</c:v>
                </c:pt>
                <c:pt idx="108">
                  <c:v>43.896599999999999</c:v>
                </c:pt>
                <c:pt idx="109">
                  <c:v>44.298499999999997</c:v>
                </c:pt>
                <c:pt idx="110">
                  <c:v>44.704799999999999</c:v>
                </c:pt>
                <c:pt idx="111">
                  <c:v>45.111400000000003</c:v>
                </c:pt>
                <c:pt idx="112">
                  <c:v>45.519300000000001</c:v>
                </c:pt>
                <c:pt idx="113">
                  <c:v>45.926099999999998</c:v>
                </c:pt>
                <c:pt idx="114">
                  <c:v>46.331000000000003</c:v>
                </c:pt>
                <c:pt idx="115">
                  <c:v>46.737200000000001</c:v>
                </c:pt>
                <c:pt idx="116">
                  <c:v>47.140799999999999</c:v>
                </c:pt>
                <c:pt idx="117">
                  <c:v>47.550800000000002</c:v>
                </c:pt>
                <c:pt idx="118">
                  <c:v>47.957700000000003</c:v>
                </c:pt>
                <c:pt idx="119">
                  <c:v>48.360700000000001</c:v>
                </c:pt>
                <c:pt idx="120">
                  <c:v>48.767899999999997</c:v>
                </c:pt>
                <c:pt idx="121">
                  <c:v>49.174500000000002</c:v>
                </c:pt>
                <c:pt idx="122">
                  <c:v>49.5794</c:v>
                </c:pt>
                <c:pt idx="123">
                  <c:v>49.9893</c:v>
                </c:pt>
                <c:pt idx="124">
                  <c:v>50.392299999999999</c:v>
                </c:pt>
                <c:pt idx="125">
                  <c:v>50.798099999999998</c:v>
                </c:pt>
                <c:pt idx="126">
                  <c:v>51.207999999999998</c:v>
                </c:pt>
                <c:pt idx="127">
                  <c:v>51.610999999999997</c:v>
                </c:pt>
                <c:pt idx="128">
                  <c:v>52.017899999999997</c:v>
                </c:pt>
                <c:pt idx="129">
                  <c:v>52.422800000000002</c:v>
                </c:pt>
                <c:pt idx="130">
                  <c:v>52.828699999999998</c:v>
                </c:pt>
                <c:pt idx="131">
                  <c:v>53.235700000000001</c:v>
                </c:pt>
                <c:pt idx="132">
                  <c:v>53.646500000000003</c:v>
                </c:pt>
                <c:pt idx="133">
                  <c:v>54.052399999999999</c:v>
                </c:pt>
                <c:pt idx="134">
                  <c:v>54.4574</c:v>
                </c:pt>
                <c:pt idx="135">
                  <c:v>54.859200000000001</c:v>
                </c:pt>
                <c:pt idx="136">
                  <c:v>55.269100000000002</c:v>
                </c:pt>
                <c:pt idx="137">
                  <c:v>55.678100000000001</c:v>
                </c:pt>
                <c:pt idx="138">
                  <c:v>56.082099999999997</c:v>
                </c:pt>
                <c:pt idx="139">
                  <c:v>56.486899999999999</c:v>
                </c:pt>
                <c:pt idx="140">
                  <c:v>56.8919</c:v>
                </c:pt>
                <c:pt idx="141">
                  <c:v>57.299799999999998</c:v>
                </c:pt>
                <c:pt idx="142">
                  <c:v>57.707599999999999</c:v>
                </c:pt>
                <c:pt idx="143">
                  <c:v>58.114600000000003</c:v>
                </c:pt>
                <c:pt idx="144">
                  <c:v>58.5184</c:v>
                </c:pt>
                <c:pt idx="145">
                  <c:v>58.923499999999997</c:v>
                </c:pt>
                <c:pt idx="146">
                  <c:v>59.3307</c:v>
                </c:pt>
                <c:pt idx="147">
                  <c:v>59.739199999999997</c:v>
                </c:pt>
                <c:pt idx="148">
                  <c:v>60.145099999999999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1.1651899999999999</c:v>
                </c:pt>
                <c:pt idx="1">
                  <c:v>1.1944399999999999</c:v>
                </c:pt>
                <c:pt idx="2">
                  <c:v>1.2242899999999999</c:v>
                </c:pt>
                <c:pt idx="3">
                  <c:v>1.2573599999999998</c:v>
                </c:pt>
                <c:pt idx="4">
                  <c:v>1.29366</c:v>
                </c:pt>
                <c:pt idx="5">
                  <c:v>1.3289500000000001</c:v>
                </c:pt>
                <c:pt idx="6">
                  <c:v>1.3648400000000001</c:v>
                </c:pt>
                <c:pt idx="7">
                  <c:v>1.3997000000000002</c:v>
                </c:pt>
                <c:pt idx="8">
                  <c:v>1.4358399999999998</c:v>
                </c:pt>
                <c:pt idx="9">
                  <c:v>1.47234</c:v>
                </c:pt>
                <c:pt idx="10">
                  <c:v>1.5096599999999998</c:v>
                </c:pt>
                <c:pt idx="11">
                  <c:v>1.5469200000000001</c:v>
                </c:pt>
                <c:pt idx="12">
                  <c:v>1.5828600000000002</c:v>
                </c:pt>
                <c:pt idx="13">
                  <c:v>1.6177299999999999</c:v>
                </c:pt>
                <c:pt idx="14">
                  <c:v>1.6513</c:v>
                </c:pt>
                <c:pt idx="15">
                  <c:v>1.6853499999999999</c:v>
                </c:pt>
                <c:pt idx="16">
                  <c:v>1.7216100000000001</c:v>
                </c:pt>
                <c:pt idx="17">
                  <c:v>1.75963</c:v>
                </c:pt>
                <c:pt idx="18">
                  <c:v>1.7971500000000002</c:v>
                </c:pt>
                <c:pt idx="19">
                  <c:v>1.8325100000000001</c:v>
                </c:pt>
                <c:pt idx="20">
                  <c:v>1.8677999999999999</c:v>
                </c:pt>
                <c:pt idx="21">
                  <c:v>1.9020899999999998</c:v>
                </c:pt>
                <c:pt idx="22">
                  <c:v>1.93462</c:v>
                </c:pt>
                <c:pt idx="23">
                  <c:v>1.9634399999999999</c:v>
                </c:pt>
                <c:pt idx="24">
                  <c:v>1.9927900000000001</c:v>
                </c:pt>
                <c:pt idx="25">
                  <c:v>2.02169</c:v>
                </c:pt>
                <c:pt idx="26">
                  <c:v>2.0490900000000001</c:v>
                </c:pt>
                <c:pt idx="27">
                  <c:v>2.0750099999999998</c:v>
                </c:pt>
                <c:pt idx="28">
                  <c:v>2.1007600000000002</c:v>
                </c:pt>
                <c:pt idx="29">
                  <c:v>2.1252299999999997</c:v>
                </c:pt>
                <c:pt idx="30">
                  <c:v>2.1486999999999998</c:v>
                </c:pt>
                <c:pt idx="31">
                  <c:v>2.1703700000000001</c:v>
                </c:pt>
                <c:pt idx="32">
                  <c:v>2.1902599999999999</c:v>
                </c:pt>
                <c:pt idx="33">
                  <c:v>2.2104599999999999</c:v>
                </c:pt>
                <c:pt idx="34">
                  <c:v>2.2312000000000003</c:v>
                </c:pt>
                <c:pt idx="35">
                  <c:v>2.25047</c:v>
                </c:pt>
                <c:pt idx="36">
                  <c:v>2.2674099999999999</c:v>
                </c:pt>
                <c:pt idx="37">
                  <c:v>2.28424</c:v>
                </c:pt>
                <c:pt idx="38">
                  <c:v>2.3008999999999999</c:v>
                </c:pt>
                <c:pt idx="39">
                  <c:v>2.3176899999999998</c:v>
                </c:pt>
                <c:pt idx="40">
                  <c:v>2.3327400000000003</c:v>
                </c:pt>
                <c:pt idx="41">
                  <c:v>2.3444799999999999</c:v>
                </c:pt>
                <c:pt idx="42">
                  <c:v>2.3546200000000002</c:v>
                </c:pt>
                <c:pt idx="43">
                  <c:v>2.36341</c:v>
                </c:pt>
                <c:pt idx="44">
                  <c:v>2.3729900000000002</c:v>
                </c:pt>
                <c:pt idx="45">
                  <c:v>2.3811200000000001</c:v>
                </c:pt>
                <c:pt idx="46">
                  <c:v>2.3853800000000001</c:v>
                </c:pt>
                <c:pt idx="47">
                  <c:v>2.3882700000000003</c:v>
                </c:pt>
                <c:pt idx="48">
                  <c:v>2.3898000000000001</c:v>
                </c:pt>
                <c:pt idx="49">
                  <c:v>2.3894199999999999</c:v>
                </c:pt>
                <c:pt idx="50">
                  <c:v>2.3906399999999999</c:v>
                </c:pt>
                <c:pt idx="51">
                  <c:v>2.3900999999999999</c:v>
                </c:pt>
                <c:pt idx="52">
                  <c:v>2.3892600000000002</c:v>
                </c:pt>
                <c:pt idx="53">
                  <c:v>2.3859900000000001</c:v>
                </c:pt>
                <c:pt idx="54">
                  <c:v>2.3809300000000002</c:v>
                </c:pt>
                <c:pt idx="55">
                  <c:v>2.37134</c:v>
                </c:pt>
                <c:pt idx="56">
                  <c:v>2.3649500000000003</c:v>
                </c:pt>
                <c:pt idx="57">
                  <c:v>2.36151</c:v>
                </c:pt>
                <c:pt idx="58">
                  <c:v>2.3465600000000002</c:v>
                </c:pt>
                <c:pt idx="59">
                  <c:v>2.3321100000000001</c:v>
                </c:pt>
                <c:pt idx="60">
                  <c:v>2.3212700000000002</c:v>
                </c:pt>
                <c:pt idx="61">
                  <c:v>2.2976700000000001</c:v>
                </c:pt>
                <c:pt idx="62">
                  <c:v>2.2847600000000003</c:v>
                </c:pt>
                <c:pt idx="63">
                  <c:v>2.26484</c:v>
                </c:pt>
                <c:pt idx="64">
                  <c:v>2.24464</c:v>
                </c:pt>
                <c:pt idx="65">
                  <c:v>2.2224599999999999</c:v>
                </c:pt>
                <c:pt idx="66">
                  <c:v>2.1942900000000001</c:v>
                </c:pt>
                <c:pt idx="67">
                  <c:v>2.1685599999999998</c:v>
                </c:pt>
                <c:pt idx="68">
                  <c:v>2.1491400000000001</c:v>
                </c:pt>
                <c:pt idx="69">
                  <c:v>2.1147399999999998</c:v>
                </c:pt>
                <c:pt idx="70">
                  <c:v>2.0925799999999999</c:v>
                </c:pt>
                <c:pt idx="71">
                  <c:v>2.0670799999999998</c:v>
                </c:pt>
                <c:pt idx="72">
                  <c:v>2.0403599999999997</c:v>
                </c:pt>
                <c:pt idx="73">
                  <c:v>2.0076399999999999</c:v>
                </c:pt>
                <c:pt idx="74">
                  <c:v>1.9812699999999999</c:v>
                </c:pt>
                <c:pt idx="75">
                  <c:v>1.9530800000000001</c:v>
                </c:pt>
                <c:pt idx="76">
                  <c:v>1.9231799999999999</c:v>
                </c:pt>
                <c:pt idx="77">
                  <c:v>1.89246</c:v>
                </c:pt>
                <c:pt idx="78">
                  <c:v>1.86202</c:v>
                </c:pt>
                <c:pt idx="79">
                  <c:v>1.83182</c:v>
                </c:pt>
                <c:pt idx="80">
                  <c:v>1.8021699999999998</c:v>
                </c:pt>
                <c:pt idx="81">
                  <c:v>1.7738499999999999</c:v>
                </c:pt>
                <c:pt idx="82">
                  <c:v>1.74675</c:v>
                </c:pt>
                <c:pt idx="83">
                  <c:v>1.7114099999999999</c:v>
                </c:pt>
                <c:pt idx="84">
                  <c:v>1.6750399999999999</c:v>
                </c:pt>
                <c:pt idx="85">
                  <c:v>1.6414899999999999</c:v>
                </c:pt>
                <c:pt idx="86">
                  <c:v>1.6083800000000001</c:v>
                </c:pt>
                <c:pt idx="87">
                  <c:v>1.5748899999999999</c:v>
                </c:pt>
                <c:pt idx="88">
                  <c:v>1.53939</c:v>
                </c:pt>
                <c:pt idx="89">
                  <c:v>1.5049699999999999</c:v>
                </c:pt>
                <c:pt idx="90">
                  <c:v>1.4730599999999998</c:v>
                </c:pt>
                <c:pt idx="91">
                  <c:v>1.4423300000000001</c:v>
                </c:pt>
                <c:pt idx="92">
                  <c:v>1.4139299999999999</c:v>
                </c:pt>
                <c:pt idx="93">
                  <c:v>1.3853499999999999</c:v>
                </c:pt>
                <c:pt idx="94">
                  <c:v>1.3590599999999999</c:v>
                </c:pt>
                <c:pt idx="95">
                  <c:v>1.3348399999999998</c:v>
                </c:pt>
                <c:pt idx="96">
                  <c:v>1.3165499999999999</c:v>
                </c:pt>
                <c:pt idx="97">
                  <c:v>1.3041700000000001</c:v>
                </c:pt>
                <c:pt idx="98">
                  <c:v>1.3008900000000001</c:v>
                </c:pt>
                <c:pt idx="99">
                  <c:v>1.3048999999999999</c:v>
                </c:pt>
                <c:pt idx="100">
                  <c:v>1.3150200000000001</c:v>
                </c:pt>
                <c:pt idx="101">
                  <c:v>1.3272600000000001</c:v>
                </c:pt>
                <c:pt idx="102">
                  <c:v>1.34572</c:v>
                </c:pt>
                <c:pt idx="103">
                  <c:v>1.36429</c:v>
                </c:pt>
                <c:pt idx="104">
                  <c:v>1.3834</c:v>
                </c:pt>
                <c:pt idx="105">
                  <c:v>1.4028399999999999</c:v>
                </c:pt>
                <c:pt idx="106">
                  <c:v>1.42116</c:v>
                </c:pt>
                <c:pt idx="107">
                  <c:v>1.4412</c:v>
                </c:pt>
                <c:pt idx="108">
                  <c:v>1.4669099999999999</c:v>
                </c:pt>
                <c:pt idx="109">
                  <c:v>1.4963000000000002</c:v>
                </c:pt>
                <c:pt idx="110">
                  <c:v>1.5323100000000001</c:v>
                </c:pt>
                <c:pt idx="111">
                  <c:v>1.5712100000000002</c:v>
                </c:pt>
                <c:pt idx="112">
                  <c:v>1.61002</c:v>
                </c:pt>
                <c:pt idx="113">
                  <c:v>1.6484199999999998</c:v>
                </c:pt>
                <c:pt idx="114">
                  <c:v>1.68685</c:v>
                </c:pt>
                <c:pt idx="115">
                  <c:v>1.72255</c:v>
                </c:pt>
                <c:pt idx="116">
                  <c:v>1.7551099999999999</c:v>
                </c:pt>
                <c:pt idx="117">
                  <c:v>1.7885499999999999</c:v>
                </c:pt>
                <c:pt idx="118">
                  <c:v>1.8243400000000001</c:v>
                </c:pt>
                <c:pt idx="119">
                  <c:v>1.8567</c:v>
                </c:pt>
                <c:pt idx="120">
                  <c:v>1.8876399999999998</c:v>
                </c:pt>
                <c:pt idx="121">
                  <c:v>1.9201099999999998</c:v>
                </c:pt>
                <c:pt idx="122">
                  <c:v>1.95364</c:v>
                </c:pt>
                <c:pt idx="123">
                  <c:v>1.9839300000000002</c:v>
                </c:pt>
                <c:pt idx="124">
                  <c:v>2.0024600000000001</c:v>
                </c:pt>
                <c:pt idx="125">
                  <c:v>2.0140899999999999</c:v>
                </c:pt>
                <c:pt idx="126">
                  <c:v>2.0268600000000001</c:v>
                </c:pt>
                <c:pt idx="127">
                  <c:v>2.0402200000000001</c:v>
                </c:pt>
                <c:pt idx="128">
                  <c:v>2.0548099999999998</c:v>
                </c:pt>
                <c:pt idx="129">
                  <c:v>2.07104</c:v>
                </c:pt>
                <c:pt idx="130">
                  <c:v>2.0892200000000001</c:v>
                </c:pt>
                <c:pt idx="131">
                  <c:v>2.1083499999999997</c:v>
                </c:pt>
                <c:pt idx="132">
                  <c:v>2.12758</c:v>
                </c:pt>
                <c:pt idx="133">
                  <c:v>2.1455600000000001</c:v>
                </c:pt>
                <c:pt idx="134">
                  <c:v>2.16343</c:v>
                </c:pt>
                <c:pt idx="135">
                  <c:v>2.1773799999999999</c:v>
                </c:pt>
                <c:pt idx="136">
                  <c:v>2.1901000000000002</c:v>
                </c:pt>
                <c:pt idx="137">
                  <c:v>2.20323</c:v>
                </c:pt>
                <c:pt idx="138">
                  <c:v>2.2176100000000001</c:v>
                </c:pt>
                <c:pt idx="139">
                  <c:v>2.2301000000000002</c:v>
                </c:pt>
                <c:pt idx="140">
                  <c:v>2.2456400000000003</c:v>
                </c:pt>
                <c:pt idx="141">
                  <c:v>2.2643599999999999</c:v>
                </c:pt>
                <c:pt idx="142">
                  <c:v>2.2822899999999997</c:v>
                </c:pt>
                <c:pt idx="143">
                  <c:v>2.2948</c:v>
                </c:pt>
                <c:pt idx="144">
                  <c:v>2.3153099999999998</c:v>
                </c:pt>
                <c:pt idx="145">
                  <c:v>2.3410800000000003</c:v>
                </c:pt>
                <c:pt idx="146">
                  <c:v>2.3516900000000001</c:v>
                </c:pt>
                <c:pt idx="147">
                  <c:v>2.3553699999999997</c:v>
                </c:pt>
                <c:pt idx="148">
                  <c:v>2.3649400000000003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0.38189000000000001</c:v>
                </c:pt>
                <c:pt idx="2">
                  <c:v>0.78580000000000005</c:v>
                </c:pt>
                <c:pt idx="3">
                  <c:v>1.1898200000000001</c:v>
                </c:pt>
                <c:pt idx="4">
                  <c:v>1.59568</c:v>
                </c:pt>
                <c:pt idx="5">
                  <c:v>2.0027300000000001</c:v>
                </c:pt>
                <c:pt idx="6">
                  <c:v>2.4095300000000002</c:v>
                </c:pt>
                <c:pt idx="7">
                  <c:v>2.8173900000000001</c:v>
                </c:pt>
                <c:pt idx="8">
                  <c:v>3.2224400000000002</c:v>
                </c:pt>
                <c:pt idx="9">
                  <c:v>3.6262599999999998</c:v>
                </c:pt>
                <c:pt idx="10">
                  <c:v>4.0362600000000004</c:v>
                </c:pt>
                <c:pt idx="11">
                  <c:v>4.4430300000000003</c:v>
                </c:pt>
                <c:pt idx="12">
                  <c:v>4.8440000000000003</c:v>
                </c:pt>
                <c:pt idx="13">
                  <c:v>5.2550299999999996</c:v>
                </c:pt>
                <c:pt idx="14">
                  <c:v>5.6588599999999998</c:v>
                </c:pt>
                <c:pt idx="15">
                  <c:v>6.0639700000000003</c:v>
                </c:pt>
                <c:pt idx="16">
                  <c:v>6.4707299999999996</c:v>
                </c:pt>
                <c:pt idx="17">
                  <c:v>6.87852</c:v>
                </c:pt>
                <c:pt idx="18">
                  <c:v>7.2844100000000003</c:v>
                </c:pt>
                <c:pt idx="19">
                  <c:v>7.6893599999999998</c:v>
                </c:pt>
                <c:pt idx="20">
                  <c:v>8.0957399999999993</c:v>
                </c:pt>
                <c:pt idx="21">
                  <c:v>8.5021900000000006</c:v>
                </c:pt>
                <c:pt idx="22">
                  <c:v>8.9121600000000001</c:v>
                </c:pt>
                <c:pt idx="23">
                  <c:v>9.3170599999999997</c:v>
                </c:pt>
                <c:pt idx="24">
                  <c:v>9.7212800000000001</c:v>
                </c:pt>
                <c:pt idx="25">
                  <c:v>10.126799999999999</c:v>
                </c:pt>
                <c:pt idx="26">
                  <c:v>10.5328</c:v>
                </c:pt>
                <c:pt idx="27">
                  <c:v>10.941700000000001</c:v>
                </c:pt>
                <c:pt idx="28">
                  <c:v>11.348599999999999</c:v>
                </c:pt>
                <c:pt idx="29">
                  <c:v>11.7525</c:v>
                </c:pt>
                <c:pt idx="30">
                  <c:v>12.1584</c:v>
                </c:pt>
                <c:pt idx="31">
                  <c:v>12.565300000000001</c:v>
                </c:pt>
                <c:pt idx="32">
                  <c:v>12.969200000000001</c:v>
                </c:pt>
                <c:pt idx="33">
                  <c:v>13.3741</c:v>
                </c:pt>
                <c:pt idx="34">
                  <c:v>13.786</c:v>
                </c:pt>
                <c:pt idx="35">
                  <c:v>14.193</c:v>
                </c:pt>
                <c:pt idx="36">
                  <c:v>14.5968</c:v>
                </c:pt>
                <c:pt idx="37">
                  <c:v>15.002700000000001</c:v>
                </c:pt>
                <c:pt idx="38">
                  <c:v>15.407999999999999</c:v>
                </c:pt>
                <c:pt idx="39">
                  <c:v>15.813800000000001</c:v>
                </c:pt>
                <c:pt idx="40">
                  <c:v>16.224599999999999</c:v>
                </c:pt>
                <c:pt idx="41">
                  <c:v>16.627400000000002</c:v>
                </c:pt>
                <c:pt idx="42">
                  <c:v>17.035399999999999</c:v>
                </c:pt>
                <c:pt idx="43">
                  <c:v>17.4405</c:v>
                </c:pt>
                <c:pt idx="44">
                  <c:v>17.845199999999998</c:v>
                </c:pt>
                <c:pt idx="45">
                  <c:v>18.2531</c:v>
                </c:pt>
                <c:pt idx="46">
                  <c:v>18.658999999999999</c:v>
                </c:pt>
                <c:pt idx="47">
                  <c:v>19.064900000000002</c:v>
                </c:pt>
                <c:pt idx="48">
                  <c:v>19.469899999999999</c:v>
                </c:pt>
                <c:pt idx="49">
                  <c:v>19.878799999999998</c:v>
                </c:pt>
                <c:pt idx="50">
                  <c:v>20.285699999999999</c:v>
                </c:pt>
                <c:pt idx="51">
                  <c:v>20.687999999999999</c:v>
                </c:pt>
                <c:pt idx="52">
                  <c:v>21.096499999999999</c:v>
                </c:pt>
                <c:pt idx="53">
                  <c:v>21.502400000000002</c:v>
                </c:pt>
                <c:pt idx="54">
                  <c:v>21.9084</c:v>
                </c:pt>
                <c:pt idx="55">
                  <c:v>22.3172</c:v>
                </c:pt>
                <c:pt idx="56">
                  <c:v>22.7241</c:v>
                </c:pt>
                <c:pt idx="57">
                  <c:v>23.127099999999999</c:v>
                </c:pt>
                <c:pt idx="58">
                  <c:v>23.535</c:v>
                </c:pt>
                <c:pt idx="59">
                  <c:v>23.9419</c:v>
                </c:pt>
                <c:pt idx="60">
                  <c:v>24.344799999999999</c:v>
                </c:pt>
                <c:pt idx="61">
                  <c:v>24.755800000000001</c:v>
                </c:pt>
                <c:pt idx="62">
                  <c:v>25.1587</c:v>
                </c:pt>
                <c:pt idx="63">
                  <c:v>25.563700000000001</c:v>
                </c:pt>
                <c:pt idx="64">
                  <c:v>25.9709</c:v>
                </c:pt>
                <c:pt idx="65">
                  <c:v>26.379300000000001</c:v>
                </c:pt>
                <c:pt idx="66">
                  <c:v>26.786300000000001</c:v>
                </c:pt>
                <c:pt idx="67">
                  <c:v>27.191299999999998</c:v>
                </c:pt>
                <c:pt idx="68">
                  <c:v>27.594100000000001</c:v>
                </c:pt>
                <c:pt idx="69">
                  <c:v>28.002500000000001</c:v>
                </c:pt>
                <c:pt idx="70">
                  <c:v>28.410900000000002</c:v>
                </c:pt>
                <c:pt idx="71">
                  <c:v>28.8169</c:v>
                </c:pt>
                <c:pt idx="72">
                  <c:v>29.221900000000002</c:v>
                </c:pt>
                <c:pt idx="73">
                  <c:v>29.6267</c:v>
                </c:pt>
                <c:pt idx="74">
                  <c:v>30.0366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1.1651899999999999</c:v>
                </c:pt>
                <c:pt idx="1">
                  <c:v>1.1944399999999999</c:v>
                </c:pt>
                <c:pt idx="2">
                  <c:v>1.2242899999999999</c:v>
                </c:pt>
                <c:pt idx="3">
                  <c:v>1.2573599999999998</c:v>
                </c:pt>
                <c:pt idx="4">
                  <c:v>1.29366</c:v>
                </c:pt>
                <c:pt idx="5">
                  <c:v>1.3289500000000001</c:v>
                </c:pt>
                <c:pt idx="6">
                  <c:v>1.3648400000000001</c:v>
                </c:pt>
                <c:pt idx="7">
                  <c:v>1.3997000000000002</c:v>
                </c:pt>
                <c:pt idx="8">
                  <c:v>1.4358399999999998</c:v>
                </c:pt>
                <c:pt idx="9">
                  <c:v>1.47234</c:v>
                </c:pt>
                <c:pt idx="10">
                  <c:v>1.5096599999999998</c:v>
                </c:pt>
                <c:pt idx="11">
                  <c:v>1.5469200000000001</c:v>
                </c:pt>
                <c:pt idx="12">
                  <c:v>1.5828600000000002</c:v>
                </c:pt>
                <c:pt idx="13">
                  <c:v>1.6177299999999999</c:v>
                </c:pt>
                <c:pt idx="14">
                  <c:v>1.6513</c:v>
                </c:pt>
                <c:pt idx="15">
                  <c:v>1.6853499999999999</c:v>
                </c:pt>
                <c:pt idx="16">
                  <c:v>1.7216100000000001</c:v>
                </c:pt>
                <c:pt idx="17">
                  <c:v>1.75963</c:v>
                </c:pt>
                <c:pt idx="18">
                  <c:v>1.7971500000000002</c:v>
                </c:pt>
                <c:pt idx="19">
                  <c:v>1.8325100000000001</c:v>
                </c:pt>
                <c:pt idx="20">
                  <c:v>1.8677999999999999</c:v>
                </c:pt>
                <c:pt idx="21">
                  <c:v>1.9020899999999998</c:v>
                </c:pt>
                <c:pt idx="22">
                  <c:v>1.93462</c:v>
                </c:pt>
                <c:pt idx="23">
                  <c:v>1.9634399999999999</c:v>
                </c:pt>
                <c:pt idx="24">
                  <c:v>1.9927900000000001</c:v>
                </c:pt>
                <c:pt idx="25">
                  <c:v>2.02169</c:v>
                </c:pt>
                <c:pt idx="26">
                  <c:v>2.0490900000000001</c:v>
                </c:pt>
                <c:pt idx="27">
                  <c:v>2.0750099999999998</c:v>
                </c:pt>
                <c:pt idx="28">
                  <c:v>2.1007600000000002</c:v>
                </c:pt>
                <c:pt idx="29">
                  <c:v>2.1252299999999997</c:v>
                </c:pt>
                <c:pt idx="30">
                  <c:v>2.1486999999999998</c:v>
                </c:pt>
                <c:pt idx="31">
                  <c:v>2.1703700000000001</c:v>
                </c:pt>
                <c:pt idx="32">
                  <c:v>2.1902599999999999</c:v>
                </c:pt>
                <c:pt idx="33">
                  <c:v>2.2104599999999999</c:v>
                </c:pt>
                <c:pt idx="34">
                  <c:v>2.2312000000000003</c:v>
                </c:pt>
                <c:pt idx="35">
                  <c:v>2.25047</c:v>
                </c:pt>
                <c:pt idx="36">
                  <c:v>2.2674099999999999</c:v>
                </c:pt>
                <c:pt idx="37">
                  <c:v>2.28424</c:v>
                </c:pt>
                <c:pt idx="38">
                  <c:v>2.3008999999999999</c:v>
                </c:pt>
                <c:pt idx="39">
                  <c:v>2.3176899999999998</c:v>
                </c:pt>
                <c:pt idx="40">
                  <c:v>2.3327400000000003</c:v>
                </c:pt>
                <c:pt idx="41">
                  <c:v>2.3444799999999999</c:v>
                </c:pt>
                <c:pt idx="42">
                  <c:v>2.3546200000000002</c:v>
                </c:pt>
                <c:pt idx="43">
                  <c:v>2.36341</c:v>
                </c:pt>
                <c:pt idx="44">
                  <c:v>2.3729900000000002</c:v>
                </c:pt>
                <c:pt idx="45">
                  <c:v>2.3811200000000001</c:v>
                </c:pt>
                <c:pt idx="46">
                  <c:v>2.3853800000000001</c:v>
                </c:pt>
                <c:pt idx="47">
                  <c:v>2.3882700000000003</c:v>
                </c:pt>
                <c:pt idx="48">
                  <c:v>2.3898000000000001</c:v>
                </c:pt>
                <c:pt idx="49">
                  <c:v>2.3894199999999999</c:v>
                </c:pt>
                <c:pt idx="50">
                  <c:v>2.3906399999999999</c:v>
                </c:pt>
                <c:pt idx="51">
                  <c:v>2.3900999999999999</c:v>
                </c:pt>
                <c:pt idx="52">
                  <c:v>2.3892600000000002</c:v>
                </c:pt>
                <c:pt idx="53">
                  <c:v>2.3859900000000001</c:v>
                </c:pt>
                <c:pt idx="54">
                  <c:v>2.3809300000000002</c:v>
                </c:pt>
                <c:pt idx="55">
                  <c:v>2.37134</c:v>
                </c:pt>
                <c:pt idx="56">
                  <c:v>2.3649500000000003</c:v>
                </c:pt>
                <c:pt idx="57">
                  <c:v>2.36151</c:v>
                </c:pt>
                <c:pt idx="58">
                  <c:v>2.3465600000000002</c:v>
                </c:pt>
                <c:pt idx="59">
                  <c:v>2.3321100000000001</c:v>
                </c:pt>
                <c:pt idx="60">
                  <c:v>2.3212700000000002</c:v>
                </c:pt>
                <c:pt idx="61">
                  <c:v>2.2976700000000001</c:v>
                </c:pt>
                <c:pt idx="62">
                  <c:v>2.2847600000000003</c:v>
                </c:pt>
                <c:pt idx="63">
                  <c:v>2.26484</c:v>
                </c:pt>
                <c:pt idx="64">
                  <c:v>2.24464</c:v>
                </c:pt>
                <c:pt idx="65">
                  <c:v>2.2224599999999999</c:v>
                </c:pt>
                <c:pt idx="66">
                  <c:v>2.1942900000000001</c:v>
                </c:pt>
                <c:pt idx="67">
                  <c:v>2.1685599999999998</c:v>
                </c:pt>
                <c:pt idx="68">
                  <c:v>2.1491400000000001</c:v>
                </c:pt>
                <c:pt idx="69">
                  <c:v>2.1147399999999998</c:v>
                </c:pt>
                <c:pt idx="70">
                  <c:v>2.0925799999999999</c:v>
                </c:pt>
                <c:pt idx="71">
                  <c:v>2.0670799999999998</c:v>
                </c:pt>
                <c:pt idx="72">
                  <c:v>2.0403599999999997</c:v>
                </c:pt>
                <c:pt idx="73">
                  <c:v>2.0076399999999999</c:v>
                </c:pt>
                <c:pt idx="74">
                  <c:v>1.9812699999999999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30.0366</c:v>
                </c:pt>
                <c:pt idx="1">
                  <c:v>30.612200000000001</c:v>
                </c:pt>
                <c:pt idx="2">
                  <c:v>30.989100000000001</c:v>
                </c:pt>
                <c:pt idx="3">
                  <c:v>31.363099999999999</c:v>
                </c:pt>
                <c:pt idx="4">
                  <c:v>31.741099999999999</c:v>
                </c:pt>
                <c:pt idx="5">
                  <c:v>32.112099999999998</c:v>
                </c:pt>
                <c:pt idx="6">
                  <c:v>32.518000000000001</c:v>
                </c:pt>
                <c:pt idx="7">
                  <c:v>32.923000000000002</c:v>
                </c:pt>
                <c:pt idx="8">
                  <c:v>33.33</c:v>
                </c:pt>
                <c:pt idx="9">
                  <c:v>33.738700000000001</c:v>
                </c:pt>
                <c:pt idx="10">
                  <c:v>34.140700000000002</c:v>
                </c:pt>
                <c:pt idx="11">
                  <c:v>34.551600000000001</c:v>
                </c:pt>
                <c:pt idx="12">
                  <c:v>34.954700000000003</c:v>
                </c:pt>
                <c:pt idx="13">
                  <c:v>35.361400000000003</c:v>
                </c:pt>
                <c:pt idx="14">
                  <c:v>35.767299999999999</c:v>
                </c:pt>
                <c:pt idx="15">
                  <c:v>36.1723</c:v>
                </c:pt>
                <c:pt idx="16">
                  <c:v>36.5792</c:v>
                </c:pt>
                <c:pt idx="17">
                  <c:v>36.989100000000001</c:v>
                </c:pt>
                <c:pt idx="18">
                  <c:v>37.394100000000002</c:v>
                </c:pt>
                <c:pt idx="19">
                  <c:v>37.798900000000003</c:v>
                </c:pt>
                <c:pt idx="20">
                  <c:v>38.205800000000004</c:v>
                </c:pt>
                <c:pt idx="21">
                  <c:v>38.609900000000003</c:v>
                </c:pt>
                <c:pt idx="22">
                  <c:v>39.0167</c:v>
                </c:pt>
                <c:pt idx="23">
                  <c:v>39.424599999999998</c:v>
                </c:pt>
                <c:pt idx="24">
                  <c:v>39.8324</c:v>
                </c:pt>
                <c:pt idx="25">
                  <c:v>40.235300000000002</c:v>
                </c:pt>
                <c:pt idx="26">
                  <c:v>40.641500000000001</c:v>
                </c:pt>
                <c:pt idx="27">
                  <c:v>41.050199999999997</c:v>
                </c:pt>
                <c:pt idx="28">
                  <c:v>41.456099999999999</c:v>
                </c:pt>
                <c:pt idx="29">
                  <c:v>41.862099999999998</c:v>
                </c:pt>
                <c:pt idx="30">
                  <c:v>42.268000000000001</c:v>
                </c:pt>
                <c:pt idx="31">
                  <c:v>42.672899999999998</c:v>
                </c:pt>
                <c:pt idx="32">
                  <c:v>43.0839</c:v>
                </c:pt>
                <c:pt idx="33">
                  <c:v>43.488199999999999</c:v>
                </c:pt>
                <c:pt idx="34">
                  <c:v>43.896599999999999</c:v>
                </c:pt>
                <c:pt idx="35">
                  <c:v>44.298499999999997</c:v>
                </c:pt>
                <c:pt idx="36">
                  <c:v>44.704799999999999</c:v>
                </c:pt>
                <c:pt idx="37">
                  <c:v>45.111400000000003</c:v>
                </c:pt>
                <c:pt idx="38">
                  <c:v>45.519300000000001</c:v>
                </c:pt>
                <c:pt idx="39">
                  <c:v>45.926099999999998</c:v>
                </c:pt>
                <c:pt idx="40">
                  <c:v>46.331000000000003</c:v>
                </c:pt>
                <c:pt idx="41">
                  <c:v>46.737200000000001</c:v>
                </c:pt>
                <c:pt idx="42">
                  <c:v>47.140799999999999</c:v>
                </c:pt>
                <c:pt idx="43">
                  <c:v>47.550800000000002</c:v>
                </c:pt>
                <c:pt idx="44">
                  <c:v>47.957700000000003</c:v>
                </c:pt>
                <c:pt idx="45">
                  <c:v>48.360700000000001</c:v>
                </c:pt>
                <c:pt idx="46">
                  <c:v>48.767899999999997</c:v>
                </c:pt>
                <c:pt idx="47">
                  <c:v>49.174500000000002</c:v>
                </c:pt>
                <c:pt idx="48">
                  <c:v>49.5794</c:v>
                </c:pt>
                <c:pt idx="49">
                  <c:v>49.9893</c:v>
                </c:pt>
                <c:pt idx="50">
                  <c:v>50.392299999999999</c:v>
                </c:pt>
                <c:pt idx="51">
                  <c:v>50.798099999999998</c:v>
                </c:pt>
                <c:pt idx="52">
                  <c:v>51.207999999999998</c:v>
                </c:pt>
                <c:pt idx="53">
                  <c:v>51.610999999999997</c:v>
                </c:pt>
                <c:pt idx="54">
                  <c:v>52.017899999999997</c:v>
                </c:pt>
                <c:pt idx="55">
                  <c:v>52.422800000000002</c:v>
                </c:pt>
                <c:pt idx="56">
                  <c:v>52.828699999999998</c:v>
                </c:pt>
                <c:pt idx="57">
                  <c:v>53.235700000000001</c:v>
                </c:pt>
                <c:pt idx="58">
                  <c:v>53.646500000000003</c:v>
                </c:pt>
                <c:pt idx="59">
                  <c:v>54.052399999999999</c:v>
                </c:pt>
                <c:pt idx="60">
                  <c:v>54.4574</c:v>
                </c:pt>
                <c:pt idx="61">
                  <c:v>54.859200000000001</c:v>
                </c:pt>
                <c:pt idx="62">
                  <c:v>55.269100000000002</c:v>
                </c:pt>
                <c:pt idx="63">
                  <c:v>55.678100000000001</c:v>
                </c:pt>
                <c:pt idx="64">
                  <c:v>56.082099999999997</c:v>
                </c:pt>
                <c:pt idx="65">
                  <c:v>56.486899999999999</c:v>
                </c:pt>
                <c:pt idx="66">
                  <c:v>56.8919</c:v>
                </c:pt>
                <c:pt idx="67">
                  <c:v>57.299799999999998</c:v>
                </c:pt>
                <c:pt idx="68">
                  <c:v>57.707599999999999</c:v>
                </c:pt>
                <c:pt idx="69">
                  <c:v>58.114600000000003</c:v>
                </c:pt>
                <c:pt idx="70">
                  <c:v>58.5184</c:v>
                </c:pt>
                <c:pt idx="71">
                  <c:v>58.923499999999997</c:v>
                </c:pt>
                <c:pt idx="72">
                  <c:v>59.3307</c:v>
                </c:pt>
                <c:pt idx="73">
                  <c:v>59.739199999999997</c:v>
                </c:pt>
                <c:pt idx="74">
                  <c:v>60.145099999999999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1.9812699999999999</c:v>
                </c:pt>
                <c:pt idx="1">
                  <c:v>1.9530800000000001</c:v>
                </c:pt>
                <c:pt idx="2">
                  <c:v>1.9231799999999999</c:v>
                </c:pt>
                <c:pt idx="3">
                  <c:v>1.89246</c:v>
                </c:pt>
                <c:pt idx="4">
                  <c:v>1.86202</c:v>
                </c:pt>
                <c:pt idx="5">
                  <c:v>1.83182</c:v>
                </c:pt>
                <c:pt idx="6">
                  <c:v>1.8021699999999998</c:v>
                </c:pt>
                <c:pt idx="7">
                  <c:v>1.7738499999999999</c:v>
                </c:pt>
                <c:pt idx="8">
                  <c:v>1.74675</c:v>
                </c:pt>
                <c:pt idx="9">
                  <c:v>1.7114099999999999</c:v>
                </c:pt>
                <c:pt idx="10">
                  <c:v>1.6750399999999999</c:v>
                </c:pt>
                <c:pt idx="11">
                  <c:v>1.6414899999999999</c:v>
                </c:pt>
                <c:pt idx="12">
                  <c:v>1.6083800000000001</c:v>
                </c:pt>
                <c:pt idx="13">
                  <c:v>1.5748899999999999</c:v>
                </c:pt>
                <c:pt idx="14">
                  <c:v>1.53939</c:v>
                </c:pt>
                <c:pt idx="15">
                  <c:v>1.5049699999999999</c:v>
                </c:pt>
                <c:pt idx="16">
                  <c:v>1.4730599999999998</c:v>
                </c:pt>
                <c:pt idx="17">
                  <c:v>1.4423300000000001</c:v>
                </c:pt>
                <c:pt idx="18">
                  <c:v>1.4139299999999999</c:v>
                </c:pt>
                <c:pt idx="19">
                  <c:v>1.3853499999999999</c:v>
                </c:pt>
                <c:pt idx="20">
                  <c:v>1.3590599999999999</c:v>
                </c:pt>
                <c:pt idx="21">
                  <c:v>1.3348399999999998</c:v>
                </c:pt>
                <c:pt idx="22">
                  <c:v>1.3165499999999999</c:v>
                </c:pt>
                <c:pt idx="23">
                  <c:v>1.3041700000000001</c:v>
                </c:pt>
                <c:pt idx="24">
                  <c:v>1.3008900000000001</c:v>
                </c:pt>
                <c:pt idx="25">
                  <c:v>1.3048999999999999</c:v>
                </c:pt>
                <c:pt idx="26">
                  <c:v>1.3150200000000001</c:v>
                </c:pt>
                <c:pt idx="27">
                  <c:v>1.3272600000000001</c:v>
                </c:pt>
                <c:pt idx="28">
                  <c:v>1.34572</c:v>
                </c:pt>
                <c:pt idx="29">
                  <c:v>1.36429</c:v>
                </c:pt>
                <c:pt idx="30">
                  <c:v>1.3834</c:v>
                </c:pt>
                <c:pt idx="31">
                  <c:v>1.4028399999999999</c:v>
                </c:pt>
                <c:pt idx="32">
                  <c:v>1.42116</c:v>
                </c:pt>
                <c:pt idx="33">
                  <c:v>1.4412</c:v>
                </c:pt>
                <c:pt idx="34">
                  <c:v>1.4669099999999999</c:v>
                </c:pt>
                <c:pt idx="35">
                  <c:v>1.4963000000000002</c:v>
                </c:pt>
                <c:pt idx="36">
                  <c:v>1.5323100000000001</c:v>
                </c:pt>
                <c:pt idx="37">
                  <c:v>1.5712100000000002</c:v>
                </c:pt>
                <c:pt idx="38">
                  <c:v>1.61002</c:v>
                </c:pt>
                <c:pt idx="39">
                  <c:v>1.6484199999999998</c:v>
                </c:pt>
                <c:pt idx="40">
                  <c:v>1.68685</c:v>
                </c:pt>
                <c:pt idx="41">
                  <c:v>1.72255</c:v>
                </c:pt>
                <c:pt idx="42">
                  <c:v>1.7551099999999999</c:v>
                </c:pt>
                <c:pt idx="43">
                  <c:v>1.7885499999999999</c:v>
                </c:pt>
                <c:pt idx="44">
                  <c:v>1.8243400000000001</c:v>
                </c:pt>
                <c:pt idx="45">
                  <c:v>1.8567</c:v>
                </c:pt>
                <c:pt idx="46">
                  <c:v>1.8876399999999998</c:v>
                </c:pt>
                <c:pt idx="47">
                  <c:v>1.9201099999999998</c:v>
                </c:pt>
                <c:pt idx="48">
                  <c:v>1.95364</c:v>
                </c:pt>
                <c:pt idx="49">
                  <c:v>1.9839300000000002</c:v>
                </c:pt>
                <c:pt idx="50">
                  <c:v>2.0024600000000001</c:v>
                </c:pt>
                <c:pt idx="51">
                  <c:v>2.0140899999999999</c:v>
                </c:pt>
                <c:pt idx="52">
                  <c:v>2.0268600000000001</c:v>
                </c:pt>
                <c:pt idx="53">
                  <c:v>2.0402200000000001</c:v>
                </c:pt>
                <c:pt idx="54">
                  <c:v>2.0548099999999998</c:v>
                </c:pt>
                <c:pt idx="55">
                  <c:v>2.07104</c:v>
                </c:pt>
                <c:pt idx="56">
                  <c:v>2.0892200000000001</c:v>
                </c:pt>
                <c:pt idx="57">
                  <c:v>2.1083499999999997</c:v>
                </c:pt>
                <c:pt idx="58">
                  <c:v>2.12758</c:v>
                </c:pt>
                <c:pt idx="59">
                  <c:v>2.1455600000000001</c:v>
                </c:pt>
                <c:pt idx="60">
                  <c:v>2.16343</c:v>
                </c:pt>
                <c:pt idx="61">
                  <c:v>2.1773799999999999</c:v>
                </c:pt>
                <c:pt idx="62">
                  <c:v>2.1901000000000002</c:v>
                </c:pt>
                <c:pt idx="63">
                  <c:v>2.20323</c:v>
                </c:pt>
                <c:pt idx="64">
                  <c:v>2.2176100000000001</c:v>
                </c:pt>
                <c:pt idx="65">
                  <c:v>2.2301000000000002</c:v>
                </c:pt>
                <c:pt idx="66">
                  <c:v>2.2456400000000003</c:v>
                </c:pt>
                <c:pt idx="67">
                  <c:v>2.2643599999999999</c:v>
                </c:pt>
                <c:pt idx="68">
                  <c:v>2.2822899999999997</c:v>
                </c:pt>
                <c:pt idx="69">
                  <c:v>2.2948</c:v>
                </c:pt>
                <c:pt idx="70">
                  <c:v>2.3153099999999998</c:v>
                </c:pt>
                <c:pt idx="71">
                  <c:v>2.3410800000000003</c:v>
                </c:pt>
                <c:pt idx="72">
                  <c:v>2.3516900000000001</c:v>
                </c:pt>
                <c:pt idx="73">
                  <c:v>2.3553699999999997</c:v>
                </c:pt>
                <c:pt idx="74">
                  <c:v>2.3649400000000003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15.036275</c:v>
                </c:pt>
                <c:pt idx="1">
                  <c:v>45.108824999999996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2.0287999999999999</c:v>
                </c:pt>
                <c:pt idx="1">
                  <c:v>1.7929095945945956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0.38189000000000001</c:v>
                </c:pt>
                <c:pt idx="2">
                  <c:v>0.78580000000000005</c:v>
                </c:pt>
                <c:pt idx="3">
                  <c:v>1.1898200000000001</c:v>
                </c:pt>
                <c:pt idx="4">
                  <c:v>1.59568</c:v>
                </c:pt>
                <c:pt idx="5">
                  <c:v>2.0027300000000001</c:v>
                </c:pt>
                <c:pt idx="6">
                  <c:v>2.4095300000000002</c:v>
                </c:pt>
                <c:pt idx="7">
                  <c:v>2.8173900000000001</c:v>
                </c:pt>
                <c:pt idx="8">
                  <c:v>3.2224400000000002</c:v>
                </c:pt>
                <c:pt idx="9">
                  <c:v>3.6262599999999998</c:v>
                </c:pt>
                <c:pt idx="10">
                  <c:v>4.0362600000000004</c:v>
                </c:pt>
                <c:pt idx="11">
                  <c:v>4.4430300000000003</c:v>
                </c:pt>
                <c:pt idx="12">
                  <c:v>4.8440000000000003</c:v>
                </c:pt>
                <c:pt idx="13">
                  <c:v>5.2550299999999996</c:v>
                </c:pt>
                <c:pt idx="14">
                  <c:v>5.6588599999999998</c:v>
                </c:pt>
                <c:pt idx="15">
                  <c:v>6.0639700000000003</c:v>
                </c:pt>
                <c:pt idx="16">
                  <c:v>6.4707299999999996</c:v>
                </c:pt>
                <c:pt idx="17">
                  <c:v>6.87852</c:v>
                </c:pt>
                <c:pt idx="18">
                  <c:v>7.2844100000000003</c:v>
                </c:pt>
                <c:pt idx="19">
                  <c:v>7.6893599999999998</c:v>
                </c:pt>
                <c:pt idx="20">
                  <c:v>8.0957399999999993</c:v>
                </c:pt>
                <c:pt idx="21">
                  <c:v>8.5021900000000006</c:v>
                </c:pt>
                <c:pt idx="22">
                  <c:v>8.9121600000000001</c:v>
                </c:pt>
                <c:pt idx="23">
                  <c:v>9.3170599999999997</c:v>
                </c:pt>
                <c:pt idx="24">
                  <c:v>9.7212800000000001</c:v>
                </c:pt>
                <c:pt idx="25">
                  <c:v>10.126799999999999</c:v>
                </c:pt>
                <c:pt idx="26">
                  <c:v>10.5328</c:v>
                </c:pt>
                <c:pt idx="27">
                  <c:v>10.941700000000001</c:v>
                </c:pt>
                <c:pt idx="28">
                  <c:v>11.348599999999999</c:v>
                </c:pt>
                <c:pt idx="29">
                  <c:v>11.7525</c:v>
                </c:pt>
                <c:pt idx="30">
                  <c:v>12.1584</c:v>
                </c:pt>
                <c:pt idx="31">
                  <c:v>12.565300000000001</c:v>
                </c:pt>
                <c:pt idx="32">
                  <c:v>12.969200000000001</c:v>
                </c:pt>
                <c:pt idx="33">
                  <c:v>13.3741</c:v>
                </c:pt>
                <c:pt idx="34">
                  <c:v>13.786</c:v>
                </c:pt>
                <c:pt idx="35">
                  <c:v>14.193</c:v>
                </c:pt>
                <c:pt idx="36">
                  <c:v>14.5968</c:v>
                </c:pt>
                <c:pt idx="37">
                  <c:v>15.002700000000001</c:v>
                </c:pt>
                <c:pt idx="38">
                  <c:v>15.407999999999999</c:v>
                </c:pt>
                <c:pt idx="39">
                  <c:v>15.813800000000001</c:v>
                </c:pt>
                <c:pt idx="40">
                  <c:v>16.224599999999999</c:v>
                </c:pt>
                <c:pt idx="41">
                  <c:v>16.627400000000002</c:v>
                </c:pt>
                <c:pt idx="42">
                  <c:v>17.035399999999999</c:v>
                </c:pt>
                <c:pt idx="43">
                  <c:v>17.4405</c:v>
                </c:pt>
                <c:pt idx="44">
                  <c:v>17.845199999999998</c:v>
                </c:pt>
                <c:pt idx="45">
                  <c:v>18.2531</c:v>
                </c:pt>
                <c:pt idx="46">
                  <c:v>18.658999999999999</c:v>
                </c:pt>
                <c:pt idx="47">
                  <c:v>19.064900000000002</c:v>
                </c:pt>
                <c:pt idx="48">
                  <c:v>19.469899999999999</c:v>
                </c:pt>
                <c:pt idx="49">
                  <c:v>19.878799999999998</c:v>
                </c:pt>
                <c:pt idx="50">
                  <c:v>20.285699999999999</c:v>
                </c:pt>
                <c:pt idx="51">
                  <c:v>20.687999999999999</c:v>
                </c:pt>
                <c:pt idx="52">
                  <c:v>21.096499999999999</c:v>
                </c:pt>
                <c:pt idx="53">
                  <c:v>21.502400000000002</c:v>
                </c:pt>
                <c:pt idx="54">
                  <c:v>21.9084</c:v>
                </c:pt>
                <c:pt idx="55">
                  <c:v>22.3172</c:v>
                </c:pt>
                <c:pt idx="56">
                  <c:v>22.7241</c:v>
                </c:pt>
                <c:pt idx="57">
                  <c:v>23.127099999999999</c:v>
                </c:pt>
                <c:pt idx="58">
                  <c:v>23.535</c:v>
                </c:pt>
                <c:pt idx="59">
                  <c:v>23.9419</c:v>
                </c:pt>
                <c:pt idx="60">
                  <c:v>24.344799999999999</c:v>
                </c:pt>
                <c:pt idx="61">
                  <c:v>24.755800000000001</c:v>
                </c:pt>
                <c:pt idx="62">
                  <c:v>25.1587</c:v>
                </c:pt>
                <c:pt idx="63">
                  <c:v>25.563700000000001</c:v>
                </c:pt>
                <c:pt idx="64">
                  <c:v>25.9709</c:v>
                </c:pt>
                <c:pt idx="65">
                  <c:v>26.379300000000001</c:v>
                </c:pt>
                <c:pt idx="66">
                  <c:v>26.786300000000001</c:v>
                </c:pt>
                <c:pt idx="67">
                  <c:v>27.191299999999998</c:v>
                </c:pt>
                <c:pt idx="68">
                  <c:v>27.594100000000001</c:v>
                </c:pt>
                <c:pt idx="69">
                  <c:v>28.002500000000001</c:v>
                </c:pt>
                <c:pt idx="70">
                  <c:v>28.410900000000002</c:v>
                </c:pt>
                <c:pt idx="71">
                  <c:v>28.8169</c:v>
                </c:pt>
                <c:pt idx="72">
                  <c:v>29.221900000000002</c:v>
                </c:pt>
                <c:pt idx="73">
                  <c:v>29.6267</c:v>
                </c:pt>
                <c:pt idx="74">
                  <c:v>30.0366</c:v>
                </c:pt>
                <c:pt idx="75">
                  <c:v>30.612200000000001</c:v>
                </c:pt>
                <c:pt idx="76">
                  <c:v>30.989100000000001</c:v>
                </c:pt>
                <c:pt idx="77">
                  <c:v>31.363099999999999</c:v>
                </c:pt>
                <c:pt idx="78">
                  <c:v>31.741099999999999</c:v>
                </c:pt>
                <c:pt idx="79">
                  <c:v>32.112099999999998</c:v>
                </c:pt>
                <c:pt idx="80">
                  <c:v>32.518000000000001</c:v>
                </c:pt>
                <c:pt idx="81">
                  <c:v>32.923000000000002</c:v>
                </c:pt>
                <c:pt idx="82">
                  <c:v>33.33</c:v>
                </c:pt>
                <c:pt idx="83">
                  <c:v>33.738700000000001</c:v>
                </c:pt>
                <c:pt idx="84">
                  <c:v>34.140700000000002</c:v>
                </c:pt>
                <c:pt idx="85">
                  <c:v>34.551600000000001</c:v>
                </c:pt>
                <c:pt idx="86">
                  <c:v>34.954700000000003</c:v>
                </c:pt>
                <c:pt idx="87">
                  <c:v>35.361400000000003</c:v>
                </c:pt>
                <c:pt idx="88">
                  <c:v>35.767299999999999</c:v>
                </c:pt>
                <c:pt idx="89">
                  <c:v>36.1723</c:v>
                </c:pt>
                <c:pt idx="90">
                  <c:v>36.5792</c:v>
                </c:pt>
                <c:pt idx="91">
                  <c:v>36.989100000000001</c:v>
                </c:pt>
                <c:pt idx="92">
                  <c:v>37.394100000000002</c:v>
                </c:pt>
                <c:pt idx="93">
                  <c:v>37.798900000000003</c:v>
                </c:pt>
                <c:pt idx="94">
                  <c:v>38.205800000000004</c:v>
                </c:pt>
                <c:pt idx="95">
                  <c:v>38.609900000000003</c:v>
                </c:pt>
                <c:pt idx="96">
                  <c:v>39.0167</c:v>
                </c:pt>
                <c:pt idx="97">
                  <c:v>39.424599999999998</c:v>
                </c:pt>
                <c:pt idx="98">
                  <c:v>39.8324</c:v>
                </c:pt>
                <c:pt idx="99">
                  <c:v>40.235300000000002</c:v>
                </c:pt>
                <c:pt idx="100">
                  <c:v>40.641500000000001</c:v>
                </c:pt>
                <c:pt idx="101">
                  <c:v>41.050199999999997</c:v>
                </c:pt>
                <c:pt idx="102">
                  <c:v>41.456099999999999</c:v>
                </c:pt>
                <c:pt idx="103">
                  <c:v>41.862099999999998</c:v>
                </c:pt>
                <c:pt idx="104">
                  <c:v>42.268000000000001</c:v>
                </c:pt>
                <c:pt idx="105">
                  <c:v>42.672899999999998</c:v>
                </c:pt>
                <c:pt idx="106">
                  <c:v>43.0839</c:v>
                </c:pt>
                <c:pt idx="107">
                  <c:v>43.488199999999999</c:v>
                </c:pt>
                <c:pt idx="108">
                  <c:v>43.896599999999999</c:v>
                </c:pt>
                <c:pt idx="109">
                  <c:v>44.298499999999997</c:v>
                </c:pt>
                <c:pt idx="110">
                  <c:v>44.704799999999999</c:v>
                </c:pt>
                <c:pt idx="111">
                  <c:v>45.111400000000003</c:v>
                </c:pt>
                <c:pt idx="112">
                  <c:v>45.519300000000001</c:v>
                </c:pt>
                <c:pt idx="113">
                  <c:v>45.926099999999998</c:v>
                </c:pt>
                <c:pt idx="114">
                  <c:v>46.331000000000003</c:v>
                </c:pt>
                <c:pt idx="115">
                  <c:v>46.737200000000001</c:v>
                </c:pt>
                <c:pt idx="116">
                  <c:v>47.140799999999999</c:v>
                </c:pt>
                <c:pt idx="117">
                  <c:v>47.550800000000002</c:v>
                </c:pt>
                <c:pt idx="118">
                  <c:v>47.957700000000003</c:v>
                </c:pt>
                <c:pt idx="119">
                  <c:v>48.360700000000001</c:v>
                </c:pt>
                <c:pt idx="120">
                  <c:v>48.767899999999997</c:v>
                </c:pt>
                <c:pt idx="121">
                  <c:v>49.174500000000002</c:v>
                </c:pt>
                <c:pt idx="122">
                  <c:v>49.5794</c:v>
                </c:pt>
                <c:pt idx="123">
                  <c:v>49.9893</c:v>
                </c:pt>
                <c:pt idx="124">
                  <c:v>50.392299999999999</c:v>
                </c:pt>
                <c:pt idx="125">
                  <c:v>50.798099999999998</c:v>
                </c:pt>
                <c:pt idx="126">
                  <c:v>51.207999999999998</c:v>
                </c:pt>
                <c:pt idx="127">
                  <c:v>51.610999999999997</c:v>
                </c:pt>
                <c:pt idx="128">
                  <c:v>52.017899999999997</c:v>
                </c:pt>
                <c:pt idx="129">
                  <c:v>52.422800000000002</c:v>
                </c:pt>
                <c:pt idx="130">
                  <c:v>52.828699999999998</c:v>
                </c:pt>
                <c:pt idx="131">
                  <c:v>53.235700000000001</c:v>
                </c:pt>
                <c:pt idx="132">
                  <c:v>53.646500000000003</c:v>
                </c:pt>
                <c:pt idx="133">
                  <c:v>54.052399999999999</c:v>
                </c:pt>
                <c:pt idx="134">
                  <c:v>54.4574</c:v>
                </c:pt>
                <c:pt idx="135">
                  <c:v>54.859200000000001</c:v>
                </c:pt>
                <c:pt idx="136">
                  <c:v>55.269100000000002</c:v>
                </c:pt>
                <c:pt idx="137">
                  <c:v>55.678100000000001</c:v>
                </c:pt>
                <c:pt idx="138">
                  <c:v>56.082099999999997</c:v>
                </c:pt>
                <c:pt idx="139">
                  <c:v>56.486899999999999</c:v>
                </c:pt>
                <c:pt idx="140">
                  <c:v>56.8919</c:v>
                </c:pt>
                <c:pt idx="141">
                  <c:v>57.299799999999998</c:v>
                </c:pt>
                <c:pt idx="142">
                  <c:v>57.707599999999999</c:v>
                </c:pt>
                <c:pt idx="143">
                  <c:v>58.114600000000003</c:v>
                </c:pt>
                <c:pt idx="144">
                  <c:v>58.5184</c:v>
                </c:pt>
                <c:pt idx="145">
                  <c:v>58.923499999999997</c:v>
                </c:pt>
                <c:pt idx="146">
                  <c:v>59.3307</c:v>
                </c:pt>
                <c:pt idx="147">
                  <c:v>59.739199999999997</c:v>
                </c:pt>
                <c:pt idx="148">
                  <c:v>60.145099999999999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69.485399999999998</c:v>
                </c:pt>
                <c:pt idx="1">
                  <c:v>68.548100000000005</c:v>
                </c:pt>
                <c:pt idx="2">
                  <c:v>67.587100000000007</c:v>
                </c:pt>
                <c:pt idx="3">
                  <c:v>66.561099999999996</c:v>
                </c:pt>
                <c:pt idx="4">
                  <c:v>65.472699999999989</c:v>
                </c:pt>
                <c:pt idx="5">
                  <c:v>64.407200000000003</c:v>
                </c:pt>
                <c:pt idx="6">
                  <c:v>63.343199999999996</c:v>
                </c:pt>
                <c:pt idx="7">
                  <c:v>62.246299999999998</c:v>
                </c:pt>
                <c:pt idx="8">
                  <c:v>61.102699999999999</c:v>
                </c:pt>
                <c:pt idx="9">
                  <c:v>59.986399999999996</c:v>
                </c:pt>
                <c:pt idx="10">
                  <c:v>58.908899999999996</c:v>
                </c:pt>
                <c:pt idx="11">
                  <c:v>57.889400000000002</c:v>
                </c:pt>
                <c:pt idx="12">
                  <c:v>56.946600000000004</c:v>
                </c:pt>
                <c:pt idx="13">
                  <c:v>56.0867</c:v>
                </c:pt>
                <c:pt idx="14">
                  <c:v>55.332400000000007</c:v>
                </c:pt>
                <c:pt idx="15">
                  <c:v>54.629799999999996</c:v>
                </c:pt>
                <c:pt idx="16">
                  <c:v>53.845600000000005</c:v>
                </c:pt>
                <c:pt idx="17">
                  <c:v>53.061999999999998</c:v>
                </c:pt>
                <c:pt idx="18">
                  <c:v>52.319000000000003</c:v>
                </c:pt>
                <c:pt idx="19">
                  <c:v>51.683199999999999</c:v>
                </c:pt>
                <c:pt idx="20">
                  <c:v>51.0505</c:v>
                </c:pt>
                <c:pt idx="21">
                  <c:v>50.510600000000004</c:v>
                </c:pt>
                <c:pt idx="22">
                  <c:v>50.100100000000005</c:v>
                </c:pt>
                <c:pt idx="23">
                  <c:v>49.8322</c:v>
                </c:pt>
                <c:pt idx="24">
                  <c:v>49.525700000000001</c:v>
                </c:pt>
                <c:pt idx="25">
                  <c:v>49.259599999999999</c:v>
                </c:pt>
                <c:pt idx="26">
                  <c:v>49.067100000000003</c:v>
                </c:pt>
                <c:pt idx="27">
                  <c:v>48.936</c:v>
                </c:pt>
                <c:pt idx="28">
                  <c:v>48.747800000000005</c:v>
                </c:pt>
                <c:pt idx="29">
                  <c:v>48.542900000000003</c:v>
                </c:pt>
                <c:pt idx="30">
                  <c:v>48.357099999999996</c:v>
                </c:pt>
                <c:pt idx="31">
                  <c:v>48.2194</c:v>
                </c:pt>
                <c:pt idx="32">
                  <c:v>48.0839</c:v>
                </c:pt>
                <c:pt idx="33">
                  <c:v>47.881099999999996</c:v>
                </c:pt>
                <c:pt idx="34">
                  <c:v>47.686299999999996</c:v>
                </c:pt>
                <c:pt idx="35">
                  <c:v>47.539900000000003</c:v>
                </c:pt>
                <c:pt idx="36">
                  <c:v>47.440800000000003</c:v>
                </c:pt>
                <c:pt idx="37">
                  <c:v>47.328900000000004</c:v>
                </c:pt>
                <c:pt idx="38">
                  <c:v>47.223599999999998</c:v>
                </c:pt>
                <c:pt idx="39">
                  <c:v>47.107199999999999</c:v>
                </c:pt>
                <c:pt idx="40">
                  <c:v>46.988900000000001</c:v>
                </c:pt>
                <c:pt idx="41">
                  <c:v>46.9343</c:v>
                </c:pt>
                <c:pt idx="42">
                  <c:v>46.841500000000003</c:v>
                </c:pt>
                <c:pt idx="43">
                  <c:v>46.762700000000002</c:v>
                </c:pt>
                <c:pt idx="44">
                  <c:v>46.649299999999997</c:v>
                </c:pt>
                <c:pt idx="45">
                  <c:v>46.5852</c:v>
                </c:pt>
                <c:pt idx="46">
                  <c:v>46.583799999999997</c:v>
                </c:pt>
                <c:pt idx="47">
                  <c:v>46.555</c:v>
                </c:pt>
                <c:pt idx="48">
                  <c:v>46.479500000000002</c:v>
                </c:pt>
                <c:pt idx="49">
                  <c:v>46.404200000000003</c:v>
                </c:pt>
                <c:pt idx="50">
                  <c:v>46.350999999999999</c:v>
                </c:pt>
                <c:pt idx="51">
                  <c:v>46.216799999999999</c:v>
                </c:pt>
                <c:pt idx="52">
                  <c:v>46.0426</c:v>
                </c:pt>
                <c:pt idx="53">
                  <c:v>45.883200000000002</c:v>
                </c:pt>
                <c:pt idx="54">
                  <c:v>45.7117</c:v>
                </c:pt>
                <c:pt idx="55">
                  <c:v>45.463200000000001</c:v>
                </c:pt>
                <c:pt idx="56">
                  <c:v>45.279799999999994</c:v>
                </c:pt>
                <c:pt idx="57">
                  <c:v>45.140500000000003</c:v>
                </c:pt>
                <c:pt idx="58">
                  <c:v>45.273400000000002</c:v>
                </c:pt>
                <c:pt idx="59">
                  <c:v>45.4908</c:v>
                </c:pt>
                <c:pt idx="60">
                  <c:v>45.582099999999997</c:v>
                </c:pt>
                <c:pt idx="61">
                  <c:v>45.847799999999999</c:v>
                </c:pt>
                <c:pt idx="62">
                  <c:v>45.954499999999996</c:v>
                </c:pt>
                <c:pt idx="63">
                  <c:v>46.210999999999999</c:v>
                </c:pt>
                <c:pt idx="64">
                  <c:v>46.503799999999998</c:v>
                </c:pt>
                <c:pt idx="65">
                  <c:v>46.816299999999998</c:v>
                </c:pt>
                <c:pt idx="66">
                  <c:v>47.2849</c:v>
                </c:pt>
                <c:pt idx="67">
                  <c:v>47.689</c:v>
                </c:pt>
                <c:pt idx="68">
                  <c:v>48.012700000000002</c:v>
                </c:pt>
                <c:pt idx="69">
                  <c:v>48.683999999999997</c:v>
                </c:pt>
                <c:pt idx="70">
                  <c:v>49.1539</c:v>
                </c:pt>
                <c:pt idx="71">
                  <c:v>49.640599999999999</c:v>
                </c:pt>
                <c:pt idx="72">
                  <c:v>50.0749</c:v>
                </c:pt>
                <c:pt idx="73">
                  <c:v>50.517000000000003</c:v>
                </c:pt>
                <c:pt idx="74">
                  <c:v>50.955600000000004</c:v>
                </c:pt>
                <c:pt idx="75">
                  <c:v>51.443399999999997</c:v>
                </c:pt>
                <c:pt idx="76">
                  <c:v>51.974399999999996</c:v>
                </c:pt>
                <c:pt idx="77">
                  <c:v>52.512700000000002</c:v>
                </c:pt>
                <c:pt idx="78">
                  <c:v>53.091000000000001</c:v>
                </c:pt>
                <c:pt idx="79">
                  <c:v>53.763399999999997</c:v>
                </c:pt>
                <c:pt idx="80">
                  <c:v>54.474000000000004</c:v>
                </c:pt>
                <c:pt idx="81">
                  <c:v>55.169599999999996</c:v>
                </c:pt>
                <c:pt idx="82">
                  <c:v>55.818400000000004</c:v>
                </c:pt>
                <c:pt idx="83">
                  <c:v>56.368899999999996</c:v>
                </c:pt>
                <c:pt idx="84">
                  <c:v>56.901999999999994</c:v>
                </c:pt>
                <c:pt idx="85">
                  <c:v>57.344999999999999</c:v>
                </c:pt>
                <c:pt idx="86">
                  <c:v>57.753299999999996</c:v>
                </c:pt>
                <c:pt idx="87">
                  <c:v>58.181899999999999</c:v>
                </c:pt>
                <c:pt idx="88">
                  <c:v>58.717100000000002</c:v>
                </c:pt>
                <c:pt idx="89">
                  <c:v>59.293600000000005</c:v>
                </c:pt>
                <c:pt idx="90">
                  <c:v>59.8521</c:v>
                </c:pt>
                <c:pt idx="91">
                  <c:v>60.443800000000003</c:v>
                </c:pt>
                <c:pt idx="92">
                  <c:v>61.031700000000001</c:v>
                </c:pt>
                <c:pt idx="93">
                  <c:v>61.695299999999996</c:v>
                </c:pt>
                <c:pt idx="94">
                  <c:v>62.2834</c:v>
                </c:pt>
                <c:pt idx="95">
                  <c:v>62.807000000000002</c:v>
                </c:pt>
                <c:pt idx="96">
                  <c:v>63.222699999999996</c:v>
                </c:pt>
                <c:pt idx="97">
                  <c:v>63.494900000000001</c:v>
                </c:pt>
                <c:pt idx="98">
                  <c:v>63.5398</c:v>
                </c:pt>
                <c:pt idx="99">
                  <c:v>63.320600000000006</c:v>
                </c:pt>
                <c:pt idx="100">
                  <c:v>62.893799999999999</c:v>
                </c:pt>
                <c:pt idx="101">
                  <c:v>62.4039</c:v>
                </c:pt>
                <c:pt idx="102">
                  <c:v>61.754600000000003</c:v>
                </c:pt>
                <c:pt idx="103">
                  <c:v>61.173100000000005</c:v>
                </c:pt>
                <c:pt idx="104">
                  <c:v>60.628300000000003</c:v>
                </c:pt>
                <c:pt idx="105">
                  <c:v>60.139800000000001</c:v>
                </c:pt>
                <c:pt idx="106">
                  <c:v>59.707900000000002</c:v>
                </c:pt>
                <c:pt idx="107">
                  <c:v>59.226700000000001</c:v>
                </c:pt>
                <c:pt idx="108">
                  <c:v>58.609900000000003</c:v>
                </c:pt>
                <c:pt idx="109">
                  <c:v>57.931800000000003</c:v>
                </c:pt>
                <c:pt idx="110">
                  <c:v>57.079899999999995</c:v>
                </c:pt>
                <c:pt idx="111">
                  <c:v>56.264400000000002</c:v>
                </c:pt>
                <c:pt idx="112">
                  <c:v>55.527700000000003</c:v>
                </c:pt>
                <c:pt idx="113">
                  <c:v>54.901400000000002</c:v>
                </c:pt>
                <c:pt idx="114">
                  <c:v>54.307700000000004</c:v>
                </c:pt>
                <c:pt idx="115">
                  <c:v>53.802999999999997</c:v>
                </c:pt>
                <c:pt idx="116">
                  <c:v>53.360199999999999</c:v>
                </c:pt>
                <c:pt idx="117">
                  <c:v>52.884799999999998</c:v>
                </c:pt>
                <c:pt idx="118">
                  <c:v>52.354599999999998</c:v>
                </c:pt>
                <c:pt idx="119">
                  <c:v>51.920100000000005</c:v>
                </c:pt>
                <c:pt idx="120">
                  <c:v>51.4925</c:v>
                </c:pt>
                <c:pt idx="121">
                  <c:v>50.973199999999999</c:v>
                </c:pt>
                <c:pt idx="122">
                  <c:v>50.4803</c:v>
                </c:pt>
                <c:pt idx="123">
                  <c:v>49.995899999999999</c:v>
                </c:pt>
                <c:pt idx="124">
                  <c:v>49.686199999999999</c:v>
                </c:pt>
                <c:pt idx="125">
                  <c:v>49.558700000000002</c:v>
                </c:pt>
                <c:pt idx="126">
                  <c:v>49.4405</c:v>
                </c:pt>
                <c:pt idx="127">
                  <c:v>49.331199999999995</c:v>
                </c:pt>
                <c:pt idx="128">
                  <c:v>49.2179</c:v>
                </c:pt>
                <c:pt idx="129">
                  <c:v>49.080400000000004</c:v>
                </c:pt>
                <c:pt idx="130">
                  <c:v>48.920900000000003</c:v>
                </c:pt>
                <c:pt idx="131">
                  <c:v>48.761900000000004</c:v>
                </c:pt>
                <c:pt idx="132">
                  <c:v>48.615600000000001</c:v>
                </c:pt>
                <c:pt idx="133">
                  <c:v>48.498100000000001</c:v>
                </c:pt>
                <c:pt idx="134">
                  <c:v>48.382199999999997</c:v>
                </c:pt>
                <c:pt idx="135">
                  <c:v>48.282399999999996</c:v>
                </c:pt>
                <c:pt idx="136">
                  <c:v>48.179000000000002</c:v>
                </c:pt>
                <c:pt idx="137">
                  <c:v>48.076099999999997</c:v>
                </c:pt>
                <c:pt idx="138">
                  <c:v>47.956600000000002</c:v>
                </c:pt>
                <c:pt idx="139">
                  <c:v>47.8065</c:v>
                </c:pt>
                <c:pt idx="140">
                  <c:v>47.622700000000002</c:v>
                </c:pt>
                <c:pt idx="141">
                  <c:v>47.379399999999997</c:v>
                </c:pt>
                <c:pt idx="142">
                  <c:v>47.145299999999999</c:v>
                </c:pt>
                <c:pt idx="143">
                  <c:v>46.937200000000004</c:v>
                </c:pt>
                <c:pt idx="144">
                  <c:v>46.683400000000006</c:v>
                </c:pt>
                <c:pt idx="145">
                  <c:v>46.529399999999995</c:v>
                </c:pt>
                <c:pt idx="146">
                  <c:v>46.483200000000004</c:v>
                </c:pt>
                <c:pt idx="147">
                  <c:v>46.2988</c:v>
                </c:pt>
                <c:pt idx="148">
                  <c:v>46.077400000000004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0.38189000000000001</c:v>
                </c:pt>
                <c:pt idx="2">
                  <c:v>0.78580000000000005</c:v>
                </c:pt>
                <c:pt idx="3">
                  <c:v>1.1898200000000001</c:v>
                </c:pt>
                <c:pt idx="4">
                  <c:v>1.59568</c:v>
                </c:pt>
                <c:pt idx="5">
                  <c:v>2.0027300000000001</c:v>
                </c:pt>
                <c:pt idx="6">
                  <c:v>2.4095300000000002</c:v>
                </c:pt>
                <c:pt idx="7">
                  <c:v>2.8173900000000001</c:v>
                </c:pt>
                <c:pt idx="8">
                  <c:v>3.2224400000000002</c:v>
                </c:pt>
                <c:pt idx="9">
                  <c:v>3.6262599999999998</c:v>
                </c:pt>
                <c:pt idx="10">
                  <c:v>4.0362600000000004</c:v>
                </c:pt>
                <c:pt idx="11">
                  <c:v>4.4430300000000003</c:v>
                </c:pt>
                <c:pt idx="12">
                  <c:v>4.8440000000000003</c:v>
                </c:pt>
                <c:pt idx="13">
                  <c:v>5.2550299999999996</c:v>
                </c:pt>
                <c:pt idx="14">
                  <c:v>5.6588599999999998</c:v>
                </c:pt>
                <c:pt idx="15">
                  <c:v>6.0639700000000003</c:v>
                </c:pt>
                <c:pt idx="16">
                  <c:v>6.4707299999999996</c:v>
                </c:pt>
                <c:pt idx="17">
                  <c:v>6.87852</c:v>
                </c:pt>
                <c:pt idx="18">
                  <c:v>7.2844100000000003</c:v>
                </c:pt>
                <c:pt idx="19">
                  <c:v>7.6893599999999998</c:v>
                </c:pt>
                <c:pt idx="20">
                  <c:v>8.0957399999999993</c:v>
                </c:pt>
                <c:pt idx="21">
                  <c:v>8.5021900000000006</c:v>
                </c:pt>
                <c:pt idx="22">
                  <c:v>8.9121600000000001</c:v>
                </c:pt>
                <c:pt idx="23">
                  <c:v>9.3170599999999997</c:v>
                </c:pt>
                <c:pt idx="24">
                  <c:v>9.7212800000000001</c:v>
                </c:pt>
                <c:pt idx="25">
                  <c:v>10.126799999999999</c:v>
                </c:pt>
                <c:pt idx="26">
                  <c:v>10.5328</c:v>
                </c:pt>
                <c:pt idx="27">
                  <c:v>10.941700000000001</c:v>
                </c:pt>
                <c:pt idx="28">
                  <c:v>11.348599999999999</c:v>
                </c:pt>
                <c:pt idx="29">
                  <c:v>11.7525</c:v>
                </c:pt>
                <c:pt idx="30">
                  <c:v>12.1584</c:v>
                </c:pt>
                <c:pt idx="31">
                  <c:v>12.565300000000001</c:v>
                </c:pt>
                <c:pt idx="32">
                  <c:v>12.969200000000001</c:v>
                </c:pt>
                <c:pt idx="33">
                  <c:v>13.3741</c:v>
                </c:pt>
                <c:pt idx="34">
                  <c:v>13.786</c:v>
                </c:pt>
                <c:pt idx="35">
                  <c:v>14.193</c:v>
                </c:pt>
                <c:pt idx="36">
                  <c:v>14.5968</c:v>
                </c:pt>
                <c:pt idx="37">
                  <c:v>15.002700000000001</c:v>
                </c:pt>
                <c:pt idx="38">
                  <c:v>15.407999999999999</c:v>
                </c:pt>
                <c:pt idx="39">
                  <c:v>15.813800000000001</c:v>
                </c:pt>
                <c:pt idx="40">
                  <c:v>16.224599999999999</c:v>
                </c:pt>
                <c:pt idx="41">
                  <c:v>16.627400000000002</c:v>
                </c:pt>
                <c:pt idx="42">
                  <c:v>17.035399999999999</c:v>
                </c:pt>
                <c:pt idx="43">
                  <c:v>17.4405</c:v>
                </c:pt>
                <c:pt idx="44">
                  <c:v>17.845199999999998</c:v>
                </c:pt>
                <c:pt idx="45">
                  <c:v>18.2531</c:v>
                </c:pt>
                <c:pt idx="46">
                  <c:v>18.658999999999999</c:v>
                </c:pt>
                <c:pt idx="47">
                  <c:v>19.064900000000002</c:v>
                </c:pt>
                <c:pt idx="48">
                  <c:v>19.469899999999999</c:v>
                </c:pt>
                <c:pt idx="49">
                  <c:v>19.878799999999998</c:v>
                </c:pt>
                <c:pt idx="50">
                  <c:v>20.285699999999999</c:v>
                </c:pt>
                <c:pt idx="51">
                  <c:v>20.687999999999999</c:v>
                </c:pt>
                <c:pt idx="52">
                  <c:v>21.096499999999999</c:v>
                </c:pt>
                <c:pt idx="53">
                  <c:v>21.502400000000002</c:v>
                </c:pt>
                <c:pt idx="54">
                  <c:v>21.9084</c:v>
                </c:pt>
                <c:pt idx="55">
                  <c:v>22.3172</c:v>
                </c:pt>
                <c:pt idx="56">
                  <c:v>22.7241</c:v>
                </c:pt>
                <c:pt idx="57">
                  <c:v>23.127099999999999</c:v>
                </c:pt>
                <c:pt idx="58">
                  <c:v>23.535</c:v>
                </c:pt>
                <c:pt idx="59">
                  <c:v>23.9419</c:v>
                </c:pt>
                <c:pt idx="60">
                  <c:v>24.344799999999999</c:v>
                </c:pt>
                <c:pt idx="61">
                  <c:v>24.755800000000001</c:v>
                </c:pt>
                <c:pt idx="62">
                  <c:v>25.1587</c:v>
                </c:pt>
                <c:pt idx="63">
                  <c:v>25.563700000000001</c:v>
                </c:pt>
                <c:pt idx="64">
                  <c:v>25.9709</c:v>
                </c:pt>
                <c:pt idx="65">
                  <c:v>26.379300000000001</c:v>
                </c:pt>
                <c:pt idx="66">
                  <c:v>26.786300000000001</c:v>
                </c:pt>
                <c:pt idx="67">
                  <c:v>27.191299999999998</c:v>
                </c:pt>
                <c:pt idx="68">
                  <c:v>27.594100000000001</c:v>
                </c:pt>
                <c:pt idx="69">
                  <c:v>28.002500000000001</c:v>
                </c:pt>
                <c:pt idx="70">
                  <c:v>28.410900000000002</c:v>
                </c:pt>
                <c:pt idx="71">
                  <c:v>28.8169</c:v>
                </c:pt>
                <c:pt idx="72">
                  <c:v>29.221900000000002</c:v>
                </c:pt>
                <c:pt idx="73">
                  <c:v>29.6267</c:v>
                </c:pt>
                <c:pt idx="74">
                  <c:v>30.0366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69.485399999999998</c:v>
                </c:pt>
                <c:pt idx="1">
                  <c:v>68.548100000000005</c:v>
                </c:pt>
                <c:pt idx="2">
                  <c:v>67.587100000000007</c:v>
                </c:pt>
                <c:pt idx="3">
                  <c:v>66.561099999999996</c:v>
                </c:pt>
                <c:pt idx="4">
                  <c:v>65.472699999999989</c:v>
                </c:pt>
                <c:pt idx="5">
                  <c:v>64.407200000000003</c:v>
                </c:pt>
                <c:pt idx="6">
                  <c:v>63.343199999999996</c:v>
                </c:pt>
                <c:pt idx="7">
                  <c:v>62.246299999999998</c:v>
                </c:pt>
                <c:pt idx="8">
                  <c:v>61.102699999999999</c:v>
                </c:pt>
                <c:pt idx="9">
                  <c:v>59.986399999999996</c:v>
                </c:pt>
                <c:pt idx="10">
                  <c:v>58.908899999999996</c:v>
                </c:pt>
                <c:pt idx="11">
                  <c:v>57.889400000000002</c:v>
                </c:pt>
                <c:pt idx="12">
                  <c:v>56.946600000000004</c:v>
                </c:pt>
                <c:pt idx="13">
                  <c:v>56.0867</c:v>
                </c:pt>
                <c:pt idx="14">
                  <c:v>55.332400000000007</c:v>
                </c:pt>
                <c:pt idx="15">
                  <c:v>54.629799999999996</c:v>
                </c:pt>
                <c:pt idx="16">
                  <c:v>53.845600000000005</c:v>
                </c:pt>
                <c:pt idx="17">
                  <c:v>53.061999999999998</c:v>
                </c:pt>
                <c:pt idx="18">
                  <c:v>52.319000000000003</c:v>
                </c:pt>
                <c:pt idx="19">
                  <c:v>51.683199999999999</c:v>
                </c:pt>
                <c:pt idx="20">
                  <c:v>51.0505</c:v>
                </c:pt>
                <c:pt idx="21">
                  <c:v>50.510600000000004</c:v>
                </c:pt>
                <c:pt idx="22">
                  <c:v>50.100100000000005</c:v>
                </c:pt>
                <c:pt idx="23">
                  <c:v>49.8322</c:v>
                </c:pt>
                <c:pt idx="24">
                  <c:v>49.525700000000001</c:v>
                </c:pt>
                <c:pt idx="25">
                  <c:v>49.259599999999999</c:v>
                </c:pt>
                <c:pt idx="26">
                  <c:v>49.067100000000003</c:v>
                </c:pt>
                <c:pt idx="27">
                  <c:v>48.936</c:v>
                </c:pt>
                <c:pt idx="28">
                  <c:v>48.747800000000005</c:v>
                </c:pt>
                <c:pt idx="29">
                  <c:v>48.542900000000003</c:v>
                </c:pt>
                <c:pt idx="30">
                  <c:v>48.357099999999996</c:v>
                </c:pt>
                <c:pt idx="31">
                  <c:v>48.2194</c:v>
                </c:pt>
                <c:pt idx="32">
                  <c:v>48.0839</c:v>
                </c:pt>
                <c:pt idx="33">
                  <c:v>47.881099999999996</c:v>
                </c:pt>
                <c:pt idx="34">
                  <c:v>47.686299999999996</c:v>
                </c:pt>
                <c:pt idx="35">
                  <c:v>47.539900000000003</c:v>
                </c:pt>
                <c:pt idx="36">
                  <c:v>47.440800000000003</c:v>
                </c:pt>
                <c:pt idx="37">
                  <c:v>47.328900000000004</c:v>
                </c:pt>
                <c:pt idx="38">
                  <c:v>47.223599999999998</c:v>
                </c:pt>
                <c:pt idx="39">
                  <c:v>47.107199999999999</c:v>
                </c:pt>
                <c:pt idx="40">
                  <c:v>46.988900000000001</c:v>
                </c:pt>
                <c:pt idx="41">
                  <c:v>46.9343</c:v>
                </c:pt>
                <c:pt idx="42">
                  <c:v>46.841500000000003</c:v>
                </c:pt>
                <c:pt idx="43">
                  <c:v>46.762700000000002</c:v>
                </c:pt>
                <c:pt idx="44">
                  <c:v>46.649299999999997</c:v>
                </c:pt>
                <c:pt idx="45">
                  <c:v>46.5852</c:v>
                </c:pt>
                <c:pt idx="46">
                  <c:v>46.583799999999997</c:v>
                </c:pt>
                <c:pt idx="47">
                  <c:v>46.555</c:v>
                </c:pt>
                <c:pt idx="48">
                  <c:v>46.479500000000002</c:v>
                </c:pt>
                <c:pt idx="49">
                  <c:v>46.404200000000003</c:v>
                </c:pt>
                <c:pt idx="50">
                  <c:v>46.350999999999999</c:v>
                </c:pt>
                <c:pt idx="51">
                  <c:v>46.216799999999999</c:v>
                </c:pt>
                <c:pt idx="52">
                  <c:v>46.0426</c:v>
                </c:pt>
                <c:pt idx="53">
                  <c:v>45.883200000000002</c:v>
                </c:pt>
                <c:pt idx="54">
                  <c:v>45.7117</c:v>
                </c:pt>
                <c:pt idx="55">
                  <c:v>45.463200000000001</c:v>
                </c:pt>
                <c:pt idx="56">
                  <c:v>45.279799999999994</c:v>
                </c:pt>
                <c:pt idx="57">
                  <c:v>45.140500000000003</c:v>
                </c:pt>
                <c:pt idx="58">
                  <c:v>45.273400000000002</c:v>
                </c:pt>
                <c:pt idx="59">
                  <c:v>45.4908</c:v>
                </c:pt>
                <c:pt idx="60">
                  <c:v>45.582099999999997</c:v>
                </c:pt>
                <c:pt idx="61">
                  <c:v>45.847799999999999</c:v>
                </c:pt>
                <c:pt idx="62">
                  <c:v>45.954499999999996</c:v>
                </c:pt>
                <c:pt idx="63">
                  <c:v>46.210999999999999</c:v>
                </c:pt>
                <c:pt idx="64">
                  <c:v>46.503799999999998</c:v>
                </c:pt>
                <c:pt idx="65">
                  <c:v>46.816299999999998</c:v>
                </c:pt>
                <c:pt idx="66">
                  <c:v>47.2849</c:v>
                </c:pt>
                <c:pt idx="67">
                  <c:v>47.689</c:v>
                </c:pt>
                <c:pt idx="68">
                  <c:v>48.012700000000002</c:v>
                </c:pt>
                <c:pt idx="69">
                  <c:v>48.683999999999997</c:v>
                </c:pt>
                <c:pt idx="70">
                  <c:v>49.1539</c:v>
                </c:pt>
                <c:pt idx="71">
                  <c:v>49.640599999999999</c:v>
                </c:pt>
                <c:pt idx="72">
                  <c:v>50.0749</c:v>
                </c:pt>
                <c:pt idx="73">
                  <c:v>50.517000000000003</c:v>
                </c:pt>
                <c:pt idx="74">
                  <c:v>50.955600000000004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30.0366</c:v>
                </c:pt>
                <c:pt idx="1">
                  <c:v>30.612200000000001</c:v>
                </c:pt>
                <c:pt idx="2">
                  <c:v>30.989100000000001</c:v>
                </c:pt>
                <c:pt idx="3">
                  <c:v>31.363099999999999</c:v>
                </c:pt>
                <c:pt idx="4">
                  <c:v>31.741099999999999</c:v>
                </c:pt>
                <c:pt idx="5">
                  <c:v>32.112099999999998</c:v>
                </c:pt>
                <c:pt idx="6">
                  <c:v>32.518000000000001</c:v>
                </c:pt>
                <c:pt idx="7">
                  <c:v>32.923000000000002</c:v>
                </c:pt>
                <c:pt idx="8">
                  <c:v>33.33</c:v>
                </c:pt>
                <c:pt idx="9">
                  <c:v>33.738700000000001</c:v>
                </c:pt>
                <c:pt idx="10">
                  <c:v>34.140700000000002</c:v>
                </c:pt>
                <c:pt idx="11">
                  <c:v>34.551600000000001</c:v>
                </c:pt>
                <c:pt idx="12">
                  <c:v>34.954700000000003</c:v>
                </c:pt>
                <c:pt idx="13">
                  <c:v>35.361400000000003</c:v>
                </c:pt>
                <c:pt idx="14">
                  <c:v>35.767299999999999</c:v>
                </c:pt>
                <c:pt idx="15">
                  <c:v>36.1723</c:v>
                </c:pt>
                <c:pt idx="16">
                  <c:v>36.5792</c:v>
                </c:pt>
                <c:pt idx="17">
                  <c:v>36.989100000000001</c:v>
                </c:pt>
                <c:pt idx="18">
                  <c:v>37.394100000000002</c:v>
                </c:pt>
                <c:pt idx="19">
                  <c:v>37.798900000000003</c:v>
                </c:pt>
                <c:pt idx="20">
                  <c:v>38.205800000000004</c:v>
                </c:pt>
                <c:pt idx="21">
                  <c:v>38.609900000000003</c:v>
                </c:pt>
                <c:pt idx="22">
                  <c:v>39.0167</c:v>
                </c:pt>
                <c:pt idx="23">
                  <c:v>39.424599999999998</c:v>
                </c:pt>
                <c:pt idx="24">
                  <c:v>39.8324</c:v>
                </c:pt>
                <c:pt idx="25">
                  <c:v>40.235300000000002</c:v>
                </c:pt>
                <c:pt idx="26">
                  <c:v>40.641500000000001</c:v>
                </c:pt>
                <c:pt idx="27">
                  <c:v>41.050199999999997</c:v>
                </c:pt>
                <c:pt idx="28">
                  <c:v>41.456099999999999</c:v>
                </c:pt>
                <c:pt idx="29">
                  <c:v>41.862099999999998</c:v>
                </c:pt>
                <c:pt idx="30">
                  <c:v>42.268000000000001</c:v>
                </c:pt>
                <c:pt idx="31">
                  <c:v>42.672899999999998</c:v>
                </c:pt>
                <c:pt idx="32">
                  <c:v>43.0839</c:v>
                </c:pt>
                <c:pt idx="33">
                  <c:v>43.488199999999999</c:v>
                </c:pt>
                <c:pt idx="34">
                  <c:v>43.896599999999999</c:v>
                </c:pt>
                <c:pt idx="35">
                  <c:v>44.298499999999997</c:v>
                </c:pt>
                <c:pt idx="36">
                  <c:v>44.704799999999999</c:v>
                </c:pt>
                <c:pt idx="37">
                  <c:v>45.111400000000003</c:v>
                </c:pt>
                <c:pt idx="38">
                  <c:v>45.519300000000001</c:v>
                </c:pt>
                <c:pt idx="39">
                  <c:v>45.926099999999998</c:v>
                </c:pt>
                <c:pt idx="40">
                  <c:v>46.331000000000003</c:v>
                </c:pt>
                <c:pt idx="41">
                  <c:v>46.737200000000001</c:v>
                </c:pt>
                <c:pt idx="42">
                  <c:v>47.140799999999999</c:v>
                </c:pt>
                <c:pt idx="43">
                  <c:v>47.550800000000002</c:v>
                </c:pt>
                <c:pt idx="44">
                  <c:v>47.957700000000003</c:v>
                </c:pt>
                <c:pt idx="45">
                  <c:v>48.360700000000001</c:v>
                </c:pt>
                <c:pt idx="46">
                  <c:v>48.767899999999997</c:v>
                </c:pt>
                <c:pt idx="47">
                  <c:v>49.174500000000002</c:v>
                </c:pt>
                <c:pt idx="48">
                  <c:v>49.5794</c:v>
                </c:pt>
                <c:pt idx="49">
                  <c:v>49.9893</c:v>
                </c:pt>
                <c:pt idx="50">
                  <c:v>50.392299999999999</c:v>
                </c:pt>
                <c:pt idx="51">
                  <c:v>50.798099999999998</c:v>
                </c:pt>
                <c:pt idx="52">
                  <c:v>51.207999999999998</c:v>
                </c:pt>
                <c:pt idx="53">
                  <c:v>51.610999999999997</c:v>
                </c:pt>
                <c:pt idx="54">
                  <c:v>52.017899999999997</c:v>
                </c:pt>
                <c:pt idx="55">
                  <c:v>52.422800000000002</c:v>
                </c:pt>
                <c:pt idx="56">
                  <c:v>52.828699999999998</c:v>
                </c:pt>
                <c:pt idx="57">
                  <c:v>53.235700000000001</c:v>
                </c:pt>
                <c:pt idx="58">
                  <c:v>53.646500000000003</c:v>
                </c:pt>
                <c:pt idx="59">
                  <c:v>54.052399999999999</c:v>
                </c:pt>
                <c:pt idx="60">
                  <c:v>54.4574</c:v>
                </c:pt>
                <c:pt idx="61">
                  <c:v>54.859200000000001</c:v>
                </c:pt>
                <c:pt idx="62">
                  <c:v>55.269100000000002</c:v>
                </c:pt>
                <c:pt idx="63">
                  <c:v>55.678100000000001</c:v>
                </c:pt>
                <c:pt idx="64">
                  <c:v>56.082099999999997</c:v>
                </c:pt>
                <c:pt idx="65">
                  <c:v>56.486899999999999</c:v>
                </c:pt>
                <c:pt idx="66">
                  <c:v>56.8919</c:v>
                </c:pt>
                <c:pt idx="67">
                  <c:v>57.299799999999998</c:v>
                </c:pt>
                <c:pt idx="68">
                  <c:v>57.707599999999999</c:v>
                </c:pt>
                <c:pt idx="69">
                  <c:v>58.114600000000003</c:v>
                </c:pt>
                <c:pt idx="70">
                  <c:v>58.5184</c:v>
                </c:pt>
                <c:pt idx="71">
                  <c:v>58.923499999999997</c:v>
                </c:pt>
                <c:pt idx="72">
                  <c:v>59.3307</c:v>
                </c:pt>
                <c:pt idx="73">
                  <c:v>59.739199999999997</c:v>
                </c:pt>
                <c:pt idx="74">
                  <c:v>60.145099999999999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50.955600000000004</c:v>
                </c:pt>
                <c:pt idx="1">
                  <c:v>51.443399999999997</c:v>
                </c:pt>
                <c:pt idx="2">
                  <c:v>51.974399999999996</c:v>
                </c:pt>
                <c:pt idx="3">
                  <c:v>52.512700000000002</c:v>
                </c:pt>
                <c:pt idx="4">
                  <c:v>53.091000000000001</c:v>
                </c:pt>
                <c:pt idx="5">
                  <c:v>53.763399999999997</c:v>
                </c:pt>
                <c:pt idx="6">
                  <c:v>54.474000000000004</c:v>
                </c:pt>
                <c:pt idx="7">
                  <c:v>55.169599999999996</c:v>
                </c:pt>
                <c:pt idx="8">
                  <c:v>55.818400000000004</c:v>
                </c:pt>
                <c:pt idx="9">
                  <c:v>56.368899999999996</c:v>
                </c:pt>
                <c:pt idx="10">
                  <c:v>56.901999999999994</c:v>
                </c:pt>
                <c:pt idx="11">
                  <c:v>57.344999999999999</c:v>
                </c:pt>
                <c:pt idx="12">
                  <c:v>57.753299999999996</c:v>
                </c:pt>
                <c:pt idx="13">
                  <c:v>58.181899999999999</c:v>
                </c:pt>
                <c:pt idx="14">
                  <c:v>58.717100000000002</c:v>
                </c:pt>
                <c:pt idx="15">
                  <c:v>59.293600000000005</c:v>
                </c:pt>
                <c:pt idx="16">
                  <c:v>59.8521</c:v>
                </c:pt>
                <c:pt idx="17">
                  <c:v>60.443800000000003</c:v>
                </c:pt>
                <c:pt idx="18">
                  <c:v>61.031700000000001</c:v>
                </c:pt>
                <c:pt idx="19">
                  <c:v>61.695299999999996</c:v>
                </c:pt>
                <c:pt idx="20">
                  <c:v>62.2834</c:v>
                </c:pt>
                <c:pt idx="21">
                  <c:v>62.807000000000002</c:v>
                </c:pt>
                <c:pt idx="22">
                  <c:v>63.222699999999996</c:v>
                </c:pt>
                <c:pt idx="23">
                  <c:v>63.494900000000001</c:v>
                </c:pt>
                <c:pt idx="24">
                  <c:v>63.5398</c:v>
                </c:pt>
                <c:pt idx="25">
                  <c:v>63.320600000000006</c:v>
                </c:pt>
                <c:pt idx="26">
                  <c:v>62.893799999999999</c:v>
                </c:pt>
                <c:pt idx="27">
                  <c:v>62.4039</c:v>
                </c:pt>
                <c:pt idx="28">
                  <c:v>61.754600000000003</c:v>
                </c:pt>
                <c:pt idx="29">
                  <c:v>61.173100000000005</c:v>
                </c:pt>
                <c:pt idx="30">
                  <c:v>60.628300000000003</c:v>
                </c:pt>
                <c:pt idx="31">
                  <c:v>60.139800000000001</c:v>
                </c:pt>
                <c:pt idx="32">
                  <c:v>59.707900000000002</c:v>
                </c:pt>
                <c:pt idx="33">
                  <c:v>59.226700000000001</c:v>
                </c:pt>
                <c:pt idx="34">
                  <c:v>58.609900000000003</c:v>
                </c:pt>
                <c:pt idx="35">
                  <c:v>57.931800000000003</c:v>
                </c:pt>
                <c:pt idx="36">
                  <c:v>57.079899999999995</c:v>
                </c:pt>
                <c:pt idx="37">
                  <c:v>56.264400000000002</c:v>
                </c:pt>
                <c:pt idx="38">
                  <c:v>55.527700000000003</c:v>
                </c:pt>
                <c:pt idx="39">
                  <c:v>54.901400000000002</c:v>
                </c:pt>
                <c:pt idx="40">
                  <c:v>54.307700000000004</c:v>
                </c:pt>
                <c:pt idx="41">
                  <c:v>53.802999999999997</c:v>
                </c:pt>
                <c:pt idx="42">
                  <c:v>53.360199999999999</c:v>
                </c:pt>
                <c:pt idx="43">
                  <c:v>52.884799999999998</c:v>
                </c:pt>
                <c:pt idx="44">
                  <c:v>52.354599999999998</c:v>
                </c:pt>
                <c:pt idx="45">
                  <c:v>51.920100000000005</c:v>
                </c:pt>
                <c:pt idx="46">
                  <c:v>51.4925</c:v>
                </c:pt>
                <c:pt idx="47">
                  <c:v>50.973199999999999</c:v>
                </c:pt>
                <c:pt idx="48">
                  <c:v>50.4803</c:v>
                </c:pt>
                <c:pt idx="49">
                  <c:v>49.995899999999999</c:v>
                </c:pt>
                <c:pt idx="50">
                  <c:v>49.686199999999999</c:v>
                </c:pt>
                <c:pt idx="51">
                  <c:v>49.558700000000002</c:v>
                </c:pt>
                <c:pt idx="52">
                  <c:v>49.4405</c:v>
                </c:pt>
                <c:pt idx="53">
                  <c:v>49.331199999999995</c:v>
                </c:pt>
                <c:pt idx="54">
                  <c:v>49.2179</c:v>
                </c:pt>
                <c:pt idx="55">
                  <c:v>49.080400000000004</c:v>
                </c:pt>
                <c:pt idx="56">
                  <c:v>48.920900000000003</c:v>
                </c:pt>
                <c:pt idx="57">
                  <c:v>48.761900000000004</c:v>
                </c:pt>
                <c:pt idx="58">
                  <c:v>48.615600000000001</c:v>
                </c:pt>
                <c:pt idx="59">
                  <c:v>48.498100000000001</c:v>
                </c:pt>
                <c:pt idx="60">
                  <c:v>48.382199999999997</c:v>
                </c:pt>
                <c:pt idx="61">
                  <c:v>48.282399999999996</c:v>
                </c:pt>
                <c:pt idx="62">
                  <c:v>48.179000000000002</c:v>
                </c:pt>
                <c:pt idx="63">
                  <c:v>48.076099999999997</c:v>
                </c:pt>
                <c:pt idx="64">
                  <c:v>47.956600000000002</c:v>
                </c:pt>
                <c:pt idx="65">
                  <c:v>47.8065</c:v>
                </c:pt>
                <c:pt idx="66">
                  <c:v>47.622700000000002</c:v>
                </c:pt>
                <c:pt idx="67">
                  <c:v>47.379399999999997</c:v>
                </c:pt>
                <c:pt idx="68">
                  <c:v>47.145299999999999</c:v>
                </c:pt>
                <c:pt idx="69">
                  <c:v>46.937200000000004</c:v>
                </c:pt>
                <c:pt idx="70">
                  <c:v>46.683400000000006</c:v>
                </c:pt>
                <c:pt idx="71">
                  <c:v>46.529399999999995</c:v>
                </c:pt>
                <c:pt idx="72">
                  <c:v>46.483200000000004</c:v>
                </c:pt>
                <c:pt idx="73">
                  <c:v>46.2988</c:v>
                </c:pt>
                <c:pt idx="74">
                  <c:v>46.077400000000004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15.036275</c:v>
                </c:pt>
                <c:pt idx="1">
                  <c:v>45.108824999999996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50.858032432432445</c:v>
                </c:pt>
                <c:pt idx="1">
                  <c:v>54.191144594594597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27.114799999999999</c:v>
                </c:pt>
                <c:pt idx="1">
                  <c:v>34.671900000000001</c:v>
                </c:pt>
                <c:pt idx="2">
                  <c:v>24.805700000000002</c:v>
                </c:pt>
                <c:pt idx="3">
                  <c:v>27.58</c:v>
                </c:pt>
                <c:pt idx="4">
                  <c:v>69.782899999999998</c:v>
                </c:pt>
                <c:pt idx="5">
                  <c:v>75.411500000000004</c:v>
                </c:pt>
                <c:pt idx="6">
                  <c:v>10.1431</c:v>
                </c:pt>
                <c:pt idx="7">
                  <c:v>70.019800000000004</c:v>
                </c:pt>
                <c:pt idx="8">
                  <c:v>18.7104</c:v>
                </c:pt>
                <c:pt idx="9">
                  <c:v>36.3855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27.6997</c:v>
                </c:pt>
                <c:pt idx="1">
                  <c:v>46.292999999999999</c:v>
                </c:pt>
                <c:pt idx="2">
                  <c:v>29.3325</c:v>
                </c:pt>
                <c:pt idx="3">
                  <c:v>34.018900000000002</c:v>
                </c:pt>
                <c:pt idx="4">
                  <c:v>61.695</c:v>
                </c:pt>
                <c:pt idx="5">
                  <c:v>46.113300000000002</c:v>
                </c:pt>
                <c:pt idx="6">
                  <c:v>8.8524600000000007</c:v>
                </c:pt>
                <c:pt idx="7">
                  <c:v>53.600499999999997</c:v>
                </c:pt>
                <c:pt idx="8">
                  <c:v>17.711200000000002</c:v>
                </c:pt>
                <c:pt idx="9">
                  <c:v>23.310300000000002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0.50110412777685753</c:v>
                </c:pt>
                <c:pt idx="1">
                  <c:v>0.25387356397236954</c:v>
                </c:pt>
                <c:pt idx="2">
                  <c:v>0.24502230825077298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9938</c:v>
                </c:pt>
                <c:pt idx="7">
                  <c:v>0</c:v>
                </c:pt>
                <c:pt idx="8">
                  <c:v>14183</c:v>
                </c:pt>
                <c:pt idx="9">
                  <c:v>0</c:v>
                </c:pt>
                <c:pt idx="10">
                  <c:v>0</c:v>
                </c:pt>
                <c:pt idx="11">
                  <c:v>28529</c:v>
                </c:pt>
                <c:pt idx="12">
                  <c:v>0</c:v>
                </c:pt>
                <c:pt idx="13">
                  <c:v>38008</c:v>
                </c:pt>
                <c:pt idx="14">
                  <c:v>0</c:v>
                </c:pt>
                <c:pt idx="15">
                  <c:v>0</c:v>
                </c:pt>
                <c:pt idx="16">
                  <c:v>39373</c:v>
                </c:pt>
                <c:pt idx="17">
                  <c:v>0</c:v>
                </c:pt>
                <c:pt idx="18">
                  <c:v>0</c:v>
                </c:pt>
                <c:pt idx="19">
                  <c:v>46629</c:v>
                </c:pt>
                <c:pt idx="20">
                  <c:v>0</c:v>
                </c:pt>
                <c:pt idx="21">
                  <c:v>41861</c:v>
                </c:pt>
                <c:pt idx="22">
                  <c:v>0</c:v>
                </c:pt>
                <c:pt idx="23">
                  <c:v>0</c:v>
                </c:pt>
                <c:pt idx="24">
                  <c:v>59934</c:v>
                </c:pt>
                <c:pt idx="25">
                  <c:v>0</c:v>
                </c:pt>
                <c:pt idx="26">
                  <c:v>59815</c:v>
                </c:pt>
                <c:pt idx="27">
                  <c:v>0</c:v>
                </c:pt>
                <c:pt idx="28">
                  <c:v>0</c:v>
                </c:pt>
                <c:pt idx="29">
                  <c:v>63600</c:v>
                </c:pt>
                <c:pt idx="30">
                  <c:v>0</c:v>
                </c:pt>
                <c:pt idx="31">
                  <c:v>57916</c:v>
                </c:pt>
                <c:pt idx="32">
                  <c:v>0</c:v>
                </c:pt>
                <c:pt idx="33">
                  <c:v>0</c:v>
                </c:pt>
                <c:pt idx="34">
                  <c:v>58653</c:v>
                </c:pt>
                <c:pt idx="35">
                  <c:v>0</c:v>
                </c:pt>
                <c:pt idx="36">
                  <c:v>0</c:v>
                </c:pt>
                <c:pt idx="37">
                  <c:v>62371</c:v>
                </c:pt>
                <c:pt idx="38">
                  <c:v>0</c:v>
                </c:pt>
                <c:pt idx="39">
                  <c:v>59079</c:v>
                </c:pt>
                <c:pt idx="40">
                  <c:v>0</c:v>
                </c:pt>
                <c:pt idx="41">
                  <c:v>0</c:v>
                </c:pt>
                <c:pt idx="42">
                  <c:v>60740</c:v>
                </c:pt>
                <c:pt idx="43">
                  <c:v>0</c:v>
                </c:pt>
                <c:pt idx="44">
                  <c:v>51195</c:v>
                </c:pt>
                <c:pt idx="45">
                  <c:v>0</c:v>
                </c:pt>
                <c:pt idx="46">
                  <c:v>0</c:v>
                </c:pt>
                <c:pt idx="47">
                  <c:v>45549</c:v>
                </c:pt>
                <c:pt idx="48">
                  <c:v>0</c:v>
                </c:pt>
                <c:pt idx="49">
                  <c:v>45038</c:v>
                </c:pt>
                <c:pt idx="50">
                  <c:v>0</c:v>
                </c:pt>
                <c:pt idx="51">
                  <c:v>0</c:v>
                </c:pt>
                <c:pt idx="52">
                  <c:v>42369</c:v>
                </c:pt>
                <c:pt idx="53">
                  <c:v>0</c:v>
                </c:pt>
                <c:pt idx="54">
                  <c:v>0</c:v>
                </c:pt>
                <c:pt idx="55">
                  <c:v>35896</c:v>
                </c:pt>
                <c:pt idx="56">
                  <c:v>0</c:v>
                </c:pt>
                <c:pt idx="57">
                  <c:v>36892</c:v>
                </c:pt>
                <c:pt idx="58">
                  <c:v>0</c:v>
                </c:pt>
                <c:pt idx="59">
                  <c:v>0</c:v>
                </c:pt>
                <c:pt idx="60">
                  <c:v>36964</c:v>
                </c:pt>
                <c:pt idx="61">
                  <c:v>0</c:v>
                </c:pt>
                <c:pt idx="62">
                  <c:v>36721</c:v>
                </c:pt>
                <c:pt idx="63">
                  <c:v>0</c:v>
                </c:pt>
                <c:pt idx="64">
                  <c:v>0</c:v>
                </c:pt>
                <c:pt idx="65">
                  <c:v>35534</c:v>
                </c:pt>
                <c:pt idx="66">
                  <c:v>0</c:v>
                </c:pt>
                <c:pt idx="67">
                  <c:v>32167</c:v>
                </c:pt>
                <c:pt idx="68">
                  <c:v>0</c:v>
                </c:pt>
                <c:pt idx="69">
                  <c:v>0</c:v>
                </c:pt>
                <c:pt idx="70">
                  <c:v>28939</c:v>
                </c:pt>
                <c:pt idx="71">
                  <c:v>0</c:v>
                </c:pt>
                <c:pt idx="72">
                  <c:v>0</c:v>
                </c:pt>
                <c:pt idx="73">
                  <c:v>27481</c:v>
                </c:pt>
                <c:pt idx="74">
                  <c:v>0</c:v>
                </c:pt>
                <c:pt idx="75">
                  <c:v>24151</c:v>
                </c:pt>
                <c:pt idx="76">
                  <c:v>0</c:v>
                </c:pt>
                <c:pt idx="77">
                  <c:v>0</c:v>
                </c:pt>
                <c:pt idx="78">
                  <c:v>24540</c:v>
                </c:pt>
                <c:pt idx="79">
                  <c:v>0</c:v>
                </c:pt>
                <c:pt idx="80">
                  <c:v>24395</c:v>
                </c:pt>
                <c:pt idx="81">
                  <c:v>0</c:v>
                </c:pt>
                <c:pt idx="82">
                  <c:v>0</c:v>
                </c:pt>
                <c:pt idx="83">
                  <c:v>23488</c:v>
                </c:pt>
                <c:pt idx="84">
                  <c:v>0</c:v>
                </c:pt>
                <c:pt idx="85">
                  <c:v>0</c:v>
                </c:pt>
                <c:pt idx="86">
                  <c:v>29782</c:v>
                </c:pt>
                <c:pt idx="87">
                  <c:v>0</c:v>
                </c:pt>
                <c:pt idx="88">
                  <c:v>22635</c:v>
                </c:pt>
                <c:pt idx="89">
                  <c:v>0</c:v>
                </c:pt>
                <c:pt idx="90">
                  <c:v>0</c:v>
                </c:pt>
                <c:pt idx="91">
                  <c:v>23061</c:v>
                </c:pt>
                <c:pt idx="92">
                  <c:v>0</c:v>
                </c:pt>
                <c:pt idx="93">
                  <c:v>20377</c:v>
                </c:pt>
                <c:pt idx="94">
                  <c:v>0</c:v>
                </c:pt>
                <c:pt idx="95">
                  <c:v>0</c:v>
                </c:pt>
                <c:pt idx="96">
                  <c:v>19237</c:v>
                </c:pt>
                <c:pt idx="97">
                  <c:v>0</c:v>
                </c:pt>
                <c:pt idx="98">
                  <c:v>13319</c:v>
                </c:pt>
                <c:pt idx="99">
                  <c:v>0</c:v>
                </c:pt>
                <c:pt idx="100">
                  <c:v>0</c:v>
                </c:pt>
                <c:pt idx="101">
                  <c:v>12089</c:v>
                </c:pt>
                <c:pt idx="102">
                  <c:v>0</c:v>
                </c:pt>
                <c:pt idx="103">
                  <c:v>0</c:v>
                </c:pt>
                <c:pt idx="104">
                  <c:v>8290</c:v>
                </c:pt>
                <c:pt idx="105">
                  <c:v>0</c:v>
                </c:pt>
                <c:pt idx="106">
                  <c:v>6733</c:v>
                </c:pt>
                <c:pt idx="107">
                  <c:v>0</c:v>
                </c:pt>
                <c:pt idx="108">
                  <c:v>0</c:v>
                </c:pt>
                <c:pt idx="109">
                  <c:v>6651</c:v>
                </c:pt>
                <c:pt idx="110">
                  <c:v>0</c:v>
                </c:pt>
                <c:pt idx="111">
                  <c:v>5916</c:v>
                </c:pt>
                <c:pt idx="112">
                  <c:v>0</c:v>
                </c:pt>
                <c:pt idx="113">
                  <c:v>0</c:v>
                </c:pt>
                <c:pt idx="114">
                  <c:v>5691</c:v>
                </c:pt>
                <c:pt idx="115">
                  <c:v>0</c:v>
                </c:pt>
                <c:pt idx="116">
                  <c:v>5069</c:v>
                </c:pt>
                <c:pt idx="117">
                  <c:v>0</c:v>
                </c:pt>
                <c:pt idx="118">
                  <c:v>0</c:v>
                </c:pt>
                <c:pt idx="119">
                  <c:v>4386</c:v>
                </c:pt>
                <c:pt idx="120">
                  <c:v>0</c:v>
                </c:pt>
                <c:pt idx="121">
                  <c:v>0</c:v>
                </c:pt>
                <c:pt idx="122">
                  <c:v>4303</c:v>
                </c:pt>
                <c:pt idx="123">
                  <c:v>0</c:v>
                </c:pt>
                <c:pt idx="124">
                  <c:v>3572</c:v>
                </c:pt>
                <c:pt idx="125">
                  <c:v>0</c:v>
                </c:pt>
                <c:pt idx="126">
                  <c:v>0</c:v>
                </c:pt>
                <c:pt idx="127">
                  <c:v>4363</c:v>
                </c:pt>
                <c:pt idx="128">
                  <c:v>0</c:v>
                </c:pt>
                <c:pt idx="129">
                  <c:v>1833</c:v>
                </c:pt>
                <c:pt idx="130">
                  <c:v>0</c:v>
                </c:pt>
                <c:pt idx="131">
                  <c:v>0</c:v>
                </c:pt>
                <c:pt idx="132">
                  <c:v>1149</c:v>
                </c:pt>
                <c:pt idx="133">
                  <c:v>0</c:v>
                </c:pt>
                <c:pt idx="134">
                  <c:v>187</c:v>
                </c:pt>
                <c:pt idx="135">
                  <c:v>0</c:v>
                </c:pt>
                <c:pt idx="136">
                  <c:v>0</c:v>
                </c:pt>
                <c:pt idx="137">
                  <c:v>249</c:v>
                </c:pt>
                <c:pt idx="138">
                  <c:v>0</c:v>
                </c:pt>
                <c:pt idx="139">
                  <c:v>0</c:v>
                </c:pt>
                <c:pt idx="140">
                  <c:v>198</c:v>
                </c:pt>
                <c:pt idx="141">
                  <c:v>0</c:v>
                </c:pt>
                <c:pt idx="142">
                  <c:v>110</c:v>
                </c:pt>
                <c:pt idx="143">
                  <c:v>0</c:v>
                </c:pt>
                <c:pt idx="144">
                  <c:v>0</c:v>
                </c:pt>
                <c:pt idx="145">
                  <c:v>144</c:v>
                </c:pt>
                <c:pt idx="146">
                  <c:v>0</c:v>
                </c:pt>
                <c:pt idx="147">
                  <c:v>550</c:v>
                </c:pt>
                <c:pt idx="148">
                  <c:v>0</c:v>
                </c:pt>
                <c:pt idx="149">
                  <c:v>0</c:v>
                </c:pt>
                <c:pt idx="150">
                  <c:v>210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18565</c:v>
                </c:pt>
                <c:pt idx="7">
                  <c:v>0</c:v>
                </c:pt>
                <c:pt idx="8">
                  <c:v>30283</c:v>
                </c:pt>
                <c:pt idx="9">
                  <c:v>0</c:v>
                </c:pt>
                <c:pt idx="10">
                  <c:v>0</c:v>
                </c:pt>
                <c:pt idx="11">
                  <c:v>36944</c:v>
                </c:pt>
                <c:pt idx="12">
                  <c:v>0</c:v>
                </c:pt>
                <c:pt idx="13">
                  <c:v>40606</c:v>
                </c:pt>
                <c:pt idx="14">
                  <c:v>0</c:v>
                </c:pt>
                <c:pt idx="15">
                  <c:v>0</c:v>
                </c:pt>
                <c:pt idx="16">
                  <c:v>45304</c:v>
                </c:pt>
                <c:pt idx="17">
                  <c:v>0</c:v>
                </c:pt>
                <c:pt idx="18">
                  <c:v>0</c:v>
                </c:pt>
                <c:pt idx="19">
                  <c:v>48806</c:v>
                </c:pt>
                <c:pt idx="20">
                  <c:v>0</c:v>
                </c:pt>
                <c:pt idx="21">
                  <c:v>43475</c:v>
                </c:pt>
                <c:pt idx="22">
                  <c:v>0</c:v>
                </c:pt>
                <c:pt idx="23">
                  <c:v>0</c:v>
                </c:pt>
                <c:pt idx="24">
                  <c:v>46780</c:v>
                </c:pt>
                <c:pt idx="25">
                  <c:v>0</c:v>
                </c:pt>
                <c:pt idx="26">
                  <c:v>51008</c:v>
                </c:pt>
                <c:pt idx="27">
                  <c:v>0</c:v>
                </c:pt>
                <c:pt idx="28">
                  <c:v>0</c:v>
                </c:pt>
                <c:pt idx="29">
                  <c:v>56504</c:v>
                </c:pt>
                <c:pt idx="30">
                  <c:v>0</c:v>
                </c:pt>
                <c:pt idx="31">
                  <c:v>45060</c:v>
                </c:pt>
                <c:pt idx="32">
                  <c:v>0</c:v>
                </c:pt>
                <c:pt idx="33">
                  <c:v>0</c:v>
                </c:pt>
                <c:pt idx="34">
                  <c:v>51961</c:v>
                </c:pt>
                <c:pt idx="35">
                  <c:v>0</c:v>
                </c:pt>
                <c:pt idx="36">
                  <c:v>0</c:v>
                </c:pt>
                <c:pt idx="37">
                  <c:v>47076</c:v>
                </c:pt>
                <c:pt idx="38">
                  <c:v>0</c:v>
                </c:pt>
                <c:pt idx="39">
                  <c:v>45996</c:v>
                </c:pt>
                <c:pt idx="40">
                  <c:v>0</c:v>
                </c:pt>
                <c:pt idx="41">
                  <c:v>0</c:v>
                </c:pt>
                <c:pt idx="42">
                  <c:v>44807</c:v>
                </c:pt>
                <c:pt idx="43">
                  <c:v>0</c:v>
                </c:pt>
                <c:pt idx="44">
                  <c:v>47031</c:v>
                </c:pt>
                <c:pt idx="45">
                  <c:v>0</c:v>
                </c:pt>
                <c:pt idx="46">
                  <c:v>0</c:v>
                </c:pt>
                <c:pt idx="47">
                  <c:v>42925</c:v>
                </c:pt>
                <c:pt idx="48">
                  <c:v>0</c:v>
                </c:pt>
                <c:pt idx="49">
                  <c:v>49753</c:v>
                </c:pt>
                <c:pt idx="50">
                  <c:v>0</c:v>
                </c:pt>
                <c:pt idx="51">
                  <c:v>0</c:v>
                </c:pt>
                <c:pt idx="52">
                  <c:v>45137</c:v>
                </c:pt>
                <c:pt idx="53">
                  <c:v>0</c:v>
                </c:pt>
                <c:pt idx="54">
                  <c:v>0</c:v>
                </c:pt>
                <c:pt idx="55">
                  <c:v>49671</c:v>
                </c:pt>
                <c:pt idx="56">
                  <c:v>0</c:v>
                </c:pt>
                <c:pt idx="57">
                  <c:v>40705</c:v>
                </c:pt>
                <c:pt idx="58">
                  <c:v>0</c:v>
                </c:pt>
                <c:pt idx="59">
                  <c:v>0</c:v>
                </c:pt>
                <c:pt idx="60">
                  <c:v>43862</c:v>
                </c:pt>
                <c:pt idx="61">
                  <c:v>0</c:v>
                </c:pt>
                <c:pt idx="62">
                  <c:v>42543</c:v>
                </c:pt>
                <c:pt idx="63">
                  <c:v>0</c:v>
                </c:pt>
                <c:pt idx="64">
                  <c:v>0</c:v>
                </c:pt>
                <c:pt idx="65">
                  <c:v>44153</c:v>
                </c:pt>
                <c:pt idx="66">
                  <c:v>0</c:v>
                </c:pt>
                <c:pt idx="67">
                  <c:v>38188</c:v>
                </c:pt>
                <c:pt idx="68">
                  <c:v>0</c:v>
                </c:pt>
                <c:pt idx="69">
                  <c:v>0</c:v>
                </c:pt>
                <c:pt idx="70">
                  <c:v>38231</c:v>
                </c:pt>
                <c:pt idx="71">
                  <c:v>0</c:v>
                </c:pt>
                <c:pt idx="72">
                  <c:v>0</c:v>
                </c:pt>
                <c:pt idx="73">
                  <c:v>33576</c:v>
                </c:pt>
                <c:pt idx="74">
                  <c:v>0</c:v>
                </c:pt>
                <c:pt idx="75">
                  <c:v>29738</c:v>
                </c:pt>
                <c:pt idx="76">
                  <c:v>0</c:v>
                </c:pt>
                <c:pt idx="77">
                  <c:v>0</c:v>
                </c:pt>
                <c:pt idx="78">
                  <c:v>33220</c:v>
                </c:pt>
                <c:pt idx="79">
                  <c:v>0</c:v>
                </c:pt>
                <c:pt idx="80">
                  <c:v>24506</c:v>
                </c:pt>
                <c:pt idx="81">
                  <c:v>0</c:v>
                </c:pt>
                <c:pt idx="82">
                  <c:v>0</c:v>
                </c:pt>
                <c:pt idx="83">
                  <c:v>22036</c:v>
                </c:pt>
                <c:pt idx="84">
                  <c:v>0</c:v>
                </c:pt>
                <c:pt idx="85">
                  <c:v>0</c:v>
                </c:pt>
                <c:pt idx="86">
                  <c:v>18321</c:v>
                </c:pt>
                <c:pt idx="87">
                  <c:v>0</c:v>
                </c:pt>
                <c:pt idx="88">
                  <c:v>14806</c:v>
                </c:pt>
                <c:pt idx="89">
                  <c:v>0</c:v>
                </c:pt>
                <c:pt idx="90">
                  <c:v>0</c:v>
                </c:pt>
                <c:pt idx="91">
                  <c:v>14636</c:v>
                </c:pt>
                <c:pt idx="92">
                  <c:v>0</c:v>
                </c:pt>
                <c:pt idx="93">
                  <c:v>9883</c:v>
                </c:pt>
                <c:pt idx="94">
                  <c:v>0</c:v>
                </c:pt>
                <c:pt idx="95">
                  <c:v>0</c:v>
                </c:pt>
                <c:pt idx="96">
                  <c:v>8611</c:v>
                </c:pt>
                <c:pt idx="97">
                  <c:v>0</c:v>
                </c:pt>
                <c:pt idx="98">
                  <c:v>7545</c:v>
                </c:pt>
                <c:pt idx="99">
                  <c:v>0</c:v>
                </c:pt>
                <c:pt idx="100">
                  <c:v>0</c:v>
                </c:pt>
                <c:pt idx="101">
                  <c:v>4966</c:v>
                </c:pt>
                <c:pt idx="102">
                  <c:v>0</c:v>
                </c:pt>
                <c:pt idx="103">
                  <c:v>0</c:v>
                </c:pt>
                <c:pt idx="104">
                  <c:v>3446</c:v>
                </c:pt>
                <c:pt idx="105">
                  <c:v>0</c:v>
                </c:pt>
                <c:pt idx="106">
                  <c:v>3794</c:v>
                </c:pt>
                <c:pt idx="107">
                  <c:v>0</c:v>
                </c:pt>
                <c:pt idx="108">
                  <c:v>0</c:v>
                </c:pt>
                <c:pt idx="109">
                  <c:v>3190</c:v>
                </c:pt>
                <c:pt idx="110">
                  <c:v>0</c:v>
                </c:pt>
                <c:pt idx="111">
                  <c:v>2592</c:v>
                </c:pt>
                <c:pt idx="112">
                  <c:v>0</c:v>
                </c:pt>
                <c:pt idx="113">
                  <c:v>0</c:v>
                </c:pt>
                <c:pt idx="114">
                  <c:v>2395</c:v>
                </c:pt>
                <c:pt idx="115">
                  <c:v>0</c:v>
                </c:pt>
                <c:pt idx="116">
                  <c:v>2180</c:v>
                </c:pt>
                <c:pt idx="117">
                  <c:v>0</c:v>
                </c:pt>
                <c:pt idx="118">
                  <c:v>0</c:v>
                </c:pt>
                <c:pt idx="119">
                  <c:v>2989</c:v>
                </c:pt>
                <c:pt idx="120">
                  <c:v>0</c:v>
                </c:pt>
                <c:pt idx="121">
                  <c:v>0</c:v>
                </c:pt>
                <c:pt idx="122">
                  <c:v>1622</c:v>
                </c:pt>
                <c:pt idx="123">
                  <c:v>0</c:v>
                </c:pt>
                <c:pt idx="124">
                  <c:v>1477</c:v>
                </c:pt>
                <c:pt idx="125">
                  <c:v>0</c:v>
                </c:pt>
                <c:pt idx="126">
                  <c:v>0</c:v>
                </c:pt>
                <c:pt idx="127">
                  <c:v>295</c:v>
                </c:pt>
                <c:pt idx="128">
                  <c:v>0</c:v>
                </c:pt>
                <c:pt idx="129">
                  <c:v>691</c:v>
                </c:pt>
                <c:pt idx="130">
                  <c:v>0</c:v>
                </c:pt>
                <c:pt idx="131">
                  <c:v>0</c:v>
                </c:pt>
                <c:pt idx="132">
                  <c:v>442</c:v>
                </c:pt>
                <c:pt idx="133">
                  <c:v>0</c:v>
                </c:pt>
                <c:pt idx="134">
                  <c:v>316</c:v>
                </c:pt>
                <c:pt idx="135">
                  <c:v>0</c:v>
                </c:pt>
                <c:pt idx="136">
                  <c:v>0</c:v>
                </c:pt>
                <c:pt idx="137">
                  <c:v>306</c:v>
                </c:pt>
                <c:pt idx="138">
                  <c:v>0</c:v>
                </c:pt>
                <c:pt idx="139">
                  <c:v>0</c:v>
                </c:pt>
                <c:pt idx="140">
                  <c:v>103</c:v>
                </c:pt>
                <c:pt idx="141">
                  <c:v>0</c:v>
                </c:pt>
                <c:pt idx="142">
                  <c:v>138</c:v>
                </c:pt>
                <c:pt idx="143">
                  <c:v>0</c:v>
                </c:pt>
                <c:pt idx="144">
                  <c:v>0</c:v>
                </c:pt>
                <c:pt idx="145">
                  <c:v>284</c:v>
                </c:pt>
                <c:pt idx="146">
                  <c:v>0</c:v>
                </c:pt>
                <c:pt idx="147">
                  <c:v>37</c:v>
                </c:pt>
                <c:pt idx="148">
                  <c:v>0</c:v>
                </c:pt>
                <c:pt idx="149">
                  <c:v>0</c:v>
                </c:pt>
                <c:pt idx="150">
                  <c:v>100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0.23187517099675187</c:v>
                </c:pt>
                <c:pt idx="1">
                  <c:v>0.34648378182999007</c:v>
                </c:pt>
                <c:pt idx="2">
                  <c:v>0.42164104717325812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0.43696131558208018</c:v>
                </c:pt>
                <c:pt idx="1">
                  <c:v>0.3524821713608649</c:v>
                </c:pt>
                <c:pt idx="2">
                  <c:v>0.21055651305705483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18.553625</c:v>
                </c:pt>
                <c:pt idx="1">
                  <c:v>13.150007499999999</c:v>
                </c:pt>
                <c:pt idx="2">
                  <c:v>33.024349999999998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0.38189000000000001</c:v>
                </c:pt>
                <c:pt idx="2">
                  <c:v>0.78580000000000005</c:v>
                </c:pt>
                <c:pt idx="3">
                  <c:v>1.1898200000000001</c:v>
                </c:pt>
                <c:pt idx="4">
                  <c:v>1.59568</c:v>
                </c:pt>
                <c:pt idx="5">
                  <c:v>2.0027300000000001</c:v>
                </c:pt>
                <c:pt idx="6">
                  <c:v>2.4095300000000002</c:v>
                </c:pt>
                <c:pt idx="7">
                  <c:v>2.8173900000000001</c:v>
                </c:pt>
                <c:pt idx="8">
                  <c:v>3.2224400000000002</c:v>
                </c:pt>
                <c:pt idx="9">
                  <c:v>3.6262599999999998</c:v>
                </c:pt>
                <c:pt idx="10">
                  <c:v>4.0362600000000004</c:v>
                </c:pt>
                <c:pt idx="11">
                  <c:v>4.4430300000000003</c:v>
                </c:pt>
                <c:pt idx="12">
                  <c:v>4.8440000000000003</c:v>
                </c:pt>
                <c:pt idx="13">
                  <c:v>5.2550299999999996</c:v>
                </c:pt>
                <c:pt idx="14">
                  <c:v>5.6588599999999998</c:v>
                </c:pt>
                <c:pt idx="15">
                  <c:v>6.0639700000000003</c:v>
                </c:pt>
                <c:pt idx="16">
                  <c:v>6.4707299999999996</c:v>
                </c:pt>
                <c:pt idx="17">
                  <c:v>6.87852</c:v>
                </c:pt>
                <c:pt idx="18">
                  <c:v>7.2844100000000003</c:v>
                </c:pt>
                <c:pt idx="19">
                  <c:v>7.6893599999999998</c:v>
                </c:pt>
                <c:pt idx="20">
                  <c:v>8.0957399999999993</c:v>
                </c:pt>
                <c:pt idx="21">
                  <c:v>8.5021900000000006</c:v>
                </c:pt>
                <c:pt idx="22">
                  <c:v>8.9121600000000001</c:v>
                </c:pt>
                <c:pt idx="23">
                  <c:v>9.3170599999999997</c:v>
                </c:pt>
                <c:pt idx="24">
                  <c:v>9.7212800000000001</c:v>
                </c:pt>
                <c:pt idx="25">
                  <c:v>10.126799999999999</c:v>
                </c:pt>
                <c:pt idx="26">
                  <c:v>10.5328</c:v>
                </c:pt>
                <c:pt idx="27">
                  <c:v>10.941700000000001</c:v>
                </c:pt>
                <c:pt idx="28">
                  <c:v>11.348599999999999</c:v>
                </c:pt>
                <c:pt idx="29">
                  <c:v>11.7525</c:v>
                </c:pt>
                <c:pt idx="30">
                  <c:v>12.1584</c:v>
                </c:pt>
                <c:pt idx="31">
                  <c:v>12.565300000000001</c:v>
                </c:pt>
                <c:pt idx="32">
                  <c:v>12.969200000000001</c:v>
                </c:pt>
                <c:pt idx="33">
                  <c:v>13.3741</c:v>
                </c:pt>
                <c:pt idx="34">
                  <c:v>13.786</c:v>
                </c:pt>
                <c:pt idx="35">
                  <c:v>14.193</c:v>
                </c:pt>
                <c:pt idx="36">
                  <c:v>14.5968</c:v>
                </c:pt>
                <c:pt idx="37">
                  <c:v>15.002700000000001</c:v>
                </c:pt>
                <c:pt idx="38">
                  <c:v>15.407999999999999</c:v>
                </c:pt>
                <c:pt idx="39">
                  <c:v>15.813800000000001</c:v>
                </c:pt>
                <c:pt idx="40">
                  <c:v>16.224599999999999</c:v>
                </c:pt>
                <c:pt idx="41">
                  <c:v>16.627400000000002</c:v>
                </c:pt>
                <c:pt idx="42">
                  <c:v>17.035399999999999</c:v>
                </c:pt>
                <c:pt idx="43">
                  <c:v>17.4405</c:v>
                </c:pt>
                <c:pt idx="44">
                  <c:v>17.845199999999998</c:v>
                </c:pt>
                <c:pt idx="45">
                  <c:v>18.2531</c:v>
                </c:pt>
                <c:pt idx="46">
                  <c:v>18.658999999999999</c:v>
                </c:pt>
                <c:pt idx="47">
                  <c:v>19.064900000000002</c:v>
                </c:pt>
                <c:pt idx="48">
                  <c:v>19.469899999999999</c:v>
                </c:pt>
                <c:pt idx="49">
                  <c:v>19.878799999999998</c:v>
                </c:pt>
                <c:pt idx="50">
                  <c:v>20.285699999999999</c:v>
                </c:pt>
                <c:pt idx="51">
                  <c:v>20.687999999999999</c:v>
                </c:pt>
                <c:pt idx="52">
                  <c:v>21.096499999999999</c:v>
                </c:pt>
                <c:pt idx="53">
                  <c:v>21.502400000000002</c:v>
                </c:pt>
                <c:pt idx="54">
                  <c:v>21.9084</c:v>
                </c:pt>
                <c:pt idx="55">
                  <c:v>22.3172</c:v>
                </c:pt>
                <c:pt idx="56">
                  <c:v>22.7241</c:v>
                </c:pt>
                <c:pt idx="57">
                  <c:v>23.127099999999999</c:v>
                </c:pt>
                <c:pt idx="58">
                  <c:v>23.535</c:v>
                </c:pt>
                <c:pt idx="59">
                  <c:v>23.9419</c:v>
                </c:pt>
                <c:pt idx="60">
                  <c:v>24.344799999999999</c:v>
                </c:pt>
                <c:pt idx="61">
                  <c:v>24.755800000000001</c:v>
                </c:pt>
                <c:pt idx="62">
                  <c:v>25.1587</c:v>
                </c:pt>
                <c:pt idx="63">
                  <c:v>25.563700000000001</c:v>
                </c:pt>
                <c:pt idx="64">
                  <c:v>25.9709</c:v>
                </c:pt>
                <c:pt idx="65">
                  <c:v>26.379300000000001</c:v>
                </c:pt>
                <c:pt idx="66">
                  <c:v>26.786300000000001</c:v>
                </c:pt>
                <c:pt idx="67">
                  <c:v>27.191299999999998</c:v>
                </c:pt>
                <c:pt idx="68">
                  <c:v>27.594100000000001</c:v>
                </c:pt>
                <c:pt idx="69">
                  <c:v>28.002500000000001</c:v>
                </c:pt>
                <c:pt idx="70">
                  <c:v>28.410900000000002</c:v>
                </c:pt>
                <c:pt idx="71">
                  <c:v>28.8169</c:v>
                </c:pt>
                <c:pt idx="72">
                  <c:v>29.221900000000002</c:v>
                </c:pt>
                <c:pt idx="73">
                  <c:v>29.6267</c:v>
                </c:pt>
                <c:pt idx="74">
                  <c:v>30.0366</c:v>
                </c:pt>
                <c:pt idx="75">
                  <c:v>30.612200000000001</c:v>
                </c:pt>
                <c:pt idx="76">
                  <c:v>30.989100000000001</c:v>
                </c:pt>
                <c:pt idx="77">
                  <c:v>31.363099999999999</c:v>
                </c:pt>
                <c:pt idx="78">
                  <c:v>31.741099999999999</c:v>
                </c:pt>
                <c:pt idx="79">
                  <c:v>32.112099999999998</c:v>
                </c:pt>
                <c:pt idx="80">
                  <c:v>32.518000000000001</c:v>
                </c:pt>
                <c:pt idx="81">
                  <c:v>32.923000000000002</c:v>
                </c:pt>
                <c:pt idx="82">
                  <c:v>33.33</c:v>
                </c:pt>
                <c:pt idx="83">
                  <c:v>33.738700000000001</c:v>
                </c:pt>
                <c:pt idx="84">
                  <c:v>34.140700000000002</c:v>
                </c:pt>
                <c:pt idx="85">
                  <c:v>34.551600000000001</c:v>
                </c:pt>
                <c:pt idx="86">
                  <c:v>34.954700000000003</c:v>
                </c:pt>
                <c:pt idx="87">
                  <c:v>35.361400000000003</c:v>
                </c:pt>
                <c:pt idx="88">
                  <c:v>35.767299999999999</c:v>
                </c:pt>
                <c:pt idx="89">
                  <c:v>36.1723</c:v>
                </c:pt>
                <c:pt idx="90">
                  <c:v>36.5792</c:v>
                </c:pt>
                <c:pt idx="91">
                  <c:v>36.989100000000001</c:v>
                </c:pt>
                <c:pt idx="92">
                  <c:v>37.394100000000002</c:v>
                </c:pt>
                <c:pt idx="93">
                  <c:v>37.798900000000003</c:v>
                </c:pt>
                <c:pt idx="94">
                  <c:v>38.205800000000004</c:v>
                </c:pt>
                <c:pt idx="95">
                  <c:v>38.609900000000003</c:v>
                </c:pt>
                <c:pt idx="96">
                  <c:v>39.0167</c:v>
                </c:pt>
                <c:pt idx="97">
                  <c:v>39.424599999999998</c:v>
                </c:pt>
                <c:pt idx="98">
                  <c:v>39.8324</c:v>
                </c:pt>
                <c:pt idx="99">
                  <c:v>40.235300000000002</c:v>
                </c:pt>
                <c:pt idx="100">
                  <c:v>40.641500000000001</c:v>
                </c:pt>
                <c:pt idx="101">
                  <c:v>41.050199999999997</c:v>
                </c:pt>
                <c:pt idx="102">
                  <c:v>41.456099999999999</c:v>
                </c:pt>
                <c:pt idx="103">
                  <c:v>41.862099999999998</c:v>
                </c:pt>
                <c:pt idx="104">
                  <c:v>42.268000000000001</c:v>
                </c:pt>
                <c:pt idx="105">
                  <c:v>42.672899999999998</c:v>
                </c:pt>
                <c:pt idx="106">
                  <c:v>43.0839</c:v>
                </c:pt>
                <c:pt idx="107">
                  <c:v>43.488199999999999</c:v>
                </c:pt>
                <c:pt idx="108">
                  <c:v>43.896599999999999</c:v>
                </c:pt>
                <c:pt idx="109">
                  <c:v>44.298499999999997</c:v>
                </c:pt>
                <c:pt idx="110">
                  <c:v>44.704799999999999</c:v>
                </c:pt>
                <c:pt idx="111">
                  <c:v>45.111400000000003</c:v>
                </c:pt>
                <c:pt idx="112">
                  <c:v>45.519300000000001</c:v>
                </c:pt>
                <c:pt idx="113">
                  <c:v>45.926099999999998</c:v>
                </c:pt>
                <c:pt idx="114">
                  <c:v>46.331000000000003</c:v>
                </c:pt>
                <c:pt idx="115">
                  <c:v>46.737200000000001</c:v>
                </c:pt>
                <c:pt idx="116">
                  <c:v>47.140799999999999</c:v>
                </c:pt>
                <c:pt idx="117">
                  <c:v>47.550800000000002</c:v>
                </c:pt>
                <c:pt idx="118">
                  <c:v>47.957700000000003</c:v>
                </c:pt>
                <c:pt idx="119">
                  <c:v>48.360700000000001</c:v>
                </c:pt>
                <c:pt idx="120">
                  <c:v>48.767899999999997</c:v>
                </c:pt>
                <c:pt idx="121">
                  <c:v>49.174500000000002</c:v>
                </c:pt>
                <c:pt idx="122">
                  <c:v>49.5794</c:v>
                </c:pt>
                <c:pt idx="123">
                  <c:v>49.9893</c:v>
                </c:pt>
                <c:pt idx="124">
                  <c:v>50.392299999999999</c:v>
                </c:pt>
                <c:pt idx="125">
                  <c:v>50.798099999999998</c:v>
                </c:pt>
                <c:pt idx="126">
                  <c:v>51.207999999999998</c:v>
                </c:pt>
                <c:pt idx="127">
                  <c:v>51.610999999999997</c:v>
                </c:pt>
                <c:pt idx="128">
                  <c:v>52.017899999999997</c:v>
                </c:pt>
                <c:pt idx="129">
                  <c:v>52.422800000000002</c:v>
                </c:pt>
                <c:pt idx="130">
                  <c:v>52.828699999999998</c:v>
                </c:pt>
                <c:pt idx="131">
                  <c:v>53.235700000000001</c:v>
                </c:pt>
                <c:pt idx="132">
                  <c:v>53.646500000000003</c:v>
                </c:pt>
                <c:pt idx="133">
                  <c:v>54.052399999999999</c:v>
                </c:pt>
                <c:pt idx="134">
                  <c:v>54.4574</c:v>
                </c:pt>
                <c:pt idx="135">
                  <c:v>54.859200000000001</c:v>
                </c:pt>
                <c:pt idx="136">
                  <c:v>55.269100000000002</c:v>
                </c:pt>
                <c:pt idx="137">
                  <c:v>55.678100000000001</c:v>
                </c:pt>
                <c:pt idx="138">
                  <c:v>56.082099999999997</c:v>
                </c:pt>
                <c:pt idx="139">
                  <c:v>56.486899999999999</c:v>
                </c:pt>
                <c:pt idx="140">
                  <c:v>56.8919</c:v>
                </c:pt>
                <c:pt idx="141">
                  <c:v>57.299799999999998</c:v>
                </c:pt>
                <c:pt idx="142">
                  <c:v>57.707599999999999</c:v>
                </c:pt>
                <c:pt idx="143">
                  <c:v>58.114600000000003</c:v>
                </c:pt>
                <c:pt idx="144">
                  <c:v>58.5184</c:v>
                </c:pt>
                <c:pt idx="145">
                  <c:v>58.923499999999997</c:v>
                </c:pt>
                <c:pt idx="146">
                  <c:v>59.3307</c:v>
                </c:pt>
                <c:pt idx="147">
                  <c:v>59.739199999999997</c:v>
                </c:pt>
                <c:pt idx="148">
                  <c:v>60.145099999999999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1.1651899999999999</c:v>
                </c:pt>
                <c:pt idx="1">
                  <c:v>1.1944399999999999</c:v>
                </c:pt>
                <c:pt idx="2">
                  <c:v>1.2242899999999999</c:v>
                </c:pt>
                <c:pt idx="3">
                  <c:v>1.2573599999999998</c:v>
                </c:pt>
                <c:pt idx="4">
                  <c:v>1.29366</c:v>
                </c:pt>
                <c:pt idx="5">
                  <c:v>1.3289500000000001</c:v>
                </c:pt>
                <c:pt idx="6">
                  <c:v>1.3648400000000001</c:v>
                </c:pt>
                <c:pt idx="7">
                  <c:v>1.3997000000000002</c:v>
                </c:pt>
                <c:pt idx="8">
                  <c:v>1.4358399999999998</c:v>
                </c:pt>
                <c:pt idx="9">
                  <c:v>1.47234</c:v>
                </c:pt>
                <c:pt idx="10">
                  <c:v>1.5096599999999998</c:v>
                </c:pt>
                <c:pt idx="11">
                  <c:v>1.5469200000000001</c:v>
                </c:pt>
                <c:pt idx="12">
                  <c:v>1.5828600000000002</c:v>
                </c:pt>
                <c:pt idx="13">
                  <c:v>1.6177299999999999</c:v>
                </c:pt>
                <c:pt idx="14">
                  <c:v>1.6513</c:v>
                </c:pt>
                <c:pt idx="15">
                  <c:v>1.6853499999999999</c:v>
                </c:pt>
                <c:pt idx="16">
                  <c:v>1.7216100000000001</c:v>
                </c:pt>
                <c:pt idx="17">
                  <c:v>1.75963</c:v>
                </c:pt>
                <c:pt idx="18">
                  <c:v>1.7971500000000002</c:v>
                </c:pt>
                <c:pt idx="19">
                  <c:v>1.8325100000000001</c:v>
                </c:pt>
                <c:pt idx="20">
                  <c:v>1.8677999999999999</c:v>
                </c:pt>
                <c:pt idx="21">
                  <c:v>1.9020899999999998</c:v>
                </c:pt>
                <c:pt idx="22">
                  <c:v>1.93462</c:v>
                </c:pt>
                <c:pt idx="23">
                  <c:v>1.9634399999999999</c:v>
                </c:pt>
                <c:pt idx="24">
                  <c:v>1.9927900000000001</c:v>
                </c:pt>
                <c:pt idx="25">
                  <c:v>2.02169</c:v>
                </c:pt>
                <c:pt idx="26">
                  <c:v>2.0490900000000001</c:v>
                </c:pt>
                <c:pt idx="27">
                  <c:v>2.0750099999999998</c:v>
                </c:pt>
                <c:pt idx="28">
                  <c:v>2.1007600000000002</c:v>
                </c:pt>
                <c:pt idx="29">
                  <c:v>2.1252299999999997</c:v>
                </c:pt>
                <c:pt idx="30">
                  <c:v>2.1486999999999998</c:v>
                </c:pt>
                <c:pt idx="31">
                  <c:v>2.1703700000000001</c:v>
                </c:pt>
                <c:pt idx="32">
                  <c:v>2.1902599999999999</c:v>
                </c:pt>
                <c:pt idx="33">
                  <c:v>2.2104599999999999</c:v>
                </c:pt>
                <c:pt idx="34">
                  <c:v>2.2312000000000003</c:v>
                </c:pt>
                <c:pt idx="35">
                  <c:v>2.25047</c:v>
                </c:pt>
                <c:pt idx="36">
                  <c:v>2.2674099999999999</c:v>
                </c:pt>
                <c:pt idx="37">
                  <c:v>2.28424</c:v>
                </c:pt>
                <c:pt idx="38">
                  <c:v>2.3008999999999999</c:v>
                </c:pt>
                <c:pt idx="39">
                  <c:v>2.3176899999999998</c:v>
                </c:pt>
                <c:pt idx="40">
                  <c:v>2.3327400000000003</c:v>
                </c:pt>
                <c:pt idx="41">
                  <c:v>2.3444799999999999</c:v>
                </c:pt>
                <c:pt idx="42">
                  <c:v>2.3546200000000002</c:v>
                </c:pt>
                <c:pt idx="43">
                  <c:v>2.36341</c:v>
                </c:pt>
                <c:pt idx="44">
                  <c:v>2.3729900000000002</c:v>
                </c:pt>
                <c:pt idx="45">
                  <c:v>2.3811200000000001</c:v>
                </c:pt>
                <c:pt idx="46">
                  <c:v>2.3853800000000001</c:v>
                </c:pt>
                <c:pt idx="47">
                  <c:v>2.3882700000000003</c:v>
                </c:pt>
                <c:pt idx="48">
                  <c:v>2.3898000000000001</c:v>
                </c:pt>
                <c:pt idx="49">
                  <c:v>2.3894199999999999</c:v>
                </c:pt>
                <c:pt idx="50">
                  <c:v>2.3906399999999999</c:v>
                </c:pt>
                <c:pt idx="51">
                  <c:v>2.3900999999999999</c:v>
                </c:pt>
                <c:pt idx="52">
                  <c:v>2.3892600000000002</c:v>
                </c:pt>
                <c:pt idx="53">
                  <c:v>2.3859900000000001</c:v>
                </c:pt>
                <c:pt idx="54">
                  <c:v>2.3809300000000002</c:v>
                </c:pt>
                <c:pt idx="55">
                  <c:v>2.37134</c:v>
                </c:pt>
                <c:pt idx="56">
                  <c:v>2.3649500000000003</c:v>
                </c:pt>
                <c:pt idx="57">
                  <c:v>2.36151</c:v>
                </c:pt>
                <c:pt idx="58">
                  <c:v>2.3465600000000002</c:v>
                </c:pt>
                <c:pt idx="59">
                  <c:v>2.3321100000000001</c:v>
                </c:pt>
                <c:pt idx="60">
                  <c:v>2.3212700000000002</c:v>
                </c:pt>
                <c:pt idx="61">
                  <c:v>2.2976700000000001</c:v>
                </c:pt>
                <c:pt idx="62">
                  <c:v>2.2847600000000003</c:v>
                </c:pt>
                <c:pt idx="63">
                  <c:v>2.26484</c:v>
                </c:pt>
                <c:pt idx="64">
                  <c:v>2.24464</c:v>
                </c:pt>
                <c:pt idx="65">
                  <c:v>2.2224599999999999</c:v>
                </c:pt>
                <c:pt idx="66">
                  <c:v>2.1942900000000001</c:v>
                </c:pt>
                <c:pt idx="67">
                  <c:v>2.1685599999999998</c:v>
                </c:pt>
                <c:pt idx="68">
                  <c:v>2.1491400000000001</c:v>
                </c:pt>
                <c:pt idx="69">
                  <c:v>2.1147399999999998</c:v>
                </c:pt>
                <c:pt idx="70">
                  <c:v>2.0925799999999999</c:v>
                </c:pt>
                <c:pt idx="71">
                  <c:v>2.0670799999999998</c:v>
                </c:pt>
                <c:pt idx="72">
                  <c:v>2.0403599999999997</c:v>
                </c:pt>
                <c:pt idx="73">
                  <c:v>2.0076399999999999</c:v>
                </c:pt>
                <c:pt idx="74">
                  <c:v>1.9812699999999999</c:v>
                </c:pt>
                <c:pt idx="75">
                  <c:v>1.9530800000000001</c:v>
                </c:pt>
                <c:pt idx="76">
                  <c:v>1.9231799999999999</c:v>
                </c:pt>
                <c:pt idx="77">
                  <c:v>1.89246</c:v>
                </c:pt>
                <c:pt idx="78">
                  <c:v>1.86202</c:v>
                </c:pt>
                <c:pt idx="79">
                  <c:v>1.83182</c:v>
                </c:pt>
                <c:pt idx="80">
                  <c:v>1.8021699999999998</c:v>
                </c:pt>
                <c:pt idx="81">
                  <c:v>1.7738499999999999</c:v>
                </c:pt>
                <c:pt idx="82">
                  <c:v>1.74675</c:v>
                </c:pt>
                <c:pt idx="83">
                  <c:v>1.7114099999999999</c:v>
                </c:pt>
                <c:pt idx="84">
                  <c:v>1.6750399999999999</c:v>
                </c:pt>
                <c:pt idx="85">
                  <c:v>1.6414899999999999</c:v>
                </c:pt>
                <c:pt idx="86">
                  <c:v>1.6083800000000001</c:v>
                </c:pt>
                <c:pt idx="87">
                  <c:v>1.5748899999999999</c:v>
                </c:pt>
                <c:pt idx="88">
                  <c:v>1.53939</c:v>
                </c:pt>
                <c:pt idx="89">
                  <c:v>1.5049699999999999</c:v>
                </c:pt>
                <c:pt idx="90">
                  <c:v>1.4730599999999998</c:v>
                </c:pt>
                <c:pt idx="91">
                  <c:v>1.4423300000000001</c:v>
                </c:pt>
                <c:pt idx="92">
                  <c:v>1.4139299999999999</c:v>
                </c:pt>
                <c:pt idx="93">
                  <c:v>1.3853499999999999</c:v>
                </c:pt>
                <c:pt idx="94">
                  <c:v>1.3590599999999999</c:v>
                </c:pt>
                <c:pt idx="95">
                  <c:v>1.3348399999999998</c:v>
                </c:pt>
                <c:pt idx="96">
                  <c:v>1.3165499999999999</c:v>
                </c:pt>
                <c:pt idx="97">
                  <c:v>1.3041700000000001</c:v>
                </c:pt>
                <c:pt idx="98">
                  <c:v>1.3008900000000001</c:v>
                </c:pt>
                <c:pt idx="99">
                  <c:v>1.3048999999999999</c:v>
                </c:pt>
                <c:pt idx="100">
                  <c:v>1.3150200000000001</c:v>
                </c:pt>
                <c:pt idx="101">
                  <c:v>1.3272600000000001</c:v>
                </c:pt>
                <c:pt idx="102">
                  <c:v>1.34572</c:v>
                </c:pt>
                <c:pt idx="103">
                  <c:v>1.36429</c:v>
                </c:pt>
                <c:pt idx="104">
                  <c:v>1.3834</c:v>
                </c:pt>
                <c:pt idx="105">
                  <c:v>1.4028399999999999</c:v>
                </c:pt>
                <c:pt idx="106">
                  <c:v>1.42116</c:v>
                </c:pt>
                <c:pt idx="107">
                  <c:v>1.4412</c:v>
                </c:pt>
                <c:pt idx="108">
                  <c:v>1.4669099999999999</c:v>
                </c:pt>
                <c:pt idx="109">
                  <c:v>1.4963000000000002</c:v>
                </c:pt>
                <c:pt idx="110">
                  <c:v>1.5323100000000001</c:v>
                </c:pt>
                <c:pt idx="111">
                  <c:v>1.5712100000000002</c:v>
                </c:pt>
                <c:pt idx="112">
                  <c:v>1.61002</c:v>
                </c:pt>
                <c:pt idx="113">
                  <c:v>1.6484199999999998</c:v>
                </c:pt>
                <c:pt idx="114">
                  <c:v>1.68685</c:v>
                </c:pt>
                <c:pt idx="115">
                  <c:v>1.72255</c:v>
                </c:pt>
                <c:pt idx="116">
                  <c:v>1.7551099999999999</c:v>
                </c:pt>
                <c:pt idx="117">
                  <c:v>1.7885499999999999</c:v>
                </c:pt>
                <c:pt idx="118">
                  <c:v>1.8243400000000001</c:v>
                </c:pt>
                <c:pt idx="119">
                  <c:v>1.8567</c:v>
                </c:pt>
                <c:pt idx="120">
                  <c:v>1.8876399999999998</c:v>
                </c:pt>
                <c:pt idx="121">
                  <c:v>1.9201099999999998</c:v>
                </c:pt>
                <c:pt idx="122">
                  <c:v>1.95364</c:v>
                </c:pt>
                <c:pt idx="123">
                  <c:v>1.9839300000000002</c:v>
                </c:pt>
                <c:pt idx="124">
                  <c:v>2.0024600000000001</c:v>
                </c:pt>
                <c:pt idx="125">
                  <c:v>2.0140899999999999</c:v>
                </c:pt>
                <c:pt idx="126">
                  <c:v>2.0268600000000001</c:v>
                </c:pt>
                <c:pt idx="127">
                  <c:v>2.0402200000000001</c:v>
                </c:pt>
                <c:pt idx="128">
                  <c:v>2.0548099999999998</c:v>
                </c:pt>
                <c:pt idx="129">
                  <c:v>2.07104</c:v>
                </c:pt>
                <c:pt idx="130">
                  <c:v>2.0892200000000001</c:v>
                </c:pt>
                <c:pt idx="131">
                  <c:v>2.1083499999999997</c:v>
                </c:pt>
                <c:pt idx="132">
                  <c:v>2.12758</c:v>
                </c:pt>
                <c:pt idx="133">
                  <c:v>2.1455600000000001</c:v>
                </c:pt>
                <c:pt idx="134">
                  <c:v>2.16343</c:v>
                </c:pt>
                <c:pt idx="135">
                  <c:v>2.1773799999999999</c:v>
                </c:pt>
                <c:pt idx="136">
                  <c:v>2.1901000000000002</c:v>
                </c:pt>
                <c:pt idx="137">
                  <c:v>2.20323</c:v>
                </c:pt>
                <c:pt idx="138">
                  <c:v>2.2176100000000001</c:v>
                </c:pt>
                <c:pt idx="139">
                  <c:v>2.2301000000000002</c:v>
                </c:pt>
                <c:pt idx="140">
                  <c:v>2.2456400000000003</c:v>
                </c:pt>
                <c:pt idx="141">
                  <c:v>2.2643599999999999</c:v>
                </c:pt>
                <c:pt idx="142">
                  <c:v>2.2822899999999997</c:v>
                </c:pt>
                <c:pt idx="143">
                  <c:v>2.2948</c:v>
                </c:pt>
                <c:pt idx="144">
                  <c:v>2.3153099999999998</c:v>
                </c:pt>
                <c:pt idx="145">
                  <c:v>2.3410800000000003</c:v>
                </c:pt>
                <c:pt idx="146">
                  <c:v>2.3516900000000001</c:v>
                </c:pt>
                <c:pt idx="147">
                  <c:v>2.3553699999999997</c:v>
                </c:pt>
                <c:pt idx="148">
                  <c:v>2.3649400000000003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0.38189000000000001</c:v>
                </c:pt>
                <c:pt idx="2">
                  <c:v>0.78580000000000005</c:v>
                </c:pt>
                <c:pt idx="3">
                  <c:v>1.1898200000000001</c:v>
                </c:pt>
                <c:pt idx="4">
                  <c:v>1.59568</c:v>
                </c:pt>
                <c:pt idx="5">
                  <c:v>2.0027300000000001</c:v>
                </c:pt>
                <c:pt idx="6">
                  <c:v>2.4095300000000002</c:v>
                </c:pt>
                <c:pt idx="7">
                  <c:v>2.8173900000000001</c:v>
                </c:pt>
                <c:pt idx="8">
                  <c:v>3.2224400000000002</c:v>
                </c:pt>
                <c:pt idx="9">
                  <c:v>3.6262599999999998</c:v>
                </c:pt>
                <c:pt idx="10">
                  <c:v>4.0362600000000004</c:v>
                </c:pt>
                <c:pt idx="11">
                  <c:v>4.4430300000000003</c:v>
                </c:pt>
                <c:pt idx="12">
                  <c:v>4.8440000000000003</c:v>
                </c:pt>
                <c:pt idx="13">
                  <c:v>5.2550299999999996</c:v>
                </c:pt>
                <c:pt idx="14">
                  <c:v>5.6588599999999998</c:v>
                </c:pt>
                <c:pt idx="15">
                  <c:v>6.0639700000000003</c:v>
                </c:pt>
                <c:pt idx="16">
                  <c:v>6.4707299999999996</c:v>
                </c:pt>
                <c:pt idx="17">
                  <c:v>6.87852</c:v>
                </c:pt>
                <c:pt idx="18">
                  <c:v>7.2844100000000003</c:v>
                </c:pt>
                <c:pt idx="19">
                  <c:v>7.6893599999999998</c:v>
                </c:pt>
                <c:pt idx="20">
                  <c:v>8.0957399999999993</c:v>
                </c:pt>
                <c:pt idx="21">
                  <c:v>8.5021900000000006</c:v>
                </c:pt>
                <c:pt idx="22">
                  <c:v>8.9121600000000001</c:v>
                </c:pt>
                <c:pt idx="23">
                  <c:v>9.3170599999999997</c:v>
                </c:pt>
                <c:pt idx="24">
                  <c:v>9.7212800000000001</c:v>
                </c:pt>
                <c:pt idx="25">
                  <c:v>10.126799999999999</c:v>
                </c:pt>
                <c:pt idx="26">
                  <c:v>10.5328</c:v>
                </c:pt>
                <c:pt idx="27">
                  <c:v>10.941700000000001</c:v>
                </c:pt>
                <c:pt idx="28">
                  <c:v>11.348599999999999</c:v>
                </c:pt>
                <c:pt idx="29">
                  <c:v>11.7525</c:v>
                </c:pt>
                <c:pt idx="30">
                  <c:v>12.1584</c:v>
                </c:pt>
                <c:pt idx="31">
                  <c:v>12.565300000000001</c:v>
                </c:pt>
                <c:pt idx="32">
                  <c:v>12.969200000000001</c:v>
                </c:pt>
                <c:pt idx="33">
                  <c:v>13.3741</c:v>
                </c:pt>
                <c:pt idx="34">
                  <c:v>13.786</c:v>
                </c:pt>
                <c:pt idx="35">
                  <c:v>14.193</c:v>
                </c:pt>
                <c:pt idx="36">
                  <c:v>14.5968</c:v>
                </c:pt>
                <c:pt idx="37">
                  <c:v>15.002700000000001</c:v>
                </c:pt>
                <c:pt idx="38">
                  <c:v>15.407999999999999</c:v>
                </c:pt>
                <c:pt idx="39">
                  <c:v>15.813800000000001</c:v>
                </c:pt>
                <c:pt idx="40">
                  <c:v>16.224599999999999</c:v>
                </c:pt>
                <c:pt idx="41">
                  <c:v>16.627400000000002</c:v>
                </c:pt>
                <c:pt idx="42">
                  <c:v>17.035399999999999</c:v>
                </c:pt>
                <c:pt idx="43">
                  <c:v>17.4405</c:v>
                </c:pt>
                <c:pt idx="44">
                  <c:v>17.845199999999998</c:v>
                </c:pt>
                <c:pt idx="45">
                  <c:v>18.2531</c:v>
                </c:pt>
                <c:pt idx="46">
                  <c:v>18.658999999999999</c:v>
                </c:pt>
                <c:pt idx="47">
                  <c:v>19.064900000000002</c:v>
                </c:pt>
                <c:pt idx="48">
                  <c:v>19.469899999999999</c:v>
                </c:pt>
                <c:pt idx="49">
                  <c:v>19.878799999999998</c:v>
                </c:pt>
                <c:pt idx="50">
                  <c:v>20.285699999999999</c:v>
                </c:pt>
                <c:pt idx="51">
                  <c:v>20.687999999999999</c:v>
                </c:pt>
                <c:pt idx="52">
                  <c:v>21.096499999999999</c:v>
                </c:pt>
                <c:pt idx="53">
                  <c:v>21.502400000000002</c:v>
                </c:pt>
                <c:pt idx="54">
                  <c:v>21.9084</c:v>
                </c:pt>
                <c:pt idx="55">
                  <c:v>22.3172</c:v>
                </c:pt>
                <c:pt idx="56">
                  <c:v>22.7241</c:v>
                </c:pt>
                <c:pt idx="57">
                  <c:v>23.127099999999999</c:v>
                </c:pt>
                <c:pt idx="58">
                  <c:v>23.535</c:v>
                </c:pt>
                <c:pt idx="59">
                  <c:v>23.9419</c:v>
                </c:pt>
                <c:pt idx="60">
                  <c:v>24.344799999999999</c:v>
                </c:pt>
                <c:pt idx="61">
                  <c:v>24.755800000000001</c:v>
                </c:pt>
                <c:pt idx="62">
                  <c:v>25.1587</c:v>
                </c:pt>
                <c:pt idx="63">
                  <c:v>25.563700000000001</c:v>
                </c:pt>
                <c:pt idx="64">
                  <c:v>25.9709</c:v>
                </c:pt>
                <c:pt idx="65">
                  <c:v>26.379300000000001</c:v>
                </c:pt>
                <c:pt idx="66">
                  <c:v>26.786300000000001</c:v>
                </c:pt>
                <c:pt idx="67">
                  <c:v>27.191299999999998</c:v>
                </c:pt>
                <c:pt idx="68">
                  <c:v>27.594100000000001</c:v>
                </c:pt>
                <c:pt idx="69">
                  <c:v>28.002500000000001</c:v>
                </c:pt>
                <c:pt idx="70">
                  <c:v>28.410900000000002</c:v>
                </c:pt>
                <c:pt idx="71">
                  <c:v>28.8169</c:v>
                </c:pt>
                <c:pt idx="72">
                  <c:v>29.221900000000002</c:v>
                </c:pt>
                <c:pt idx="73">
                  <c:v>29.6267</c:v>
                </c:pt>
                <c:pt idx="74">
                  <c:v>30.0366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1.1651899999999999</c:v>
                </c:pt>
                <c:pt idx="1">
                  <c:v>1.1944399999999999</c:v>
                </c:pt>
                <c:pt idx="2">
                  <c:v>1.2242899999999999</c:v>
                </c:pt>
                <c:pt idx="3">
                  <c:v>1.2573599999999998</c:v>
                </c:pt>
                <c:pt idx="4">
                  <c:v>1.29366</c:v>
                </c:pt>
                <c:pt idx="5">
                  <c:v>1.3289500000000001</c:v>
                </c:pt>
                <c:pt idx="6">
                  <c:v>1.3648400000000001</c:v>
                </c:pt>
                <c:pt idx="7">
                  <c:v>1.3997000000000002</c:v>
                </c:pt>
                <c:pt idx="8">
                  <c:v>1.4358399999999998</c:v>
                </c:pt>
                <c:pt idx="9">
                  <c:v>1.47234</c:v>
                </c:pt>
                <c:pt idx="10">
                  <c:v>1.5096599999999998</c:v>
                </c:pt>
                <c:pt idx="11">
                  <c:v>1.5469200000000001</c:v>
                </c:pt>
                <c:pt idx="12">
                  <c:v>1.5828600000000002</c:v>
                </c:pt>
                <c:pt idx="13">
                  <c:v>1.6177299999999999</c:v>
                </c:pt>
                <c:pt idx="14">
                  <c:v>1.6513</c:v>
                </c:pt>
                <c:pt idx="15">
                  <c:v>1.6853499999999999</c:v>
                </c:pt>
                <c:pt idx="16">
                  <c:v>1.7216100000000001</c:v>
                </c:pt>
                <c:pt idx="17">
                  <c:v>1.75963</c:v>
                </c:pt>
                <c:pt idx="18">
                  <c:v>1.7971500000000002</c:v>
                </c:pt>
                <c:pt idx="19">
                  <c:v>1.8325100000000001</c:v>
                </c:pt>
                <c:pt idx="20">
                  <c:v>1.8677999999999999</c:v>
                </c:pt>
                <c:pt idx="21">
                  <c:v>1.9020899999999998</c:v>
                </c:pt>
                <c:pt idx="22">
                  <c:v>1.93462</c:v>
                </c:pt>
                <c:pt idx="23">
                  <c:v>1.9634399999999999</c:v>
                </c:pt>
                <c:pt idx="24">
                  <c:v>1.9927900000000001</c:v>
                </c:pt>
                <c:pt idx="25">
                  <c:v>2.02169</c:v>
                </c:pt>
                <c:pt idx="26">
                  <c:v>2.0490900000000001</c:v>
                </c:pt>
                <c:pt idx="27">
                  <c:v>2.0750099999999998</c:v>
                </c:pt>
                <c:pt idx="28">
                  <c:v>2.1007600000000002</c:v>
                </c:pt>
                <c:pt idx="29">
                  <c:v>2.1252299999999997</c:v>
                </c:pt>
                <c:pt idx="30">
                  <c:v>2.1486999999999998</c:v>
                </c:pt>
                <c:pt idx="31">
                  <c:v>2.1703700000000001</c:v>
                </c:pt>
                <c:pt idx="32">
                  <c:v>2.1902599999999999</c:v>
                </c:pt>
                <c:pt idx="33">
                  <c:v>2.2104599999999999</c:v>
                </c:pt>
                <c:pt idx="34">
                  <c:v>2.2312000000000003</c:v>
                </c:pt>
                <c:pt idx="35">
                  <c:v>2.25047</c:v>
                </c:pt>
                <c:pt idx="36">
                  <c:v>2.2674099999999999</c:v>
                </c:pt>
                <c:pt idx="37">
                  <c:v>2.28424</c:v>
                </c:pt>
                <c:pt idx="38">
                  <c:v>2.3008999999999999</c:v>
                </c:pt>
                <c:pt idx="39">
                  <c:v>2.3176899999999998</c:v>
                </c:pt>
                <c:pt idx="40">
                  <c:v>2.3327400000000003</c:v>
                </c:pt>
                <c:pt idx="41">
                  <c:v>2.3444799999999999</c:v>
                </c:pt>
                <c:pt idx="42">
                  <c:v>2.3546200000000002</c:v>
                </c:pt>
                <c:pt idx="43">
                  <c:v>2.36341</c:v>
                </c:pt>
                <c:pt idx="44">
                  <c:v>2.3729900000000002</c:v>
                </c:pt>
                <c:pt idx="45">
                  <c:v>2.3811200000000001</c:v>
                </c:pt>
                <c:pt idx="46">
                  <c:v>2.3853800000000001</c:v>
                </c:pt>
                <c:pt idx="47">
                  <c:v>2.3882700000000003</c:v>
                </c:pt>
                <c:pt idx="48">
                  <c:v>2.3898000000000001</c:v>
                </c:pt>
                <c:pt idx="49">
                  <c:v>2.3894199999999999</c:v>
                </c:pt>
                <c:pt idx="50">
                  <c:v>2.3906399999999999</c:v>
                </c:pt>
                <c:pt idx="51">
                  <c:v>2.3900999999999999</c:v>
                </c:pt>
                <c:pt idx="52">
                  <c:v>2.3892600000000002</c:v>
                </c:pt>
                <c:pt idx="53">
                  <c:v>2.3859900000000001</c:v>
                </c:pt>
                <c:pt idx="54">
                  <c:v>2.3809300000000002</c:v>
                </c:pt>
                <c:pt idx="55">
                  <c:v>2.37134</c:v>
                </c:pt>
                <c:pt idx="56">
                  <c:v>2.3649500000000003</c:v>
                </c:pt>
                <c:pt idx="57">
                  <c:v>2.36151</c:v>
                </c:pt>
                <c:pt idx="58">
                  <c:v>2.3465600000000002</c:v>
                </c:pt>
                <c:pt idx="59">
                  <c:v>2.3321100000000001</c:v>
                </c:pt>
                <c:pt idx="60">
                  <c:v>2.3212700000000002</c:v>
                </c:pt>
                <c:pt idx="61">
                  <c:v>2.2976700000000001</c:v>
                </c:pt>
                <c:pt idx="62">
                  <c:v>2.2847600000000003</c:v>
                </c:pt>
                <c:pt idx="63">
                  <c:v>2.26484</c:v>
                </c:pt>
                <c:pt idx="64">
                  <c:v>2.24464</c:v>
                </c:pt>
                <c:pt idx="65">
                  <c:v>2.2224599999999999</c:v>
                </c:pt>
                <c:pt idx="66">
                  <c:v>2.1942900000000001</c:v>
                </c:pt>
                <c:pt idx="67">
                  <c:v>2.1685599999999998</c:v>
                </c:pt>
                <c:pt idx="68">
                  <c:v>2.1491400000000001</c:v>
                </c:pt>
                <c:pt idx="69">
                  <c:v>2.1147399999999998</c:v>
                </c:pt>
                <c:pt idx="70">
                  <c:v>2.0925799999999999</c:v>
                </c:pt>
                <c:pt idx="71">
                  <c:v>2.0670799999999998</c:v>
                </c:pt>
                <c:pt idx="72">
                  <c:v>2.0403599999999997</c:v>
                </c:pt>
                <c:pt idx="73">
                  <c:v>2.0076399999999999</c:v>
                </c:pt>
                <c:pt idx="74">
                  <c:v>1.9812699999999999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30.0366</c:v>
                </c:pt>
                <c:pt idx="1">
                  <c:v>30.612200000000001</c:v>
                </c:pt>
                <c:pt idx="2">
                  <c:v>30.989100000000001</c:v>
                </c:pt>
                <c:pt idx="3">
                  <c:v>31.363099999999999</c:v>
                </c:pt>
                <c:pt idx="4">
                  <c:v>31.741099999999999</c:v>
                </c:pt>
                <c:pt idx="5">
                  <c:v>32.112099999999998</c:v>
                </c:pt>
                <c:pt idx="6">
                  <c:v>32.518000000000001</c:v>
                </c:pt>
                <c:pt idx="7">
                  <c:v>32.923000000000002</c:v>
                </c:pt>
                <c:pt idx="8">
                  <c:v>33.33</c:v>
                </c:pt>
                <c:pt idx="9">
                  <c:v>33.738700000000001</c:v>
                </c:pt>
                <c:pt idx="10">
                  <c:v>34.140700000000002</c:v>
                </c:pt>
                <c:pt idx="11">
                  <c:v>34.551600000000001</c:v>
                </c:pt>
                <c:pt idx="12">
                  <c:v>34.954700000000003</c:v>
                </c:pt>
                <c:pt idx="13">
                  <c:v>35.361400000000003</c:v>
                </c:pt>
                <c:pt idx="14">
                  <c:v>35.767299999999999</c:v>
                </c:pt>
                <c:pt idx="15">
                  <c:v>36.1723</c:v>
                </c:pt>
                <c:pt idx="16">
                  <c:v>36.5792</c:v>
                </c:pt>
                <c:pt idx="17">
                  <c:v>36.989100000000001</c:v>
                </c:pt>
                <c:pt idx="18">
                  <c:v>37.394100000000002</c:v>
                </c:pt>
                <c:pt idx="19">
                  <c:v>37.798900000000003</c:v>
                </c:pt>
                <c:pt idx="20">
                  <c:v>38.205800000000004</c:v>
                </c:pt>
                <c:pt idx="21">
                  <c:v>38.609900000000003</c:v>
                </c:pt>
                <c:pt idx="22">
                  <c:v>39.0167</c:v>
                </c:pt>
                <c:pt idx="23">
                  <c:v>39.424599999999998</c:v>
                </c:pt>
                <c:pt idx="24">
                  <c:v>39.8324</c:v>
                </c:pt>
                <c:pt idx="25">
                  <c:v>40.235300000000002</c:v>
                </c:pt>
                <c:pt idx="26">
                  <c:v>40.641500000000001</c:v>
                </c:pt>
                <c:pt idx="27">
                  <c:v>41.050199999999997</c:v>
                </c:pt>
                <c:pt idx="28">
                  <c:v>41.456099999999999</c:v>
                </c:pt>
                <c:pt idx="29">
                  <c:v>41.862099999999998</c:v>
                </c:pt>
                <c:pt idx="30">
                  <c:v>42.268000000000001</c:v>
                </c:pt>
                <c:pt idx="31">
                  <c:v>42.672899999999998</c:v>
                </c:pt>
                <c:pt idx="32">
                  <c:v>43.0839</c:v>
                </c:pt>
                <c:pt idx="33">
                  <c:v>43.488199999999999</c:v>
                </c:pt>
                <c:pt idx="34">
                  <c:v>43.896599999999999</c:v>
                </c:pt>
                <c:pt idx="35">
                  <c:v>44.298499999999997</c:v>
                </c:pt>
                <c:pt idx="36">
                  <c:v>44.704799999999999</c:v>
                </c:pt>
                <c:pt idx="37">
                  <c:v>45.111400000000003</c:v>
                </c:pt>
                <c:pt idx="38">
                  <c:v>45.519300000000001</c:v>
                </c:pt>
                <c:pt idx="39">
                  <c:v>45.926099999999998</c:v>
                </c:pt>
                <c:pt idx="40">
                  <c:v>46.331000000000003</c:v>
                </c:pt>
                <c:pt idx="41">
                  <c:v>46.737200000000001</c:v>
                </c:pt>
                <c:pt idx="42">
                  <c:v>47.140799999999999</c:v>
                </c:pt>
                <c:pt idx="43">
                  <c:v>47.550800000000002</c:v>
                </c:pt>
                <c:pt idx="44">
                  <c:v>47.957700000000003</c:v>
                </c:pt>
                <c:pt idx="45">
                  <c:v>48.360700000000001</c:v>
                </c:pt>
                <c:pt idx="46">
                  <c:v>48.767899999999997</c:v>
                </c:pt>
                <c:pt idx="47">
                  <c:v>49.174500000000002</c:v>
                </c:pt>
                <c:pt idx="48">
                  <c:v>49.5794</c:v>
                </c:pt>
                <c:pt idx="49">
                  <c:v>49.9893</c:v>
                </c:pt>
                <c:pt idx="50">
                  <c:v>50.392299999999999</c:v>
                </c:pt>
                <c:pt idx="51">
                  <c:v>50.798099999999998</c:v>
                </c:pt>
                <c:pt idx="52">
                  <c:v>51.207999999999998</c:v>
                </c:pt>
                <c:pt idx="53">
                  <c:v>51.610999999999997</c:v>
                </c:pt>
                <c:pt idx="54">
                  <c:v>52.017899999999997</c:v>
                </c:pt>
                <c:pt idx="55">
                  <c:v>52.422800000000002</c:v>
                </c:pt>
                <c:pt idx="56">
                  <c:v>52.828699999999998</c:v>
                </c:pt>
                <c:pt idx="57">
                  <c:v>53.235700000000001</c:v>
                </c:pt>
                <c:pt idx="58">
                  <c:v>53.646500000000003</c:v>
                </c:pt>
                <c:pt idx="59">
                  <c:v>54.052399999999999</c:v>
                </c:pt>
                <c:pt idx="60">
                  <c:v>54.4574</c:v>
                </c:pt>
                <c:pt idx="61">
                  <c:v>54.859200000000001</c:v>
                </c:pt>
                <c:pt idx="62">
                  <c:v>55.269100000000002</c:v>
                </c:pt>
                <c:pt idx="63">
                  <c:v>55.678100000000001</c:v>
                </c:pt>
                <c:pt idx="64">
                  <c:v>56.082099999999997</c:v>
                </c:pt>
                <c:pt idx="65">
                  <c:v>56.486899999999999</c:v>
                </c:pt>
                <c:pt idx="66">
                  <c:v>56.8919</c:v>
                </c:pt>
                <c:pt idx="67">
                  <c:v>57.299799999999998</c:v>
                </c:pt>
                <c:pt idx="68">
                  <c:v>57.707599999999999</c:v>
                </c:pt>
                <c:pt idx="69">
                  <c:v>58.114600000000003</c:v>
                </c:pt>
                <c:pt idx="70">
                  <c:v>58.5184</c:v>
                </c:pt>
                <c:pt idx="71">
                  <c:v>58.923499999999997</c:v>
                </c:pt>
                <c:pt idx="72">
                  <c:v>59.3307</c:v>
                </c:pt>
                <c:pt idx="73">
                  <c:v>59.739199999999997</c:v>
                </c:pt>
                <c:pt idx="74">
                  <c:v>60.145099999999999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1.9812699999999999</c:v>
                </c:pt>
                <c:pt idx="1">
                  <c:v>1.9530800000000001</c:v>
                </c:pt>
                <c:pt idx="2">
                  <c:v>1.9231799999999999</c:v>
                </c:pt>
                <c:pt idx="3">
                  <c:v>1.89246</c:v>
                </c:pt>
                <c:pt idx="4">
                  <c:v>1.86202</c:v>
                </c:pt>
                <c:pt idx="5">
                  <c:v>1.83182</c:v>
                </c:pt>
                <c:pt idx="6">
                  <c:v>1.8021699999999998</c:v>
                </c:pt>
                <c:pt idx="7">
                  <c:v>1.7738499999999999</c:v>
                </c:pt>
                <c:pt idx="8">
                  <c:v>1.74675</c:v>
                </c:pt>
                <c:pt idx="9">
                  <c:v>1.7114099999999999</c:v>
                </c:pt>
                <c:pt idx="10">
                  <c:v>1.6750399999999999</c:v>
                </c:pt>
                <c:pt idx="11">
                  <c:v>1.6414899999999999</c:v>
                </c:pt>
                <c:pt idx="12">
                  <c:v>1.6083800000000001</c:v>
                </c:pt>
                <c:pt idx="13">
                  <c:v>1.5748899999999999</c:v>
                </c:pt>
                <c:pt idx="14">
                  <c:v>1.53939</c:v>
                </c:pt>
                <c:pt idx="15">
                  <c:v>1.5049699999999999</c:v>
                </c:pt>
                <c:pt idx="16">
                  <c:v>1.4730599999999998</c:v>
                </c:pt>
                <c:pt idx="17">
                  <c:v>1.4423300000000001</c:v>
                </c:pt>
                <c:pt idx="18">
                  <c:v>1.4139299999999999</c:v>
                </c:pt>
                <c:pt idx="19">
                  <c:v>1.3853499999999999</c:v>
                </c:pt>
                <c:pt idx="20">
                  <c:v>1.3590599999999999</c:v>
                </c:pt>
                <c:pt idx="21">
                  <c:v>1.3348399999999998</c:v>
                </c:pt>
                <c:pt idx="22">
                  <c:v>1.3165499999999999</c:v>
                </c:pt>
                <c:pt idx="23">
                  <c:v>1.3041700000000001</c:v>
                </c:pt>
                <c:pt idx="24">
                  <c:v>1.3008900000000001</c:v>
                </c:pt>
                <c:pt idx="25">
                  <c:v>1.3048999999999999</c:v>
                </c:pt>
                <c:pt idx="26">
                  <c:v>1.3150200000000001</c:v>
                </c:pt>
                <c:pt idx="27">
                  <c:v>1.3272600000000001</c:v>
                </c:pt>
                <c:pt idx="28">
                  <c:v>1.34572</c:v>
                </c:pt>
                <c:pt idx="29">
                  <c:v>1.36429</c:v>
                </c:pt>
                <c:pt idx="30">
                  <c:v>1.3834</c:v>
                </c:pt>
                <c:pt idx="31">
                  <c:v>1.4028399999999999</c:v>
                </c:pt>
                <c:pt idx="32">
                  <c:v>1.42116</c:v>
                </c:pt>
                <c:pt idx="33">
                  <c:v>1.4412</c:v>
                </c:pt>
                <c:pt idx="34">
                  <c:v>1.4669099999999999</c:v>
                </c:pt>
                <c:pt idx="35">
                  <c:v>1.4963000000000002</c:v>
                </c:pt>
                <c:pt idx="36">
                  <c:v>1.5323100000000001</c:v>
                </c:pt>
                <c:pt idx="37">
                  <c:v>1.5712100000000002</c:v>
                </c:pt>
                <c:pt idx="38">
                  <c:v>1.61002</c:v>
                </c:pt>
                <c:pt idx="39">
                  <c:v>1.6484199999999998</c:v>
                </c:pt>
                <c:pt idx="40">
                  <c:v>1.68685</c:v>
                </c:pt>
                <c:pt idx="41">
                  <c:v>1.72255</c:v>
                </c:pt>
                <c:pt idx="42">
                  <c:v>1.7551099999999999</c:v>
                </c:pt>
                <c:pt idx="43">
                  <c:v>1.7885499999999999</c:v>
                </c:pt>
                <c:pt idx="44">
                  <c:v>1.8243400000000001</c:v>
                </c:pt>
                <c:pt idx="45">
                  <c:v>1.8567</c:v>
                </c:pt>
                <c:pt idx="46">
                  <c:v>1.8876399999999998</c:v>
                </c:pt>
                <c:pt idx="47">
                  <c:v>1.9201099999999998</c:v>
                </c:pt>
                <c:pt idx="48">
                  <c:v>1.95364</c:v>
                </c:pt>
                <c:pt idx="49">
                  <c:v>1.9839300000000002</c:v>
                </c:pt>
                <c:pt idx="50">
                  <c:v>2.0024600000000001</c:v>
                </c:pt>
                <c:pt idx="51">
                  <c:v>2.0140899999999999</c:v>
                </c:pt>
                <c:pt idx="52">
                  <c:v>2.0268600000000001</c:v>
                </c:pt>
                <c:pt idx="53">
                  <c:v>2.0402200000000001</c:v>
                </c:pt>
                <c:pt idx="54">
                  <c:v>2.0548099999999998</c:v>
                </c:pt>
                <c:pt idx="55">
                  <c:v>2.07104</c:v>
                </c:pt>
                <c:pt idx="56">
                  <c:v>2.0892200000000001</c:v>
                </c:pt>
                <c:pt idx="57">
                  <c:v>2.1083499999999997</c:v>
                </c:pt>
                <c:pt idx="58">
                  <c:v>2.12758</c:v>
                </c:pt>
                <c:pt idx="59">
                  <c:v>2.1455600000000001</c:v>
                </c:pt>
                <c:pt idx="60">
                  <c:v>2.16343</c:v>
                </c:pt>
                <c:pt idx="61">
                  <c:v>2.1773799999999999</c:v>
                </c:pt>
                <c:pt idx="62">
                  <c:v>2.1901000000000002</c:v>
                </c:pt>
                <c:pt idx="63">
                  <c:v>2.20323</c:v>
                </c:pt>
                <c:pt idx="64">
                  <c:v>2.2176100000000001</c:v>
                </c:pt>
                <c:pt idx="65">
                  <c:v>2.2301000000000002</c:v>
                </c:pt>
                <c:pt idx="66">
                  <c:v>2.2456400000000003</c:v>
                </c:pt>
                <c:pt idx="67">
                  <c:v>2.2643599999999999</c:v>
                </c:pt>
                <c:pt idx="68">
                  <c:v>2.2822899999999997</c:v>
                </c:pt>
                <c:pt idx="69">
                  <c:v>2.2948</c:v>
                </c:pt>
                <c:pt idx="70">
                  <c:v>2.3153099999999998</c:v>
                </c:pt>
                <c:pt idx="71">
                  <c:v>2.3410800000000003</c:v>
                </c:pt>
                <c:pt idx="72">
                  <c:v>2.3516900000000001</c:v>
                </c:pt>
                <c:pt idx="73">
                  <c:v>2.3553699999999997</c:v>
                </c:pt>
                <c:pt idx="74">
                  <c:v>2.3649400000000003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15.036275</c:v>
                </c:pt>
                <c:pt idx="1">
                  <c:v>45.108824999999996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2.0287999999999999</c:v>
                </c:pt>
                <c:pt idx="1">
                  <c:v>1.7929095945945956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0.38189000000000001</c:v>
                </c:pt>
                <c:pt idx="2">
                  <c:v>0.78580000000000005</c:v>
                </c:pt>
                <c:pt idx="3">
                  <c:v>1.1898200000000001</c:v>
                </c:pt>
                <c:pt idx="4">
                  <c:v>1.59568</c:v>
                </c:pt>
                <c:pt idx="5">
                  <c:v>2.0027300000000001</c:v>
                </c:pt>
                <c:pt idx="6">
                  <c:v>2.4095300000000002</c:v>
                </c:pt>
                <c:pt idx="7">
                  <c:v>2.8173900000000001</c:v>
                </c:pt>
                <c:pt idx="8">
                  <c:v>3.2224400000000002</c:v>
                </c:pt>
                <c:pt idx="9">
                  <c:v>3.6262599999999998</c:v>
                </c:pt>
                <c:pt idx="10">
                  <c:v>4.0362600000000004</c:v>
                </c:pt>
                <c:pt idx="11">
                  <c:v>4.4430300000000003</c:v>
                </c:pt>
                <c:pt idx="12">
                  <c:v>4.8440000000000003</c:v>
                </c:pt>
                <c:pt idx="13">
                  <c:v>5.2550299999999996</c:v>
                </c:pt>
                <c:pt idx="14">
                  <c:v>5.6588599999999998</c:v>
                </c:pt>
                <c:pt idx="15">
                  <c:v>6.0639700000000003</c:v>
                </c:pt>
                <c:pt idx="16">
                  <c:v>6.4707299999999996</c:v>
                </c:pt>
                <c:pt idx="17">
                  <c:v>6.87852</c:v>
                </c:pt>
                <c:pt idx="18">
                  <c:v>7.2844100000000003</c:v>
                </c:pt>
                <c:pt idx="19">
                  <c:v>7.6893599999999998</c:v>
                </c:pt>
                <c:pt idx="20">
                  <c:v>8.0957399999999993</c:v>
                </c:pt>
                <c:pt idx="21">
                  <c:v>8.5021900000000006</c:v>
                </c:pt>
                <c:pt idx="22">
                  <c:v>8.9121600000000001</c:v>
                </c:pt>
                <c:pt idx="23">
                  <c:v>9.3170599999999997</c:v>
                </c:pt>
                <c:pt idx="24">
                  <c:v>9.7212800000000001</c:v>
                </c:pt>
                <c:pt idx="25">
                  <c:v>10.126799999999999</c:v>
                </c:pt>
                <c:pt idx="26">
                  <c:v>10.5328</c:v>
                </c:pt>
                <c:pt idx="27">
                  <c:v>10.941700000000001</c:v>
                </c:pt>
                <c:pt idx="28">
                  <c:v>11.348599999999999</c:v>
                </c:pt>
                <c:pt idx="29">
                  <c:v>11.7525</c:v>
                </c:pt>
                <c:pt idx="30">
                  <c:v>12.1584</c:v>
                </c:pt>
                <c:pt idx="31">
                  <c:v>12.565300000000001</c:v>
                </c:pt>
                <c:pt idx="32">
                  <c:v>12.969200000000001</c:v>
                </c:pt>
                <c:pt idx="33">
                  <c:v>13.3741</c:v>
                </c:pt>
                <c:pt idx="34">
                  <c:v>13.786</c:v>
                </c:pt>
                <c:pt idx="35">
                  <c:v>14.193</c:v>
                </c:pt>
                <c:pt idx="36">
                  <c:v>14.5968</c:v>
                </c:pt>
                <c:pt idx="37">
                  <c:v>15.002700000000001</c:v>
                </c:pt>
                <c:pt idx="38">
                  <c:v>15.407999999999999</c:v>
                </c:pt>
                <c:pt idx="39">
                  <c:v>15.813800000000001</c:v>
                </c:pt>
                <c:pt idx="40">
                  <c:v>16.224599999999999</c:v>
                </c:pt>
                <c:pt idx="41">
                  <c:v>16.627400000000002</c:v>
                </c:pt>
                <c:pt idx="42">
                  <c:v>17.035399999999999</c:v>
                </c:pt>
                <c:pt idx="43">
                  <c:v>17.4405</c:v>
                </c:pt>
                <c:pt idx="44">
                  <c:v>17.845199999999998</c:v>
                </c:pt>
                <c:pt idx="45">
                  <c:v>18.2531</c:v>
                </c:pt>
                <c:pt idx="46">
                  <c:v>18.658999999999999</c:v>
                </c:pt>
                <c:pt idx="47">
                  <c:v>19.064900000000002</c:v>
                </c:pt>
                <c:pt idx="48">
                  <c:v>19.469899999999999</c:v>
                </c:pt>
                <c:pt idx="49">
                  <c:v>19.878799999999998</c:v>
                </c:pt>
                <c:pt idx="50">
                  <c:v>20.285699999999999</c:v>
                </c:pt>
                <c:pt idx="51">
                  <c:v>20.687999999999999</c:v>
                </c:pt>
                <c:pt idx="52">
                  <c:v>21.096499999999999</c:v>
                </c:pt>
                <c:pt idx="53">
                  <c:v>21.502400000000002</c:v>
                </c:pt>
                <c:pt idx="54">
                  <c:v>21.9084</c:v>
                </c:pt>
                <c:pt idx="55">
                  <c:v>22.3172</c:v>
                </c:pt>
                <c:pt idx="56">
                  <c:v>22.7241</c:v>
                </c:pt>
                <c:pt idx="57">
                  <c:v>23.127099999999999</c:v>
                </c:pt>
                <c:pt idx="58">
                  <c:v>23.535</c:v>
                </c:pt>
                <c:pt idx="59">
                  <c:v>23.9419</c:v>
                </c:pt>
                <c:pt idx="60">
                  <c:v>24.344799999999999</c:v>
                </c:pt>
                <c:pt idx="61">
                  <c:v>24.755800000000001</c:v>
                </c:pt>
                <c:pt idx="62">
                  <c:v>25.1587</c:v>
                </c:pt>
                <c:pt idx="63">
                  <c:v>25.563700000000001</c:v>
                </c:pt>
                <c:pt idx="64">
                  <c:v>25.9709</c:v>
                </c:pt>
                <c:pt idx="65">
                  <c:v>26.379300000000001</c:v>
                </c:pt>
                <c:pt idx="66">
                  <c:v>26.786300000000001</c:v>
                </c:pt>
                <c:pt idx="67">
                  <c:v>27.191299999999998</c:v>
                </c:pt>
                <c:pt idx="68">
                  <c:v>27.594100000000001</c:v>
                </c:pt>
                <c:pt idx="69">
                  <c:v>28.002500000000001</c:v>
                </c:pt>
                <c:pt idx="70">
                  <c:v>28.410900000000002</c:v>
                </c:pt>
                <c:pt idx="71">
                  <c:v>28.8169</c:v>
                </c:pt>
                <c:pt idx="72">
                  <c:v>29.221900000000002</c:v>
                </c:pt>
                <c:pt idx="73">
                  <c:v>29.6267</c:v>
                </c:pt>
                <c:pt idx="74">
                  <c:v>30.0366</c:v>
                </c:pt>
                <c:pt idx="75">
                  <c:v>30.612200000000001</c:v>
                </c:pt>
                <c:pt idx="76">
                  <c:v>30.989100000000001</c:v>
                </c:pt>
                <c:pt idx="77">
                  <c:v>31.363099999999999</c:v>
                </c:pt>
                <c:pt idx="78">
                  <c:v>31.741099999999999</c:v>
                </c:pt>
                <c:pt idx="79">
                  <c:v>32.112099999999998</c:v>
                </c:pt>
                <c:pt idx="80">
                  <c:v>32.518000000000001</c:v>
                </c:pt>
                <c:pt idx="81">
                  <c:v>32.923000000000002</c:v>
                </c:pt>
                <c:pt idx="82">
                  <c:v>33.33</c:v>
                </c:pt>
                <c:pt idx="83">
                  <c:v>33.738700000000001</c:v>
                </c:pt>
                <c:pt idx="84">
                  <c:v>34.140700000000002</c:v>
                </c:pt>
                <c:pt idx="85">
                  <c:v>34.551600000000001</c:v>
                </c:pt>
                <c:pt idx="86">
                  <c:v>34.954700000000003</c:v>
                </c:pt>
                <c:pt idx="87">
                  <c:v>35.361400000000003</c:v>
                </c:pt>
                <c:pt idx="88">
                  <c:v>35.767299999999999</c:v>
                </c:pt>
                <c:pt idx="89">
                  <c:v>36.1723</c:v>
                </c:pt>
                <c:pt idx="90">
                  <c:v>36.5792</c:v>
                </c:pt>
                <c:pt idx="91">
                  <c:v>36.989100000000001</c:v>
                </c:pt>
                <c:pt idx="92">
                  <c:v>37.394100000000002</c:v>
                </c:pt>
                <c:pt idx="93">
                  <c:v>37.798900000000003</c:v>
                </c:pt>
                <c:pt idx="94">
                  <c:v>38.205800000000004</c:v>
                </c:pt>
                <c:pt idx="95">
                  <c:v>38.609900000000003</c:v>
                </c:pt>
                <c:pt idx="96">
                  <c:v>39.0167</c:v>
                </c:pt>
                <c:pt idx="97">
                  <c:v>39.424599999999998</c:v>
                </c:pt>
                <c:pt idx="98">
                  <c:v>39.8324</c:v>
                </c:pt>
                <c:pt idx="99">
                  <c:v>40.235300000000002</c:v>
                </c:pt>
                <c:pt idx="100">
                  <c:v>40.641500000000001</c:v>
                </c:pt>
                <c:pt idx="101">
                  <c:v>41.050199999999997</c:v>
                </c:pt>
                <c:pt idx="102">
                  <c:v>41.456099999999999</c:v>
                </c:pt>
                <c:pt idx="103">
                  <c:v>41.862099999999998</c:v>
                </c:pt>
                <c:pt idx="104">
                  <c:v>42.268000000000001</c:v>
                </c:pt>
                <c:pt idx="105">
                  <c:v>42.672899999999998</c:v>
                </c:pt>
                <c:pt idx="106">
                  <c:v>43.0839</c:v>
                </c:pt>
                <c:pt idx="107">
                  <c:v>43.488199999999999</c:v>
                </c:pt>
                <c:pt idx="108">
                  <c:v>43.896599999999999</c:v>
                </c:pt>
                <c:pt idx="109">
                  <c:v>44.298499999999997</c:v>
                </c:pt>
                <c:pt idx="110">
                  <c:v>44.704799999999999</c:v>
                </c:pt>
                <c:pt idx="111">
                  <c:v>45.111400000000003</c:v>
                </c:pt>
                <c:pt idx="112">
                  <c:v>45.519300000000001</c:v>
                </c:pt>
                <c:pt idx="113">
                  <c:v>45.926099999999998</c:v>
                </c:pt>
                <c:pt idx="114">
                  <c:v>46.331000000000003</c:v>
                </c:pt>
                <c:pt idx="115">
                  <c:v>46.737200000000001</c:v>
                </c:pt>
                <c:pt idx="116">
                  <c:v>47.140799999999999</c:v>
                </c:pt>
                <c:pt idx="117">
                  <c:v>47.550800000000002</c:v>
                </c:pt>
                <c:pt idx="118">
                  <c:v>47.957700000000003</c:v>
                </c:pt>
                <c:pt idx="119">
                  <c:v>48.360700000000001</c:v>
                </c:pt>
                <c:pt idx="120">
                  <c:v>48.767899999999997</c:v>
                </c:pt>
                <c:pt idx="121">
                  <c:v>49.174500000000002</c:v>
                </c:pt>
                <c:pt idx="122">
                  <c:v>49.5794</c:v>
                </c:pt>
                <c:pt idx="123">
                  <c:v>49.9893</c:v>
                </c:pt>
                <c:pt idx="124">
                  <c:v>50.392299999999999</c:v>
                </c:pt>
                <c:pt idx="125">
                  <c:v>50.798099999999998</c:v>
                </c:pt>
                <c:pt idx="126">
                  <c:v>51.207999999999998</c:v>
                </c:pt>
                <c:pt idx="127">
                  <c:v>51.610999999999997</c:v>
                </c:pt>
                <c:pt idx="128">
                  <c:v>52.017899999999997</c:v>
                </c:pt>
                <c:pt idx="129">
                  <c:v>52.422800000000002</c:v>
                </c:pt>
                <c:pt idx="130">
                  <c:v>52.828699999999998</c:v>
                </c:pt>
                <c:pt idx="131">
                  <c:v>53.235700000000001</c:v>
                </c:pt>
                <c:pt idx="132">
                  <c:v>53.646500000000003</c:v>
                </c:pt>
                <c:pt idx="133">
                  <c:v>54.052399999999999</c:v>
                </c:pt>
                <c:pt idx="134">
                  <c:v>54.4574</c:v>
                </c:pt>
                <c:pt idx="135">
                  <c:v>54.859200000000001</c:v>
                </c:pt>
                <c:pt idx="136">
                  <c:v>55.269100000000002</c:v>
                </c:pt>
                <c:pt idx="137">
                  <c:v>55.678100000000001</c:v>
                </c:pt>
                <c:pt idx="138">
                  <c:v>56.082099999999997</c:v>
                </c:pt>
                <c:pt idx="139">
                  <c:v>56.486899999999999</c:v>
                </c:pt>
                <c:pt idx="140">
                  <c:v>56.8919</c:v>
                </c:pt>
                <c:pt idx="141">
                  <c:v>57.299799999999998</c:v>
                </c:pt>
                <c:pt idx="142">
                  <c:v>57.707599999999999</c:v>
                </c:pt>
                <c:pt idx="143">
                  <c:v>58.114600000000003</c:v>
                </c:pt>
                <c:pt idx="144">
                  <c:v>58.5184</c:v>
                </c:pt>
                <c:pt idx="145">
                  <c:v>58.923499999999997</c:v>
                </c:pt>
                <c:pt idx="146">
                  <c:v>59.3307</c:v>
                </c:pt>
                <c:pt idx="147">
                  <c:v>59.739199999999997</c:v>
                </c:pt>
                <c:pt idx="148">
                  <c:v>60.145099999999999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69.485399999999998</c:v>
                </c:pt>
                <c:pt idx="1">
                  <c:v>68.548100000000005</c:v>
                </c:pt>
                <c:pt idx="2">
                  <c:v>67.587100000000007</c:v>
                </c:pt>
                <c:pt idx="3">
                  <c:v>66.561099999999996</c:v>
                </c:pt>
                <c:pt idx="4">
                  <c:v>65.472699999999989</c:v>
                </c:pt>
                <c:pt idx="5">
                  <c:v>64.407200000000003</c:v>
                </c:pt>
                <c:pt idx="6">
                  <c:v>63.343199999999996</c:v>
                </c:pt>
                <c:pt idx="7">
                  <c:v>62.246299999999998</c:v>
                </c:pt>
                <c:pt idx="8">
                  <c:v>61.102699999999999</c:v>
                </c:pt>
                <c:pt idx="9">
                  <c:v>59.986399999999996</c:v>
                </c:pt>
                <c:pt idx="10">
                  <c:v>58.908899999999996</c:v>
                </c:pt>
                <c:pt idx="11">
                  <c:v>57.889400000000002</c:v>
                </c:pt>
                <c:pt idx="12">
                  <c:v>56.946600000000004</c:v>
                </c:pt>
                <c:pt idx="13">
                  <c:v>56.0867</c:v>
                </c:pt>
                <c:pt idx="14">
                  <c:v>55.332400000000007</c:v>
                </c:pt>
                <c:pt idx="15">
                  <c:v>54.629799999999996</c:v>
                </c:pt>
                <c:pt idx="16">
                  <c:v>53.845600000000005</c:v>
                </c:pt>
                <c:pt idx="17">
                  <c:v>53.061999999999998</c:v>
                </c:pt>
                <c:pt idx="18">
                  <c:v>52.319000000000003</c:v>
                </c:pt>
                <c:pt idx="19">
                  <c:v>51.683199999999999</c:v>
                </c:pt>
                <c:pt idx="20">
                  <c:v>51.0505</c:v>
                </c:pt>
                <c:pt idx="21">
                  <c:v>50.510600000000004</c:v>
                </c:pt>
                <c:pt idx="22">
                  <c:v>50.100100000000005</c:v>
                </c:pt>
                <c:pt idx="23">
                  <c:v>49.8322</c:v>
                </c:pt>
                <c:pt idx="24">
                  <c:v>49.525700000000001</c:v>
                </c:pt>
                <c:pt idx="25">
                  <c:v>49.259599999999999</c:v>
                </c:pt>
                <c:pt idx="26">
                  <c:v>49.067100000000003</c:v>
                </c:pt>
                <c:pt idx="27">
                  <c:v>48.936</c:v>
                </c:pt>
                <c:pt idx="28">
                  <c:v>48.747800000000005</c:v>
                </c:pt>
                <c:pt idx="29">
                  <c:v>48.542900000000003</c:v>
                </c:pt>
                <c:pt idx="30">
                  <c:v>48.357099999999996</c:v>
                </c:pt>
                <c:pt idx="31">
                  <c:v>48.2194</c:v>
                </c:pt>
                <c:pt idx="32">
                  <c:v>48.0839</c:v>
                </c:pt>
                <c:pt idx="33">
                  <c:v>47.881099999999996</c:v>
                </c:pt>
                <c:pt idx="34">
                  <c:v>47.686299999999996</c:v>
                </c:pt>
                <c:pt idx="35">
                  <c:v>47.539900000000003</c:v>
                </c:pt>
                <c:pt idx="36">
                  <c:v>47.440800000000003</c:v>
                </c:pt>
                <c:pt idx="37">
                  <c:v>47.328900000000004</c:v>
                </c:pt>
                <c:pt idx="38">
                  <c:v>47.223599999999998</c:v>
                </c:pt>
                <c:pt idx="39">
                  <c:v>47.107199999999999</c:v>
                </c:pt>
                <c:pt idx="40">
                  <c:v>46.988900000000001</c:v>
                </c:pt>
                <c:pt idx="41">
                  <c:v>46.9343</c:v>
                </c:pt>
                <c:pt idx="42">
                  <c:v>46.841500000000003</c:v>
                </c:pt>
                <c:pt idx="43">
                  <c:v>46.762700000000002</c:v>
                </c:pt>
                <c:pt idx="44">
                  <c:v>46.649299999999997</c:v>
                </c:pt>
                <c:pt idx="45">
                  <c:v>46.5852</c:v>
                </c:pt>
                <c:pt idx="46">
                  <c:v>46.583799999999997</c:v>
                </c:pt>
                <c:pt idx="47">
                  <c:v>46.555</c:v>
                </c:pt>
                <c:pt idx="48">
                  <c:v>46.479500000000002</c:v>
                </c:pt>
                <c:pt idx="49">
                  <c:v>46.404200000000003</c:v>
                </c:pt>
                <c:pt idx="50">
                  <c:v>46.350999999999999</c:v>
                </c:pt>
                <c:pt idx="51">
                  <c:v>46.216799999999999</c:v>
                </c:pt>
                <c:pt idx="52">
                  <c:v>46.0426</c:v>
                </c:pt>
                <c:pt idx="53">
                  <c:v>45.883200000000002</c:v>
                </c:pt>
                <c:pt idx="54">
                  <c:v>45.7117</c:v>
                </c:pt>
                <c:pt idx="55">
                  <c:v>45.463200000000001</c:v>
                </c:pt>
                <c:pt idx="56">
                  <c:v>45.279799999999994</c:v>
                </c:pt>
                <c:pt idx="57">
                  <c:v>45.140500000000003</c:v>
                </c:pt>
                <c:pt idx="58">
                  <c:v>45.273400000000002</c:v>
                </c:pt>
                <c:pt idx="59">
                  <c:v>45.4908</c:v>
                </c:pt>
                <c:pt idx="60">
                  <c:v>45.582099999999997</c:v>
                </c:pt>
                <c:pt idx="61">
                  <c:v>45.847799999999999</c:v>
                </c:pt>
                <c:pt idx="62">
                  <c:v>45.954499999999996</c:v>
                </c:pt>
                <c:pt idx="63">
                  <c:v>46.210999999999999</c:v>
                </c:pt>
                <c:pt idx="64">
                  <c:v>46.503799999999998</c:v>
                </c:pt>
                <c:pt idx="65">
                  <c:v>46.816299999999998</c:v>
                </c:pt>
                <c:pt idx="66">
                  <c:v>47.2849</c:v>
                </c:pt>
                <c:pt idx="67">
                  <c:v>47.689</c:v>
                </c:pt>
                <c:pt idx="68">
                  <c:v>48.012700000000002</c:v>
                </c:pt>
                <c:pt idx="69">
                  <c:v>48.683999999999997</c:v>
                </c:pt>
                <c:pt idx="70">
                  <c:v>49.1539</c:v>
                </c:pt>
                <c:pt idx="71">
                  <c:v>49.640599999999999</c:v>
                </c:pt>
                <c:pt idx="72">
                  <c:v>50.0749</c:v>
                </c:pt>
                <c:pt idx="73">
                  <c:v>50.517000000000003</c:v>
                </c:pt>
                <c:pt idx="74">
                  <c:v>50.955600000000004</c:v>
                </c:pt>
                <c:pt idx="75">
                  <c:v>51.443399999999997</c:v>
                </c:pt>
                <c:pt idx="76">
                  <c:v>51.974399999999996</c:v>
                </c:pt>
                <c:pt idx="77">
                  <c:v>52.512700000000002</c:v>
                </c:pt>
                <c:pt idx="78">
                  <c:v>53.091000000000001</c:v>
                </c:pt>
                <c:pt idx="79">
                  <c:v>53.763399999999997</c:v>
                </c:pt>
                <c:pt idx="80">
                  <c:v>54.474000000000004</c:v>
                </c:pt>
                <c:pt idx="81">
                  <c:v>55.169599999999996</c:v>
                </c:pt>
                <c:pt idx="82">
                  <c:v>55.818400000000004</c:v>
                </c:pt>
                <c:pt idx="83">
                  <c:v>56.368899999999996</c:v>
                </c:pt>
                <c:pt idx="84">
                  <c:v>56.901999999999994</c:v>
                </c:pt>
                <c:pt idx="85">
                  <c:v>57.344999999999999</c:v>
                </c:pt>
                <c:pt idx="86">
                  <c:v>57.753299999999996</c:v>
                </c:pt>
                <c:pt idx="87">
                  <c:v>58.181899999999999</c:v>
                </c:pt>
                <c:pt idx="88">
                  <c:v>58.717100000000002</c:v>
                </c:pt>
                <c:pt idx="89">
                  <c:v>59.293600000000005</c:v>
                </c:pt>
                <c:pt idx="90">
                  <c:v>59.8521</c:v>
                </c:pt>
                <c:pt idx="91">
                  <c:v>60.443800000000003</c:v>
                </c:pt>
                <c:pt idx="92">
                  <c:v>61.031700000000001</c:v>
                </c:pt>
                <c:pt idx="93">
                  <c:v>61.695299999999996</c:v>
                </c:pt>
                <c:pt idx="94">
                  <c:v>62.2834</c:v>
                </c:pt>
                <c:pt idx="95">
                  <c:v>62.807000000000002</c:v>
                </c:pt>
                <c:pt idx="96">
                  <c:v>63.222699999999996</c:v>
                </c:pt>
                <c:pt idx="97">
                  <c:v>63.494900000000001</c:v>
                </c:pt>
                <c:pt idx="98">
                  <c:v>63.5398</c:v>
                </c:pt>
                <c:pt idx="99">
                  <c:v>63.320600000000006</c:v>
                </c:pt>
                <c:pt idx="100">
                  <c:v>62.893799999999999</c:v>
                </c:pt>
                <c:pt idx="101">
                  <c:v>62.4039</c:v>
                </c:pt>
                <c:pt idx="102">
                  <c:v>61.754600000000003</c:v>
                </c:pt>
                <c:pt idx="103">
                  <c:v>61.173100000000005</c:v>
                </c:pt>
                <c:pt idx="104">
                  <c:v>60.628300000000003</c:v>
                </c:pt>
                <c:pt idx="105">
                  <c:v>60.139800000000001</c:v>
                </c:pt>
                <c:pt idx="106">
                  <c:v>59.707900000000002</c:v>
                </c:pt>
                <c:pt idx="107">
                  <c:v>59.226700000000001</c:v>
                </c:pt>
                <c:pt idx="108">
                  <c:v>58.609900000000003</c:v>
                </c:pt>
                <c:pt idx="109">
                  <c:v>57.931800000000003</c:v>
                </c:pt>
                <c:pt idx="110">
                  <c:v>57.079899999999995</c:v>
                </c:pt>
                <c:pt idx="111">
                  <c:v>56.264400000000002</c:v>
                </c:pt>
                <c:pt idx="112">
                  <c:v>55.527700000000003</c:v>
                </c:pt>
                <c:pt idx="113">
                  <c:v>54.901400000000002</c:v>
                </c:pt>
                <c:pt idx="114">
                  <c:v>54.307700000000004</c:v>
                </c:pt>
                <c:pt idx="115">
                  <c:v>53.802999999999997</c:v>
                </c:pt>
                <c:pt idx="116">
                  <c:v>53.360199999999999</c:v>
                </c:pt>
                <c:pt idx="117">
                  <c:v>52.884799999999998</c:v>
                </c:pt>
                <c:pt idx="118">
                  <c:v>52.354599999999998</c:v>
                </c:pt>
                <c:pt idx="119">
                  <c:v>51.920100000000005</c:v>
                </c:pt>
                <c:pt idx="120">
                  <c:v>51.4925</c:v>
                </c:pt>
                <c:pt idx="121">
                  <c:v>50.973199999999999</c:v>
                </c:pt>
                <c:pt idx="122">
                  <c:v>50.4803</c:v>
                </c:pt>
                <c:pt idx="123">
                  <c:v>49.995899999999999</c:v>
                </c:pt>
                <c:pt idx="124">
                  <c:v>49.686199999999999</c:v>
                </c:pt>
                <c:pt idx="125">
                  <c:v>49.558700000000002</c:v>
                </c:pt>
                <c:pt idx="126">
                  <c:v>49.4405</c:v>
                </c:pt>
                <c:pt idx="127">
                  <c:v>49.331199999999995</c:v>
                </c:pt>
                <c:pt idx="128">
                  <c:v>49.2179</c:v>
                </c:pt>
                <c:pt idx="129">
                  <c:v>49.080400000000004</c:v>
                </c:pt>
                <c:pt idx="130">
                  <c:v>48.920900000000003</c:v>
                </c:pt>
                <c:pt idx="131">
                  <c:v>48.761900000000004</c:v>
                </c:pt>
                <c:pt idx="132">
                  <c:v>48.615600000000001</c:v>
                </c:pt>
                <c:pt idx="133">
                  <c:v>48.498100000000001</c:v>
                </c:pt>
                <c:pt idx="134">
                  <c:v>48.382199999999997</c:v>
                </c:pt>
                <c:pt idx="135">
                  <c:v>48.282399999999996</c:v>
                </c:pt>
                <c:pt idx="136">
                  <c:v>48.179000000000002</c:v>
                </c:pt>
                <c:pt idx="137">
                  <c:v>48.076099999999997</c:v>
                </c:pt>
                <c:pt idx="138">
                  <c:v>47.956600000000002</c:v>
                </c:pt>
                <c:pt idx="139">
                  <c:v>47.8065</c:v>
                </c:pt>
                <c:pt idx="140">
                  <c:v>47.622700000000002</c:v>
                </c:pt>
                <c:pt idx="141">
                  <c:v>47.379399999999997</c:v>
                </c:pt>
                <c:pt idx="142">
                  <c:v>47.145299999999999</c:v>
                </c:pt>
                <c:pt idx="143">
                  <c:v>46.937200000000004</c:v>
                </c:pt>
                <c:pt idx="144">
                  <c:v>46.683400000000006</c:v>
                </c:pt>
                <c:pt idx="145">
                  <c:v>46.529399999999995</c:v>
                </c:pt>
                <c:pt idx="146">
                  <c:v>46.483200000000004</c:v>
                </c:pt>
                <c:pt idx="147">
                  <c:v>46.2988</c:v>
                </c:pt>
                <c:pt idx="148">
                  <c:v>46.077400000000004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0.38189000000000001</c:v>
                </c:pt>
                <c:pt idx="2">
                  <c:v>0.78580000000000005</c:v>
                </c:pt>
                <c:pt idx="3">
                  <c:v>1.1898200000000001</c:v>
                </c:pt>
                <c:pt idx="4">
                  <c:v>1.59568</c:v>
                </c:pt>
                <c:pt idx="5">
                  <c:v>2.0027300000000001</c:v>
                </c:pt>
                <c:pt idx="6">
                  <c:v>2.4095300000000002</c:v>
                </c:pt>
                <c:pt idx="7">
                  <c:v>2.8173900000000001</c:v>
                </c:pt>
                <c:pt idx="8">
                  <c:v>3.2224400000000002</c:v>
                </c:pt>
                <c:pt idx="9">
                  <c:v>3.6262599999999998</c:v>
                </c:pt>
                <c:pt idx="10">
                  <c:v>4.0362600000000004</c:v>
                </c:pt>
                <c:pt idx="11">
                  <c:v>4.4430300000000003</c:v>
                </c:pt>
                <c:pt idx="12">
                  <c:v>4.8440000000000003</c:v>
                </c:pt>
                <c:pt idx="13">
                  <c:v>5.2550299999999996</c:v>
                </c:pt>
                <c:pt idx="14">
                  <c:v>5.6588599999999998</c:v>
                </c:pt>
                <c:pt idx="15">
                  <c:v>6.0639700000000003</c:v>
                </c:pt>
                <c:pt idx="16">
                  <c:v>6.4707299999999996</c:v>
                </c:pt>
                <c:pt idx="17">
                  <c:v>6.87852</c:v>
                </c:pt>
                <c:pt idx="18">
                  <c:v>7.2844100000000003</c:v>
                </c:pt>
                <c:pt idx="19">
                  <c:v>7.6893599999999998</c:v>
                </c:pt>
                <c:pt idx="20">
                  <c:v>8.0957399999999993</c:v>
                </c:pt>
                <c:pt idx="21">
                  <c:v>8.5021900000000006</c:v>
                </c:pt>
                <c:pt idx="22">
                  <c:v>8.9121600000000001</c:v>
                </c:pt>
                <c:pt idx="23">
                  <c:v>9.3170599999999997</c:v>
                </c:pt>
                <c:pt idx="24">
                  <c:v>9.7212800000000001</c:v>
                </c:pt>
                <c:pt idx="25">
                  <c:v>10.126799999999999</c:v>
                </c:pt>
                <c:pt idx="26">
                  <c:v>10.5328</c:v>
                </c:pt>
                <c:pt idx="27">
                  <c:v>10.941700000000001</c:v>
                </c:pt>
                <c:pt idx="28">
                  <c:v>11.348599999999999</c:v>
                </c:pt>
                <c:pt idx="29">
                  <c:v>11.7525</c:v>
                </c:pt>
                <c:pt idx="30">
                  <c:v>12.1584</c:v>
                </c:pt>
                <c:pt idx="31">
                  <c:v>12.565300000000001</c:v>
                </c:pt>
                <c:pt idx="32">
                  <c:v>12.969200000000001</c:v>
                </c:pt>
                <c:pt idx="33">
                  <c:v>13.3741</c:v>
                </c:pt>
                <c:pt idx="34">
                  <c:v>13.786</c:v>
                </c:pt>
                <c:pt idx="35">
                  <c:v>14.193</c:v>
                </c:pt>
                <c:pt idx="36">
                  <c:v>14.5968</c:v>
                </c:pt>
                <c:pt idx="37">
                  <c:v>15.002700000000001</c:v>
                </c:pt>
                <c:pt idx="38">
                  <c:v>15.407999999999999</c:v>
                </c:pt>
                <c:pt idx="39">
                  <c:v>15.813800000000001</c:v>
                </c:pt>
                <c:pt idx="40">
                  <c:v>16.224599999999999</c:v>
                </c:pt>
                <c:pt idx="41">
                  <c:v>16.627400000000002</c:v>
                </c:pt>
                <c:pt idx="42">
                  <c:v>17.035399999999999</c:v>
                </c:pt>
                <c:pt idx="43">
                  <c:v>17.4405</c:v>
                </c:pt>
                <c:pt idx="44">
                  <c:v>17.845199999999998</c:v>
                </c:pt>
                <c:pt idx="45">
                  <c:v>18.2531</c:v>
                </c:pt>
                <c:pt idx="46">
                  <c:v>18.658999999999999</c:v>
                </c:pt>
                <c:pt idx="47">
                  <c:v>19.064900000000002</c:v>
                </c:pt>
                <c:pt idx="48">
                  <c:v>19.469899999999999</c:v>
                </c:pt>
                <c:pt idx="49">
                  <c:v>19.878799999999998</c:v>
                </c:pt>
                <c:pt idx="50">
                  <c:v>20.285699999999999</c:v>
                </c:pt>
                <c:pt idx="51">
                  <c:v>20.687999999999999</c:v>
                </c:pt>
                <c:pt idx="52">
                  <c:v>21.096499999999999</c:v>
                </c:pt>
                <c:pt idx="53">
                  <c:v>21.502400000000002</c:v>
                </c:pt>
                <c:pt idx="54">
                  <c:v>21.9084</c:v>
                </c:pt>
                <c:pt idx="55">
                  <c:v>22.3172</c:v>
                </c:pt>
                <c:pt idx="56">
                  <c:v>22.7241</c:v>
                </c:pt>
                <c:pt idx="57">
                  <c:v>23.127099999999999</c:v>
                </c:pt>
                <c:pt idx="58">
                  <c:v>23.535</c:v>
                </c:pt>
                <c:pt idx="59">
                  <c:v>23.9419</c:v>
                </c:pt>
                <c:pt idx="60">
                  <c:v>24.344799999999999</c:v>
                </c:pt>
                <c:pt idx="61">
                  <c:v>24.755800000000001</c:v>
                </c:pt>
                <c:pt idx="62">
                  <c:v>25.1587</c:v>
                </c:pt>
                <c:pt idx="63">
                  <c:v>25.563700000000001</c:v>
                </c:pt>
                <c:pt idx="64">
                  <c:v>25.9709</c:v>
                </c:pt>
                <c:pt idx="65">
                  <c:v>26.379300000000001</c:v>
                </c:pt>
                <c:pt idx="66">
                  <c:v>26.786300000000001</c:v>
                </c:pt>
                <c:pt idx="67">
                  <c:v>27.191299999999998</c:v>
                </c:pt>
                <c:pt idx="68">
                  <c:v>27.594100000000001</c:v>
                </c:pt>
                <c:pt idx="69">
                  <c:v>28.002500000000001</c:v>
                </c:pt>
                <c:pt idx="70">
                  <c:v>28.410900000000002</c:v>
                </c:pt>
                <c:pt idx="71">
                  <c:v>28.8169</c:v>
                </c:pt>
                <c:pt idx="72">
                  <c:v>29.221900000000002</c:v>
                </c:pt>
                <c:pt idx="73">
                  <c:v>29.6267</c:v>
                </c:pt>
                <c:pt idx="74">
                  <c:v>30.0366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69.485399999999998</c:v>
                </c:pt>
                <c:pt idx="1">
                  <c:v>68.548100000000005</c:v>
                </c:pt>
                <c:pt idx="2">
                  <c:v>67.587100000000007</c:v>
                </c:pt>
                <c:pt idx="3">
                  <c:v>66.561099999999996</c:v>
                </c:pt>
                <c:pt idx="4">
                  <c:v>65.472699999999989</c:v>
                </c:pt>
                <c:pt idx="5">
                  <c:v>64.407200000000003</c:v>
                </c:pt>
                <c:pt idx="6">
                  <c:v>63.343199999999996</c:v>
                </c:pt>
                <c:pt idx="7">
                  <c:v>62.246299999999998</c:v>
                </c:pt>
                <c:pt idx="8">
                  <c:v>61.102699999999999</c:v>
                </c:pt>
                <c:pt idx="9">
                  <c:v>59.986399999999996</c:v>
                </c:pt>
                <c:pt idx="10">
                  <c:v>58.908899999999996</c:v>
                </c:pt>
                <c:pt idx="11">
                  <c:v>57.889400000000002</c:v>
                </c:pt>
                <c:pt idx="12">
                  <c:v>56.946600000000004</c:v>
                </c:pt>
                <c:pt idx="13">
                  <c:v>56.0867</c:v>
                </c:pt>
                <c:pt idx="14">
                  <c:v>55.332400000000007</c:v>
                </c:pt>
                <c:pt idx="15">
                  <c:v>54.629799999999996</c:v>
                </c:pt>
                <c:pt idx="16">
                  <c:v>53.845600000000005</c:v>
                </c:pt>
                <c:pt idx="17">
                  <c:v>53.061999999999998</c:v>
                </c:pt>
                <c:pt idx="18">
                  <c:v>52.319000000000003</c:v>
                </c:pt>
                <c:pt idx="19">
                  <c:v>51.683199999999999</c:v>
                </c:pt>
                <c:pt idx="20">
                  <c:v>51.0505</c:v>
                </c:pt>
                <c:pt idx="21">
                  <c:v>50.510600000000004</c:v>
                </c:pt>
                <c:pt idx="22">
                  <c:v>50.100100000000005</c:v>
                </c:pt>
                <c:pt idx="23">
                  <c:v>49.8322</c:v>
                </c:pt>
                <c:pt idx="24">
                  <c:v>49.525700000000001</c:v>
                </c:pt>
                <c:pt idx="25">
                  <c:v>49.259599999999999</c:v>
                </c:pt>
                <c:pt idx="26">
                  <c:v>49.067100000000003</c:v>
                </c:pt>
                <c:pt idx="27">
                  <c:v>48.936</c:v>
                </c:pt>
                <c:pt idx="28">
                  <c:v>48.747800000000005</c:v>
                </c:pt>
                <c:pt idx="29">
                  <c:v>48.542900000000003</c:v>
                </c:pt>
                <c:pt idx="30">
                  <c:v>48.357099999999996</c:v>
                </c:pt>
                <c:pt idx="31">
                  <c:v>48.2194</c:v>
                </c:pt>
                <c:pt idx="32">
                  <c:v>48.0839</c:v>
                </c:pt>
                <c:pt idx="33">
                  <c:v>47.881099999999996</c:v>
                </c:pt>
                <c:pt idx="34">
                  <c:v>47.686299999999996</c:v>
                </c:pt>
                <c:pt idx="35">
                  <c:v>47.539900000000003</c:v>
                </c:pt>
                <c:pt idx="36">
                  <c:v>47.440800000000003</c:v>
                </c:pt>
                <c:pt idx="37">
                  <c:v>47.328900000000004</c:v>
                </c:pt>
                <c:pt idx="38">
                  <c:v>47.223599999999998</c:v>
                </c:pt>
                <c:pt idx="39">
                  <c:v>47.107199999999999</c:v>
                </c:pt>
                <c:pt idx="40">
                  <c:v>46.988900000000001</c:v>
                </c:pt>
                <c:pt idx="41">
                  <c:v>46.9343</c:v>
                </c:pt>
                <c:pt idx="42">
                  <c:v>46.841500000000003</c:v>
                </c:pt>
                <c:pt idx="43">
                  <c:v>46.762700000000002</c:v>
                </c:pt>
                <c:pt idx="44">
                  <c:v>46.649299999999997</c:v>
                </c:pt>
                <c:pt idx="45">
                  <c:v>46.5852</c:v>
                </c:pt>
                <c:pt idx="46">
                  <c:v>46.583799999999997</c:v>
                </c:pt>
                <c:pt idx="47">
                  <c:v>46.555</c:v>
                </c:pt>
                <c:pt idx="48">
                  <c:v>46.479500000000002</c:v>
                </c:pt>
                <c:pt idx="49">
                  <c:v>46.404200000000003</c:v>
                </c:pt>
                <c:pt idx="50">
                  <c:v>46.350999999999999</c:v>
                </c:pt>
                <c:pt idx="51">
                  <c:v>46.216799999999999</c:v>
                </c:pt>
                <c:pt idx="52">
                  <c:v>46.0426</c:v>
                </c:pt>
                <c:pt idx="53">
                  <c:v>45.883200000000002</c:v>
                </c:pt>
                <c:pt idx="54">
                  <c:v>45.7117</c:v>
                </c:pt>
                <c:pt idx="55">
                  <c:v>45.463200000000001</c:v>
                </c:pt>
                <c:pt idx="56">
                  <c:v>45.279799999999994</c:v>
                </c:pt>
                <c:pt idx="57">
                  <c:v>45.140500000000003</c:v>
                </c:pt>
                <c:pt idx="58">
                  <c:v>45.273400000000002</c:v>
                </c:pt>
                <c:pt idx="59">
                  <c:v>45.4908</c:v>
                </c:pt>
                <c:pt idx="60">
                  <c:v>45.582099999999997</c:v>
                </c:pt>
                <c:pt idx="61">
                  <c:v>45.847799999999999</c:v>
                </c:pt>
                <c:pt idx="62">
                  <c:v>45.954499999999996</c:v>
                </c:pt>
                <c:pt idx="63">
                  <c:v>46.210999999999999</c:v>
                </c:pt>
                <c:pt idx="64">
                  <c:v>46.503799999999998</c:v>
                </c:pt>
                <c:pt idx="65">
                  <c:v>46.816299999999998</c:v>
                </c:pt>
                <c:pt idx="66">
                  <c:v>47.2849</c:v>
                </c:pt>
                <c:pt idx="67">
                  <c:v>47.689</c:v>
                </c:pt>
                <c:pt idx="68">
                  <c:v>48.012700000000002</c:v>
                </c:pt>
                <c:pt idx="69">
                  <c:v>48.683999999999997</c:v>
                </c:pt>
                <c:pt idx="70">
                  <c:v>49.1539</c:v>
                </c:pt>
                <c:pt idx="71">
                  <c:v>49.640599999999999</c:v>
                </c:pt>
                <c:pt idx="72">
                  <c:v>50.0749</c:v>
                </c:pt>
                <c:pt idx="73">
                  <c:v>50.517000000000003</c:v>
                </c:pt>
                <c:pt idx="74">
                  <c:v>50.955600000000004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30.0366</c:v>
                </c:pt>
                <c:pt idx="1">
                  <c:v>30.612200000000001</c:v>
                </c:pt>
                <c:pt idx="2">
                  <c:v>30.989100000000001</c:v>
                </c:pt>
                <c:pt idx="3">
                  <c:v>31.363099999999999</c:v>
                </c:pt>
                <c:pt idx="4">
                  <c:v>31.741099999999999</c:v>
                </c:pt>
                <c:pt idx="5">
                  <c:v>32.112099999999998</c:v>
                </c:pt>
                <c:pt idx="6">
                  <c:v>32.518000000000001</c:v>
                </c:pt>
                <c:pt idx="7">
                  <c:v>32.923000000000002</c:v>
                </c:pt>
                <c:pt idx="8">
                  <c:v>33.33</c:v>
                </c:pt>
                <c:pt idx="9">
                  <c:v>33.738700000000001</c:v>
                </c:pt>
                <c:pt idx="10">
                  <c:v>34.140700000000002</c:v>
                </c:pt>
                <c:pt idx="11">
                  <c:v>34.551600000000001</c:v>
                </c:pt>
                <c:pt idx="12">
                  <c:v>34.954700000000003</c:v>
                </c:pt>
                <c:pt idx="13">
                  <c:v>35.361400000000003</c:v>
                </c:pt>
                <c:pt idx="14">
                  <c:v>35.767299999999999</c:v>
                </c:pt>
                <c:pt idx="15">
                  <c:v>36.1723</c:v>
                </c:pt>
                <c:pt idx="16">
                  <c:v>36.5792</c:v>
                </c:pt>
                <c:pt idx="17">
                  <c:v>36.989100000000001</c:v>
                </c:pt>
                <c:pt idx="18">
                  <c:v>37.394100000000002</c:v>
                </c:pt>
                <c:pt idx="19">
                  <c:v>37.798900000000003</c:v>
                </c:pt>
                <c:pt idx="20">
                  <c:v>38.205800000000004</c:v>
                </c:pt>
                <c:pt idx="21">
                  <c:v>38.609900000000003</c:v>
                </c:pt>
                <c:pt idx="22">
                  <c:v>39.0167</c:v>
                </c:pt>
                <c:pt idx="23">
                  <c:v>39.424599999999998</c:v>
                </c:pt>
                <c:pt idx="24">
                  <c:v>39.8324</c:v>
                </c:pt>
                <c:pt idx="25">
                  <c:v>40.235300000000002</c:v>
                </c:pt>
                <c:pt idx="26">
                  <c:v>40.641500000000001</c:v>
                </c:pt>
                <c:pt idx="27">
                  <c:v>41.050199999999997</c:v>
                </c:pt>
                <c:pt idx="28">
                  <c:v>41.456099999999999</c:v>
                </c:pt>
                <c:pt idx="29">
                  <c:v>41.862099999999998</c:v>
                </c:pt>
                <c:pt idx="30">
                  <c:v>42.268000000000001</c:v>
                </c:pt>
                <c:pt idx="31">
                  <c:v>42.672899999999998</c:v>
                </c:pt>
                <c:pt idx="32">
                  <c:v>43.0839</c:v>
                </c:pt>
                <c:pt idx="33">
                  <c:v>43.488199999999999</c:v>
                </c:pt>
                <c:pt idx="34">
                  <c:v>43.896599999999999</c:v>
                </c:pt>
                <c:pt idx="35">
                  <c:v>44.298499999999997</c:v>
                </c:pt>
                <c:pt idx="36">
                  <c:v>44.704799999999999</c:v>
                </c:pt>
                <c:pt idx="37">
                  <c:v>45.111400000000003</c:v>
                </c:pt>
                <c:pt idx="38">
                  <c:v>45.519300000000001</c:v>
                </c:pt>
                <c:pt idx="39">
                  <c:v>45.926099999999998</c:v>
                </c:pt>
                <c:pt idx="40">
                  <c:v>46.331000000000003</c:v>
                </c:pt>
                <c:pt idx="41">
                  <c:v>46.737200000000001</c:v>
                </c:pt>
                <c:pt idx="42">
                  <c:v>47.140799999999999</c:v>
                </c:pt>
                <c:pt idx="43">
                  <c:v>47.550800000000002</c:v>
                </c:pt>
                <c:pt idx="44">
                  <c:v>47.957700000000003</c:v>
                </c:pt>
                <c:pt idx="45">
                  <c:v>48.360700000000001</c:v>
                </c:pt>
                <c:pt idx="46">
                  <c:v>48.767899999999997</c:v>
                </c:pt>
                <c:pt idx="47">
                  <c:v>49.174500000000002</c:v>
                </c:pt>
                <c:pt idx="48">
                  <c:v>49.5794</c:v>
                </c:pt>
                <c:pt idx="49">
                  <c:v>49.9893</c:v>
                </c:pt>
                <c:pt idx="50">
                  <c:v>50.392299999999999</c:v>
                </c:pt>
                <c:pt idx="51">
                  <c:v>50.798099999999998</c:v>
                </c:pt>
                <c:pt idx="52">
                  <c:v>51.207999999999998</c:v>
                </c:pt>
                <c:pt idx="53">
                  <c:v>51.610999999999997</c:v>
                </c:pt>
                <c:pt idx="54">
                  <c:v>52.017899999999997</c:v>
                </c:pt>
                <c:pt idx="55">
                  <c:v>52.422800000000002</c:v>
                </c:pt>
                <c:pt idx="56">
                  <c:v>52.828699999999998</c:v>
                </c:pt>
                <c:pt idx="57">
                  <c:v>53.235700000000001</c:v>
                </c:pt>
                <c:pt idx="58">
                  <c:v>53.646500000000003</c:v>
                </c:pt>
                <c:pt idx="59">
                  <c:v>54.052399999999999</c:v>
                </c:pt>
                <c:pt idx="60">
                  <c:v>54.4574</c:v>
                </c:pt>
                <c:pt idx="61">
                  <c:v>54.859200000000001</c:v>
                </c:pt>
                <c:pt idx="62">
                  <c:v>55.269100000000002</c:v>
                </c:pt>
                <c:pt idx="63">
                  <c:v>55.678100000000001</c:v>
                </c:pt>
                <c:pt idx="64">
                  <c:v>56.082099999999997</c:v>
                </c:pt>
                <c:pt idx="65">
                  <c:v>56.486899999999999</c:v>
                </c:pt>
                <c:pt idx="66">
                  <c:v>56.8919</c:v>
                </c:pt>
                <c:pt idx="67">
                  <c:v>57.299799999999998</c:v>
                </c:pt>
                <c:pt idx="68">
                  <c:v>57.707599999999999</c:v>
                </c:pt>
                <c:pt idx="69">
                  <c:v>58.114600000000003</c:v>
                </c:pt>
                <c:pt idx="70">
                  <c:v>58.5184</c:v>
                </c:pt>
                <c:pt idx="71">
                  <c:v>58.923499999999997</c:v>
                </c:pt>
                <c:pt idx="72">
                  <c:v>59.3307</c:v>
                </c:pt>
                <c:pt idx="73">
                  <c:v>59.739199999999997</c:v>
                </c:pt>
                <c:pt idx="74">
                  <c:v>60.145099999999999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50.955600000000004</c:v>
                </c:pt>
                <c:pt idx="1">
                  <c:v>51.443399999999997</c:v>
                </c:pt>
                <c:pt idx="2">
                  <c:v>51.974399999999996</c:v>
                </c:pt>
                <c:pt idx="3">
                  <c:v>52.512700000000002</c:v>
                </c:pt>
                <c:pt idx="4">
                  <c:v>53.091000000000001</c:v>
                </c:pt>
                <c:pt idx="5">
                  <c:v>53.763399999999997</c:v>
                </c:pt>
                <c:pt idx="6">
                  <c:v>54.474000000000004</c:v>
                </c:pt>
                <c:pt idx="7">
                  <c:v>55.169599999999996</c:v>
                </c:pt>
                <c:pt idx="8">
                  <c:v>55.818400000000004</c:v>
                </c:pt>
                <c:pt idx="9">
                  <c:v>56.368899999999996</c:v>
                </c:pt>
                <c:pt idx="10">
                  <c:v>56.901999999999994</c:v>
                </c:pt>
                <c:pt idx="11">
                  <c:v>57.344999999999999</c:v>
                </c:pt>
                <c:pt idx="12">
                  <c:v>57.753299999999996</c:v>
                </c:pt>
                <c:pt idx="13">
                  <c:v>58.181899999999999</c:v>
                </c:pt>
                <c:pt idx="14">
                  <c:v>58.717100000000002</c:v>
                </c:pt>
                <c:pt idx="15">
                  <c:v>59.293600000000005</c:v>
                </c:pt>
                <c:pt idx="16">
                  <c:v>59.8521</c:v>
                </c:pt>
                <c:pt idx="17">
                  <c:v>60.443800000000003</c:v>
                </c:pt>
                <c:pt idx="18">
                  <c:v>61.031700000000001</c:v>
                </c:pt>
                <c:pt idx="19">
                  <c:v>61.695299999999996</c:v>
                </c:pt>
                <c:pt idx="20">
                  <c:v>62.2834</c:v>
                </c:pt>
                <c:pt idx="21">
                  <c:v>62.807000000000002</c:v>
                </c:pt>
                <c:pt idx="22">
                  <c:v>63.222699999999996</c:v>
                </c:pt>
                <c:pt idx="23">
                  <c:v>63.494900000000001</c:v>
                </c:pt>
                <c:pt idx="24">
                  <c:v>63.5398</c:v>
                </c:pt>
                <c:pt idx="25">
                  <c:v>63.320600000000006</c:v>
                </c:pt>
                <c:pt idx="26">
                  <c:v>62.893799999999999</c:v>
                </c:pt>
                <c:pt idx="27">
                  <c:v>62.4039</c:v>
                </c:pt>
                <c:pt idx="28">
                  <c:v>61.754600000000003</c:v>
                </c:pt>
                <c:pt idx="29">
                  <c:v>61.173100000000005</c:v>
                </c:pt>
                <c:pt idx="30">
                  <c:v>60.628300000000003</c:v>
                </c:pt>
                <c:pt idx="31">
                  <c:v>60.139800000000001</c:v>
                </c:pt>
                <c:pt idx="32">
                  <c:v>59.707900000000002</c:v>
                </c:pt>
                <c:pt idx="33">
                  <c:v>59.226700000000001</c:v>
                </c:pt>
                <c:pt idx="34">
                  <c:v>58.609900000000003</c:v>
                </c:pt>
                <c:pt idx="35">
                  <c:v>57.931800000000003</c:v>
                </c:pt>
                <c:pt idx="36">
                  <c:v>57.079899999999995</c:v>
                </c:pt>
                <c:pt idx="37">
                  <c:v>56.264400000000002</c:v>
                </c:pt>
                <c:pt idx="38">
                  <c:v>55.527700000000003</c:v>
                </c:pt>
                <c:pt idx="39">
                  <c:v>54.901400000000002</c:v>
                </c:pt>
                <c:pt idx="40">
                  <c:v>54.307700000000004</c:v>
                </c:pt>
                <c:pt idx="41">
                  <c:v>53.802999999999997</c:v>
                </c:pt>
                <c:pt idx="42">
                  <c:v>53.360199999999999</c:v>
                </c:pt>
                <c:pt idx="43">
                  <c:v>52.884799999999998</c:v>
                </c:pt>
                <c:pt idx="44">
                  <c:v>52.354599999999998</c:v>
                </c:pt>
                <c:pt idx="45">
                  <c:v>51.920100000000005</c:v>
                </c:pt>
                <c:pt idx="46">
                  <c:v>51.4925</c:v>
                </c:pt>
                <c:pt idx="47">
                  <c:v>50.973199999999999</c:v>
                </c:pt>
                <c:pt idx="48">
                  <c:v>50.4803</c:v>
                </c:pt>
                <c:pt idx="49">
                  <c:v>49.995899999999999</c:v>
                </c:pt>
                <c:pt idx="50">
                  <c:v>49.686199999999999</c:v>
                </c:pt>
                <c:pt idx="51">
                  <c:v>49.558700000000002</c:v>
                </c:pt>
                <c:pt idx="52">
                  <c:v>49.4405</c:v>
                </c:pt>
                <c:pt idx="53">
                  <c:v>49.331199999999995</c:v>
                </c:pt>
                <c:pt idx="54">
                  <c:v>49.2179</c:v>
                </c:pt>
                <c:pt idx="55">
                  <c:v>49.080400000000004</c:v>
                </c:pt>
                <c:pt idx="56">
                  <c:v>48.920900000000003</c:v>
                </c:pt>
                <c:pt idx="57">
                  <c:v>48.761900000000004</c:v>
                </c:pt>
                <c:pt idx="58">
                  <c:v>48.615600000000001</c:v>
                </c:pt>
                <c:pt idx="59">
                  <c:v>48.498100000000001</c:v>
                </c:pt>
                <c:pt idx="60">
                  <c:v>48.382199999999997</c:v>
                </c:pt>
                <c:pt idx="61">
                  <c:v>48.282399999999996</c:v>
                </c:pt>
                <c:pt idx="62">
                  <c:v>48.179000000000002</c:v>
                </c:pt>
                <c:pt idx="63">
                  <c:v>48.076099999999997</c:v>
                </c:pt>
                <c:pt idx="64">
                  <c:v>47.956600000000002</c:v>
                </c:pt>
                <c:pt idx="65">
                  <c:v>47.8065</c:v>
                </c:pt>
                <c:pt idx="66">
                  <c:v>47.622700000000002</c:v>
                </c:pt>
                <c:pt idx="67">
                  <c:v>47.379399999999997</c:v>
                </c:pt>
                <c:pt idx="68">
                  <c:v>47.145299999999999</c:v>
                </c:pt>
                <c:pt idx="69">
                  <c:v>46.937200000000004</c:v>
                </c:pt>
                <c:pt idx="70">
                  <c:v>46.683400000000006</c:v>
                </c:pt>
                <c:pt idx="71">
                  <c:v>46.529399999999995</c:v>
                </c:pt>
                <c:pt idx="72">
                  <c:v>46.483200000000004</c:v>
                </c:pt>
                <c:pt idx="73">
                  <c:v>46.2988</c:v>
                </c:pt>
                <c:pt idx="74">
                  <c:v>46.077400000000004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15.036275</c:v>
                </c:pt>
                <c:pt idx="1">
                  <c:v>45.108824999999996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50.858032432432445</c:v>
                </c:pt>
                <c:pt idx="1">
                  <c:v>54.191144594594597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1.1651899999999999</c:v>
                </c:pt>
                <c:pt idx="1">
                  <c:v>1.1944399999999999</c:v>
                </c:pt>
                <c:pt idx="2">
                  <c:v>1.2242899999999999</c:v>
                </c:pt>
                <c:pt idx="3">
                  <c:v>1.2573599999999998</c:v>
                </c:pt>
                <c:pt idx="4">
                  <c:v>1.29366</c:v>
                </c:pt>
                <c:pt idx="5">
                  <c:v>1.3289500000000001</c:v>
                </c:pt>
                <c:pt idx="6">
                  <c:v>1.3648400000000001</c:v>
                </c:pt>
                <c:pt idx="7">
                  <c:v>1.3997000000000002</c:v>
                </c:pt>
                <c:pt idx="8">
                  <c:v>1.4358399999999998</c:v>
                </c:pt>
                <c:pt idx="9">
                  <c:v>1.47234</c:v>
                </c:pt>
                <c:pt idx="10">
                  <c:v>1.5096599999999998</c:v>
                </c:pt>
                <c:pt idx="11">
                  <c:v>1.5469200000000001</c:v>
                </c:pt>
                <c:pt idx="12">
                  <c:v>1.5828600000000002</c:v>
                </c:pt>
                <c:pt idx="13">
                  <c:v>1.6177299999999999</c:v>
                </c:pt>
                <c:pt idx="14">
                  <c:v>1.6513</c:v>
                </c:pt>
                <c:pt idx="15">
                  <c:v>1.6853499999999999</c:v>
                </c:pt>
                <c:pt idx="16">
                  <c:v>1.7216100000000001</c:v>
                </c:pt>
                <c:pt idx="17">
                  <c:v>1.75963</c:v>
                </c:pt>
                <c:pt idx="18">
                  <c:v>1.7971500000000002</c:v>
                </c:pt>
                <c:pt idx="19">
                  <c:v>1.8325100000000001</c:v>
                </c:pt>
                <c:pt idx="20">
                  <c:v>1.8677999999999999</c:v>
                </c:pt>
                <c:pt idx="21">
                  <c:v>1.9020899999999998</c:v>
                </c:pt>
                <c:pt idx="22">
                  <c:v>1.93462</c:v>
                </c:pt>
                <c:pt idx="23">
                  <c:v>1.9634399999999999</c:v>
                </c:pt>
                <c:pt idx="24">
                  <c:v>1.9927900000000001</c:v>
                </c:pt>
                <c:pt idx="25">
                  <c:v>2.02169</c:v>
                </c:pt>
                <c:pt idx="26">
                  <c:v>2.0490900000000001</c:v>
                </c:pt>
                <c:pt idx="27">
                  <c:v>2.0750099999999998</c:v>
                </c:pt>
                <c:pt idx="28">
                  <c:v>2.1007600000000002</c:v>
                </c:pt>
                <c:pt idx="29">
                  <c:v>2.1252299999999997</c:v>
                </c:pt>
                <c:pt idx="30">
                  <c:v>2.1486999999999998</c:v>
                </c:pt>
                <c:pt idx="31">
                  <c:v>2.1703700000000001</c:v>
                </c:pt>
                <c:pt idx="32">
                  <c:v>2.1902599999999999</c:v>
                </c:pt>
                <c:pt idx="33">
                  <c:v>2.2104599999999999</c:v>
                </c:pt>
                <c:pt idx="34">
                  <c:v>2.2312000000000003</c:v>
                </c:pt>
                <c:pt idx="35">
                  <c:v>2.25047</c:v>
                </c:pt>
                <c:pt idx="36">
                  <c:v>2.2674099999999999</c:v>
                </c:pt>
                <c:pt idx="37">
                  <c:v>2.28424</c:v>
                </c:pt>
                <c:pt idx="38">
                  <c:v>2.3008999999999999</c:v>
                </c:pt>
                <c:pt idx="39">
                  <c:v>2.3176899999999998</c:v>
                </c:pt>
                <c:pt idx="40">
                  <c:v>2.3327400000000003</c:v>
                </c:pt>
                <c:pt idx="41">
                  <c:v>2.3444799999999999</c:v>
                </c:pt>
                <c:pt idx="42">
                  <c:v>2.3546200000000002</c:v>
                </c:pt>
                <c:pt idx="43">
                  <c:v>2.36341</c:v>
                </c:pt>
                <c:pt idx="44">
                  <c:v>2.3729900000000002</c:v>
                </c:pt>
                <c:pt idx="45">
                  <c:v>2.3811200000000001</c:v>
                </c:pt>
                <c:pt idx="46">
                  <c:v>2.3853800000000001</c:v>
                </c:pt>
                <c:pt idx="47">
                  <c:v>2.3882700000000003</c:v>
                </c:pt>
                <c:pt idx="48">
                  <c:v>2.3898000000000001</c:v>
                </c:pt>
                <c:pt idx="49">
                  <c:v>2.3894199999999999</c:v>
                </c:pt>
                <c:pt idx="50">
                  <c:v>2.3906399999999999</c:v>
                </c:pt>
                <c:pt idx="51">
                  <c:v>2.3900999999999999</c:v>
                </c:pt>
                <c:pt idx="52">
                  <c:v>2.3892600000000002</c:v>
                </c:pt>
                <c:pt idx="53">
                  <c:v>2.3859900000000001</c:v>
                </c:pt>
                <c:pt idx="54">
                  <c:v>2.3809300000000002</c:v>
                </c:pt>
                <c:pt idx="55">
                  <c:v>2.37134</c:v>
                </c:pt>
                <c:pt idx="56">
                  <c:v>2.3649500000000003</c:v>
                </c:pt>
                <c:pt idx="57">
                  <c:v>2.36151</c:v>
                </c:pt>
                <c:pt idx="58">
                  <c:v>2.3465600000000002</c:v>
                </c:pt>
                <c:pt idx="59">
                  <c:v>2.3321100000000001</c:v>
                </c:pt>
                <c:pt idx="60">
                  <c:v>2.3212700000000002</c:v>
                </c:pt>
                <c:pt idx="61">
                  <c:v>2.2976700000000001</c:v>
                </c:pt>
                <c:pt idx="62">
                  <c:v>2.2847600000000003</c:v>
                </c:pt>
                <c:pt idx="63">
                  <c:v>2.26484</c:v>
                </c:pt>
                <c:pt idx="64">
                  <c:v>2.24464</c:v>
                </c:pt>
                <c:pt idx="65">
                  <c:v>2.2224599999999999</c:v>
                </c:pt>
                <c:pt idx="66">
                  <c:v>2.1942900000000001</c:v>
                </c:pt>
                <c:pt idx="67">
                  <c:v>2.1685599999999998</c:v>
                </c:pt>
                <c:pt idx="68">
                  <c:v>2.1491400000000001</c:v>
                </c:pt>
                <c:pt idx="69">
                  <c:v>2.1147399999999998</c:v>
                </c:pt>
                <c:pt idx="70">
                  <c:v>2.0925799999999999</c:v>
                </c:pt>
                <c:pt idx="71">
                  <c:v>2.0670799999999998</c:v>
                </c:pt>
                <c:pt idx="72">
                  <c:v>2.0403599999999997</c:v>
                </c:pt>
                <c:pt idx="73">
                  <c:v>2.0076399999999999</c:v>
                </c:pt>
                <c:pt idx="74">
                  <c:v>1.9812699999999999</c:v>
                </c:pt>
                <c:pt idx="75">
                  <c:v>1.9530800000000001</c:v>
                </c:pt>
                <c:pt idx="76">
                  <c:v>1.9231799999999999</c:v>
                </c:pt>
                <c:pt idx="77">
                  <c:v>1.89246</c:v>
                </c:pt>
                <c:pt idx="78">
                  <c:v>1.86202</c:v>
                </c:pt>
                <c:pt idx="79">
                  <c:v>1.83182</c:v>
                </c:pt>
                <c:pt idx="80">
                  <c:v>1.8021699999999998</c:v>
                </c:pt>
                <c:pt idx="81">
                  <c:v>1.7738499999999999</c:v>
                </c:pt>
                <c:pt idx="82">
                  <c:v>1.74675</c:v>
                </c:pt>
                <c:pt idx="83">
                  <c:v>1.7114099999999999</c:v>
                </c:pt>
                <c:pt idx="84">
                  <c:v>1.6750399999999999</c:v>
                </c:pt>
                <c:pt idx="85">
                  <c:v>1.6414899999999999</c:v>
                </c:pt>
                <c:pt idx="86">
                  <c:v>1.6083800000000001</c:v>
                </c:pt>
                <c:pt idx="87">
                  <c:v>1.5748899999999999</c:v>
                </c:pt>
                <c:pt idx="88">
                  <c:v>1.53939</c:v>
                </c:pt>
                <c:pt idx="89">
                  <c:v>1.5049699999999999</c:v>
                </c:pt>
                <c:pt idx="90">
                  <c:v>1.4730599999999998</c:v>
                </c:pt>
                <c:pt idx="91">
                  <c:v>1.4423300000000001</c:v>
                </c:pt>
                <c:pt idx="92">
                  <c:v>1.4139299999999999</c:v>
                </c:pt>
                <c:pt idx="93">
                  <c:v>1.3853499999999999</c:v>
                </c:pt>
                <c:pt idx="94">
                  <c:v>1.3590599999999999</c:v>
                </c:pt>
                <c:pt idx="95">
                  <c:v>1.3348399999999998</c:v>
                </c:pt>
                <c:pt idx="96">
                  <c:v>1.3165499999999999</c:v>
                </c:pt>
                <c:pt idx="97">
                  <c:v>1.3041700000000001</c:v>
                </c:pt>
                <c:pt idx="98">
                  <c:v>1.3008900000000001</c:v>
                </c:pt>
                <c:pt idx="99">
                  <c:v>1.3048999999999999</c:v>
                </c:pt>
                <c:pt idx="100">
                  <c:v>1.3150200000000001</c:v>
                </c:pt>
                <c:pt idx="101">
                  <c:v>1.3272600000000001</c:v>
                </c:pt>
                <c:pt idx="102">
                  <c:v>1.34572</c:v>
                </c:pt>
                <c:pt idx="103">
                  <c:v>1.36429</c:v>
                </c:pt>
                <c:pt idx="104">
                  <c:v>1.3834</c:v>
                </c:pt>
                <c:pt idx="105">
                  <c:v>1.4028399999999999</c:v>
                </c:pt>
                <c:pt idx="106">
                  <c:v>1.42116</c:v>
                </c:pt>
                <c:pt idx="107">
                  <c:v>1.4412</c:v>
                </c:pt>
                <c:pt idx="108">
                  <c:v>1.4669099999999999</c:v>
                </c:pt>
                <c:pt idx="109">
                  <c:v>1.4963000000000002</c:v>
                </c:pt>
                <c:pt idx="110">
                  <c:v>1.5323100000000001</c:v>
                </c:pt>
                <c:pt idx="111">
                  <c:v>1.5712100000000002</c:v>
                </c:pt>
                <c:pt idx="112">
                  <c:v>1.61002</c:v>
                </c:pt>
                <c:pt idx="113">
                  <c:v>1.6484199999999998</c:v>
                </c:pt>
                <c:pt idx="114">
                  <c:v>1.68685</c:v>
                </c:pt>
                <c:pt idx="115">
                  <c:v>1.72255</c:v>
                </c:pt>
                <c:pt idx="116">
                  <c:v>1.7551099999999999</c:v>
                </c:pt>
                <c:pt idx="117">
                  <c:v>1.7885499999999999</c:v>
                </c:pt>
                <c:pt idx="118">
                  <c:v>1.8243400000000001</c:v>
                </c:pt>
                <c:pt idx="119">
                  <c:v>1.8567</c:v>
                </c:pt>
                <c:pt idx="120">
                  <c:v>1.8876399999999998</c:v>
                </c:pt>
                <c:pt idx="121">
                  <c:v>1.9201099999999998</c:v>
                </c:pt>
                <c:pt idx="122">
                  <c:v>1.95364</c:v>
                </c:pt>
                <c:pt idx="123">
                  <c:v>1.9839300000000002</c:v>
                </c:pt>
                <c:pt idx="124">
                  <c:v>2.0024600000000001</c:v>
                </c:pt>
                <c:pt idx="125">
                  <c:v>2.0140899999999999</c:v>
                </c:pt>
                <c:pt idx="126">
                  <c:v>2.0268600000000001</c:v>
                </c:pt>
                <c:pt idx="127">
                  <c:v>2.0402200000000001</c:v>
                </c:pt>
                <c:pt idx="128">
                  <c:v>2.0548099999999998</c:v>
                </c:pt>
                <c:pt idx="129">
                  <c:v>2.07104</c:v>
                </c:pt>
                <c:pt idx="130">
                  <c:v>2.0892200000000001</c:v>
                </c:pt>
                <c:pt idx="131">
                  <c:v>2.1083499999999997</c:v>
                </c:pt>
                <c:pt idx="132">
                  <c:v>2.12758</c:v>
                </c:pt>
                <c:pt idx="133">
                  <c:v>2.1455600000000001</c:v>
                </c:pt>
                <c:pt idx="134">
                  <c:v>2.16343</c:v>
                </c:pt>
                <c:pt idx="135">
                  <c:v>2.1773799999999999</c:v>
                </c:pt>
                <c:pt idx="136">
                  <c:v>2.1901000000000002</c:v>
                </c:pt>
                <c:pt idx="137">
                  <c:v>2.20323</c:v>
                </c:pt>
                <c:pt idx="138">
                  <c:v>2.2176100000000001</c:v>
                </c:pt>
                <c:pt idx="139">
                  <c:v>2.2301000000000002</c:v>
                </c:pt>
                <c:pt idx="140">
                  <c:v>2.2456400000000003</c:v>
                </c:pt>
                <c:pt idx="141">
                  <c:v>2.2643599999999999</c:v>
                </c:pt>
                <c:pt idx="142">
                  <c:v>2.2822899999999997</c:v>
                </c:pt>
                <c:pt idx="143">
                  <c:v>2.2948</c:v>
                </c:pt>
                <c:pt idx="144">
                  <c:v>2.3153099999999998</c:v>
                </c:pt>
                <c:pt idx="145">
                  <c:v>2.3410800000000003</c:v>
                </c:pt>
                <c:pt idx="146">
                  <c:v>2.3516900000000001</c:v>
                </c:pt>
                <c:pt idx="147">
                  <c:v>2.3553699999999997</c:v>
                </c:pt>
                <c:pt idx="148">
                  <c:v>2.3649400000000003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69.485399999999998</c:v>
                </c:pt>
                <c:pt idx="1">
                  <c:v>68.548100000000005</c:v>
                </c:pt>
                <c:pt idx="2">
                  <c:v>67.587100000000007</c:v>
                </c:pt>
                <c:pt idx="3">
                  <c:v>66.561099999999996</c:v>
                </c:pt>
                <c:pt idx="4">
                  <c:v>65.472699999999989</c:v>
                </c:pt>
                <c:pt idx="5">
                  <c:v>64.407200000000003</c:v>
                </c:pt>
                <c:pt idx="6">
                  <c:v>63.343199999999996</c:v>
                </c:pt>
                <c:pt idx="7">
                  <c:v>62.246299999999998</c:v>
                </c:pt>
                <c:pt idx="8">
                  <c:v>61.102699999999999</c:v>
                </c:pt>
                <c:pt idx="9">
                  <c:v>59.986399999999996</c:v>
                </c:pt>
                <c:pt idx="10">
                  <c:v>58.908899999999996</c:v>
                </c:pt>
                <c:pt idx="11">
                  <c:v>57.889400000000002</c:v>
                </c:pt>
                <c:pt idx="12">
                  <c:v>56.946600000000004</c:v>
                </c:pt>
                <c:pt idx="13">
                  <c:v>56.0867</c:v>
                </c:pt>
                <c:pt idx="14">
                  <c:v>55.332400000000007</c:v>
                </c:pt>
                <c:pt idx="15">
                  <c:v>54.629799999999996</c:v>
                </c:pt>
                <c:pt idx="16">
                  <c:v>53.845600000000005</c:v>
                </c:pt>
                <c:pt idx="17">
                  <c:v>53.061999999999998</c:v>
                </c:pt>
                <c:pt idx="18">
                  <c:v>52.319000000000003</c:v>
                </c:pt>
                <c:pt idx="19">
                  <c:v>51.683199999999999</c:v>
                </c:pt>
                <c:pt idx="20">
                  <c:v>51.0505</c:v>
                </c:pt>
                <c:pt idx="21">
                  <c:v>50.510600000000004</c:v>
                </c:pt>
                <c:pt idx="22">
                  <c:v>50.100100000000005</c:v>
                </c:pt>
                <c:pt idx="23">
                  <c:v>49.8322</c:v>
                </c:pt>
                <c:pt idx="24">
                  <c:v>49.525700000000001</c:v>
                </c:pt>
                <c:pt idx="25">
                  <c:v>49.259599999999999</c:v>
                </c:pt>
                <c:pt idx="26">
                  <c:v>49.067100000000003</c:v>
                </c:pt>
                <c:pt idx="27">
                  <c:v>48.936</c:v>
                </c:pt>
                <c:pt idx="28">
                  <c:v>48.747800000000005</c:v>
                </c:pt>
                <c:pt idx="29">
                  <c:v>48.542900000000003</c:v>
                </c:pt>
                <c:pt idx="30">
                  <c:v>48.357099999999996</c:v>
                </c:pt>
                <c:pt idx="31">
                  <c:v>48.2194</c:v>
                </c:pt>
                <c:pt idx="32">
                  <c:v>48.0839</c:v>
                </c:pt>
                <c:pt idx="33">
                  <c:v>47.881099999999996</c:v>
                </c:pt>
                <c:pt idx="34">
                  <c:v>47.686299999999996</c:v>
                </c:pt>
                <c:pt idx="35">
                  <c:v>47.539900000000003</c:v>
                </c:pt>
                <c:pt idx="36">
                  <c:v>47.440800000000003</c:v>
                </c:pt>
                <c:pt idx="37">
                  <c:v>47.328900000000004</c:v>
                </c:pt>
                <c:pt idx="38">
                  <c:v>47.223599999999998</c:v>
                </c:pt>
                <c:pt idx="39">
                  <c:v>47.107199999999999</c:v>
                </c:pt>
                <c:pt idx="40">
                  <c:v>46.988900000000001</c:v>
                </c:pt>
                <c:pt idx="41">
                  <c:v>46.9343</c:v>
                </c:pt>
                <c:pt idx="42">
                  <c:v>46.841500000000003</c:v>
                </c:pt>
                <c:pt idx="43">
                  <c:v>46.762700000000002</c:v>
                </c:pt>
                <c:pt idx="44">
                  <c:v>46.649299999999997</c:v>
                </c:pt>
                <c:pt idx="45">
                  <c:v>46.5852</c:v>
                </c:pt>
                <c:pt idx="46">
                  <c:v>46.583799999999997</c:v>
                </c:pt>
                <c:pt idx="47">
                  <c:v>46.555</c:v>
                </c:pt>
                <c:pt idx="48">
                  <c:v>46.479500000000002</c:v>
                </c:pt>
                <c:pt idx="49">
                  <c:v>46.404200000000003</c:v>
                </c:pt>
                <c:pt idx="50">
                  <c:v>46.350999999999999</c:v>
                </c:pt>
                <c:pt idx="51">
                  <c:v>46.216799999999999</c:v>
                </c:pt>
                <c:pt idx="52">
                  <c:v>46.0426</c:v>
                </c:pt>
                <c:pt idx="53">
                  <c:v>45.883200000000002</c:v>
                </c:pt>
                <c:pt idx="54">
                  <c:v>45.7117</c:v>
                </c:pt>
                <c:pt idx="55">
                  <c:v>45.463200000000001</c:v>
                </c:pt>
                <c:pt idx="56">
                  <c:v>45.279799999999994</c:v>
                </c:pt>
                <c:pt idx="57">
                  <c:v>45.140500000000003</c:v>
                </c:pt>
                <c:pt idx="58">
                  <c:v>45.273400000000002</c:v>
                </c:pt>
                <c:pt idx="59">
                  <c:v>45.4908</c:v>
                </c:pt>
                <c:pt idx="60">
                  <c:v>45.582099999999997</c:v>
                </c:pt>
                <c:pt idx="61">
                  <c:v>45.847799999999999</c:v>
                </c:pt>
                <c:pt idx="62">
                  <c:v>45.954499999999996</c:v>
                </c:pt>
                <c:pt idx="63">
                  <c:v>46.210999999999999</c:v>
                </c:pt>
                <c:pt idx="64">
                  <c:v>46.503799999999998</c:v>
                </c:pt>
                <c:pt idx="65">
                  <c:v>46.816299999999998</c:v>
                </c:pt>
                <c:pt idx="66">
                  <c:v>47.2849</c:v>
                </c:pt>
                <c:pt idx="67">
                  <c:v>47.689</c:v>
                </c:pt>
                <c:pt idx="68">
                  <c:v>48.012700000000002</c:v>
                </c:pt>
                <c:pt idx="69">
                  <c:v>48.683999999999997</c:v>
                </c:pt>
                <c:pt idx="70">
                  <c:v>49.1539</c:v>
                </c:pt>
                <c:pt idx="71">
                  <c:v>49.640599999999999</c:v>
                </c:pt>
                <c:pt idx="72">
                  <c:v>50.0749</c:v>
                </c:pt>
                <c:pt idx="73">
                  <c:v>50.517000000000003</c:v>
                </c:pt>
                <c:pt idx="74">
                  <c:v>50.955600000000004</c:v>
                </c:pt>
                <c:pt idx="75">
                  <c:v>51.443399999999997</c:v>
                </c:pt>
                <c:pt idx="76">
                  <c:v>51.974399999999996</c:v>
                </c:pt>
                <c:pt idx="77">
                  <c:v>52.512700000000002</c:v>
                </c:pt>
                <c:pt idx="78">
                  <c:v>53.091000000000001</c:v>
                </c:pt>
                <c:pt idx="79">
                  <c:v>53.763399999999997</c:v>
                </c:pt>
                <c:pt idx="80">
                  <c:v>54.474000000000004</c:v>
                </c:pt>
                <c:pt idx="81">
                  <c:v>55.169599999999996</c:v>
                </c:pt>
                <c:pt idx="82">
                  <c:v>55.818400000000004</c:v>
                </c:pt>
                <c:pt idx="83">
                  <c:v>56.368899999999996</c:v>
                </c:pt>
                <c:pt idx="84">
                  <c:v>56.901999999999994</c:v>
                </c:pt>
                <c:pt idx="85">
                  <c:v>57.344999999999999</c:v>
                </c:pt>
                <c:pt idx="86">
                  <c:v>57.753299999999996</c:v>
                </c:pt>
                <c:pt idx="87">
                  <c:v>58.181899999999999</c:v>
                </c:pt>
                <c:pt idx="88">
                  <c:v>58.717100000000002</c:v>
                </c:pt>
                <c:pt idx="89">
                  <c:v>59.293600000000005</c:v>
                </c:pt>
                <c:pt idx="90">
                  <c:v>59.8521</c:v>
                </c:pt>
                <c:pt idx="91">
                  <c:v>60.443800000000003</c:v>
                </c:pt>
                <c:pt idx="92">
                  <c:v>61.031700000000001</c:v>
                </c:pt>
                <c:pt idx="93">
                  <c:v>61.695299999999996</c:v>
                </c:pt>
                <c:pt idx="94">
                  <c:v>62.2834</c:v>
                </c:pt>
                <c:pt idx="95">
                  <c:v>62.807000000000002</c:v>
                </c:pt>
                <c:pt idx="96">
                  <c:v>63.222699999999996</c:v>
                </c:pt>
                <c:pt idx="97">
                  <c:v>63.494900000000001</c:v>
                </c:pt>
                <c:pt idx="98">
                  <c:v>63.5398</c:v>
                </c:pt>
                <c:pt idx="99">
                  <c:v>63.320600000000006</c:v>
                </c:pt>
                <c:pt idx="100">
                  <c:v>62.893799999999999</c:v>
                </c:pt>
                <c:pt idx="101">
                  <c:v>62.4039</c:v>
                </c:pt>
                <c:pt idx="102">
                  <c:v>61.754600000000003</c:v>
                </c:pt>
                <c:pt idx="103">
                  <c:v>61.173100000000005</c:v>
                </c:pt>
                <c:pt idx="104">
                  <c:v>60.628300000000003</c:v>
                </c:pt>
                <c:pt idx="105">
                  <c:v>60.139800000000001</c:v>
                </c:pt>
                <c:pt idx="106">
                  <c:v>59.707900000000002</c:v>
                </c:pt>
                <c:pt idx="107">
                  <c:v>59.226700000000001</c:v>
                </c:pt>
                <c:pt idx="108">
                  <c:v>58.609900000000003</c:v>
                </c:pt>
                <c:pt idx="109">
                  <c:v>57.931800000000003</c:v>
                </c:pt>
                <c:pt idx="110">
                  <c:v>57.079899999999995</c:v>
                </c:pt>
                <c:pt idx="111">
                  <c:v>56.264400000000002</c:v>
                </c:pt>
                <c:pt idx="112">
                  <c:v>55.527700000000003</c:v>
                </c:pt>
                <c:pt idx="113">
                  <c:v>54.901400000000002</c:v>
                </c:pt>
                <c:pt idx="114">
                  <c:v>54.307700000000004</c:v>
                </c:pt>
                <c:pt idx="115">
                  <c:v>53.802999999999997</c:v>
                </c:pt>
                <c:pt idx="116">
                  <c:v>53.360199999999999</c:v>
                </c:pt>
                <c:pt idx="117">
                  <c:v>52.884799999999998</c:v>
                </c:pt>
                <c:pt idx="118">
                  <c:v>52.354599999999998</c:v>
                </c:pt>
                <c:pt idx="119">
                  <c:v>51.920100000000005</c:v>
                </c:pt>
                <c:pt idx="120">
                  <c:v>51.4925</c:v>
                </c:pt>
                <c:pt idx="121">
                  <c:v>50.973199999999999</c:v>
                </c:pt>
                <c:pt idx="122">
                  <c:v>50.4803</c:v>
                </c:pt>
                <c:pt idx="123">
                  <c:v>49.995899999999999</c:v>
                </c:pt>
                <c:pt idx="124">
                  <c:v>49.686199999999999</c:v>
                </c:pt>
                <c:pt idx="125">
                  <c:v>49.558700000000002</c:v>
                </c:pt>
                <c:pt idx="126">
                  <c:v>49.4405</c:v>
                </c:pt>
                <c:pt idx="127">
                  <c:v>49.331199999999995</c:v>
                </c:pt>
                <c:pt idx="128">
                  <c:v>49.2179</c:v>
                </c:pt>
                <c:pt idx="129">
                  <c:v>49.080400000000004</c:v>
                </c:pt>
                <c:pt idx="130">
                  <c:v>48.920900000000003</c:v>
                </c:pt>
                <c:pt idx="131">
                  <c:v>48.761900000000004</c:v>
                </c:pt>
                <c:pt idx="132">
                  <c:v>48.615600000000001</c:v>
                </c:pt>
                <c:pt idx="133">
                  <c:v>48.498100000000001</c:v>
                </c:pt>
                <c:pt idx="134">
                  <c:v>48.382199999999997</c:v>
                </c:pt>
                <c:pt idx="135">
                  <c:v>48.282399999999996</c:v>
                </c:pt>
                <c:pt idx="136">
                  <c:v>48.179000000000002</c:v>
                </c:pt>
                <c:pt idx="137">
                  <c:v>48.076099999999997</c:v>
                </c:pt>
                <c:pt idx="138">
                  <c:v>47.956600000000002</c:v>
                </c:pt>
                <c:pt idx="139">
                  <c:v>47.8065</c:v>
                </c:pt>
                <c:pt idx="140">
                  <c:v>47.622700000000002</c:v>
                </c:pt>
                <c:pt idx="141">
                  <c:v>47.379399999999997</c:v>
                </c:pt>
                <c:pt idx="142">
                  <c:v>47.145299999999999</c:v>
                </c:pt>
                <c:pt idx="143">
                  <c:v>46.937200000000004</c:v>
                </c:pt>
                <c:pt idx="144">
                  <c:v>46.683400000000006</c:v>
                </c:pt>
                <c:pt idx="145">
                  <c:v>46.529399999999995</c:v>
                </c:pt>
                <c:pt idx="146">
                  <c:v>46.483200000000004</c:v>
                </c:pt>
                <c:pt idx="147">
                  <c:v>46.2988</c:v>
                </c:pt>
                <c:pt idx="148">
                  <c:v>46.077400000000004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1.1651899999999999</c:v>
                </c:pt>
                <c:pt idx="1">
                  <c:v>1.1944399999999999</c:v>
                </c:pt>
                <c:pt idx="2">
                  <c:v>1.2242899999999999</c:v>
                </c:pt>
                <c:pt idx="3">
                  <c:v>1.2573599999999998</c:v>
                </c:pt>
                <c:pt idx="4">
                  <c:v>1.29366</c:v>
                </c:pt>
                <c:pt idx="5">
                  <c:v>1.3289500000000001</c:v>
                </c:pt>
                <c:pt idx="6">
                  <c:v>1.3648400000000001</c:v>
                </c:pt>
                <c:pt idx="7">
                  <c:v>1.3997000000000002</c:v>
                </c:pt>
                <c:pt idx="8">
                  <c:v>1.4358399999999998</c:v>
                </c:pt>
                <c:pt idx="9">
                  <c:v>1.47234</c:v>
                </c:pt>
                <c:pt idx="10">
                  <c:v>1.5096599999999998</c:v>
                </c:pt>
                <c:pt idx="11">
                  <c:v>1.5469200000000001</c:v>
                </c:pt>
                <c:pt idx="12">
                  <c:v>1.5828600000000002</c:v>
                </c:pt>
                <c:pt idx="13">
                  <c:v>1.6177299999999999</c:v>
                </c:pt>
                <c:pt idx="14">
                  <c:v>1.6513</c:v>
                </c:pt>
                <c:pt idx="15">
                  <c:v>1.6853499999999999</c:v>
                </c:pt>
                <c:pt idx="16">
                  <c:v>1.7216100000000001</c:v>
                </c:pt>
                <c:pt idx="17">
                  <c:v>1.75963</c:v>
                </c:pt>
                <c:pt idx="18">
                  <c:v>1.7971500000000002</c:v>
                </c:pt>
                <c:pt idx="19">
                  <c:v>1.8325100000000001</c:v>
                </c:pt>
                <c:pt idx="20">
                  <c:v>1.8677999999999999</c:v>
                </c:pt>
                <c:pt idx="21">
                  <c:v>1.9020899999999998</c:v>
                </c:pt>
                <c:pt idx="22">
                  <c:v>1.93462</c:v>
                </c:pt>
                <c:pt idx="23">
                  <c:v>1.9634399999999999</c:v>
                </c:pt>
                <c:pt idx="24">
                  <c:v>1.9927900000000001</c:v>
                </c:pt>
                <c:pt idx="25">
                  <c:v>2.02169</c:v>
                </c:pt>
                <c:pt idx="26">
                  <c:v>2.0490900000000001</c:v>
                </c:pt>
                <c:pt idx="27">
                  <c:v>2.0750099999999998</c:v>
                </c:pt>
                <c:pt idx="28">
                  <c:v>2.1007600000000002</c:v>
                </c:pt>
                <c:pt idx="29">
                  <c:v>2.1252299999999997</c:v>
                </c:pt>
                <c:pt idx="30">
                  <c:v>2.1486999999999998</c:v>
                </c:pt>
                <c:pt idx="31">
                  <c:v>2.1703700000000001</c:v>
                </c:pt>
                <c:pt idx="32">
                  <c:v>2.1902599999999999</c:v>
                </c:pt>
                <c:pt idx="33">
                  <c:v>2.2104599999999999</c:v>
                </c:pt>
                <c:pt idx="34">
                  <c:v>2.2312000000000003</c:v>
                </c:pt>
                <c:pt idx="35">
                  <c:v>2.25047</c:v>
                </c:pt>
                <c:pt idx="36">
                  <c:v>2.2674099999999999</c:v>
                </c:pt>
                <c:pt idx="37">
                  <c:v>2.28424</c:v>
                </c:pt>
                <c:pt idx="38">
                  <c:v>2.3008999999999999</c:v>
                </c:pt>
                <c:pt idx="39">
                  <c:v>2.3176899999999998</c:v>
                </c:pt>
                <c:pt idx="40">
                  <c:v>2.3327400000000003</c:v>
                </c:pt>
                <c:pt idx="41">
                  <c:v>2.3444799999999999</c:v>
                </c:pt>
                <c:pt idx="42">
                  <c:v>2.3546200000000002</c:v>
                </c:pt>
                <c:pt idx="43">
                  <c:v>2.36341</c:v>
                </c:pt>
                <c:pt idx="44">
                  <c:v>2.3729900000000002</c:v>
                </c:pt>
                <c:pt idx="45">
                  <c:v>2.3811200000000001</c:v>
                </c:pt>
                <c:pt idx="46">
                  <c:v>2.3853800000000001</c:v>
                </c:pt>
                <c:pt idx="47">
                  <c:v>2.3882700000000003</c:v>
                </c:pt>
                <c:pt idx="48">
                  <c:v>2.3898000000000001</c:v>
                </c:pt>
                <c:pt idx="49">
                  <c:v>2.3894199999999999</c:v>
                </c:pt>
                <c:pt idx="50">
                  <c:v>2.3906399999999999</c:v>
                </c:pt>
                <c:pt idx="51">
                  <c:v>2.3900999999999999</c:v>
                </c:pt>
                <c:pt idx="52">
                  <c:v>2.3892600000000002</c:v>
                </c:pt>
                <c:pt idx="53">
                  <c:v>2.3859900000000001</c:v>
                </c:pt>
                <c:pt idx="54">
                  <c:v>2.3809300000000002</c:v>
                </c:pt>
                <c:pt idx="55">
                  <c:v>2.37134</c:v>
                </c:pt>
                <c:pt idx="56">
                  <c:v>2.3649500000000003</c:v>
                </c:pt>
                <c:pt idx="57">
                  <c:v>2.36151</c:v>
                </c:pt>
                <c:pt idx="58">
                  <c:v>2.3465600000000002</c:v>
                </c:pt>
                <c:pt idx="59">
                  <c:v>2.3321100000000001</c:v>
                </c:pt>
                <c:pt idx="60">
                  <c:v>2.3212700000000002</c:v>
                </c:pt>
                <c:pt idx="61">
                  <c:v>2.2976700000000001</c:v>
                </c:pt>
                <c:pt idx="62">
                  <c:v>2.2847600000000003</c:v>
                </c:pt>
                <c:pt idx="63">
                  <c:v>2.26484</c:v>
                </c:pt>
                <c:pt idx="64">
                  <c:v>2.24464</c:v>
                </c:pt>
                <c:pt idx="65">
                  <c:v>2.2224599999999999</c:v>
                </c:pt>
                <c:pt idx="66">
                  <c:v>2.1942900000000001</c:v>
                </c:pt>
                <c:pt idx="67">
                  <c:v>2.1685599999999998</c:v>
                </c:pt>
                <c:pt idx="68">
                  <c:v>2.1491400000000001</c:v>
                </c:pt>
                <c:pt idx="69">
                  <c:v>2.1147399999999998</c:v>
                </c:pt>
                <c:pt idx="70">
                  <c:v>2.0925799999999999</c:v>
                </c:pt>
                <c:pt idx="71">
                  <c:v>2.0670799999999998</c:v>
                </c:pt>
                <c:pt idx="72">
                  <c:v>2.0403599999999997</c:v>
                </c:pt>
                <c:pt idx="73">
                  <c:v>2.0076399999999999</c:v>
                </c:pt>
                <c:pt idx="74">
                  <c:v>1.9812699999999999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69.485399999999998</c:v>
                </c:pt>
                <c:pt idx="1">
                  <c:v>68.548100000000005</c:v>
                </c:pt>
                <c:pt idx="2">
                  <c:v>67.587100000000007</c:v>
                </c:pt>
                <c:pt idx="3">
                  <c:v>66.561099999999996</c:v>
                </c:pt>
                <c:pt idx="4">
                  <c:v>65.472699999999989</c:v>
                </c:pt>
                <c:pt idx="5">
                  <c:v>64.407200000000003</c:v>
                </c:pt>
                <c:pt idx="6">
                  <c:v>63.343199999999996</c:v>
                </c:pt>
                <c:pt idx="7">
                  <c:v>62.246299999999998</c:v>
                </c:pt>
                <c:pt idx="8">
                  <c:v>61.102699999999999</c:v>
                </c:pt>
                <c:pt idx="9">
                  <c:v>59.986399999999996</c:v>
                </c:pt>
                <c:pt idx="10">
                  <c:v>58.908899999999996</c:v>
                </c:pt>
                <c:pt idx="11">
                  <c:v>57.889400000000002</c:v>
                </c:pt>
                <c:pt idx="12">
                  <c:v>56.946600000000004</c:v>
                </c:pt>
                <c:pt idx="13">
                  <c:v>56.0867</c:v>
                </c:pt>
                <c:pt idx="14">
                  <c:v>55.332400000000007</c:v>
                </c:pt>
                <c:pt idx="15">
                  <c:v>54.629799999999996</c:v>
                </c:pt>
                <c:pt idx="16">
                  <c:v>53.845600000000005</c:v>
                </c:pt>
                <c:pt idx="17">
                  <c:v>53.061999999999998</c:v>
                </c:pt>
                <c:pt idx="18">
                  <c:v>52.319000000000003</c:v>
                </c:pt>
                <c:pt idx="19">
                  <c:v>51.683199999999999</c:v>
                </c:pt>
                <c:pt idx="20">
                  <c:v>51.0505</c:v>
                </c:pt>
                <c:pt idx="21">
                  <c:v>50.510600000000004</c:v>
                </c:pt>
                <c:pt idx="22">
                  <c:v>50.100100000000005</c:v>
                </c:pt>
                <c:pt idx="23">
                  <c:v>49.8322</c:v>
                </c:pt>
                <c:pt idx="24">
                  <c:v>49.525700000000001</c:v>
                </c:pt>
                <c:pt idx="25">
                  <c:v>49.259599999999999</c:v>
                </c:pt>
                <c:pt idx="26">
                  <c:v>49.067100000000003</c:v>
                </c:pt>
                <c:pt idx="27">
                  <c:v>48.936</c:v>
                </c:pt>
                <c:pt idx="28">
                  <c:v>48.747800000000005</c:v>
                </c:pt>
                <c:pt idx="29">
                  <c:v>48.542900000000003</c:v>
                </c:pt>
                <c:pt idx="30">
                  <c:v>48.357099999999996</c:v>
                </c:pt>
                <c:pt idx="31">
                  <c:v>48.2194</c:v>
                </c:pt>
                <c:pt idx="32">
                  <c:v>48.0839</c:v>
                </c:pt>
                <c:pt idx="33">
                  <c:v>47.881099999999996</c:v>
                </c:pt>
                <c:pt idx="34">
                  <c:v>47.686299999999996</c:v>
                </c:pt>
                <c:pt idx="35">
                  <c:v>47.539900000000003</c:v>
                </c:pt>
                <c:pt idx="36">
                  <c:v>47.440800000000003</c:v>
                </c:pt>
                <c:pt idx="37">
                  <c:v>47.328900000000004</c:v>
                </c:pt>
                <c:pt idx="38">
                  <c:v>47.223599999999998</c:v>
                </c:pt>
                <c:pt idx="39">
                  <c:v>47.107199999999999</c:v>
                </c:pt>
                <c:pt idx="40">
                  <c:v>46.988900000000001</c:v>
                </c:pt>
                <c:pt idx="41">
                  <c:v>46.9343</c:v>
                </c:pt>
                <c:pt idx="42">
                  <c:v>46.841500000000003</c:v>
                </c:pt>
                <c:pt idx="43">
                  <c:v>46.762700000000002</c:v>
                </c:pt>
                <c:pt idx="44">
                  <c:v>46.649299999999997</c:v>
                </c:pt>
                <c:pt idx="45">
                  <c:v>46.5852</c:v>
                </c:pt>
                <c:pt idx="46">
                  <c:v>46.583799999999997</c:v>
                </c:pt>
                <c:pt idx="47">
                  <c:v>46.555</c:v>
                </c:pt>
                <c:pt idx="48">
                  <c:v>46.479500000000002</c:v>
                </c:pt>
                <c:pt idx="49">
                  <c:v>46.404200000000003</c:v>
                </c:pt>
                <c:pt idx="50">
                  <c:v>46.350999999999999</c:v>
                </c:pt>
                <c:pt idx="51">
                  <c:v>46.216799999999999</c:v>
                </c:pt>
                <c:pt idx="52">
                  <c:v>46.0426</c:v>
                </c:pt>
                <c:pt idx="53">
                  <c:v>45.883200000000002</c:v>
                </c:pt>
                <c:pt idx="54">
                  <c:v>45.7117</c:v>
                </c:pt>
                <c:pt idx="55">
                  <c:v>45.463200000000001</c:v>
                </c:pt>
                <c:pt idx="56">
                  <c:v>45.279799999999994</c:v>
                </c:pt>
                <c:pt idx="57">
                  <c:v>45.140500000000003</c:v>
                </c:pt>
                <c:pt idx="58">
                  <c:v>45.273400000000002</c:v>
                </c:pt>
                <c:pt idx="59">
                  <c:v>45.4908</c:v>
                </c:pt>
                <c:pt idx="60">
                  <c:v>45.582099999999997</c:v>
                </c:pt>
                <c:pt idx="61">
                  <c:v>45.847799999999999</c:v>
                </c:pt>
                <c:pt idx="62">
                  <c:v>45.954499999999996</c:v>
                </c:pt>
                <c:pt idx="63">
                  <c:v>46.210999999999999</c:v>
                </c:pt>
                <c:pt idx="64">
                  <c:v>46.503799999999998</c:v>
                </c:pt>
                <c:pt idx="65">
                  <c:v>46.816299999999998</c:v>
                </c:pt>
                <c:pt idx="66">
                  <c:v>47.2849</c:v>
                </c:pt>
                <c:pt idx="67">
                  <c:v>47.689</c:v>
                </c:pt>
                <c:pt idx="68">
                  <c:v>48.012700000000002</c:v>
                </c:pt>
                <c:pt idx="69">
                  <c:v>48.683999999999997</c:v>
                </c:pt>
                <c:pt idx="70">
                  <c:v>49.1539</c:v>
                </c:pt>
                <c:pt idx="71">
                  <c:v>49.640599999999999</c:v>
                </c:pt>
                <c:pt idx="72">
                  <c:v>50.0749</c:v>
                </c:pt>
                <c:pt idx="73">
                  <c:v>50.517000000000003</c:v>
                </c:pt>
                <c:pt idx="74">
                  <c:v>50.955600000000004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1.9812699999999999</c:v>
                </c:pt>
                <c:pt idx="1">
                  <c:v>1.9530800000000001</c:v>
                </c:pt>
                <c:pt idx="2">
                  <c:v>1.9231799999999999</c:v>
                </c:pt>
                <c:pt idx="3">
                  <c:v>1.89246</c:v>
                </c:pt>
                <c:pt idx="4">
                  <c:v>1.86202</c:v>
                </c:pt>
                <c:pt idx="5">
                  <c:v>1.83182</c:v>
                </c:pt>
                <c:pt idx="6">
                  <c:v>1.8021699999999998</c:v>
                </c:pt>
                <c:pt idx="7">
                  <c:v>1.7738499999999999</c:v>
                </c:pt>
                <c:pt idx="8">
                  <c:v>1.74675</c:v>
                </c:pt>
                <c:pt idx="9">
                  <c:v>1.7114099999999999</c:v>
                </c:pt>
                <c:pt idx="10">
                  <c:v>1.6750399999999999</c:v>
                </c:pt>
                <c:pt idx="11">
                  <c:v>1.6414899999999999</c:v>
                </c:pt>
                <c:pt idx="12">
                  <c:v>1.6083800000000001</c:v>
                </c:pt>
                <c:pt idx="13">
                  <c:v>1.5748899999999999</c:v>
                </c:pt>
                <c:pt idx="14">
                  <c:v>1.53939</c:v>
                </c:pt>
                <c:pt idx="15">
                  <c:v>1.5049699999999999</c:v>
                </c:pt>
                <c:pt idx="16">
                  <c:v>1.4730599999999998</c:v>
                </c:pt>
                <c:pt idx="17">
                  <c:v>1.4423300000000001</c:v>
                </c:pt>
                <c:pt idx="18">
                  <c:v>1.4139299999999999</c:v>
                </c:pt>
                <c:pt idx="19">
                  <c:v>1.3853499999999999</c:v>
                </c:pt>
                <c:pt idx="20">
                  <c:v>1.3590599999999999</c:v>
                </c:pt>
                <c:pt idx="21">
                  <c:v>1.3348399999999998</c:v>
                </c:pt>
                <c:pt idx="22">
                  <c:v>1.3165499999999999</c:v>
                </c:pt>
                <c:pt idx="23">
                  <c:v>1.3041700000000001</c:v>
                </c:pt>
                <c:pt idx="24">
                  <c:v>1.3008900000000001</c:v>
                </c:pt>
                <c:pt idx="25">
                  <c:v>1.3048999999999999</c:v>
                </c:pt>
                <c:pt idx="26">
                  <c:v>1.3150200000000001</c:v>
                </c:pt>
                <c:pt idx="27">
                  <c:v>1.3272600000000001</c:v>
                </c:pt>
                <c:pt idx="28">
                  <c:v>1.34572</c:v>
                </c:pt>
                <c:pt idx="29">
                  <c:v>1.36429</c:v>
                </c:pt>
                <c:pt idx="30">
                  <c:v>1.3834</c:v>
                </c:pt>
                <c:pt idx="31">
                  <c:v>1.4028399999999999</c:v>
                </c:pt>
                <c:pt idx="32">
                  <c:v>1.42116</c:v>
                </c:pt>
                <c:pt idx="33">
                  <c:v>1.4412</c:v>
                </c:pt>
                <c:pt idx="34">
                  <c:v>1.4669099999999999</c:v>
                </c:pt>
                <c:pt idx="35">
                  <c:v>1.4963000000000002</c:v>
                </c:pt>
                <c:pt idx="36">
                  <c:v>1.5323100000000001</c:v>
                </c:pt>
                <c:pt idx="37">
                  <c:v>1.5712100000000002</c:v>
                </c:pt>
                <c:pt idx="38">
                  <c:v>1.61002</c:v>
                </c:pt>
                <c:pt idx="39">
                  <c:v>1.6484199999999998</c:v>
                </c:pt>
                <c:pt idx="40">
                  <c:v>1.68685</c:v>
                </c:pt>
                <c:pt idx="41">
                  <c:v>1.72255</c:v>
                </c:pt>
                <c:pt idx="42">
                  <c:v>1.7551099999999999</c:v>
                </c:pt>
                <c:pt idx="43">
                  <c:v>1.7885499999999999</c:v>
                </c:pt>
                <c:pt idx="44">
                  <c:v>1.8243400000000001</c:v>
                </c:pt>
                <c:pt idx="45">
                  <c:v>1.8567</c:v>
                </c:pt>
                <c:pt idx="46">
                  <c:v>1.8876399999999998</c:v>
                </c:pt>
                <c:pt idx="47">
                  <c:v>1.9201099999999998</c:v>
                </c:pt>
                <c:pt idx="48">
                  <c:v>1.95364</c:v>
                </c:pt>
                <c:pt idx="49">
                  <c:v>1.9839300000000002</c:v>
                </c:pt>
                <c:pt idx="50">
                  <c:v>2.0024600000000001</c:v>
                </c:pt>
                <c:pt idx="51">
                  <c:v>2.0140899999999999</c:v>
                </c:pt>
                <c:pt idx="52">
                  <c:v>2.0268600000000001</c:v>
                </c:pt>
                <c:pt idx="53">
                  <c:v>2.0402200000000001</c:v>
                </c:pt>
                <c:pt idx="54">
                  <c:v>2.0548099999999998</c:v>
                </c:pt>
                <c:pt idx="55">
                  <c:v>2.07104</c:v>
                </c:pt>
                <c:pt idx="56">
                  <c:v>2.0892200000000001</c:v>
                </c:pt>
                <c:pt idx="57">
                  <c:v>2.1083499999999997</c:v>
                </c:pt>
                <c:pt idx="58">
                  <c:v>2.12758</c:v>
                </c:pt>
                <c:pt idx="59">
                  <c:v>2.1455600000000001</c:v>
                </c:pt>
                <c:pt idx="60">
                  <c:v>2.16343</c:v>
                </c:pt>
                <c:pt idx="61">
                  <c:v>2.1773799999999999</c:v>
                </c:pt>
                <c:pt idx="62">
                  <c:v>2.1901000000000002</c:v>
                </c:pt>
                <c:pt idx="63">
                  <c:v>2.20323</c:v>
                </c:pt>
                <c:pt idx="64">
                  <c:v>2.2176100000000001</c:v>
                </c:pt>
                <c:pt idx="65">
                  <c:v>2.2301000000000002</c:v>
                </c:pt>
                <c:pt idx="66">
                  <c:v>2.2456400000000003</c:v>
                </c:pt>
                <c:pt idx="67">
                  <c:v>2.2643599999999999</c:v>
                </c:pt>
                <c:pt idx="68">
                  <c:v>2.2822899999999997</c:v>
                </c:pt>
                <c:pt idx="69">
                  <c:v>2.2948</c:v>
                </c:pt>
                <c:pt idx="70">
                  <c:v>2.3153099999999998</c:v>
                </c:pt>
                <c:pt idx="71">
                  <c:v>2.3410800000000003</c:v>
                </c:pt>
                <c:pt idx="72">
                  <c:v>2.3516900000000001</c:v>
                </c:pt>
                <c:pt idx="73">
                  <c:v>2.3553699999999997</c:v>
                </c:pt>
                <c:pt idx="74">
                  <c:v>2.3649400000000003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50.955600000000004</c:v>
                </c:pt>
                <c:pt idx="1">
                  <c:v>51.443399999999997</c:v>
                </c:pt>
                <c:pt idx="2">
                  <c:v>51.974399999999996</c:v>
                </c:pt>
                <c:pt idx="3">
                  <c:v>52.512700000000002</c:v>
                </c:pt>
                <c:pt idx="4">
                  <c:v>53.091000000000001</c:v>
                </c:pt>
                <c:pt idx="5">
                  <c:v>53.763399999999997</c:v>
                </c:pt>
                <c:pt idx="6">
                  <c:v>54.474000000000004</c:v>
                </c:pt>
                <c:pt idx="7">
                  <c:v>55.169599999999996</c:v>
                </c:pt>
                <c:pt idx="8">
                  <c:v>55.818400000000004</c:v>
                </c:pt>
                <c:pt idx="9">
                  <c:v>56.368899999999996</c:v>
                </c:pt>
                <c:pt idx="10">
                  <c:v>56.901999999999994</c:v>
                </c:pt>
                <c:pt idx="11">
                  <c:v>57.344999999999999</c:v>
                </c:pt>
                <c:pt idx="12">
                  <c:v>57.753299999999996</c:v>
                </c:pt>
                <c:pt idx="13">
                  <c:v>58.181899999999999</c:v>
                </c:pt>
                <c:pt idx="14">
                  <c:v>58.717100000000002</c:v>
                </c:pt>
                <c:pt idx="15">
                  <c:v>59.293600000000005</c:v>
                </c:pt>
                <c:pt idx="16">
                  <c:v>59.8521</c:v>
                </c:pt>
                <c:pt idx="17">
                  <c:v>60.443800000000003</c:v>
                </c:pt>
                <c:pt idx="18">
                  <c:v>61.031700000000001</c:v>
                </c:pt>
                <c:pt idx="19">
                  <c:v>61.695299999999996</c:v>
                </c:pt>
                <c:pt idx="20">
                  <c:v>62.2834</c:v>
                </c:pt>
                <c:pt idx="21">
                  <c:v>62.807000000000002</c:v>
                </c:pt>
                <c:pt idx="22">
                  <c:v>63.222699999999996</c:v>
                </c:pt>
                <c:pt idx="23">
                  <c:v>63.494900000000001</c:v>
                </c:pt>
                <c:pt idx="24">
                  <c:v>63.5398</c:v>
                </c:pt>
                <c:pt idx="25">
                  <c:v>63.320600000000006</c:v>
                </c:pt>
                <c:pt idx="26">
                  <c:v>62.893799999999999</c:v>
                </c:pt>
                <c:pt idx="27">
                  <c:v>62.4039</c:v>
                </c:pt>
                <c:pt idx="28">
                  <c:v>61.754600000000003</c:v>
                </c:pt>
                <c:pt idx="29">
                  <c:v>61.173100000000005</c:v>
                </c:pt>
                <c:pt idx="30">
                  <c:v>60.628300000000003</c:v>
                </c:pt>
                <c:pt idx="31">
                  <c:v>60.139800000000001</c:v>
                </c:pt>
                <c:pt idx="32">
                  <c:v>59.707900000000002</c:v>
                </c:pt>
                <c:pt idx="33">
                  <c:v>59.226700000000001</c:v>
                </c:pt>
                <c:pt idx="34">
                  <c:v>58.609900000000003</c:v>
                </c:pt>
                <c:pt idx="35">
                  <c:v>57.931800000000003</c:v>
                </c:pt>
                <c:pt idx="36">
                  <c:v>57.079899999999995</c:v>
                </c:pt>
                <c:pt idx="37">
                  <c:v>56.264400000000002</c:v>
                </c:pt>
                <c:pt idx="38">
                  <c:v>55.527700000000003</c:v>
                </c:pt>
                <c:pt idx="39">
                  <c:v>54.901400000000002</c:v>
                </c:pt>
                <c:pt idx="40">
                  <c:v>54.307700000000004</c:v>
                </c:pt>
                <c:pt idx="41">
                  <c:v>53.802999999999997</c:v>
                </c:pt>
                <c:pt idx="42">
                  <c:v>53.360199999999999</c:v>
                </c:pt>
                <c:pt idx="43">
                  <c:v>52.884799999999998</c:v>
                </c:pt>
                <c:pt idx="44">
                  <c:v>52.354599999999998</c:v>
                </c:pt>
                <c:pt idx="45">
                  <c:v>51.920100000000005</c:v>
                </c:pt>
                <c:pt idx="46">
                  <c:v>51.4925</c:v>
                </c:pt>
                <c:pt idx="47">
                  <c:v>50.973199999999999</c:v>
                </c:pt>
                <c:pt idx="48">
                  <c:v>50.4803</c:v>
                </c:pt>
                <c:pt idx="49">
                  <c:v>49.995899999999999</c:v>
                </c:pt>
                <c:pt idx="50">
                  <c:v>49.686199999999999</c:v>
                </c:pt>
                <c:pt idx="51">
                  <c:v>49.558700000000002</c:v>
                </c:pt>
                <c:pt idx="52">
                  <c:v>49.4405</c:v>
                </c:pt>
                <c:pt idx="53">
                  <c:v>49.331199999999995</c:v>
                </c:pt>
                <c:pt idx="54">
                  <c:v>49.2179</c:v>
                </c:pt>
                <c:pt idx="55">
                  <c:v>49.080400000000004</c:v>
                </c:pt>
                <c:pt idx="56">
                  <c:v>48.920900000000003</c:v>
                </c:pt>
                <c:pt idx="57">
                  <c:v>48.761900000000004</c:v>
                </c:pt>
                <c:pt idx="58">
                  <c:v>48.615600000000001</c:v>
                </c:pt>
                <c:pt idx="59">
                  <c:v>48.498100000000001</c:v>
                </c:pt>
                <c:pt idx="60">
                  <c:v>48.382199999999997</c:v>
                </c:pt>
                <c:pt idx="61">
                  <c:v>48.282399999999996</c:v>
                </c:pt>
                <c:pt idx="62">
                  <c:v>48.179000000000002</c:v>
                </c:pt>
                <c:pt idx="63">
                  <c:v>48.076099999999997</c:v>
                </c:pt>
                <c:pt idx="64">
                  <c:v>47.956600000000002</c:v>
                </c:pt>
                <c:pt idx="65">
                  <c:v>47.8065</c:v>
                </c:pt>
                <c:pt idx="66">
                  <c:v>47.622700000000002</c:v>
                </c:pt>
                <c:pt idx="67">
                  <c:v>47.379399999999997</c:v>
                </c:pt>
                <c:pt idx="68">
                  <c:v>47.145299999999999</c:v>
                </c:pt>
                <c:pt idx="69">
                  <c:v>46.937200000000004</c:v>
                </c:pt>
                <c:pt idx="70">
                  <c:v>46.683400000000006</c:v>
                </c:pt>
                <c:pt idx="71">
                  <c:v>46.529399999999995</c:v>
                </c:pt>
                <c:pt idx="72">
                  <c:v>46.483200000000004</c:v>
                </c:pt>
                <c:pt idx="73">
                  <c:v>46.2988</c:v>
                </c:pt>
                <c:pt idx="74">
                  <c:v>46.077400000000004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1.1651899999999999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69.485399999999998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2.0287999999999999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50.858032432432445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1.7929095945945956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54.191144594594597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1.7929095945945956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54.191144594594597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topLeftCell="A2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519</v>
      </c>
      <c r="D5" s="151"/>
      <c r="E5" s="151"/>
      <c r="F5" s="152"/>
      <c r="G5" s="48" t="str">
        <f>lang!B27</f>
        <v>编号</v>
      </c>
      <c r="H5" s="150">
        <v>10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518</v>
      </c>
      <c r="D6" s="188"/>
      <c r="E6" s="188"/>
      <c r="F6" s="189"/>
      <c r="G6" s="49" t="str">
        <f>lang!B28</f>
        <v xml:space="preserve"> 日期</v>
      </c>
      <c r="H6" s="172">
        <f>FH_info!A2</f>
        <v>43607.408009259256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53</v>
      </c>
      <c r="D7" s="191"/>
      <c r="E7" s="191"/>
      <c r="F7" s="192"/>
      <c r="G7" s="50" t="str">
        <f>lang!B29</f>
        <v>误差率（%）</v>
      </c>
      <c r="H7" s="175">
        <f>M!B17*1</f>
        <v>22.034700000000001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27.6189</v>
      </c>
      <c r="O8" s="59">
        <f>M!C5*1</f>
        <v>6.9300600000000001</v>
      </c>
      <c r="P8" s="59">
        <f>M!D5*1</f>
        <v>25.091799999999999</v>
      </c>
      <c r="Q8" s="59">
        <f>M!E5*1</f>
        <v>20</v>
      </c>
      <c r="R8" s="59">
        <f>M!F5*1</f>
        <v>9.8936899999999994</v>
      </c>
      <c r="S8" s="59">
        <f>M!G5*1</f>
        <v>50</v>
      </c>
      <c r="T8" s="59">
        <f>M!H5*1</f>
        <v>38.3172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40.1447</v>
      </c>
      <c r="O9" s="59">
        <f>M!C6*1</f>
        <v>6.3062199999999997</v>
      </c>
      <c r="P9" s="59">
        <f>M!D6*1</f>
        <v>15.7087</v>
      </c>
      <c r="Q9" s="59">
        <f>M!E6*1</f>
        <v>20</v>
      </c>
      <c r="R9" s="59">
        <f>M!F6*1</f>
        <v>29.564800000000002</v>
      </c>
      <c r="S9" s="59">
        <f>M!G6*1</f>
        <v>40</v>
      </c>
      <c r="T9" s="59">
        <f>M!H6*1</f>
        <v>54.559699999999999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9.8936899999999994</v>
      </c>
      <c r="D10" s="99">
        <f>N8</f>
        <v>27.6189</v>
      </c>
      <c r="E10" s="100">
        <f>T8</f>
        <v>38.3172</v>
      </c>
      <c r="F10" s="91">
        <f>P8</f>
        <v>25.091799999999999</v>
      </c>
      <c r="G10" s="81" t="str">
        <f>CONCATENATE(M9,"
(20 ~ 40)")</f>
        <v>压力
(20 ~ 40)</v>
      </c>
      <c r="H10" s="98">
        <f>R9</f>
        <v>29.564800000000002</v>
      </c>
      <c r="I10" s="108">
        <f>N9</f>
        <v>40.1447</v>
      </c>
      <c r="J10" s="98">
        <f>T9</f>
        <v>54.559699999999999</v>
      </c>
      <c r="K10" s="92">
        <f>P9</f>
        <v>15.7087</v>
      </c>
      <c r="L10" s="6"/>
      <c r="M10" s="27" t="str">
        <f>lang!B16</f>
        <v>焦虑</v>
      </c>
      <c r="N10" s="59">
        <f>M!B7*1</f>
        <v>27.881900000000002</v>
      </c>
      <c r="O10" s="59">
        <f>M!C7*1</f>
        <v>7.2570699999999997</v>
      </c>
      <c r="P10" s="59">
        <f>M!D7*1</f>
        <v>26.027899999999999</v>
      </c>
      <c r="Q10" s="59">
        <f>M!E7*1</f>
        <v>15</v>
      </c>
      <c r="R10" s="59">
        <f>M!F7*1</f>
        <v>9.20749</v>
      </c>
      <c r="S10" s="59">
        <f>M!G7*1</f>
        <v>40</v>
      </c>
      <c r="T10" s="59">
        <f>M!H7*1</f>
        <v>50.445700000000002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9.20749</v>
      </c>
      <c r="D11" s="102">
        <f>N10</f>
        <v>27.881900000000002</v>
      </c>
      <c r="E11" s="103">
        <f>T10</f>
        <v>50.445700000000002</v>
      </c>
      <c r="F11" s="94">
        <f>P10</f>
        <v>26.027899999999999</v>
      </c>
      <c r="G11" s="52" t="str">
        <f>CONCATENATE(M11,"
(20 ~ 50)")</f>
        <v>可疑
(20 ~ 50)</v>
      </c>
      <c r="H11" s="101">
        <f>R11</f>
        <v>23.180900000000001</v>
      </c>
      <c r="I11" s="104">
        <f>N11</f>
        <v>32.819600000000001</v>
      </c>
      <c r="J11" s="101">
        <f>T11</f>
        <v>40.619300000000003</v>
      </c>
      <c r="K11" s="95">
        <f>P11</f>
        <v>12.3055</v>
      </c>
      <c r="L11" s="4"/>
      <c r="M11" s="27" t="str">
        <f>lang!B17</f>
        <v>可疑</v>
      </c>
      <c r="N11" s="59">
        <f>M!B8*1</f>
        <v>32.819600000000001</v>
      </c>
      <c r="O11" s="59">
        <f>M!C8*1</f>
        <v>4.0386199999999999</v>
      </c>
      <c r="P11" s="59">
        <f>M!D8*1</f>
        <v>12.3055</v>
      </c>
      <c r="Q11" s="59">
        <f>M!E8*1</f>
        <v>20</v>
      </c>
      <c r="R11" s="59">
        <f>M!F8*1</f>
        <v>23.180900000000001</v>
      </c>
      <c r="S11" s="59">
        <f>M!G8*1</f>
        <v>50</v>
      </c>
      <c r="T11" s="59">
        <f>M!H8*1</f>
        <v>40.619300000000003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33.569899999999997</v>
      </c>
      <c r="D12" s="104">
        <f>N12</f>
        <v>64.821899999999999</v>
      </c>
      <c r="E12" s="101">
        <f>T12</f>
        <v>85.169300000000007</v>
      </c>
      <c r="F12" s="93">
        <f>P12</f>
        <v>14.2195</v>
      </c>
      <c r="G12" s="52" t="str">
        <f>CONCATENATE(M13,"
(40 ~ 100)")</f>
        <v>自信
(40 ~ 100)</v>
      </c>
      <c r="H12" s="101">
        <f>R13</f>
        <v>29.18</v>
      </c>
      <c r="I12" s="104">
        <f>N13</f>
        <v>56.660200000000003</v>
      </c>
      <c r="J12" s="101">
        <f>T13</f>
        <v>78.710099999999997</v>
      </c>
      <c r="K12" s="95">
        <f>P13</f>
        <v>26.488499999999998</v>
      </c>
      <c r="L12" s="4"/>
      <c r="M12" s="27" t="str">
        <f>lang!B18</f>
        <v>平衡</v>
      </c>
      <c r="N12" s="59">
        <f>M!B9*1</f>
        <v>64.821899999999999</v>
      </c>
      <c r="O12" s="59">
        <f>M!C9*1</f>
        <v>9.2173300000000005</v>
      </c>
      <c r="P12" s="59">
        <f>M!D9*1</f>
        <v>14.2195</v>
      </c>
      <c r="Q12" s="59">
        <f>M!E9*1</f>
        <v>50</v>
      </c>
      <c r="R12" s="59">
        <f>M!F9*1</f>
        <v>33.569899999999997</v>
      </c>
      <c r="S12" s="59">
        <f>M!G9*1</f>
        <v>100</v>
      </c>
      <c r="T12" s="59">
        <f>M!H9*1</f>
        <v>85.169300000000007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4.1538500000000003</v>
      </c>
      <c r="D13" s="102">
        <f>N14</f>
        <v>9.6183899999999998</v>
      </c>
      <c r="E13" s="103">
        <f>T14</f>
        <v>13.726800000000001</v>
      </c>
      <c r="F13" s="94">
        <f>P14</f>
        <v>29.5762</v>
      </c>
      <c r="G13" s="52" t="str">
        <f>CONCATENATE(M15,"
(50 ~ 100)")</f>
        <v>自我调节
(50 ~ 100)</v>
      </c>
      <c r="H13" s="101">
        <f>R15</f>
        <v>35.571800000000003</v>
      </c>
      <c r="I13" s="104">
        <f>N15</f>
        <v>66.588499999999996</v>
      </c>
      <c r="J13" s="101">
        <f>T15</f>
        <v>74.650800000000004</v>
      </c>
      <c r="K13" s="95">
        <f>P15</f>
        <v>15.3758</v>
      </c>
      <c r="L13" s="4"/>
      <c r="M13" s="27" t="str">
        <f>lang!B19</f>
        <v>自信</v>
      </c>
      <c r="N13" s="59">
        <f>M!B10*1</f>
        <v>56.660200000000003</v>
      </c>
      <c r="O13" s="59">
        <f>M!C10*1</f>
        <v>15.0084</v>
      </c>
      <c r="P13" s="59">
        <f>M!D10*1</f>
        <v>26.488499999999998</v>
      </c>
      <c r="Q13" s="59">
        <f>M!E10*1</f>
        <v>40</v>
      </c>
      <c r="R13" s="59">
        <f>M!F10*1</f>
        <v>29.18</v>
      </c>
      <c r="S13" s="59">
        <f>M!G10*1</f>
        <v>100</v>
      </c>
      <c r="T13" s="59">
        <f>M!H10*1</f>
        <v>78.710099999999997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13.2667</v>
      </c>
      <c r="D14" s="106">
        <f>N16</f>
        <v>18.156500000000001</v>
      </c>
      <c r="E14" s="107">
        <f>T16</f>
        <v>28.053699999999999</v>
      </c>
      <c r="F14" s="96">
        <f>P16</f>
        <v>17.158300000000001</v>
      </c>
      <c r="G14" s="112" t="str">
        <f>CONCATENATE(M17,"
(10 ~ 50)")</f>
        <v>神经质
(10 ~ 50)</v>
      </c>
      <c r="H14" s="105">
        <f>R17</f>
        <v>2.2907600000000001</v>
      </c>
      <c r="I14" s="106">
        <f>N17</f>
        <v>31.153300000000002</v>
      </c>
      <c r="J14" s="107">
        <f>T17</f>
        <v>36.7776</v>
      </c>
      <c r="K14" s="97">
        <f>P17</f>
        <v>38.394599999999997</v>
      </c>
      <c r="M14" s="27" t="str">
        <f>lang!B20</f>
        <v>活力</v>
      </c>
      <c r="N14" s="59">
        <f>M!B11*1</f>
        <v>9.6183899999999998</v>
      </c>
      <c r="O14" s="59">
        <f>M!C11*1</f>
        <v>2.84476</v>
      </c>
      <c r="P14" s="59">
        <f>M!D11*1</f>
        <v>29.5762</v>
      </c>
      <c r="Q14" s="59">
        <f>M!E11*1</f>
        <v>10</v>
      </c>
      <c r="R14" s="59">
        <f>M!F11*1</f>
        <v>4.1538500000000003</v>
      </c>
      <c r="S14" s="59">
        <f>M!G11*1</f>
        <v>50</v>
      </c>
      <c r="T14" s="59">
        <f>M!H11*1</f>
        <v>13.726800000000001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66.588499999999996</v>
      </c>
      <c r="O15" s="59">
        <f>M!C12*1</f>
        <v>10.2385</v>
      </c>
      <c r="P15" s="59">
        <f>M!D12*1</f>
        <v>15.3758</v>
      </c>
      <c r="Q15" s="59">
        <f>M!E12*1</f>
        <v>50</v>
      </c>
      <c r="R15" s="59">
        <f>M!F12*1</f>
        <v>35.571800000000003</v>
      </c>
      <c r="S15" s="59">
        <f>M!G12*1</f>
        <v>100</v>
      </c>
      <c r="T15" s="59">
        <f>M!H12*1</f>
        <v>74.650800000000004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18.156500000000001</v>
      </c>
      <c r="O16" s="59">
        <f>M!C13*1</f>
        <v>3.1153300000000002</v>
      </c>
      <c r="P16" s="59">
        <f>M!D13*1</f>
        <v>17.158300000000001</v>
      </c>
      <c r="Q16" s="59">
        <f>M!E13*1</f>
        <v>10</v>
      </c>
      <c r="R16" s="59">
        <f>M!F13*1</f>
        <v>13.2667</v>
      </c>
      <c r="S16" s="59">
        <f>M!G13*1</f>
        <v>25</v>
      </c>
      <c r="T16" s="59">
        <f>M!H13*1</f>
        <v>28.053699999999999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31.153300000000002</v>
      </c>
      <c r="O17" s="59">
        <f>M!C14*1</f>
        <v>11.9612</v>
      </c>
      <c r="P17" s="59">
        <f>M!D14*1</f>
        <v>38.394599999999997</v>
      </c>
      <c r="Q17" s="59">
        <f>M!E14*1</f>
        <v>10</v>
      </c>
      <c r="R17" s="59">
        <f>M!F14*1</f>
        <v>2.2907600000000001</v>
      </c>
      <c r="S17" s="59">
        <f>M!G14*1</f>
        <v>50</v>
      </c>
      <c r="T17" s="59">
        <f>M!H14*1</f>
        <v>36.7776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49.422247499999997</v>
      </c>
      <c r="O18" s="22">
        <f>N18/(N18+N19+N20)</f>
        <v>0.46539838660911415</v>
      </c>
      <c r="P18" s="65">
        <f>SUM(P12:P15)/4</f>
        <v>21.414999999999999</v>
      </c>
      <c r="Q18" s="22">
        <f>P18/(P18+P19+P20)</f>
        <v>0.31047514730896769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32.116275000000002</v>
      </c>
      <c r="O19" s="22">
        <f>N19/(N18+N19+N20)</f>
        <v>0.3024318667194289</v>
      </c>
      <c r="P19" s="18">
        <f>SUM(P8:P11)/4</f>
        <v>19.783474999999999</v>
      </c>
      <c r="Q19" s="22">
        <f>P19/(P18+P19+P20)</f>
        <v>0.28682126149466636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24.654900000000001</v>
      </c>
      <c r="O20" s="22">
        <f>N20/(N18+N19+N20)</f>
        <v>0.23216974667145701</v>
      </c>
      <c r="P20" s="18">
        <f>(P16+P17)/2</f>
        <v>27.776449999999997</v>
      </c>
      <c r="Q20" s="22">
        <f>P20/(P18+P19+P20)</f>
        <v>0.4027035911963659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5.6920162162161975E-2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0.93405307209358834</v>
      </c>
      <c r="D25" s="44" t="str">
        <f>lang!B11</f>
        <v>频率方差</v>
      </c>
      <c r="E25" s="142">
        <f ca="1">FH!L3</f>
        <v>0.50483159359194196</v>
      </c>
      <c r="F25" s="143"/>
      <c r="G25" s="134" t="str">
        <f>lang!B12</f>
        <v>生理变化率</v>
      </c>
      <c r="H25" s="135"/>
      <c r="I25" s="62" t="str">
        <f ca="1">CONCATENATE(info!M7,"-",info!M8)</f>
        <v>45.1-69.5</v>
      </c>
      <c r="J25" s="42" t="str">
        <f>lang!B13</f>
        <v>千卡l/分钟</v>
      </c>
      <c r="K25" s="41" t="str">
        <f ca="1">CONCATENATE(info!M5,"-",info!M6)</f>
        <v>1.2-2.4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60.591700000000003</v>
      </c>
      <c r="F28" s="164"/>
      <c r="G28" s="178" t="str">
        <f>lang!B33</f>
        <v>稳定性</v>
      </c>
      <c r="H28" s="179"/>
      <c r="I28" s="180"/>
      <c r="J28" s="181">
        <f>M!B19*100</f>
        <v>79.960499999999996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43607.408009259256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0.58490000000000109</v>
      </c>
      <c r="O7" s="59">
        <f t="shared" ref="O7:T7" si="2">AG7-X7</f>
        <v>-2.22248</v>
      </c>
      <c r="P7" s="59">
        <f t="shared" si="2"/>
        <v>-8.6387999999999998</v>
      </c>
      <c r="Q7" s="59">
        <f t="shared" si="2"/>
        <v>0</v>
      </c>
      <c r="R7" s="59">
        <f t="shared" si="2"/>
        <v>8.5186099999999989</v>
      </c>
      <c r="S7" s="59">
        <f t="shared" si="2"/>
        <v>0</v>
      </c>
      <c r="T7" s="59">
        <f t="shared" si="2"/>
        <v>-0.4339999999999975</v>
      </c>
      <c r="U7" s="14"/>
      <c r="V7" s="27" t="str">
        <f>M7</f>
        <v>攻击性</v>
      </c>
      <c r="W7" s="59">
        <f>'M1'!B5*1</f>
        <v>27.114799999999999</v>
      </c>
      <c r="X7" s="59">
        <f>'M1'!C5*1</f>
        <v>7.90205</v>
      </c>
      <c r="Y7" s="59">
        <f>'M1'!D5*1</f>
        <v>29.142900000000001</v>
      </c>
      <c r="Z7" s="59">
        <f>'M1'!E5*1</f>
        <v>20</v>
      </c>
      <c r="AA7" s="59">
        <f>'M1'!F5*1</f>
        <v>9.8936899999999994</v>
      </c>
      <c r="AB7" s="59">
        <f>'M1'!G5*1</f>
        <v>50</v>
      </c>
      <c r="AC7" s="59">
        <f>'M1'!H5*1</f>
        <v>38.3172</v>
      </c>
      <c r="AE7" s="27" t="str">
        <f>V7</f>
        <v>攻击性</v>
      </c>
      <c r="AF7" s="59">
        <f>'M2'!B5*1</f>
        <v>27.6997</v>
      </c>
      <c r="AG7" s="59">
        <f>'M2'!C5*1</f>
        <v>5.67957</v>
      </c>
      <c r="AH7" s="59">
        <f>'M2'!D5*1</f>
        <v>20.504100000000001</v>
      </c>
      <c r="AI7" s="59">
        <f>'M2'!E5*1</f>
        <v>20</v>
      </c>
      <c r="AJ7" s="59">
        <f>'M2'!F5*1</f>
        <v>18.412299999999998</v>
      </c>
      <c r="AK7" s="59">
        <f>'M2'!G5*1</f>
        <v>50</v>
      </c>
      <c r="AL7" s="59">
        <f>'M2'!H5*1</f>
        <v>37.883200000000002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11.621099999999998</v>
      </c>
      <c r="O8" s="59">
        <f t="shared" ref="O8:O16" si="5">AG8-X8</f>
        <v>0.63818999999999981</v>
      </c>
      <c r="P8" s="59">
        <f t="shared" ref="P8:P16" si="6">AH8-Y8</f>
        <v>-0.2515900000000002</v>
      </c>
      <c r="Q8" s="59">
        <f t="shared" ref="Q8:Q16" si="7">AI8-Z8</f>
        <v>0</v>
      </c>
      <c r="R8" s="59">
        <f t="shared" ref="R8:R16" si="8">AJ8-AA8</f>
        <v>10.579899999999999</v>
      </c>
      <c r="S8" s="59">
        <f t="shared" ref="S8:S16" si="9">AK8-AB8</f>
        <v>0</v>
      </c>
      <c r="T8" s="59">
        <f t="shared" ref="T8:T16" si="10">AL8-AC8</f>
        <v>14.978400000000001</v>
      </c>
      <c r="U8" s="15"/>
      <c r="V8" s="27" t="str">
        <f t="shared" ref="V8:V16" si="11">M8</f>
        <v>压力</v>
      </c>
      <c r="W8" s="59">
        <f>'M1'!B6*1</f>
        <v>34.671900000000001</v>
      </c>
      <c r="X8" s="59">
        <f>'M1'!C6*1</f>
        <v>2.2515700000000001</v>
      </c>
      <c r="Y8" s="59">
        <f>'M1'!D6*1</f>
        <v>6.4939200000000001</v>
      </c>
      <c r="Z8" s="59">
        <f>'M1'!E6*1</f>
        <v>20</v>
      </c>
      <c r="AA8" s="59">
        <f>'M1'!F6*1</f>
        <v>29.564800000000002</v>
      </c>
      <c r="AB8" s="59">
        <f>'M1'!G6*1</f>
        <v>40</v>
      </c>
      <c r="AC8" s="59">
        <f>'M1'!H6*1</f>
        <v>39.581299999999999</v>
      </c>
      <c r="AE8" s="27" t="str">
        <f t="shared" ref="AE8:AE16" si="12">V8</f>
        <v>压力</v>
      </c>
      <c r="AF8" s="59">
        <f>'M2'!B6*1</f>
        <v>46.292999999999999</v>
      </c>
      <c r="AG8" s="59">
        <f>'M2'!C6*1</f>
        <v>2.8897599999999999</v>
      </c>
      <c r="AH8" s="59">
        <f>'M2'!D6*1</f>
        <v>6.2423299999999999</v>
      </c>
      <c r="AI8" s="59">
        <f>'M2'!E6*1</f>
        <v>20</v>
      </c>
      <c r="AJ8" s="59">
        <f>'M2'!F6*1</f>
        <v>40.1447</v>
      </c>
      <c r="AK8" s="59">
        <f>'M2'!G6*1</f>
        <v>40</v>
      </c>
      <c r="AL8" s="59">
        <f>'M2'!H6*1</f>
        <v>54.559699999999999</v>
      </c>
    </row>
    <row r="9" spans="2:38" s="7" customFormat="1" ht="21" customHeight="1">
      <c r="B9" s="76" t="str">
        <f>CONCATENATE(M7,"
(20 ~ 50)")</f>
        <v>攻击性
(20 ~ 50)</v>
      </c>
      <c r="C9" s="77">
        <f>R7</f>
        <v>8.5186099999999989</v>
      </c>
      <c r="D9" s="78">
        <f>N7</f>
        <v>0.58490000000000109</v>
      </c>
      <c r="E9" s="79">
        <f>T7</f>
        <v>-0.4339999999999975</v>
      </c>
      <c r="F9" s="79">
        <f>P7</f>
        <v>-8.6387999999999998</v>
      </c>
      <c r="G9" s="80" t="str">
        <f>CONCATENATE(M8,"
(20 ~ 40)")</f>
        <v>压力
(20 ~ 40)</v>
      </c>
      <c r="H9" s="77">
        <f>R8</f>
        <v>10.579899999999999</v>
      </c>
      <c r="I9" s="81">
        <f>N8</f>
        <v>11.621099999999998</v>
      </c>
      <c r="J9" s="77">
        <f>T8</f>
        <v>14.978400000000001</v>
      </c>
      <c r="K9" s="82">
        <f>P8</f>
        <v>-0.2515900000000002</v>
      </c>
      <c r="L9" s="6"/>
      <c r="M9" s="27" t="str">
        <f>lang!B16</f>
        <v>焦虑</v>
      </c>
      <c r="N9" s="59">
        <f t="shared" si="4"/>
        <v>4.5267999999999979</v>
      </c>
      <c r="O9" s="59">
        <f t="shared" si="5"/>
        <v>-2.2159699999999996</v>
      </c>
      <c r="P9" s="59">
        <f t="shared" si="6"/>
        <v>-12.683900000000001</v>
      </c>
      <c r="Q9" s="59">
        <f t="shared" si="7"/>
        <v>0</v>
      </c>
      <c r="R9" s="59">
        <f t="shared" si="8"/>
        <v>-3.3813100000000009</v>
      </c>
      <c r="S9" s="59">
        <f t="shared" si="9"/>
        <v>0</v>
      </c>
      <c r="T9" s="59">
        <f t="shared" si="10"/>
        <v>0.19109999999999872</v>
      </c>
      <c r="U9" s="14"/>
      <c r="V9" s="27" t="str">
        <f t="shared" si="11"/>
        <v>焦虑</v>
      </c>
      <c r="W9" s="59">
        <f>'M1'!B7*1</f>
        <v>24.805700000000002</v>
      </c>
      <c r="X9" s="59">
        <f>'M1'!C7*1</f>
        <v>8.2443799999999996</v>
      </c>
      <c r="Y9" s="59">
        <f>'M1'!D7*1</f>
        <v>33.235900000000001</v>
      </c>
      <c r="Z9" s="59">
        <f>'M1'!E7*1</f>
        <v>15</v>
      </c>
      <c r="AA9" s="59">
        <f>'M1'!F7*1</f>
        <v>12.588800000000001</v>
      </c>
      <c r="AB9" s="59">
        <f>'M1'!G7*1</f>
        <v>40</v>
      </c>
      <c r="AC9" s="59">
        <f>'M1'!H7*1</f>
        <v>50.254600000000003</v>
      </c>
      <c r="AE9" s="27" t="str">
        <f t="shared" si="12"/>
        <v>焦虑</v>
      </c>
      <c r="AF9" s="59">
        <f>'M2'!B7*1</f>
        <v>29.3325</v>
      </c>
      <c r="AG9" s="59">
        <f>'M2'!C7*1</f>
        <v>6.02841</v>
      </c>
      <c r="AH9" s="59">
        <f>'M2'!D7*1</f>
        <v>20.552</v>
      </c>
      <c r="AI9" s="59">
        <f>'M2'!E7*1</f>
        <v>15</v>
      </c>
      <c r="AJ9" s="59">
        <f>'M2'!F7*1</f>
        <v>9.20749</v>
      </c>
      <c r="AK9" s="59">
        <f>'M2'!G7*1</f>
        <v>40</v>
      </c>
      <c r="AL9" s="59">
        <f>'M2'!H7*1</f>
        <v>50.445700000000002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-3.3813100000000009</v>
      </c>
      <c r="D10" s="51">
        <f>N9</f>
        <v>4.5267999999999979</v>
      </c>
      <c r="E10" s="53">
        <f>T9</f>
        <v>0.19109999999999872</v>
      </c>
      <c r="F10" s="53">
        <f>P9</f>
        <v>-12.683900000000001</v>
      </c>
      <c r="G10" s="73" t="str">
        <f>CONCATENATE(M10,"
(20 ~ 50)")</f>
        <v>可疑
(20 ~ 50)</v>
      </c>
      <c r="H10" s="24">
        <f>R10</f>
        <v>7.0655999999999999</v>
      </c>
      <c r="I10" s="52">
        <f>N10</f>
        <v>6.4389000000000038</v>
      </c>
      <c r="J10" s="24">
        <f>T10</f>
        <v>1.1920000000000002</v>
      </c>
      <c r="K10" s="25">
        <f>P10</f>
        <v>-9.6494999999999997</v>
      </c>
      <c r="L10" s="4"/>
      <c r="M10" s="27" t="str">
        <f>lang!B17</f>
        <v>可疑</v>
      </c>
      <c r="N10" s="59">
        <f t="shared" si="4"/>
        <v>6.4389000000000038</v>
      </c>
      <c r="O10" s="59">
        <f t="shared" si="5"/>
        <v>-2.31996</v>
      </c>
      <c r="P10" s="59">
        <f t="shared" si="6"/>
        <v>-9.6494999999999997</v>
      </c>
      <c r="Q10" s="59">
        <f t="shared" si="7"/>
        <v>0</v>
      </c>
      <c r="R10" s="59">
        <f t="shared" si="8"/>
        <v>7.0655999999999999</v>
      </c>
      <c r="S10" s="59">
        <f t="shared" si="9"/>
        <v>0</v>
      </c>
      <c r="T10" s="59">
        <f t="shared" si="10"/>
        <v>1.1920000000000002</v>
      </c>
      <c r="U10" s="14"/>
      <c r="V10" s="27" t="str">
        <f t="shared" si="11"/>
        <v>可疑</v>
      </c>
      <c r="W10" s="59">
        <f>'M1'!B8*1</f>
        <v>27.58</v>
      </c>
      <c r="X10" s="59">
        <f>'M1'!C8*1</f>
        <v>4.1234999999999999</v>
      </c>
      <c r="Y10" s="59">
        <f>'M1'!D8*1</f>
        <v>14.9511</v>
      </c>
      <c r="Z10" s="59">
        <f>'M1'!E8*1</f>
        <v>20</v>
      </c>
      <c r="AA10" s="59">
        <f>'M1'!F8*1</f>
        <v>23.180900000000001</v>
      </c>
      <c r="AB10" s="59">
        <f>'M1'!G8*1</f>
        <v>50</v>
      </c>
      <c r="AC10" s="59">
        <f>'M1'!H8*1</f>
        <v>39.427300000000002</v>
      </c>
      <c r="AE10" s="27" t="str">
        <f t="shared" si="12"/>
        <v>可疑</v>
      </c>
      <c r="AF10" s="59">
        <f>'M2'!B8*1</f>
        <v>34.018900000000002</v>
      </c>
      <c r="AG10" s="59">
        <f>'M2'!C8*1</f>
        <v>1.8035399999999999</v>
      </c>
      <c r="AH10" s="59">
        <f>'M2'!D8*1</f>
        <v>5.3015999999999996</v>
      </c>
      <c r="AI10" s="59">
        <f>'M2'!E8*1</f>
        <v>20</v>
      </c>
      <c r="AJ10" s="59">
        <f>'M2'!F8*1</f>
        <v>30.246500000000001</v>
      </c>
      <c r="AK10" s="59">
        <f>'M2'!G8*1</f>
        <v>50</v>
      </c>
      <c r="AL10" s="59">
        <f>'M2'!H8*1</f>
        <v>40.619300000000003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-23.385900000000007</v>
      </c>
      <c r="D11" s="52">
        <f>N11</f>
        <v>-8.0878999999999976</v>
      </c>
      <c r="E11" s="24">
        <f>T11</f>
        <v>-13.497</v>
      </c>
      <c r="F11" s="24">
        <f>P11</f>
        <v>3.3413000000000004</v>
      </c>
      <c r="G11" s="73" t="str">
        <f>CONCATENATE(M12,"
(40 ~ 100)")</f>
        <v>自信
(40 ~ 100)</v>
      </c>
      <c r="H11" s="24">
        <f>R12</f>
        <v>-25.826500000000003</v>
      </c>
      <c r="I11" s="52">
        <f>N12</f>
        <v>-29.298200000000001</v>
      </c>
      <c r="J11" s="24">
        <f>T12</f>
        <v>-5.6674000000000007</v>
      </c>
      <c r="K11" s="25">
        <f>P12</f>
        <v>8.6495999999999995</v>
      </c>
      <c r="L11" s="4"/>
      <c r="M11" s="27" t="str">
        <f>lang!B18</f>
        <v>平衡</v>
      </c>
      <c r="N11" s="59">
        <f t="shared" si="4"/>
        <v>-8.0878999999999976</v>
      </c>
      <c r="O11" s="59">
        <f t="shared" si="5"/>
        <v>1.2512999999999996</v>
      </c>
      <c r="P11" s="59">
        <f t="shared" si="6"/>
        <v>3.3413000000000004</v>
      </c>
      <c r="Q11" s="59">
        <f t="shared" si="7"/>
        <v>0</v>
      </c>
      <c r="R11" s="59">
        <f t="shared" si="8"/>
        <v>-23.385900000000007</v>
      </c>
      <c r="S11" s="59">
        <f t="shared" si="9"/>
        <v>0</v>
      </c>
      <c r="T11" s="59">
        <f t="shared" si="10"/>
        <v>-13.497</v>
      </c>
      <c r="U11" s="14"/>
      <c r="V11" s="27" t="str">
        <f t="shared" si="11"/>
        <v>平衡</v>
      </c>
      <c r="W11" s="59">
        <f>'M1'!B9*1</f>
        <v>69.782899999999998</v>
      </c>
      <c r="X11" s="59">
        <f>'M1'!C9*1</f>
        <v>6.9899899999999997</v>
      </c>
      <c r="Y11" s="59">
        <f>'M1'!D9*1</f>
        <v>10.0168</v>
      </c>
      <c r="Z11" s="59">
        <f>'M1'!E9*1</f>
        <v>50</v>
      </c>
      <c r="AA11" s="59">
        <f>'M1'!F9*1</f>
        <v>56.955800000000004</v>
      </c>
      <c r="AB11" s="59">
        <f>'M1'!G9*1</f>
        <v>100</v>
      </c>
      <c r="AC11" s="59">
        <f>'M1'!H9*1</f>
        <v>85.169300000000007</v>
      </c>
      <c r="AE11" s="27" t="str">
        <f t="shared" si="12"/>
        <v>平衡</v>
      </c>
      <c r="AF11" s="59">
        <f>'M2'!B9*1</f>
        <v>61.695</v>
      </c>
      <c r="AG11" s="59">
        <f>'M2'!C9*1</f>
        <v>8.2412899999999993</v>
      </c>
      <c r="AH11" s="59">
        <f>'M2'!D9*1</f>
        <v>13.3581</v>
      </c>
      <c r="AI11" s="59">
        <f>'M2'!E9*1</f>
        <v>50</v>
      </c>
      <c r="AJ11" s="59">
        <f>'M2'!F9*1</f>
        <v>33.569899999999997</v>
      </c>
      <c r="AK11" s="59">
        <f>'M2'!G9*1</f>
        <v>100</v>
      </c>
      <c r="AL11" s="59">
        <f>'M2'!H9*1</f>
        <v>71.672300000000007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-0.38631999999999955</v>
      </c>
      <c r="D12" s="51">
        <f>N13</f>
        <v>-1.2906399999999998</v>
      </c>
      <c r="E12" s="53">
        <f>T13</f>
        <v>-0.91130000000000067</v>
      </c>
      <c r="F12" s="53">
        <f>P13</f>
        <v>-3.4427999999999983</v>
      </c>
      <c r="G12" s="73" t="str">
        <f>CONCATENATE(M14,"
(50 ~ 100)")</f>
        <v>自我调节
(50 ~ 100)</v>
      </c>
      <c r="H12" s="24">
        <f>R14</f>
        <v>-27.611399999999996</v>
      </c>
      <c r="I12" s="52">
        <f>N14</f>
        <v>-16.419300000000007</v>
      </c>
      <c r="J12" s="24">
        <f>T14</f>
        <v>-2.9470000000000027</v>
      </c>
      <c r="K12" s="25">
        <f>P14</f>
        <v>9.5695100000000011</v>
      </c>
      <c r="L12" s="4"/>
      <c r="M12" s="27" t="str">
        <f>lang!B19</f>
        <v>自信</v>
      </c>
      <c r="N12" s="59">
        <f t="shared" si="4"/>
        <v>-29.298200000000001</v>
      </c>
      <c r="O12" s="59">
        <f t="shared" si="5"/>
        <v>0.66215000000000046</v>
      </c>
      <c r="P12" s="59">
        <f t="shared" si="6"/>
        <v>8.6495999999999995</v>
      </c>
      <c r="Q12" s="59">
        <f t="shared" si="7"/>
        <v>0</v>
      </c>
      <c r="R12" s="59">
        <f t="shared" si="8"/>
        <v>-25.826500000000003</v>
      </c>
      <c r="S12" s="59">
        <f t="shared" si="9"/>
        <v>0</v>
      </c>
      <c r="T12" s="59">
        <f t="shared" si="10"/>
        <v>-5.6674000000000007</v>
      </c>
      <c r="U12" s="15"/>
      <c r="V12" s="27" t="str">
        <f t="shared" si="11"/>
        <v>自信</v>
      </c>
      <c r="W12" s="59">
        <f>'M1'!B10*1</f>
        <v>75.411500000000004</v>
      </c>
      <c r="X12" s="59">
        <f>'M1'!C10*1</f>
        <v>8.5620700000000003</v>
      </c>
      <c r="Y12" s="59">
        <f>'M1'!D10*1</f>
        <v>11.3538</v>
      </c>
      <c r="Z12" s="59">
        <f>'M1'!E10*1</f>
        <v>40</v>
      </c>
      <c r="AA12" s="59">
        <f>'M1'!F10*1</f>
        <v>55.006500000000003</v>
      </c>
      <c r="AB12" s="59">
        <f>'M1'!G10*1</f>
        <v>100</v>
      </c>
      <c r="AC12" s="59">
        <f>'M1'!H10*1</f>
        <v>78.710099999999997</v>
      </c>
      <c r="AE12" s="27" t="str">
        <f t="shared" si="12"/>
        <v>自信</v>
      </c>
      <c r="AF12" s="59">
        <f>'M2'!B10*1</f>
        <v>46.113300000000002</v>
      </c>
      <c r="AG12" s="59">
        <f>'M2'!C10*1</f>
        <v>9.2242200000000008</v>
      </c>
      <c r="AH12" s="59">
        <f>'M2'!D10*1</f>
        <v>20.003399999999999</v>
      </c>
      <c r="AI12" s="59">
        <f>'M2'!E10*1</f>
        <v>40</v>
      </c>
      <c r="AJ12" s="59">
        <f>'M2'!F10*1</f>
        <v>29.18</v>
      </c>
      <c r="AK12" s="59">
        <f>'M2'!G10*1</f>
        <v>100</v>
      </c>
      <c r="AL12" s="59">
        <f>'M2'!H10*1</f>
        <v>73.042699999999996</v>
      </c>
    </row>
    <row r="13" spans="2:38" ht="25.5" customHeight="1" thickBot="1">
      <c r="B13" s="72" t="str">
        <f>CONCATENATE(M15,"
(10 ~ 25)")</f>
        <v>抑郁
(10 ~ 25)</v>
      </c>
      <c r="C13" s="54">
        <f>R15</f>
        <v>1.4322999999999997</v>
      </c>
      <c r="D13" s="55">
        <f>N15</f>
        <v>-0.99919999999999831</v>
      </c>
      <c r="E13" s="56">
        <f>T15</f>
        <v>-0.40690000000000026</v>
      </c>
      <c r="F13" s="56">
        <f>P15</f>
        <v>-6.2853999999999992</v>
      </c>
      <c r="G13" s="74" t="str">
        <f>CONCATENATE(M16,"
(10 ~ 50)")</f>
        <v>神经质
(10 ~ 50)</v>
      </c>
      <c r="H13" s="54">
        <f>R16</f>
        <v>1.0719799999999999</v>
      </c>
      <c r="I13" s="55">
        <f>N16</f>
        <v>-13.075199999999999</v>
      </c>
      <c r="J13" s="56">
        <f>T16</f>
        <v>8.8000000000008072E-3</v>
      </c>
      <c r="K13" s="57">
        <f>P16</f>
        <v>21.3309</v>
      </c>
      <c r="M13" s="27" t="str">
        <f>lang!B20</f>
        <v>活力</v>
      </c>
      <c r="N13" s="59">
        <f t="shared" si="4"/>
        <v>-1.2906399999999998</v>
      </c>
      <c r="O13" s="59">
        <f t="shared" si="5"/>
        <v>-0.70101999999999975</v>
      </c>
      <c r="P13" s="59">
        <f t="shared" si="6"/>
        <v>-3.4427999999999983</v>
      </c>
      <c r="Q13" s="59">
        <f t="shared" si="7"/>
        <v>0</v>
      </c>
      <c r="R13" s="59">
        <f t="shared" si="8"/>
        <v>-0.38631999999999955</v>
      </c>
      <c r="S13" s="59">
        <f t="shared" si="9"/>
        <v>0</v>
      </c>
      <c r="T13" s="59">
        <f t="shared" si="10"/>
        <v>-0.91130000000000067</v>
      </c>
      <c r="U13" s="14"/>
      <c r="V13" s="27" t="str">
        <f t="shared" si="11"/>
        <v>活力</v>
      </c>
      <c r="W13" s="59">
        <f>'M1'!B11*1</f>
        <v>10.1431</v>
      </c>
      <c r="X13" s="59">
        <f>'M1'!C11*1</f>
        <v>3.1142099999999999</v>
      </c>
      <c r="Y13" s="59">
        <f>'M1'!D11*1</f>
        <v>30.7029</v>
      </c>
      <c r="Z13" s="59">
        <f>'M1'!E11*1</f>
        <v>10</v>
      </c>
      <c r="AA13" s="59">
        <f>'M1'!F11*1</f>
        <v>4.5401699999999998</v>
      </c>
      <c r="AB13" s="59">
        <f>'M1'!G11*1</f>
        <v>50</v>
      </c>
      <c r="AC13" s="59">
        <f>'M1'!H11*1</f>
        <v>13.726800000000001</v>
      </c>
      <c r="AE13" s="27" t="str">
        <f t="shared" si="12"/>
        <v>活力</v>
      </c>
      <c r="AF13" s="59">
        <f>'M2'!B11*1</f>
        <v>8.8524600000000007</v>
      </c>
      <c r="AG13" s="59">
        <f>'M2'!C11*1</f>
        <v>2.4131900000000002</v>
      </c>
      <c r="AH13" s="59">
        <f>'M2'!D11*1</f>
        <v>27.260100000000001</v>
      </c>
      <c r="AI13" s="59">
        <f>'M2'!E11*1</f>
        <v>10</v>
      </c>
      <c r="AJ13" s="59">
        <f>'M2'!F11*1</f>
        <v>4.1538500000000003</v>
      </c>
      <c r="AK13" s="59">
        <f>'M2'!G11*1</f>
        <v>50</v>
      </c>
      <c r="AL13" s="59">
        <f>'M2'!H11*1</f>
        <v>12.8155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-16.419300000000007</v>
      </c>
      <c r="O14" s="59">
        <f t="shared" si="5"/>
        <v>4.4687200000000002</v>
      </c>
      <c r="P14" s="59">
        <f t="shared" si="6"/>
        <v>9.5695100000000011</v>
      </c>
      <c r="Q14" s="59">
        <f t="shared" si="7"/>
        <v>0</v>
      </c>
      <c r="R14" s="59">
        <f t="shared" si="8"/>
        <v>-27.611399999999996</v>
      </c>
      <c r="S14" s="59">
        <f t="shared" si="9"/>
        <v>0</v>
      </c>
      <c r="T14" s="59">
        <f t="shared" si="10"/>
        <v>-2.9470000000000027</v>
      </c>
      <c r="U14" s="14"/>
      <c r="V14" s="27" t="str">
        <f t="shared" si="11"/>
        <v>自我调节</v>
      </c>
      <c r="W14" s="59">
        <f>'M1'!B12*1</f>
        <v>70.019800000000004</v>
      </c>
      <c r="X14" s="59">
        <f>'M1'!C12*1</f>
        <v>2.81717</v>
      </c>
      <c r="Y14" s="59">
        <f>'M1'!D12*1</f>
        <v>4.02339</v>
      </c>
      <c r="Z14" s="59">
        <f>'M1'!E12*1</f>
        <v>50</v>
      </c>
      <c r="AA14" s="59">
        <f>'M1'!F12*1</f>
        <v>63.183199999999999</v>
      </c>
      <c r="AB14" s="59">
        <f>'M1'!G12*1</f>
        <v>100</v>
      </c>
      <c r="AC14" s="59">
        <f>'M1'!H12*1</f>
        <v>74.650800000000004</v>
      </c>
      <c r="AE14" s="27" t="str">
        <f t="shared" si="12"/>
        <v>自我调节</v>
      </c>
      <c r="AF14" s="59">
        <f>'M2'!B12*1</f>
        <v>53.600499999999997</v>
      </c>
      <c r="AG14" s="59">
        <f>'M2'!C12*1</f>
        <v>7.2858900000000002</v>
      </c>
      <c r="AH14" s="59">
        <f>'M2'!D12*1</f>
        <v>13.5929</v>
      </c>
      <c r="AI14" s="59">
        <f>'M2'!E12*1</f>
        <v>50</v>
      </c>
      <c r="AJ14" s="59">
        <f>'M2'!F12*1</f>
        <v>35.571800000000003</v>
      </c>
      <c r="AK14" s="59">
        <f>'M2'!G12*1</f>
        <v>100</v>
      </c>
      <c r="AL14" s="59">
        <f>'M2'!H12*1</f>
        <v>71.703800000000001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-0.99919999999999831</v>
      </c>
      <c r="O15" s="59">
        <f t="shared" si="5"/>
        <v>-1.3075199999999998</v>
      </c>
      <c r="P15" s="59">
        <f t="shared" si="6"/>
        <v>-6.2853999999999992</v>
      </c>
      <c r="Q15" s="59">
        <f t="shared" si="7"/>
        <v>0</v>
      </c>
      <c r="R15" s="59">
        <f t="shared" si="8"/>
        <v>1.4322999999999997</v>
      </c>
      <c r="S15" s="59">
        <f t="shared" si="9"/>
        <v>0</v>
      </c>
      <c r="T15" s="59">
        <f t="shared" si="10"/>
        <v>-0.40690000000000026</v>
      </c>
      <c r="U15" s="14"/>
      <c r="V15" s="27" t="str">
        <f t="shared" si="11"/>
        <v>抑郁</v>
      </c>
      <c r="W15" s="59">
        <f>'M1'!B13*1</f>
        <v>18.7104</v>
      </c>
      <c r="X15" s="59">
        <f>'M1'!C13*1</f>
        <v>3.63855</v>
      </c>
      <c r="Y15" s="59">
        <f>'M1'!D13*1</f>
        <v>19.4467</v>
      </c>
      <c r="Z15" s="59">
        <f>'M1'!E13*1</f>
        <v>10</v>
      </c>
      <c r="AA15" s="59">
        <f>'M1'!F13*1</f>
        <v>13.2667</v>
      </c>
      <c r="AB15" s="59">
        <f>'M1'!G13*1</f>
        <v>25</v>
      </c>
      <c r="AC15" s="59">
        <f>'M1'!H13*1</f>
        <v>28.053699999999999</v>
      </c>
      <c r="AE15" s="27" t="str">
        <f t="shared" si="12"/>
        <v>抑郁</v>
      </c>
      <c r="AF15" s="59">
        <f>'M2'!B13*1</f>
        <v>17.711200000000002</v>
      </c>
      <c r="AG15" s="59">
        <f>'M2'!C13*1</f>
        <v>2.3310300000000002</v>
      </c>
      <c r="AH15" s="59">
        <f>'M2'!D13*1</f>
        <v>13.161300000000001</v>
      </c>
      <c r="AI15" s="59">
        <f>'M2'!E13*1</f>
        <v>10</v>
      </c>
      <c r="AJ15" s="59">
        <f>'M2'!F13*1</f>
        <v>14.699</v>
      </c>
      <c r="AK15" s="59">
        <f>'M2'!G13*1</f>
        <v>25</v>
      </c>
      <c r="AL15" s="59">
        <f>'M2'!H13*1</f>
        <v>27.646799999999999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-13.075199999999999</v>
      </c>
      <c r="O16" s="59">
        <f t="shared" si="5"/>
        <v>0.8462000000000014</v>
      </c>
      <c r="P16" s="59">
        <f t="shared" si="6"/>
        <v>21.3309</v>
      </c>
      <c r="Q16" s="59">
        <f t="shared" si="7"/>
        <v>0</v>
      </c>
      <c r="R16" s="59">
        <f t="shared" si="8"/>
        <v>1.0719799999999999</v>
      </c>
      <c r="S16" s="59">
        <f t="shared" si="9"/>
        <v>0</v>
      </c>
      <c r="T16" s="59">
        <f t="shared" si="10"/>
        <v>8.8000000000008072E-3</v>
      </c>
      <c r="U16" s="15"/>
      <c r="V16" s="27" t="str">
        <f t="shared" si="11"/>
        <v>神经质</v>
      </c>
      <c r="W16" s="59">
        <f>'M1'!B14*1</f>
        <v>36.3855</v>
      </c>
      <c r="X16" s="59">
        <f>'M1'!C14*1</f>
        <v>11.481999999999999</v>
      </c>
      <c r="Y16" s="59">
        <f>'M1'!D14*1</f>
        <v>31.5565</v>
      </c>
      <c r="Z16" s="59">
        <f>'M1'!E14*1</f>
        <v>10</v>
      </c>
      <c r="AA16" s="59">
        <f>'M1'!F14*1</f>
        <v>2.2907600000000001</v>
      </c>
      <c r="AB16" s="59">
        <f>'M1'!G14*1</f>
        <v>50</v>
      </c>
      <c r="AC16" s="59">
        <f>'M1'!H14*1</f>
        <v>36.768799999999999</v>
      </c>
      <c r="AE16" s="27" t="str">
        <f t="shared" si="12"/>
        <v>神经质</v>
      </c>
      <c r="AF16" s="59">
        <f>'M2'!B14*1</f>
        <v>23.310300000000002</v>
      </c>
      <c r="AG16" s="59">
        <f>'M2'!C14*1</f>
        <v>12.328200000000001</v>
      </c>
      <c r="AH16" s="59">
        <f>'M2'!D14*1</f>
        <v>52.8874</v>
      </c>
      <c r="AI16" s="59">
        <f>'M2'!E14*1</f>
        <v>10</v>
      </c>
      <c r="AJ16" s="59">
        <f>'M2'!F14*1</f>
        <v>3.3627400000000001</v>
      </c>
      <c r="AK16" s="59">
        <f>'M2'!G14*1</f>
        <v>50</v>
      </c>
      <c r="AL16" s="59">
        <f>'M2'!H14*1</f>
        <v>36.7776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-13.774010000000001</v>
      </c>
      <c r="O17" s="22">
        <f>N17/(N17+N18+N19)</f>
        <v>0.91714932830213314</v>
      </c>
      <c r="P17" s="65">
        <f>SUM(P11:P14)/4</f>
        <v>4.5294025000000007</v>
      </c>
      <c r="Q17" s="22">
        <f>P17/(P17+P18+P19)</f>
        <v>1.0666942599332816</v>
      </c>
      <c r="R17" s="14"/>
      <c r="S17" s="14"/>
      <c r="T17" s="14"/>
      <c r="U17" s="14"/>
      <c r="V17" s="21" t="str">
        <f>M17</f>
        <v>Positive</v>
      </c>
      <c r="W17" s="65">
        <f>SUM(W11:W14)/4</f>
        <v>56.339325000000002</v>
      </c>
      <c r="X17" s="22">
        <f>W17/(W17+W18+W19)</f>
        <v>0.50110412777685753</v>
      </c>
      <c r="Y17" s="65">
        <f>SUM(Y11:Y14)/4</f>
        <v>14.024222499999999</v>
      </c>
      <c r="Z17" s="22">
        <f>Y17/(Y17+Y18+Y19)</f>
        <v>0.23187517099675187</v>
      </c>
      <c r="AA17" s="14"/>
      <c r="AB17" s="14"/>
      <c r="AC17" s="14"/>
      <c r="AE17" s="21" t="str">
        <f>V17</f>
        <v>Positive</v>
      </c>
      <c r="AF17" s="65">
        <f>SUM(AF11:AF14)/4</f>
        <v>42.565314999999998</v>
      </c>
      <c r="AG17" s="22">
        <f>AF17/(AF17+AF18+AF19)</f>
        <v>0.43696131558208018</v>
      </c>
      <c r="AH17" s="65">
        <f>SUM(AH11:AH14)/4</f>
        <v>18.553625</v>
      </c>
      <c r="AI17" s="22">
        <f>AH17/(AH17+AH18+AH19)</f>
        <v>0.28663993968914453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5.7929250000000003</v>
      </c>
      <c r="O18" s="22">
        <f>N18/(N17+N18+N19)</f>
        <v>-0.38572480146701177</v>
      </c>
      <c r="P18" s="18">
        <f>SUM(P7:P10)/4</f>
        <v>-7.8059475000000003</v>
      </c>
      <c r="Q18" s="22">
        <f>P18/(P17+P18+P19)</f>
        <v>-1.8383350544780572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28.543099999999999</v>
      </c>
      <c r="X18" s="22">
        <f>W18/(W17+W18+W19)</f>
        <v>0.25387356397236954</v>
      </c>
      <c r="Y18" s="18">
        <f>SUM(Y7:Y10)/4</f>
        <v>20.955954999999999</v>
      </c>
      <c r="Z18" s="22">
        <f>Y18/(Y17+Y18+Y19)</f>
        <v>0.34648378182999007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34.336024999999999</v>
      </c>
      <c r="AG18" s="22">
        <f>AF18/(AF17+AF18+AF19)</f>
        <v>0.3524821713608649</v>
      </c>
      <c r="AH18" s="18">
        <f>SUM(AH7:AH10)/4</f>
        <v>13.150007499999999</v>
      </c>
      <c r="AI18" s="22">
        <f>AH18/(AH17+AH18+AH19)</f>
        <v>0.20315800048302138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-7.0371999999999986</v>
      </c>
      <c r="O19" s="22">
        <f>N19/(N17+N18+N19)</f>
        <v>0.46857547316487863</v>
      </c>
      <c r="P19" s="18">
        <f>(P15+P16)/2</f>
        <v>7.5227500000000003</v>
      </c>
      <c r="Q19" s="22">
        <f>P19/(P17+P18+P19)</f>
        <v>1.7716407945447756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27.54795</v>
      </c>
      <c r="X19" s="22">
        <f>W19/(W17+W18+W19)</f>
        <v>0.24502230825077298</v>
      </c>
      <c r="Y19" s="18">
        <f>(Y15+Y16)/2</f>
        <v>25.5016</v>
      </c>
      <c r="Z19" s="22">
        <f>Y19/(Y17+Y18+Y19)</f>
        <v>0.42164104717325812</v>
      </c>
      <c r="AA19" s="14"/>
      <c r="AB19" s="14"/>
      <c r="AC19" s="14"/>
      <c r="AE19" s="21" t="str">
        <f t="shared" si="14"/>
        <v>Physiological</v>
      </c>
      <c r="AF19" s="18">
        <f>(AF15+AF16)/2</f>
        <v>20.510750000000002</v>
      </c>
      <c r="AG19" s="22">
        <f>AF19/(AF17+AF18+AF19)</f>
        <v>0.21055651305705483</v>
      </c>
      <c r="AH19" s="18">
        <f>(AH15+AH16)/2</f>
        <v>33.024349999999998</v>
      </c>
      <c r="AI19" s="22">
        <f>AH19/(AH17+AH18+AH19)</f>
        <v>0.51020205982783418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0.96/0.91</v>
      </c>
      <c r="D24" s="44" t="str">
        <f>lang!B11</f>
        <v>频率方差</v>
      </c>
      <c r="E24" s="142" t="str">
        <f ca="1">CONCATENATE(ROUND('FH1'!L3,2),"/",ROUND('FH2'!L3,2))</f>
        <v>0.53/0.48</v>
      </c>
      <c r="F24" s="143"/>
      <c r="G24" s="134" t="str">
        <f>lang!B12</f>
        <v>生理变化率</v>
      </c>
      <c r="H24" s="135"/>
      <c r="I24" s="62" t="str">
        <f ca="1">CONCATENATE(info!M7,"-",info!M8)</f>
        <v>45.1-69.5</v>
      </c>
      <c r="J24" s="42" t="str">
        <f>lang!B13</f>
        <v>千卡l/分钟</v>
      </c>
      <c r="K24" s="41" t="str">
        <f ca="1">CONCATENATE(info!M5,"-",info!M6)</f>
        <v>1.2-2.4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-6.9832000000000001</v>
      </c>
      <c r="F27" s="164"/>
      <c r="G27" s="178" t="str">
        <f>lang!B33</f>
        <v>稳定性</v>
      </c>
      <c r="H27" s="179"/>
      <c r="I27" s="180"/>
      <c r="J27" s="181">
        <f>dM!B19*100</f>
        <v>2.4758999999999975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-0.97127445424592695</v>
      </c>
      <c r="C2">
        <f t="array" aca="1" ref="C2" ca="1">CORREL(FT_E02,FT_PH02)</f>
        <v>-0.98582402117563928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1.1651899999999999</v>
      </c>
      <c r="G2" s="61">
        <f>IF(FT!B2&lt;&gt;"",FT!B2*100,"")</f>
        <v>69.485399999999998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1.1944399999999999</v>
      </c>
      <c r="G3" s="61">
        <f>IF(FT!B3&lt;&gt;"",FT!B3*100,"")</f>
        <v>68.548100000000005</v>
      </c>
      <c r="H3" s="61">
        <f t="shared" ref="H3:H66" si="1">(IF(F3&lt;&gt;"",1,""))</f>
        <v>1</v>
      </c>
      <c r="I3" t="str">
        <f>IF(FT!B3&lt;&gt;"",FT!E3,"")</f>
        <v>1 [0.381890]</v>
      </c>
      <c r="J3">
        <f>IF(FT!B3&lt;&gt;"",FT!C3,"")</f>
        <v>0.38189000000000001</v>
      </c>
      <c r="K3" t="s">
        <v>52</v>
      </c>
      <c r="L3">
        <f>SUM(H2:H2005)</f>
        <v>149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0.50858032432432443</v>
      </c>
      <c r="V3">
        <f ca="1">AVERAGE(OFFSET(FT!B2,info!$L$3/2,0,info!$L$3/2,1))</f>
        <v>0.54191144594594598</v>
      </c>
      <c r="W3">
        <f ca="1">AVERAGE(OFFSET(FT!A2,0,0,info!$L$3/2,1))</f>
        <v>0.20287999999999998</v>
      </c>
      <c r="X3">
        <f ca="1">AVERAGE(OFFSET(FT!A2,info!$L$3/2,0,info!$L$3/2,1))</f>
        <v>0.17929095945945955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1.2242899999999999</v>
      </c>
      <c r="G4" s="61">
        <f>IF(FT!B4&lt;&gt;"",FT!B4*100,"")</f>
        <v>67.587100000000007</v>
      </c>
      <c r="H4" s="61">
        <f t="shared" si="1"/>
        <v>1</v>
      </c>
      <c r="I4" t="str">
        <f>IF(FT!B4&lt;&gt;"",FT!E4,"")</f>
        <v>1 [0.785800]</v>
      </c>
      <c r="J4">
        <f>IF(FT!B4&lt;&gt;"",FT!C4,"")</f>
        <v>0.78580000000000005</v>
      </c>
      <c r="O4">
        <f>O3+1</f>
        <v>1</v>
      </c>
      <c r="P4">
        <v>0</v>
      </c>
      <c r="Q4">
        <f>IF(R4=1998,0,R4)</f>
        <v>74</v>
      </c>
      <c r="R4">
        <f t="array" ref="R4">MAX(IF(ft_nq=O4,row_n))</f>
        <v>74</v>
      </c>
      <c r="S4">
        <f>Q4-P4+1</f>
        <v>75</v>
      </c>
      <c r="U4">
        <f>MAX(FT!C2:C4000)/4</f>
        <v>15.036275</v>
      </c>
      <c r="V4">
        <f>U4*3</f>
        <v>45.108824999999996</v>
      </c>
      <c r="W4">
        <f>U4</f>
        <v>15.036275</v>
      </c>
      <c r="X4">
        <f>V4</f>
        <v>45.108824999999996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1.2573599999999998</v>
      </c>
      <c r="G5" s="61">
        <f>IF(FT!B5&lt;&gt;"",FT!B5*100,"")</f>
        <v>66.561099999999996</v>
      </c>
      <c r="H5" s="61">
        <f t="shared" si="1"/>
        <v>1</v>
      </c>
      <c r="I5" t="str">
        <f>IF(FT!B5&lt;&gt;"",FT!E5,"")</f>
        <v>1 [1.189816]</v>
      </c>
      <c r="J5">
        <f>IF(FT!B5&lt;&gt;"",FT!C5,"")</f>
        <v>1.1898200000000001</v>
      </c>
      <c r="K5" t="s">
        <v>53</v>
      </c>
      <c r="L5" s="63">
        <f ca="1">MIN(FT_E)</f>
        <v>1.1651899999999999</v>
      </c>
      <c r="M5" s="63">
        <f ca="1">ROUND(L5,1)</f>
        <v>1.2</v>
      </c>
      <c r="O5">
        <f t="shared" ref="O5:O27" si="4">O4+1</f>
        <v>2</v>
      </c>
      <c r="P5">
        <f>IF(OR(R5=1998,R5=0),0,Q4)</f>
        <v>74</v>
      </c>
      <c r="Q5">
        <f>IF(R5=1998,0,R5)</f>
        <v>148</v>
      </c>
      <c r="R5">
        <f t="array" ref="R5">MAX(IF(ft_nq=O5,row_n))</f>
        <v>148</v>
      </c>
      <c r="S5">
        <f t="shared" ref="S5:S27" si="5">Q5-P5+1</f>
        <v>75</v>
      </c>
      <c r="U5">
        <f ca="1">U3*100</f>
        <v>50.858032432432445</v>
      </c>
      <c r="V5">
        <f ca="1">V3*100</f>
        <v>54.191144594594597</v>
      </c>
      <c r="W5">
        <f ca="1">W3*10</f>
        <v>2.0287999999999999</v>
      </c>
      <c r="X5">
        <f ca="1">X3*10</f>
        <v>1.7929095945945956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1.29366</v>
      </c>
      <c r="G6" s="61">
        <f>IF(FT!B6&lt;&gt;"",FT!B6*100,"")</f>
        <v>65.472699999999989</v>
      </c>
      <c r="H6" s="61">
        <f t="shared" si="1"/>
        <v>1</v>
      </c>
      <c r="I6" t="str">
        <f>IF(FT!B6&lt;&gt;"",FT!E6,"")</f>
        <v>1 [1.595678]</v>
      </c>
      <c r="J6">
        <f>IF(FT!B6&lt;&gt;"",FT!C6,"")</f>
        <v>1.59568</v>
      </c>
      <c r="K6" t="s">
        <v>54</v>
      </c>
      <c r="L6" s="63">
        <f ca="1">MAX(FT_E)</f>
        <v>2.3906399999999999</v>
      </c>
      <c r="M6" s="63">
        <f ca="1">ROUND(L6,1)</f>
        <v>2.4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1.3289500000000001</v>
      </c>
      <c r="G7" s="61">
        <f>IF(FT!B7&lt;&gt;"",FT!B7*100,"")</f>
        <v>64.407200000000003</v>
      </c>
      <c r="H7" s="61">
        <f t="shared" si="1"/>
        <v>1</v>
      </c>
      <c r="I7" t="str">
        <f>IF(FT!B7&lt;&gt;"",FT!E7,"")</f>
        <v>1 [2.002732]</v>
      </c>
      <c r="J7">
        <f>IF(FT!B7&lt;&gt;"",FT!C7,"")</f>
        <v>2.0027300000000001</v>
      </c>
      <c r="K7" t="s">
        <v>55</v>
      </c>
      <c r="L7" s="63">
        <f ca="1">MIN(FT_PH)</f>
        <v>45.140500000000003</v>
      </c>
      <c r="M7" s="63">
        <f ca="1">ROUND(L7,1)</f>
        <v>45.1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28383</v>
      </c>
      <c r="D8" s="61">
        <f>FH!B8*1</f>
        <v>28383</v>
      </c>
      <c r="E8">
        <f t="shared" si="3"/>
        <v>6</v>
      </c>
      <c r="F8" s="61">
        <f>IF(FT!A8&lt;&gt;"",FT!A8*10,"")</f>
        <v>1.3648400000000001</v>
      </c>
      <c r="G8" s="61">
        <f>IF(FT!B8&lt;&gt;"",FT!B8*100,"")</f>
        <v>63.343199999999996</v>
      </c>
      <c r="H8" s="61">
        <f t="shared" si="1"/>
        <v>1</v>
      </c>
      <c r="I8" t="str">
        <f>IF(FT!B8&lt;&gt;"",FT!E8,"")</f>
        <v>1 [2.409534]</v>
      </c>
      <c r="J8">
        <f>IF(FT!B8&lt;&gt;"",FT!C8,"")</f>
        <v>2.4095300000000002</v>
      </c>
      <c r="K8" t="s">
        <v>56</v>
      </c>
      <c r="L8" s="63">
        <f ca="1">MAX(FT_PH)</f>
        <v>69.485399999999998</v>
      </c>
      <c r="M8" s="63">
        <f ca="1">ROUND(L8,1)</f>
        <v>69.5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1.3997000000000002</v>
      </c>
      <c r="G9" s="61">
        <f>IF(FT!B9&lt;&gt;"",FT!B9*100,"")</f>
        <v>62.246299999999998</v>
      </c>
      <c r="H9" s="61">
        <f t="shared" si="1"/>
        <v>1</v>
      </c>
      <c r="I9" t="str">
        <f>IF(FT!B9&lt;&gt;"",FT!E9,"")</f>
        <v>1 [2.817387]</v>
      </c>
      <c r="J9">
        <f>IF(FT!B9&lt;&gt;"",FT!C9,"")</f>
        <v>2.8173900000000001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44060</v>
      </c>
      <c r="D10" s="61">
        <f>FH!B10*1</f>
        <v>44060</v>
      </c>
      <c r="E10">
        <f t="shared" si="3"/>
        <v>8</v>
      </c>
      <c r="F10" s="61">
        <f>IF(FT!A10&lt;&gt;"",FT!A10*10,"")</f>
        <v>1.4358399999999998</v>
      </c>
      <c r="G10" s="61">
        <f>IF(FT!B10&lt;&gt;"",FT!B10*100,"")</f>
        <v>61.102699999999999</v>
      </c>
      <c r="H10" s="61">
        <f t="shared" si="1"/>
        <v>1</v>
      </c>
      <c r="I10" t="str">
        <f>IF(FT!B10&lt;&gt;"",FT!E10,"")</f>
        <v>1 [3.222443]</v>
      </c>
      <c r="J10">
        <f>IF(FT!B10&lt;&gt;"",FT!C10,"")</f>
        <v>3.2224400000000002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1.47234</v>
      </c>
      <c r="G11" s="61">
        <f>IF(FT!B11&lt;&gt;"",FT!B11*100,"")</f>
        <v>59.986399999999996</v>
      </c>
      <c r="H11" s="61">
        <f t="shared" si="1"/>
        <v>1</v>
      </c>
      <c r="I11" t="str">
        <f>IF(FT!B11&lt;&gt;"",FT!E11,"")</f>
        <v>1 [3.626258]</v>
      </c>
      <c r="J11">
        <f>IF(FT!B11&lt;&gt;"",FT!C11,"")</f>
        <v>3.6262599999999998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1.5096599999999998</v>
      </c>
      <c r="G12" s="61">
        <f>IF(FT!B12&lt;&gt;"",FT!B12*100,"")</f>
        <v>58.908899999999996</v>
      </c>
      <c r="H12" s="61">
        <f t="shared" si="1"/>
        <v>1</v>
      </c>
      <c r="I12" t="str">
        <f>IF(FT!B12&lt;&gt;"",FT!E12,"")</f>
        <v>1 [4.036261]</v>
      </c>
      <c r="J12">
        <f>IF(FT!B12&lt;&gt;"",FT!C12,"")</f>
        <v>4.0362600000000004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64892</v>
      </c>
      <c r="D13" s="61">
        <f>FH!B13*1</f>
        <v>64892</v>
      </c>
      <c r="E13">
        <f t="shared" si="3"/>
        <v>11</v>
      </c>
      <c r="F13" s="61">
        <f>IF(FT!A13&lt;&gt;"",FT!A13*10,"")</f>
        <v>1.5469200000000001</v>
      </c>
      <c r="G13" s="61">
        <f>IF(FT!B13&lt;&gt;"",FT!B13*100,"")</f>
        <v>57.889400000000002</v>
      </c>
      <c r="H13" s="61">
        <f t="shared" si="1"/>
        <v>1</v>
      </c>
      <c r="I13" t="str">
        <f>IF(FT!B13&lt;&gt;"",FT!E13,"")</f>
        <v>1 [4.443031]</v>
      </c>
      <c r="J13">
        <f>IF(FT!B13&lt;&gt;"",FT!C13,"")</f>
        <v>4.4430300000000003</v>
      </c>
      <c r="L13" s="67">
        <f t="array" ref="L13">MAX(IF(ft_nq=2,row_n))</f>
        <v>148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1.5828600000000002</v>
      </c>
      <c r="G14" s="61">
        <f>IF(FT!B14&lt;&gt;"",FT!B14*100,"")</f>
        <v>56.946600000000004</v>
      </c>
      <c r="H14" s="61">
        <f t="shared" si="1"/>
        <v>1</v>
      </c>
      <c r="I14" t="str">
        <f>IF(FT!B14&lt;&gt;"",FT!E14,"")</f>
        <v>1 [4.844003]</v>
      </c>
      <c r="J14">
        <f>IF(FT!B14&lt;&gt;"",FT!C14,"")</f>
        <v>4.8440000000000003</v>
      </c>
      <c r="L14">
        <f>L13+1</f>
        <v>149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78072</v>
      </c>
      <c r="D15" s="61">
        <f>FH!B15*1</f>
        <v>78072</v>
      </c>
      <c r="E15">
        <f t="shared" si="3"/>
        <v>13</v>
      </c>
      <c r="F15" s="61">
        <f>IF(FT!A15&lt;&gt;"",FT!A15*10,"")</f>
        <v>1.6177299999999999</v>
      </c>
      <c r="G15" s="61">
        <f>IF(FT!B15&lt;&gt;"",FT!B15*100,"")</f>
        <v>56.0867</v>
      </c>
      <c r="H15" s="61">
        <f t="shared" si="1"/>
        <v>1</v>
      </c>
      <c r="I15" t="str">
        <f>IF(FT!B15&lt;&gt;"",FT!E15,"")</f>
        <v>1 [5.255029]</v>
      </c>
      <c r="J15">
        <f>IF(FT!B15&lt;&gt;"",FT!C15,"")</f>
        <v>5.2550299999999996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1.6513</v>
      </c>
      <c r="G16" s="61">
        <f>IF(FT!B16&lt;&gt;"",FT!B16*100,"")</f>
        <v>55.332400000000007</v>
      </c>
      <c r="H16" s="61">
        <f t="shared" si="1"/>
        <v>1</v>
      </c>
      <c r="I16" t="str">
        <f>IF(FT!B16&lt;&gt;"",FT!E16,"")</f>
        <v>1 [5.658857]</v>
      </c>
      <c r="J16">
        <f>IF(FT!B16&lt;&gt;"",FT!C16,"")</f>
        <v>5.6588599999999998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1.6853499999999999</v>
      </c>
      <c r="G17" s="61">
        <f>IF(FT!B17&lt;&gt;"",FT!B17*100,"")</f>
        <v>54.629799999999996</v>
      </c>
      <c r="H17" s="61">
        <f t="shared" si="1"/>
        <v>1</v>
      </c>
      <c r="I17" t="str">
        <f>IF(FT!B17&lt;&gt;"",FT!E17,"")</f>
        <v>1 [6.063972]</v>
      </c>
      <c r="J17">
        <f>IF(FT!B17&lt;&gt;"",FT!C17,"")</f>
        <v>6.0639700000000003</v>
      </c>
      <c r="L17">
        <f>L3+1</f>
        <v>150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84021</v>
      </c>
      <c r="D18" s="61">
        <f>FH!B18*1</f>
        <v>84021</v>
      </c>
      <c r="E18">
        <f t="shared" si="3"/>
        <v>16</v>
      </c>
      <c r="F18" s="61">
        <f>IF(FT!A18&lt;&gt;"",FT!A18*10,"")</f>
        <v>1.7216100000000001</v>
      </c>
      <c r="G18" s="61">
        <f>IF(FT!B18&lt;&gt;"",FT!B18*100,"")</f>
        <v>53.845600000000005</v>
      </c>
      <c r="H18" s="61">
        <f t="shared" si="1"/>
        <v>1</v>
      </c>
      <c r="I18" t="str">
        <f>IF(FT!B18&lt;&gt;"",FT!E18,"")</f>
        <v>1 [6.470729]</v>
      </c>
      <c r="J18">
        <f>IF(FT!B18&lt;&gt;"",FT!C18,"")</f>
        <v>6.4707299999999996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1.75963</v>
      </c>
      <c r="G19" s="61">
        <f>IF(FT!B19&lt;&gt;"",FT!B19*100,"")</f>
        <v>53.061999999999998</v>
      </c>
      <c r="H19" s="61">
        <f t="shared" si="1"/>
        <v>1</v>
      </c>
      <c r="I19" t="str">
        <f>IF(FT!B19&lt;&gt;"",FT!E19,"")</f>
        <v>1 [6.878518]</v>
      </c>
      <c r="J19">
        <f>IF(FT!B19&lt;&gt;"",FT!C19,"")</f>
        <v>6.87852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1.7971500000000002</v>
      </c>
      <c r="G20" s="61">
        <f>IF(FT!B20&lt;&gt;"",FT!B20*100,"")</f>
        <v>52.319000000000003</v>
      </c>
      <c r="H20" s="61">
        <f t="shared" si="1"/>
        <v>1</v>
      </c>
      <c r="I20" t="str">
        <f>IF(FT!B20&lt;&gt;"",FT!E20,"")</f>
        <v>1 [7.284409]</v>
      </c>
      <c r="J20">
        <f>IF(FT!B20&lt;&gt;"",FT!C20,"")</f>
        <v>7.2844100000000003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94434</v>
      </c>
      <c r="D21" s="61">
        <f>FH!B21*1</f>
        <v>94434</v>
      </c>
      <c r="E21">
        <f t="shared" si="3"/>
        <v>19</v>
      </c>
      <c r="F21" s="61">
        <f>IF(FT!A21&lt;&gt;"",FT!A21*10,"")</f>
        <v>1.8325100000000001</v>
      </c>
      <c r="G21" s="61">
        <f>IF(FT!B21&lt;&gt;"",FT!B21*100,"")</f>
        <v>51.683199999999999</v>
      </c>
      <c r="H21" s="61">
        <f t="shared" si="1"/>
        <v>1</v>
      </c>
      <c r="I21" t="str">
        <f>IF(FT!B21&lt;&gt;"",FT!E21,"")</f>
        <v>1 [7.689358]</v>
      </c>
      <c r="J21">
        <f>IF(FT!B21&lt;&gt;"",FT!C21,"")</f>
        <v>7.6893599999999998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1.8677999999999999</v>
      </c>
      <c r="G22" s="61">
        <f>IF(FT!B22&lt;&gt;"",FT!B22*100,"")</f>
        <v>51.0505</v>
      </c>
      <c r="H22" s="61">
        <f t="shared" si="1"/>
        <v>1</v>
      </c>
      <c r="I22" t="str">
        <f>IF(FT!B22&lt;&gt;"",FT!E22,"")</f>
        <v>1 [8.095736]</v>
      </c>
      <c r="J22">
        <f>IF(FT!B22&lt;&gt;"",FT!C22,"")</f>
        <v>8.0957399999999993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84317</v>
      </c>
      <c r="D23" s="61">
        <f>FH!B23*1</f>
        <v>84317</v>
      </c>
      <c r="E23">
        <f t="shared" si="3"/>
        <v>21</v>
      </c>
      <c r="F23" s="61">
        <f>IF(FT!A23&lt;&gt;"",FT!A23*10,"")</f>
        <v>1.9020899999999998</v>
      </c>
      <c r="G23" s="61">
        <f>IF(FT!B23&lt;&gt;"",FT!B23*100,"")</f>
        <v>50.510600000000004</v>
      </c>
      <c r="H23" s="61">
        <f t="shared" si="1"/>
        <v>1</v>
      </c>
      <c r="I23" t="str">
        <f>IF(FT!B23&lt;&gt;"",FT!E23,"")</f>
        <v>1 [8.502185]</v>
      </c>
      <c r="J23">
        <f>IF(FT!B23&lt;&gt;"",FT!C23,"")</f>
        <v>8.5021900000000006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1.93462</v>
      </c>
      <c r="G24" s="61">
        <f>IF(FT!B24&lt;&gt;"",FT!B24*100,"")</f>
        <v>50.100100000000005</v>
      </c>
      <c r="H24" s="61">
        <f t="shared" si="1"/>
        <v>1</v>
      </c>
      <c r="I24" t="str">
        <f>IF(FT!B24&lt;&gt;"",FT!E24,"")</f>
        <v>1 [8.912164]</v>
      </c>
      <c r="J24">
        <f>IF(FT!B24&lt;&gt;"",FT!C24,"")</f>
        <v>8.9121600000000001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1.9634399999999999</v>
      </c>
      <c r="G25" s="61">
        <f>IF(FT!B25&lt;&gt;"",FT!B25*100,"")</f>
        <v>49.8322</v>
      </c>
      <c r="H25" s="61">
        <f t="shared" si="1"/>
        <v>1</v>
      </c>
      <c r="I25" t="str">
        <f>IF(FT!B25&lt;&gt;"",FT!E25,"")</f>
        <v>1 [9.317055]</v>
      </c>
      <c r="J25">
        <f>IF(FT!B25&lt;&gt;"",FT!C25,"")</f>
        <v>9.3170599999999997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105728</v>
      </c>
      <c r="D26" s="61">
        <f>FH!B26*1</f>
        <v>105728</v>
      </c>
      <c r="E26">
        <f t="shared" si="3"/>
        <v>24</v>
      </c>
      <c r="F26" s="61">
        <f>IF(FT!A26&lt;&gt;"",FT!A26*10,"")</f>
        <v>1.9927900000000001</v>
      </c>
      <c r="G26" s="61">
        <f>IF(FT!B26&lt;&gt;"",FT!B26*100,"")</f>
        <v>49.525700000000001</v>
      </c>
      <c r="H26" s="61">
        <f t="shared" si="1"/>
        <v>1</v>
      </c>
      <c r="I26" t="str">
        <f>IF(FT!B26&lt;&gt;"",FT!E26,"")</f>
        <v>1 [9.721283]</v>
      </c>
      <c r="J26">
        <f>IF(FT!B26&lt;&gt;"",FT!C26,"")</f>
        <v>9.7212800000000001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2.02169</v>
      </c>
      <c r="G27" s="61">
        <f>IF(FT!B27&lt;&gt;"",FT!B27*100,"")</f>
        <v>49.259599999999999</v>
      </c>
      <c r="H27" s="61">
        <f t="shared" si="1"/>
        <v>1</v>
      </c>
      <c r="I27" t="str">
        <f>IF(FT!B27&lt;&gt;"",FT!E27,"")</f>
        <v>1 [10.126827]</v>
      </c>
      <c r="J27">
        <f>IF(FT!B27&lt;&gt;"",FT!C27,"")</f>
        <v>10.126799999999999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109603</v>
      </c>
      <c r="D28" s="61">
        <f>FH!B28*1</f>
        <v>109603</v>
      </c>
      <c r="E28">
        <f t="shared" si="3"/>
        <v>26</v>
      </c>
      <c r="F28" s="61">
        <f>IF(FT!A28&lt;&gt;"",FT!A28*10,"")</f>
        <v>2.0490900000000001</v>
      </c>
      <c r="G28" s="61">
        <f>IF(FT!B28&lt;&gt;"",FT!B28*100,"")</f>
        <v>49.067100000000003</v>
      </c>
      <c r="H28" s="61">
        <f t="shared" si="1"/>
        <v>1</v>
      </c>
      <c r="I28" t="str">
        <f>IF(FT!B28&lt;&gt;"",FT!E28,"")</f>
        <v>1 [10.532849]</v>
      </c>
      <c r="J28">
        <f>IF(FT!B28&lt;&gt;"",FT!C28,"")</f>
        <v>10.5328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2.0750099999999998</v>
      </c>
      <c r="G29" s="61">
        <f>IF(FT!B29&lt;&gt;"",FT!B29*100,"")</f>
        <v>48.936</v>
      </c>
      <c r="H29" s="61">
        <f t="shared" si="1"/>
        <v>1</v>
      </c>
      <c r="I29" t="str">
        <f>IF(FT!B29&lt;&gt;"",FT!E29,"")</f>
        <v>1 [10.941703]</v>
      </c>
      <c r="J29">
        <f>IF(FT!B29&lt;&gt;"",FT!C29,"")</f>
        <v>10.941700000000001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2.1007600000000002</v>
      </c>
      <c r="G30" s="61">
        <f>IF(FT!B30&lt;&gt;"",FT!B30*100,"")</f>
        <v>48.747800000000005</v>
      </c>
      <c r="H30" s="61">
        <f t="shared" si="1"/>
        <v>1</v>
      </c>
      <c r="I30" t="str">
        <f>IF(FT!B30&lt;&gt;"",FT!E30,"")</f>
        <v>1 [11.348553]</v>
      </c>
      <c r="J30">
        <f>IF(FT!B30&lt;&gt;"",FT!C30,"")</f>
        <v>11.348599999999999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118922</v>
      </c>
      <c r="D31" s="61">
        <f>FH!B31*1</f>
        <v>118922</v>
      </c>
      <c r="E31">
        <f t="shared" si="3"/>
        <v>29</v>
      </c>
      <c r="F31" s="61">
        <f>IF(FT!A31&lt;&gt;"",FT!A31*10,"")</f>
        <v>2.1252299999999997</v>
      </c>
      <c r="G31" s="61">
        <f>IF(FT!B31&lt;&gt;"",FT!B31*100,"")</f>
        <v>48.542900000000003</v>
      </c>
      <c r="H31" s="61">
        <f t="shared" si="1"/>
        <v>1</v>
      </c>
      <c r="I31" t="str">
        <f>IF(FT!B31&lt;&gt;"",FT!E31,"")</f>
        <v>1 [11.752494]</v>
      </c>
      <c r="J31">
        <f>IF(FT!B31&lt;&gt;"",FT!C31,"")</f>
        <v>11.7525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2.1486999999999998</v>
      </c>
      <c r="G32" s="61">
        <f>IF(FT!B32&lt;&gt;"",FT!B32*100,"")</f>
        <v>48.357099999999996</v>
      </c>
      <c r="H32" s="61">
        <f t="shared" si="1"/>
        <v>1</v>
      </c>
      <c r="I32" t="str">
        <f>IF(FT!B32&lt;&gt;"",FT!E32,"")</f>
        <v>1 [12.158414]</v>
      </c>
      <c r="J32">
        <f>IF(FT!B32&lt;&gt;"",FT!C32,"")</f>
        <v>12.1584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101941</v>
      </c>
      <c r="D33" s="61">
        <f>FH!B33*1</f>
        <v>101941</v>
      </c>
      <c r="E33">
        <f t="shared" si="3"/>
        <v>31</v>
      </c>
      <c r="F33" s="61">
        <f>IF(FT!A33&lt;&gt;"",FT!A33*10,"")</f>
        <v>2.1703700000000001</v>
      </c>
      <c r="G33" s="61">
        <f>IF(FT!B33&lt;&gt;"",FT!B33*100,"")</f>
        <v>48.2194</v>
      </c>
      <c r="H33" s="61">
        <f t="shared" si="1"/>
        <v>1</v>
      </c>
      <c r="I33" t="str">
        <f>IF(FT!B33&lt;&gt;"",FT!E33,"")</f>
        <v>1 [12.565337]</v>
      </c>
      <c r="J33">
        <f>IF(FT!B33&lt;&gt;"",FT!C33,"")</f>
        <v>12.565300000000001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2.1902599999999999</v>
      </c>
      <c r="G34" s="61">
        <f>IF(FT!B34&lt;&gt;"",FT!B34*100,"")</f>
        <v>48.0839</v>
      </c>
      <c r="H34" s="61">
        <f t="shared" si="1"/>
        <v>1</v>
      </c>
      <c r="I34" t="str">
        <f>IF(FT!B34&lt;&gt;"",FT!E34,"")</f>
        <v>1 [12.969182]</v>
      </c>
      <c r="J34">
        <f>IF(FT!B34&lt;&gt;"",FT!C34,"")</f>
        <v>12.969200000000001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2.2104599999999999</v>
      </c>
      <c r="G35" s="61">
        <f>IF(FT!B35&lt;&gt;"",FT!B35*100,"")</f>
        <v>47.881099999999996</v>
      </c>
      <c r="H35" s="61">
        <f t="shared" si="1"/>
        <v>1</v>
      </c>
      <c r="I35" t="str">
        <f>IF(FT!B35&lt;&gt;"",FT!E35,"")</f>
        <v>1 [13.374097]</v>
      </c>
      <c r="J35">
        <f>IF(FT!B35&lt;&gt;"",FT!C35,"")</f>
        <v>13.3741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109872</v>
      </c>
      <c r="D36" s="61">
        <f>FH!B36*1</f>
        <v>109872</v>
      </c>
      <c r="E36">
        <f t="shared" si="3"/>
        <v>34</v>
      </c>
      <c r="F36" s="61">
        <f>IF(FT!A36&lt;&gt;"",FT!A36*10,"")</f>
        <v>2.2312000000000003</v>
      </c>
      <c r="G36" s="61">
        <f>IF(FT!B36&lt;&gt;"",FT!B36*100,"")</f>
        <v>47.686299999999996</v>
      </c>
      <c r="H36" s="61">
        <f t="shared" si="1"/>
        <v>1</v>
      </c>
      <c r="I36" t="str">
        <f>IF(FT!B36&lt;&gt;"",FT!E36,"")</f>
        <v>1 [13.786033]</v>
      </c>
      <c r="J36">
        <f>IF(FT!B36&lt;&gt;"",FT!C36,"")</f>
        <v>13.786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2.25047</v>
      </c>
      <c r="G37" s="61">
        <f>IF(FT!B37&lt;&gt;"",FT!B37*100,"")</f>
        <v>47.539900000000003</v>
      </c>
      <c r="H37" s="61">
        <f t="shared" si="1"/>
        <v>1</v>
      </c>
      <c r="I37" t="str">
        <f>IF(FT!B37&lt;&gt;"",FT!E37,"")</f>
        <v>1 [14.192976]</v>
      </c>
      <c r="J37">
        <f>IF(FT!B37&lt;&gt;"",FT!C37,"")</f>
        <v>14.193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2.2674099999999999</v>
      </c>
      <c r="G38" s="61">
        <f>IF(FT!B38&lt;&gt;"",FT!B38*100,"")</f>
        <v>47.440800000000003</v>
      </c>
      <c r="H38" s="61">
        <f t="shared" si="1"/>
        <v>1</v>
      </c>
      <c r="I38" t="str">
        <f>IF(FT!B38&lt;&gt;"",FT!E38,"")</f>
        <v>1 [14.596823]</v>
      </c>
      <c r="J38">
        <f>IF(FT!B38&lt;&gt;"",FT!C38,"")</f>
        <v>14.5968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107930</v>
      </c>
      <c r="D39" s="61">
        <f>FH!B39*1</f>
        <v>107930</v>
      </c>
      <c r="E39">
        <f t="shared" si="3"/>
        <v>37</v>
      </c>
      <c r="F39" s="61">
        <f>IF(FT!A39&lt;&gt;"",FT!A39*10,"")</f>
        <v>2.28424</v>
      </c>
      <c r="G39" s="61">
        <f>IF(FT!B39&lt;&gt;"",FT!B39*100,"")</f>
        <v>47.328900000000004</v>
      </c>
      <c r="H39" s="61">
        <f t="shared" si="1"/>
        <v>1</v>
      </c>
      <c r="I39" t="str">
        <f>IF(FT!B39&lt;&gt;"",FT!E39,"")</f>
        <v>1 [15.002742]</v>
      </c>
      <c r="J39">
        <f>IF(FT!B39&lt;&gt;"",FT!C39,"")</f>
        <v>15.002700000000001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2.3008999999999999</v>
      </c>
      <c r="G40" s="61">
        <f>IF(FT!B40&lt;&gt;"",FT!B40*100,"")</f>
        <v>47.223599999999998</v>
      </c>
      <c r="H40" s="61">
        <f t="shared" si="1"/>
        <v>1</v>
      </c>
      <c r="I40" t="str">
        <f>IF(FT!B40&lt;&gt;"",FT!E40,"")</f>
        <v>1 [15.407970]</v>
      </c>
      <c r="J40">
        <f>IF(FT!B40&lt;&gt;"",FT!C40,"")</f>
        <v>15.407999999999999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103931</v>
      </c>
      <c r="D41" s="61">
        <f>FH!B41*1</f>
        <v>103931</v>
      </c>
      <c r="E41">
        <f t="shared" si="3"/>
        <v>39</v>
      </c>
      <c r="F41" s="61">
        <f>IF(FT!A41&lt;&gt;"",FT!A41*10,"")</f>
        <v>2.3176899999999998</v>
      </c>
      <c r="G41" s="61">
        <f>IF(FT!B41&lt;&gt;"",FT!B41*100,"")</f>
        <v>47.107199999999999</v>
      </c>
      <c r="H41" s="61">
        <f t="shared" si="1"/>
        <v>1</v>
      </c>
      <c r="I41" t="str">
        <f>IF(FT!B41&lt;&gt;"",FT!E41,"")</f>
        <v>1 [15.813823]</v>
      </c>
      <c r="J41">
        <f>IF(FT!B41&lt;&gt;"",FT!C41,"")</f>
        <v>15.813800000000001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2.3327400000000003</v>
      </c>
      <c r="G42" s="61">
        <f>IF(FT!B42&lt;&gt;"",FT!B42*100,"")</f>
        <v>46.988900000000001</v>
      </c>
      <c r="H42" s="61">
        <f t="shared" si="1"/>
        <v>1</v>
      </c>
      <c r="I42" t="str">
        <f>IF(FT!B42&lt;&gt;"",FT!E42,"")</f>
        <v>1 [16.224556]</v>
      </c>
      <c r="J42">
        <f>IF(FT!B42&lt;&gt;"",FT!C42,"")</f>
        <v>16.224599999999999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2.3444799999999999</v>
      </c>
      <c r="G43" s="61">
        <f>IF(FT!B43&lt;&gt;"",FT!B43*100,"")</f>
        <v>46.9343</v>
      </c>
      <c r="H43" s="61">
        <f t="shared" si="1"/>
        <v>1</v>
      </c>
      <c r="I43" t="str">
        <f>IF(FT!B43&lt;&gt;"",FT!E43,"")</f>
        <v>1 [16.627413]</v>
      </c>
      <c r="J43">
        <f>IF(FT!B43&lt;&gt;"",FT!C43,"")</f>
        <v>16.627400000000002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103897</v>
      </c>
      <c r="D44" s="61">
        <f>FH!B44*1</f>
        <v>103897</v>
      </c>
      <c r="E44">
        <f t="shared" si="3"/>
        <v>42</v>
      </c>
      <c r="F44" s="61">
        <f>IF(FT!A44&lt;&gt;"",FT!A44*10,"")</f>
        <v>2.3546200000000002</v>
      </c>
      <c r="G44" s="61">
        <f>IF(FT!B44&lt;&gt;"",FT!B44*100,"")</f>
        <v>46.841500000000003</v>
      </c>
      <c r="H44" s="61">
        <f t="shared" si="1"/>
        <v>1</v>
      </c>
      <c r="I44" t="str">
        <f>IF(FT!B44&lt;&gt;"",FT!E44,"")</f>
        <v>1 [17.035382]</v>
      </c>
      <c r="J44">
        <f>IF(FT!B44&lt;&gt;"",FT!C44,"")</f>
        <v>17.035399999999999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2.36341</v>
      </c>
      <c r="G45" s="61">
        <f>IF(FT!B45&lt;&gt;"",FT!B45*100,"")</f>
        <v>46.762700000000002</v>
      </c>
      <c r="H45" s="61">
        <f t="shared" si="1"/>
        <v>1</v>
      </c>
      <c r="I45" t="str">
        <f>IF(FT!B45&lt;&gt;"",FT!E45,"")</f>
        <v>1 [17.440516]</v>
      </c>
      <c r="J45">
        <f>IF(FT!B45&lt;&gt;"",FT!C45,"")</f>
        <v>17.4405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96749</v>
      </c>
      <c r="D46" s="61">
        <f>FH!B46*1</f>
        <v>96749</v>
      </c>
      <c r="E46">
        <f t="shared" si="3"/>
        <v>44</v>
      </c>
      <c r="F46" s="61">
        <f>IF(FT!A46&lt;&gt;"",FT!A46*10,"")</f>
        <v>2.3729900000000002</v>
      </c>
      <c r="G46" s="61">
        <f>IF(FT!B46&lt;&gt;"",FT!B46*100,"")</f>
        <v>46.649299999999997</v>
      </c>
      <c r="H46" s="61">
        <f t="shared" si="1"/>
        <v>1</v>
      </c>
      <c r="I46" t="str">
        <f>IF(FT!B46&lt;&gt;"",FT!E46,"")</f>
        <v>1 [17.845230]</v>
      </c>
      <c r="J46">
        <f>IF(FT!B46&lt;&gt;"",FT!C46,"")</f>
        <v>17.845199999999998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2.3811200000000001</v>
      </c>
      <c r="G47" s="61">
        <f>IF(FT!B47&lt;&gt;"",FT!B47*100,"")</f>
        <v>46.5852</v>
      </c>
      <c r="H47" s="61">
        <f t="shared" si="1"/>
        <v>1</v>
      </c>
      <c r="I47" t="str">
        <f>IF(FT!B47&lt;&gt;"",FT!E47,"")</f>
        <v>1 [18.253125]</v>
      </c>
      <c r="J47">
        <f>IF(FT!B47&lt;&gt;"",FT!C47,"")</f>
        <v>18.2531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2.3853800000000001</v>
      </c>
      <c r="G48" s="61">
        <f>IF(FT!B48&lt;&gt;"",FT!B48*100,"")</f>
        <v>46.583799999999997</v>
      </c>
      <c r="H48" s="61">
        <f t="shared" si="1"/>
        <v>1</v>
      </c>
      <c r="I48" t="str">
        <f>IF(FT!B48&lt;&gt;"",FT!E48,"")</f>
        <v>1 [18.658996]</v>
      </c>
      <c r="J48">
        <f>IF(FT!B48&lt;&gt;"",FT!C48,"")</f>
        <v>18.658999999999999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87401</v>
      </c>
      <c r="D49" s="61">
        <f>FH!B49*1</f>
        <v>87401</v>
      </c>
      <c r="E49">
        <f t="shared" si="3"/>
        <v>47</v>
      </c>
      <c r="F49" s="61">
        <f>IF(FT!A49&lt;&gt;"",FT!A49*10,"")</f>
        <v>2.3882700000000003</v>
      </c>
      <c r="G49" s="61">
        <f>IF(FT!B49&lt;&gt;"",FT!B49*100,"")</f>
        <v>46.555</v>
      </c>
      <c r="H49" s="61">
        <f t="shared" si="1"/>
        <v>1</v>
      </c>
      <c r="I49" t="str">
        <f>IF(FT!B49&lt;&gt;"",FT!E49,"")</f>
        <v>1 [19.064937]</v>
      </c>
      <c r="J49">
        <f>IF(FT!B49&lt;&gt;"",FT!C49,"")</f>
        <v>19.064900000000002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2.3898000000000001</v>
      </c>
      <c r="G50" s="61">
        <f>IF(FT!B50&lt;&gt;"",FT!B50*100,"")</f>
        <v>46.479500000000002</v>
      </c>
      <c r="H50" s="61">
        <f t="shared" si="1"/>
        <v>1</v>
      </c>
      <c r="I50" t="str">
        <f>IF(FT!B50&lt;&gt;"",FT!E50,"")</f>
        <v>1 [19.469883]</v>
      </c>
      <c r="J50">
        <f>IF(FT!B50&lt;&gt;"",FT!C50,"")</f>
        <v>19.469899999999999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93779</v>
      </c>
      <c r="D51" s="61">
        <f>FH!B51*1</f>
        <v>93779</v>
      </c>
      <c r="E51">
        <f t="shared" si="3"/>
        <v>49</v>
      </c>
      <c r="F51" s="61">
        <f>IF(FT!A51&lt;&gt;"",FT!A51*10,"")</f>
        <v>2.3894199999999999</v>
      </c>
      <c r="G51" s="61">
        <f>IF(FT!B51&lt;&gt;"",FT!B51*100,"")</f>
        <v>46.404200000000003</v>
      </c>
      <c r="H51" s="61">
        <f t="shared" si="1"/>
        <v>1</v>
      </c>
      <c r="I51" t="str">
        <f>IF(FT!B51&lt;&gt;"",FT!E51,"")</f>
        <v>1 [19.878809]</v>
      </c>
      <c r="J51">
        <f>IF(FT!B51&lt;&gt;"",FT!C51,"")</f>
        <v>19.878799999999998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2.3906399999999999</v>
      </c>
      <c r="G52" s="61">
        <f>IF(FT!B52&lt;&gt;"",FT!B52*100,"")</f>
        <v>46.350999999999999</v>
      </c>
      <c r="H52" s="61">
        <f t="shared" si="1"/>
        <v>1</v>
      </c>
      <c r="I52" t="str">
        <f>IF(FT!B52&lt;&gt;"",FT!E52,"")</f>
        <v>1 [20.285694]</v>
      </c>
      <c r="J52">
        <f>IF(FT!B52&lt;&gt;"",FT!C52,"")</f>
        <v>20.285699999999999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2.3900999999999999</v>
      </c>
      <c r="G53" s="61">
        <f>IF(FT!B53&lt;&gt;"",FT!B53*100,"")</f>
        <v>46.216799999999999</v>
      </c>
      <c r="H53" s="61">
        <f t="shared" si="1"/>
        <v>1</v>
      </c>
      <c r="I53" t="str">
        <f>IF(FT!B53&lt;&gt;"",FT!E53,"")</f>
        <v>1 [20.687970]</v>
      </c>
      <c r="J53">
        <f>IF(FT!B53&lt;&gt;"",FT!C53,"")</f>
        <v>20.687999999999999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86310</v>
      </c>
      <c r="D54" s="61">
        <f>FH!B54*1</f>
        <v>86310</v>
      </c>
      <c r="E54">
        <f t="shared" si="3"/>
        <v>52</v>
      </c>
      <c r="F54" s="61">
        <f>IF(FT!A54&lt;&gt;"",FT!A54*10,"")</f>
        <v>2.3892600000000002</v>
      </c>
      <c r="G54" s="61">
        <f>IF(FT!B54&lt;&gt;"",FT!B54*100,"")</f>
        <v>46.0426</v>
      </c>
      <c r="H54" s="61">
        <f t="shared" si="1"/>
        <v>1</v>
      </c>
      <c r="I54" t="str">
        <f>IF(FT!B54&lt;&gt;"",FT!E54,"")</f>
        <v>1 [21.096498]</v>
      </c>
      <c r="J54">
        <f>IF(FT!B54&lt;&gt;"",FT!C54,"")</f>
        <v>21.096499999999999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2.3859900000000001</v>
      </c>
      <c r="G55" s="61">
        <f>IF(FT!B55&lt;&gt;"",FT!B55*100,"")</f>
        <v>45.883200000000002</v>
      </c>
      <c r="H55" s="61">
        <f t="shared" si="1"/>
        <v>1</v>
      </c>
      <c r="I55" t="str">
        <f>IF(FT!B55&lt;&gt;"",FT!E55,"")</f>
        <v>1 [21.502426]</v>
      </c>
      <c r="J55">
        <f>IF(FT!B55&lt;&gt;"",FT!C55,"")</f>
        <v>21.502400000000002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2.3809300000000002</v>
      </c>
      <c r="G56" s="61">
        <f>IF(FT!B56&lt;&gt;"",FT!B56*100,"")</f>
        <v>45.7117</v>
      </c>
      <c r="H56" s="61">
        <f t="shared" si="1"/>
        <v>1</v>
      </c>
      <c r="I56" t="str">
        <f>IF(FT!B56&lt;&gt;"",FT!E56,"")</f>
        <v>1 [21.908404]</v>
      </c>
      <c r="J56">
        <f>IF(FT!B56&lt;&gt;"",FT!C56,"")</f>
        <v>21.9084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84351</v>
      </c>
      <c r="D57" s="61">
        <f>FH!B57*1</f>
        <v>84351</v>
      </c>
      <c r="E57">
        <f t="shared" si="3"/>
        <v>55</v>
      </c>
      <c r="F57" s="61">
        <f>IF(FT!A57&lt;&gt;"",FT!A57*10,"")</f>
        <v>2.37134</v>
      </c>
      <c r="G57" s="61">
        <f>IF(FT!B57&lt;&gt;"",FT!B57*100,"")</f>
        <v>45.463200000000001</v>
      </c>
      <c r="H57" s="61">
        <f t="shared" si="1"/>
        <v>1</v>
      </c>
      <c r="I57" t="str">
        <f>IF(FT!B57&lt;&gt;"",FT!E57,"")</f>
        <v>1 [22.317246]</v>
      </c>
      <c r="J57">
        <f>IF(FT!B57&lt;&gt;"",FT!C57,"")</f>
        <v>22.3172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2.3649500000000003</v>
      </c>
      <c r="G58" s="61">
        <f>IF(FT!B58&lt;&gt;"",FT!B58*100,"")</f>
        <v>45.279799999999994</v>
      </c>
      <c r="H58" s="61">
        <f t="shared" si="1"/>
        <v>1</v>
      </c>
      <c r="I58" t="str">
        <f>IF(FT!B58&lt;&gt;"",FT!E58,"")</f>
        <v>1 [22.724122]</v>
      </c>
      <c r="J58">
        <f>IF(FT!B58&lt;&gt;"",FT!C58,"")</f>
        <v>22.7241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76606</v>
      </c>
      <c r="D59" s="61">
        <f>FH!B59*1</f>
        <v>76606</v>
      </c>
      <c r="E59">
        <f t="shared" si="3"/>
        <v>57</v>
      </c>
      <c r="F59" s="61">
        <f>IF(FT!A59&lt;&gt;"",FT!A59*10,"")</f>
        <v>2.36151</v>
      </c>
      <c r="G59" s="61">
        <f>IF(FT!B59&lt;&gt;"",FT!B59*100,"")</f>
        <v>45.140500000000003</v>
      </c>
      <c r="H59" s="61">
        <f t="shared" si="1"/>
        <v>1</v>
      </c>
      <c r="I59" t="str">
        <f>IF(FT!B59&lt;&gt;"",FT!E59,"")</f>
        <v>1 [23.127087]</v>
      </c>
      <c r="J59">
        <f>IF(FT!B59&lt;&gt;"",FT!C59,"")</f>
        <v>23.127099999999999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2.3465600000000002</v>
      </c>
      <c r="G60" s="61">
        <f>IF(FT!B60&lt;&gt;"",FT!B60*100,"")</f>
        <v>45.273400000000002</v>
      </c>
      <c r="H60" s="61">
        <f t="shared" si="1"/>
        <v>1</v>
      </c>
      <c r="I60" t="str">
        <f>IF(FT!B60&lt;&gt;"",FT!E60,"")</f>
        <v>1 [23.534965]</v>
      </c>
      <c r="J60">
        <f>IF(FT!B60&lt;&gt;"",FT!C60,"")</f>
        <v>23.535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2.3321100000000001</v>
      </c>
      <c r="G61" s="61">
        <f>IF(FT!B61&lt;&gt;"",FT!B61*100,"")</f>
        <v>45.4908</v>
      </c>
      <c r="H61" s="61">
        <f t="shared" si="1"/>
        <v>1</v>
      </c>
      <c r="I61" t="str">
        <f>IF(FT!B61&lt;&gt;"",FT!E61,"")</f>
        <v>1 [23.941915]</v>
      </c>
      <c r="J61">
        <f>IF(FT!B61&lt;&gt;"",FT!C61,"")</f>
        <v>23.9419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79811</v>
      </c>
      <c r="D62" s="61">
        <f>FH!B62*1</f>
        <v>79811</v>
      </c>
      <c r="E62">
        <f t="shared" si="3"/>
        <v>60</v>
      </c>
      <c r="F62" s="61">
        <f>IF(FT!A62&lt;&gt;"",FT!A62*10,"")</f>
        <v>2.3212700000000002</v>
      </c>
      <c r="G62" s="61">
        <f>IF(FT!B62&lt;&gt;"",FT!B62*100,"")</f>
        <v>45.582099999999997</v>
      </c>
      <c r="H62" s="61">
        <f t="shared" si="1"/>
        <v>1</v>
      </c>
      <c r="I62" t="str">
        <f>IF(FT!B62&lt;&gt;"",FT!E62,"")</f>
        <v>1 [24.344817]</v>
      </c>
      <c r="J62">
        <f>IF(FT!B62&lt;&gt;"",FT!C62,"")</f>
        <v>24.344799999999999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2.2976700000000001</v>
      </c>
      <c r="G63" s="61">
        <f>IF(FT!B63&lt;&gt;"",FT!B63*100,"")</f>
        <v>45.847799999999999</v>
      </c>
      <c r="H63" s="61">
        <f t="shared" si="1"/>
        <v>1</v>
      </c>
      <c r="I63" t="str">
        <f>IF(FT!B63&lt;&gt;"",FT!E63,"")</f>
        <v>1 [24.755794]</v>
      </c>
      <c r="J63">
        <f>IF(FT!B63&lt;&gt;"",FT!C63,"")</f>
        <v>24.755800000000001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77927</v>
      </c>
      <c r="D64" s="61">
        <f>FH!B64*1</f>
        <v>77927</v>
      </c>
      <c r="E64">
        <f t="shared" si="3"/>
        <v>62</v>
      </c>
      <c r="F64" s="61">
        <f>IF(FT!A64&lt;&gt;"",FT!A64*10,"")</f>
        <v>2.2847600000000003</v>
      </c>
      <c r="G64" s="61">
        <f>IF(FT!B64&lt;&gt;"",FT!B64*100,"")</f>
        <v>45.954499999999996</v>
      </c>
      <c r="H64" s="61">
        <f t="shared" si="1"/>
        <v>1</v>
      </c>
      <c r="I64" t="str">
        <f>IF(FT!B64&lt;&gt;"",FT!E64,"")</f>
        <v>1 [25.158672]</v>
      </c>
      <c r="J64">
        <f>IF(FT!B64&lt;&gt;"",FT!C64,"")</f>
        <v>25.1587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2.26484</v>
      </c>
      <c r="G65" s="61">
        <f>IF(FT!B65&lt;&gt;"",FT!B65*100,"")</f>
        <v>46.210999999999999</v>
      </c>
      <c r="H65" s="61">
        <f t="shared" si="1"/>
        <v>1</v>
      </c>
      <c r="I65" t="str">
        <f>IF(FT!B65&lt;&gt;"",FT!E65,"")</f>
        <v>1 [25.563680]</v>
      </c>
      <c r="J65">
        <f>IF(FT!B65&lt;&gt;"",FT!C65,"")</f>
        <v>25.563700000000001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2.24464</v>
      </c>
      <c r="G66" s="61">
        <f>IF(FT!B66&lt;&gt;"",FT!B66*100,"")</f>
        <v>46.503799999999998</v>
      </c>
      <c r="H66" s="61">
        <f t="shared" si="1"/>
        <v>1</v>
      </c>
      <c r="I66" t="str">
        <f>IF(FT!B66&lt;&gt;"",FT!E66,"")</f>
        <v>1 [25.970905]</v>
      </c>
      <c r="J66">
        <f>IF(FT!B66&lt;&gt;"",FT!C66,"")</f>
        <v>25.9709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78483</v>
      </c>
      <c r="D67" s="61">
        <f>FH!B67*1</f>
        <v>78483</v>
      </c>
      <c r="E67">
        <f t="shared" si="3"/>
        <v>65</v>
      </c>
      <c r="F67" s="61">
        <f>IF(FT!A67&lt;&gt;"",FT!A67*10,"")</f>
        <v>2.2224599999999999</v>
      </c>
      <c r="G67" s="61">
        <f>IF(FT!B67&lt;&gt;"",FT!B67*100,"")</f>
        <v>46.816299999999998</v>
      </c>
      <c r="H67" s="61">
        <f t="shared" ref="H67:H130" si="9">(IF(F67&lt;&gt;"",1,""))</f>
        <v>1</v>
      </c>
      <c r="I67" t="str">
        <f>IF(FT!B67&lt;&gt;"",FT!E67,"")</f>
        <v>1 [26.379349]</v>
      </c>
      <c r="J67">
        <f>IF(FT!B67&lt;&gt;"",FT!C67,"")</f>
        <v>26.379300000000001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2.1942900000000001</v>
      </c>
      <c r="G68" s="61">
        <f>IF(FT!B68&lt;&gt;"",FT!B68*100,"")</f>
        <v>47.2849</v>
      </c>
      <c r="H68" s="61">
        <f t="shared" si="9"/>
        <v>1</v>
      </c>
      <c r="I68" t="str">
        <f>IF(FT!B68&lt;&gt;"",FT!E68,"")</f>
        <v>1 [26.786308]</v>
      </c>
      <c r="J68">
        <f>IF(FT!B68&lt;&gt;"",FT!C68,"")</f>
        <v>26.786300000000001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69086</v>
      </c>
      <c r="D69" s="61">
        <f>FH!B69*1</f>
        <v>69086</v>
      </c>
      <c r="E69">
        <f t="shared" si="11"/>
        <v>67</v>
      </c>
      <c r="F69" s="61">
        <f>IF(FT!A69&lt;&gt;"",FT!A69*10,"")</f>
        <v>2.1685599999999998</v>
      </c>
      <c r="G69" s="61">
        <f>IF(FT!B69&lt;&gt;"",FT!B69*100,"")</f>
        <v>47.689</v>
      </c>
      <c r="H69" s="61">
        <f t="shared" si="9"/>
        <v>1</v>
      </c>
      <c r="I69" t="str">
        <f>IF(FT!B69&lt;&gt;"",FT!E69,"")</f>
        <v>1 [27.191265]</v>
      </c>
      <c r="J69">
        <f>IF(FT!B69&lt;&gt;"",FT!C69,"")</f>
        <v>27.191299999999998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2.1491400000000001</v>
      </c>
      <c r="G70" s="61">
        <f>IF(FT!B70&lt;&gt;"",FT!B70*100,"")</f>
        <v>48.012700000000002</v>
      </c>
      <c r="H70" s="61">
        <f t="shared" si="9"/>
        <v>1</v>
      </c>
      <c r="I70" t="str">
        <f>IF(FT!B70&lt;&gt;"",FT!E70,"")</f>
        <v>1 [27.594090]</v>
      </c>
      <c r="J70">
        <f>IF(FT!B70&lt;&gt;"",FT!C70,"")</f>
        <v>27.594100000000001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2.1147399999999998</v>
      </c>
      <c r="G71" s="61">
        <f>IF(FT!B71&lt;&gt;"",FT!B71*100,"")</f>
        <v>48.683999999999997</v>
      </c>
      <c r="H71" s="61">
        <f t="shared" si="9"/>
        <v>1</v>
      </c>
      <c r="I71" t="str">
        <f>IF(FT!B71&lt;&gt;"",FT!E71,"")</f>
        <v>1 [28.002450]</v>
      </c>
      <c r="J71">
        <f>IF(FT!B71&lt;&gt;"",FT!C71,"")</f>
        <v>28.002500000000001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65887</v>
      </c>
      <c r="D72" s="61">
        <f>FH!B72*1</f>
        <v>65887</v>
      </c>
      <c r="E72">
        <f t="shared" si="11"/>
        <v>70</v>
      </c>
      <c r="F72" s="61">
        <f>IF(FT!A72&lt;&gt;"",FT!A72*10,"")</f>
        <v>2.0925799999999999</v>
      </c>
      <c r="G72" s="61">
        <f>IF(FT!B72&lt;&gt;"",FT!B72*100,"")</f>
        <v>49.1539</v>
      </c>
      <c r="H72" s="61">
        <f t="shared" si="9"/>
        <v>1</v>
      </c>
      <c r="I72" t="str">
        <f>IF(FT!B72&lt;&gt;"",FT!E72,"")</f>
        <v>1 [28.410937]</v>
      </c>
      <c r="J72">
        <f>IF(FT!B72&lt;&gt;"",FT!C72,"")</f>
        <v>28.410900000000002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2.0670799999999998</v>
      </c>
      <c r="G73" s="61">
        <f>IF(FT!B73&lt;&gt;"",FT!B73*100,"")</f>
        <v>49.640599999999999</v>
      </c>
      <c r="H73" s="61">
        <f t="shared" si="9"/>
        <v>1</v>
      </c>
      <c r="I73" t="str">
        <f>IF(FT!B73&lt;&gt;"",FT!E73,"")</f>
        <v>1 [28.816874]</v>
      </c>
      <c r="J73">
        <f>IF(FT!B73&lt;&gt;"",FT!C73,"")</f>
        <v>28.8169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2.0403599999999997</v>
      </c>
      <c r="G74" s="61">
        <f>IF(FT!B74&lt;&gt;"",FT!B74*100,"")</f>
        <v>50.0749</v>
      </c>
      <c r="H74" s="61">
        <f t="shared" si="9"/>
        <v>1</v>
      </c>
      <c r="I74" t="str">
        <f>IF(FT!B74&lt;&gt;"",FT!E74,"")</f>
        <v>1 [29.221876]</v>
      </c>
      <c r="J74">
        <f>IF(FT!B74&lt;&gt;"",FT!C74,"")</f>
        <v>29.221900000000002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59806</v>
      </c>
      <c r="D75" s="61">
        <f>FH!B75*1</f>
        <v>59806</v>
      </c>
      <c r="E75">
        <f t="shared" si="11"/>
        <v>73</v>
      </c>
      <c r="F75" s="61">
        <f>IF(FT!A75&lt;&gt;"",FT!A75*10,"")</f>
        <v>2.0076399999999999</v>
      </c>
      <c r="G75" s="61">
        <f>IF(FT!B75&lt;&gt;"",FT!B75*100,"")</f>
        <v>50.517000000000003</v>
      </c>
      <c r="H75" s="61">
        <f t="shared" si="9"/>
        <v>1</v>
      </c>
      <c r="I75" t="str">
        <f>IF(FT!B75&lt;&gt;"",FT!E75,"")</f>
        <v>1 [29.626691]</v>
      </c>
      <c r="J75">
        <f>IF(FT!B75&lt;&gt;"",FT!C75,"")</f>
        <v>29.6267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1.9812699999999999</v>
      </c>
      <c r="G76" s="61">
        <f>IF(FT!B76&lt;&gt;"",FT!B76*100,"")</f>
        <v>50.955600000000004</v>
      </c>
      <c r="H76" s="61">
        <f t="shared" si="9"/>
        <v>1</v>
      </c>
      <c r="I76" t="str">
        <f>IF(FT!B76&lt;&gt;"",FT!E76,"")</f>
        <v>1 [30.036582]</v>
      </c>
      <c r="J76">
        <f>IF(FT!B76&lt;&gt;"",FT!C76,"")</f>
        <v>30.0366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52787</v>
      </c>
      <c r="D77" s="61">
        <f>FH!B77*1</f>
        <v>52787</v>
      </c>
      <c r="E77">
        <f t="shared" si="11"/>
        <v>75</v>
      </c>
      <c r="F77" s="61">
        <f>IF(FT!A77&lt;&gt;"",FT!A77*10,"")</f>
        <v>1.9530800000000001</v>
      </c>
      <c r="G77" s="61">
        <f>IF(FT!B77&lt;&gt;"",FT!B77*100,"")</f>
        <v>51.443399999999997</v>
      </c>
      <c r="H77" s="61">
        <f t="shared" si="9"/>
        <v>1</v>
      </c>
      <c r="I77" t="str">
        <f>IF(FT!B77&lt;&gt;"",FT!E77,"")</f>
        <v>2 [30.612234]</v>
      </c>
      <c r="J77">
        <f>IF(FT!B77&lt;&gt;"",FT!C77,"")</f>
        <v>30.612200000000001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1.9231799999999999</v>
      </c>
      <c r="G78" s="61">
        <f>IF(FT!B78&lt;&gt;"",FT!B78*100,"")</f>
        <v>51.974399999999996</v>
      </c>
      <c r="H78" s="61">
        <f t="shared" si="9"/>
        <v>1</v>
      </c>
      <c r="I78" t="str">
        <f>IF(FT!B78&lt;&gt;"",FT!E78,"")</f>
        <v>2 [30.989138]</v>
      </c>
      <c r="J78">
        <f>IF(FT!B78&lt;&gt;"",FT!C78,"")</f>
        <v>30.989100000000001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1.89246</v>
      </c>
      <c r="G79" s="61">
        <f>IF(FT!B79&lt;&gt;"",FT!B79*100,"")</f>
        <v>52.512700000000002</v>
      </c>
      <c r="H79" s="61">
        <f t="shared" si="9"/>
        <v>1</v>
      </c>
      <c r="I79" t="str">
        <f>IF(FT!B79&lt;&gt;"",FT!E79,"")</f>
        <v>2 [31.363085]</v>
      </c>
      <c r="J79">
        <f>IF(FT!B79&lt;&gt;"",FT!C79,"")</f>
        <v>31.363099999999999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56449</v>
      </c>
      <c r="D80" s="61">
        <f>FH!B80*1</f>
        <v>56449</v>
      </c>
      <c r="E80">
        <f t="shared" si="11"/>
        <v>78</v>
      </c>
      <c r="F80" s="61">
        <f>IF(FT!A80&lt;&gt;"",FT!A80*10,"")</f>
        <v>1.86202</v>
      </c>
      <c r="G80" s="61">
        <f>IF(FT!B80&lt;&gt;"",FT!B80*100,"")</f>
        <v>53.091000000000001</v>
      </c>
      <c r="H80" s="61">
        <f t="shared" si="9"/>
        <v>1</v>
      </c>
      <c r="I80" t="str">
        <f>IF(FT!B80&lt;&gt;"",FT!E80,"")</f>
        <v>2 [31.741110]</v>
      </c>
      <c r="J80">
        <f>IF(FT!B80&lt;&gt;"",FT!C80,"")</f>
        <v>31.741099999999999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1.83182</v>
      </c>
      <c r="G81" s="61">
        <f>IF(FT!B81&lt;&gt;"",FT!B81*100,"")</f>
        <v>53.763399999999997</v>
      </c>
      <c r="H81" s="61">
        <f t="shared" si="9"/>
        <v>1</v>
      </c>
      <c r="I81" t="str">
        <f>IF(FT!B81&lt;&gt;"",FT!E81,"")</f>
        <v>2 [32.112114]</v>
      </c>
      <c r="J81">
        <f>IF(FT!B81&lt;&gt;"",FT!C81,"")</f>
        <v>32.112099999999998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48154</v>
      </c>
      <c r="D82" s="61">
        <f>FH!B82*1</f>
        <v>48154</v>
      </c>
      <c r="E82">
        <f t="shared" si="11"/>
        <v>80</v>
      </c>
      <c r="F82" s="61">
        <f>IF(FT!A82&lt;&gt;"",FT!A82*10,"")</f>
        <v>1.8021699999999998</v>
      </c>
      <c r="G82" s="61">
        <f>IF(FT!B82&lt;&gt;"",FT!B82*100,"")</f>
        <v>54.474000000000004</v>
      </c>
      <c r="H82" s="61">
        <f t="shared" si="9"/>
        <v>1</v>
      </c>
      <c r="I82" t="str">
        <f>IF(FT!B82&lt;&gt;"",FT!E82,"")</f>
        <v>2 [32.517972]</v>
      </c>
      <c r="J82">
        <f>IF(FT!B82&lt;&gt;"",FT!C82,"")</f>
        <v>32.518000000000001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1.7738499999999999</v>
      </c>
      <c r="G83" s="61">
        <f>IF(FT!B83&lt;&gt;"",FT!B83*100,"")</f>
        <v>55.169599999999996</v>
      </c>
      <c r="H83" s="61">
        <f t="shared" si="9"/>
        <v>1</v>
      </c>
      <c r="I83" t="str">
        <f>IF(FT!B83&lt;&gt;"",FT!E83,"")</f>
        <v>2 [32.922968]</v>
      </c>
      <c r="J83">
        <f>IF(FT!B83&lt;&gt;"",FT!C83,"")</f>
        <v>32.923000000000002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1.74675</v>
      </c>
      <c r="G84" s="61">
        <f>IF(FT!B84&lt;&gt;"",FT!B84*100,"")</f>
        <v>55.818400000000004</v>
      </c>
      <c r="H84" s="61">
        <f t="shared" si="9"/>
        <v>1</v>
      </c>
      <c r="I84" t="str">
        <f>IF(FT!B84&lt;&gt;"",FT!E84,"")</f>
        <v>2 [33.330019]</v>
      </c>
      <c r="J84">
        <f>IF(FT!B84&lt;&gt;"",FT!C84,"")</f>
        <v>33.33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44501</v>
      </c>
      <c r="D85" s="61">
        <f>FH!B85*1</f>
        <v>44501</v>
      </c>
      <c r="E85">
        <f t="shared" si="11"/>
        <v>83</v>
      </c>
      <c r="F85" s="61">
        <f>IF(FT!A85&lt;&gt;"",FT!A85*10,"")</f>
        <v>1.7114099999999999</v>
      </c>
      <c r="G85" s="61">
        <f>IF(FT!B85&lt;&gt;"",FT!B85*100,"")</f>
        <v>56.368899999999996</v>
      </c>
      <c r="H85" s="61">
        <f t="shared" si="9"/>
        <v>1</v>
      </c>
      <c r="I85" t="str">
        <f>IF(FT!B85&lt;&gt;"",FT!E85,"")</f>
        <v>2 [33.738724]</v>
      </c>
      <c r="J85">
        <f>IF(FT!B85&lt;&gt;"",FT!C85,"")</f>
        <v>33.738700000000001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1.6750399999999999</v>
      </c>
      <c r="G86" s="61">
        <f>IF(FT!B86&lt;&gt;"",FT!B86*100,"")</f>
        <v>56.901999999999994</v>
      </c>
      <c r="H86" s="61">
        <f t="shared" si="9"/>
        <v>1</v>
      </c>
      <c r="I86" t="str">
        <f>IF(FT!B86&lt;&gt;"",FT!E86,"")</f>
        <v>2 [34.140674]</v>
      </c>
      <c r="J86">
        <f>IF(FT!B86&lt;&gt;"",FT!C86,"")</f>
        <v>34.140700000000002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1.6414899999999999</v>
      </c>
      <c r="G87" s="61">
        <f>IF(FT!B87&lt;&gt;"",FT!B87*100,"")</f>
        <v>57.344999999999999</v>
      </c>
      <c r="H87" s="61">
        <f t="shared" si="9"/>
        <v>1</v>
      </c>
      <c r="I87" t="str">
        <f>IF(FT!B87&lt;&gt;"",FT!E87,"")</f>
        <v>2 [34.551559]</v>
      </c>
      <c r="J87">
        <f>IF(FT!B87&lt;&gt;"",FT!C87,"")</f>
        <v>34.551600000000001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47252</v>
      </c>
      <c r="D88" s="61">
        <f>FH!B88*1</f>
        <v>47252</v>
      </c>
      <c r="E88">
        <f t="shared" si="11"/>
        <v>86</v>
      </c>
      <c r="F88" s="61">
        <f>IF(FT!A88&lt;&gt;"",FT!A88*10,"")</f>
        <v>1.6083800000000001</v>
      </c>
      <c r="G88" s="61">
        <f>IF(FT!B88&lt;&gt;"",FT!B88*100,"")</f>
        <v>57.753299999999996</v>
      </c>
      <c r="H88" s="61">
        <f t="shared" si="9"/>
        <v>1</v>
      </c>
      <c r="I88" t="str">
        <f>IF(FT!B88&lt;&gt;"",FT!E88,"")</f>
        <v>2 [34.954705]</v>
      </c>
      <c r="J88">
        <f>IF(FT!B88&lt;&gt;"",FT!C88,"")</f>
        <v>34.954700000000003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1.5748899999999999</v>
      </c>
      <c r="G89" s="61">
        <f>IF(FT!B89&lt;&gt;"",FT!B89*100,"")</f>
        <v>58.181899999999999</v>
      </c>
      <c r="H89" s="61">
        <f t="shared" si="9"/>
        <v>1</v>
      </c>
      <c r="I89" t="str">
        <f>IF(FT!B89&lt;&gt;"",FT!E89,"")</f>
        <v>2 [35.361410]</v>
      </c>
      <c r="J89">
        <f>IF(FT!B89&lt;&gt;"",FT!C89,"")</f>
        <v>35.361400000000003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36669</v>
      </c>
      <c r="D90" s="61">
        <f>FH!B90*1</f>
        <v>36669</v>
      </c>
      <c r="E90">
        <f t="shared" si="11"/>
        <v>88</v>
      </c>
      <c r="F90" s="61">
        <f>IF(FT!A90&lt;&gt;"",FT!A90*10,"")</f>
        <v>1.53939</v>
      </c>
      <c r="G90" s="61">
        <f>IF(FT!B90&lt;&gt;"",FT!B90*100,"")</f>
        <v>58.717100000000002</v>
      </c>
      <c r="H90" s="61">
        <f t="shared" si="9"/>
        <v>1</v>
      </c>
      <c r="I90" t="str">
        <f>IF(FT!B90&lt;&gt;"",FT!E90,"")</f>
        <v>2 [35.767298]</v>
      </c>
      <c r="J90">
        <f>IF(FT!B90&lt;&gt;"",FT!C90,"")</f>
        <v>35.767299999999999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1.5049699999999999</v>
      </c>
      <c r="G91" s="61">
        <f>IF(FT!B91&lt;&gt;"",FT!B91*100,"")</f>
        <v>59.293600000000005</v>
      </c>
      <c r="H91" s="61">
        <f t="shared" si="9"/>
        <v>1</v>
      </c>
      <c r="I91" t="str">
        <f>IF(FT!B91&lt;&gt;"",FT!E91,"")</f>
        <v>2 [36.172343]</v>
      </c>
      <c r="J91">
        <f>IF(FT!B91&lt;&gt;"",FT!C91,"")</f>
        <v>36.1723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1.4730599999999998</v>
      </c>
      <c r="G92" s="61">
        <f>IF(FT!B92&lt;&gt;"",FT!B92*100,"")</f>
        <v>59.8521</v>
      </c>
      <c r="H92" s="61">
        <f t="shared" si="9"/>
        <v>1</v>
      </c>
      <c r="I92" t="str">
        <f>IF(FT!B92&lt;&gt;"",FT!E92,"")</f>
        <v>2 [36.579194]</v>
      </c>
      <c r="J92">
        <f>IF(FT!B92&lt;&gt;"",FT!C92,"")</f>
        <v>36.5792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36341</v>
      </c>
      <c r="D93" s="61">
        <f>FH!B93*1</f>
        <v>36341</v>
      </c>
      <c r="E93">
        <f t="shared" si="11"/>
        <v>91</v>
      </c>
      <c r="F93" s="61">
        <f>IF(FT!A93&lt;&gt;"",FT!A93*10,"")</f>
        <v>1.4423300000000001</v>
      </c>
      <c r="G93" s="61">
        <f>IF(FT!B93&lt;&gt;"",FT!B93*100,"")</f>
        <v>60.443800000000003</v>
      </c>
      <c r="H93" s="61">
        <f t="shared" si="9"/>
        <v>1</v>
      </c>
      <c r="I93" t="str">
        <f>IF(FT!B93&lt;&gt;"",FT!E93,"")</f>
        <v>2 [36.989076]</v>
      </c>
      <c r="J93">
        <f>IF(FT!B93&lt;&gt;"",FT!C93,"")</f>
        <v>36.989100000000001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1.4139299999999999</v>
      </c>
      <c r="G94" s="61">
        <f>IF(FT!B94&lt;&gt;"",FT!B94*100,"")</f>
        <v>61.031700000000001</v>
      </c>
      <c r="H94" s="61">
        <f t="shared" si="9"/>
        <v>1</v>
      </c>
      <c r="I94" t="str">
        <f>IF(FT!B94&lt;&gt;"",FT!E94,"")</f>
        <v>2 [37.394079]</v>
      </c>
      <c r="J94">
        <f>IF(FT!B94&lt;&gt;"",FT!C94,"")</f>
        <v>37.394100000000002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29318</v>
      </c>
      <c r="D95" s="61">
        <f>FH!B95*1</f>
        <v>29318</v>
      </c>
      <c r="E95">
        <f t="shared" si="11"/>
        <v>93</v>
      </c>
      <c r="F95" s="61">
        <f>IF(FT!A95&lt;&gt;"",FT!A95*10,"")</f>
        <v>1.3853499999999999</v>
      </c>
      <c r="G95" s="61">
        <f>IF(FT!B95&lt;&gt;"",FT!B95*100,"")</f>
        <v>61.695299999999996</v>
      </c>
      <c r="H95" s="61">
        <f t="shared" si="9"/>
        <v>1</v>
      </c>
      <c r="I95" t="str">
        <f>IF(FT!B95&lt;&gt;"",FT!E95,"")</f>
        <v>2 [37.798933]</v>
      </c>
      <c r="J95">
        <f>IF(FT!B95&lt;&gt;"",FT!C95,"")</f>
        <v>37.798900000000003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1.3590599999999999</v>
      </c>
      <c r="G96" s="61">
        <f>IF(FT!B96&lt;&gt;"",FT!B96*100,"")</f>
        <v>62.2834</v>
      </c>
      <c r="H96" s="61">
        <f t="shared" si="9"/>
        <v>1</v>
      </c>
      <c r="I96" t="str">
        <f>IF(FT!B96&lt;&gt;"",FT!E96,"")</f>
        <v>2 [38.205805]</v>
      </c>
      <c r="J96">
        <f>IF(FT!B96&lt;&gt;"",FT!C96,"")</f>
        <v>38.205800000000004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1.3348399999999998</v>
      </c>
      <c r="G97" s="61">
        <f>IF(FT!B97&lt;&gt;"",FT!B97*100,"")</f>
        <v>62.807000000000002</v>
      </c>
      <c r="H97" s="61">
        <f t="shared" si="9"/>
        <v>1</v>
      </c>
      <c r="I97" t="str">
        <f>IF(FT!B97&lt;&gt;"",FT!E97,"")</f>
        <v>2 [38.609893]</v>
      </c>
      <c r="J97">
        <f>IF(FT!B97&lt;&gt;"",FT!C97,"")</f>
        <v>38.609900000000003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27201</v>
      </c>
      <c r="D98" s="61">
        <f>FH!B98*1</f>
        <v>27201</v>
      </c>
      <c r="E98">
        <f t="shared" si="11"/>
        <v>96</v>
      </c>
      <c r="F98" s="61">
        <f>IF(FT!A98&lt;&gt;"",FT!A98*10,"")</f>
        <v>1.3165499999999999</v>
      </c>
      <c r="G98" s="61">
        <f>IF(FT!B98&lt;&gt;"",FT!B98*100,"")</f>
        <v>63.222699999999996</v>
      </c>
      <c r="H98" s="61">
        <f t="shared" si="9"/>
        <v>1</v>
      </c>
      <c r="I98" t="str">
        <f>IF(FT!B98&lt;&gt;"",FT!E98,"")</f>
        <v>2 [39.016661]</v>
      </c>
      <c r="J98">
        <f>IF(FT!B98&lt;&gt;"",FT!C98,"")</f>
        <v>39.0167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1.3041700000000001</v>
      </c>
      <c r="G99" s="61">
        <f>IF(FT!B99&lt;&gt;"",FT!B99*100,"")</f>
        <v>63.494900000000001</v>
      </c>
      <c r="H99" s="61">
        <f t="shared" si="9"/>
        <v>1</v>
      </c>
      <c r="I99" t="str">
        <f>IF(FT!B99&lt;&gt;"",FT!E99,"")</f>
        <v>2 [39.424617]</v>
      </c>
      <c r="J99">
        <f>IF(FT!B99&lt;&gt;"",FT!C99,"")</f>
        <v>39.424599999999998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20562</v>
      </c>
      <c r="D100" s="61">
        <f>FH!B100*1</f>
        <v>20562</v>
      </c>
      <c r="E100">
        <f t="shared" si="11"/>
        <v>98</v>
      </c>
      <c r="F100" s="61">
        <f>IF(FT!A100&lt;&gt;"",FT!A100*10,"")</f>
        <v>1.3008900000000001</v>
      </c>
      <c r="G100" s="61">
        <f>IF(FT!B100&lt;&gt;"",FT!B100*100,"")</f>
        <v>63.5398</v>
      </c>
      <c r="H100" s="61">
        <f t="shared" si="9"/>
        <v>1</v>
      </c>
      <c r="I100" t="str">
        <f>IF(FT!B100&lt;&gt;"",FT!E100,"")</f>
        <v>2 [39.832436]</v>
      </c>
      <c r="J100">
        <f>IF(FT!B100&lt;&gt;"",FT!C100,"")</f>
        <v>39.8324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1.3048999999999999</v>
      </c>
      <c r="G101" s="61">
        <f>IF(FT!B101&lt;&gt;"",FT!B101*100,"")</f>
        <v>63.320600000000006</v>
      </c>
      <c r="H101" s="61">
        <f t="shared" si="9"/>
        <v>1</v>
      </c>
      <c r="I101" t="str">
        <f>IF(FT!B101&lt;&gt;"",FT!E101,"")</f>
        <v>2 [40.235347]</v>
      </c>
      <c r="J101">
        <f>IF(FT!B101&lt;&gt;"",FT!C101,"")</f>
        <v>40.235300000000002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1.3150200000000001</v>
      </c>
      <c r="G102" s="61">
        <f>IF(FT!B102&lt;&gt;"",FT!B102*100,"")</f>
        <v>62.893799999999999</v>
      </c>
      <c r="H102" s="61">
        <f t="shared" si="9"/>
        <v>1</v>
      </c>
      <c r="I102" t="str">
        <f>IF(FT!B102&lt;&gt;"",FT!E102,"")</f>
        <v>2 [40.641451]</v>
      </c>
      <c r="J102">
        <f>IF(FT!B102&lt;&gt;"",FT!C102,"")</f>
        <v>40.641500000000001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16640</v>
      </c>
      <c r="D103" s="61">
        <f>FH!B103*1</f>
        <v>16640</v>
      </c>
      <c r="E103">
        <f t="shared" si="11"/>
        <v>101</v>
      </c>
      <c r="F103" s="61">
        <f>IF(FT!A103&lt;&gt;"",FT!A103*10,"")</f>
        <v>1.3272600000000001</v>
      </c>
      <c r="G103" s="61">
        <f>IF(FT!B103&lt;&gt;"",FT!B103*100,"")</f>
        <v>62.4039</v>
      </c>
      <c r="H103" s="61">
        <f t="shared" si="9"/>
        <v>1</v>
      </c>
      <c r="I103" t="str">
        <f>IF(FT!B103&lt;&gt;"",FT!E103,"")</f>
        <v>2 [41.050212]</v>
      </c>
      <c r="J103">
        <f>IF(FT!B103&lt;&gt;"",FT!C103,"")</f>
        <v>41.050199999999997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1.34572</v>
      </c>
      <c r="G104" s="61">
        <f>IF(FT!B104&lt;&gt;"",FT!B104*100,"")</f>
        <v>61.754600000000003</v>
      </c>
      <c r="H104" s="61">
        <f t="shared" si="9"/>
        <v>1</v>
      </c>
      <c r="I104" t="str">
        <f>IF(FT!B104&lt;&gt;"",FT!E104,"")</f>
        <v>2 [41.456116]</v>
      </c>
      <c r="J104">
        <f>IF(FT!B104&lt;&gt;"",FT!C104,"")</f>
        <v>41.456099999999999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1.36429</v>
      </c>
      <c r="G105" s="61">
        <f>IF(FT!B105&lt;&gt;"",FT!B105*100,"")</f>
        <v>61.173100000000005</v>
      </c>
      <c r="H105" s="61">
        <f t="shared" si="9"/>
        <v>1</v>
      </c>
      <c r="I105" t="str">
        <f>IF(FT!B105&lt;&gt;"",FT!E105,"")</f>
        <v>2 [41.862066]</v>
      </c>
      <c r="J105">
        <f>IF(FT!B105&lt;&gt;"",FT!C105,"")</f>
        <v>41.862099999999998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11409</v>
      </c>
      <c r="D106" s="61">
        <f>FH!B106*1</f>
        <v>11409</v>
      </c>
      <c r="E106">
        <f t="shared" si="11"/>
        <v>104</v>
      </c>
      <c r="F106" s="61">
        <f>IF(FT!A106&lt;&gt;"",FT!A106*10,"")</f>
        <v>1.3834</v>
      </c>
      <c r="G106" s="61">
        <f>IF(FT!B106&lt;&gt;"",FT!B106*100,"")</f>
        <v>60.628300000000003</v>
      </c>
      <c r="H106" s="61">
        <f t="shared" si="9"/>
        <v>1</v>
      </c>
      <c r="I106" t="str">
        <f>IF(FT!B106&lt;&gt;"",FT!E106,"")</f>
        <v>2 [42.267989]</v>
      </c>
      <c r="J106">
        <f>IF(FT!B106&lt;&gt;"",FT!C106,"")</f>
        <v>42.268000000000001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1.4028399999999999</v>
      </c>
      <c r="G107" s="61">
        <f>IF(FT!B107&lt;&gt;"",FT!B107*100,"")</f>
        <v>60.139800000000001</v>
      </c>
      <c r="H107" s="61">
        <f t="shared" si="9"/>
        <v>1</v>
      </c>
      <c r="I107" t="str">
        <f>IF(FT!B107&lt;&gt;"",FT!E107,"")</f>
        <v>2 [42.672944]</v>
      </c>
      <c r="J107">
        <f>IF(FT!B107&lt;&gt;"",FT!C107,"")</f>
        <v>42.672899999999998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10406</v>
      </c>
      <c r="D108" s="61">
        <f>FH!B108*1</f>
        <v>10406</v>
      </c>
      <c r="E108">
        <f t="shared" si="11"/>
        <v>106</v>
      </c>
      <c r="F108" s="61">
        <f>IF(FT!A108&lt;&gt;"",FT!A108*10,"")</f>
        <v>1.42116</v>
      </c>
      <c r="G108" s="61">
        <f>IF(FT!B108&lt;&gt;"",FT!B108*100,"")</f>
        <v>59.707900000000002</v>
      </c>
      <c r="H108" s="61">
        <f t="shared" si="9"/>
        <v>1</v>
      </c>
      <c r="I108" t="str">
        <f>IF(FT!B108&lt;&gt;"",FT!E108,"")</f>
        <v>2 [43.083899]</v>
      </c>
      <c r="J108">
        <f>IF(FT!B108&lt;&gt;"",FT!C108,"")</f>
        <v>43.0839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1.4412</v>
      </c>
      <c r="G109" s="61">
        <f>IF(FT!B109&lt;&gt;"",FT!B109*100,"")</f>
        <v>59.226700000000001</v>
      </c>
      <c r="H109" s="61">
        <f t="shared" si="9"/>
        <v>1</v>
      </c>
      <c r="I109" t="str">
        <f>IF(FT!B109&lt;&gt;"",FT!E109,"")</f>
        <v>2 [43.488166]</v>
      </c>
      <c r="J109">
        <f>IF(FT!B109&lt;&gt;"",FT!C109,"")</f>
        <v>43.488199999999999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1.4669099999999999</v>
      </c>
      <c r="G110" s="61">
        <f>IF(FT!B110&lt;&gt;"",FT!B110*100,"")</f>
        <v>58.609900000000003</v>
      </c>
      <c r="H110" s="61">
        <f t="shared" si="9"/>
        <v>1</v>
      </c>
      <c r="I110" t="str">
        <f>IF(FT!B110&lt;&gt;"",FT!E110,"")</f>
        <v>2 [43.896646]</v>
      </c>
      <c r="J110">
        <f>IF(FT!B110&lt;&gt;"",FT!C110,"")</f>
        <v>43.896599999999999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9841</v>
      </c>
      <c r="D111" s="61">
        <f>FH!B111*1</f>
        <v>9841</v>
      </c>
      <c r="E111">
        <f t="shared" si="11"/>
        <v>109</v>
      </c>
      <c r="F111" s="61">
        <f>IF(FT!A111&lt;&gt;"",FT!A111*10,"")</f>
        <v>1.4963000000000002</v>
      </c>
      <c r="G111" s="61">
        <f>IF(FT!B111&lt;&gt;"",FT!B111*100,"")</f>
        <v>57.931800000000003</v>
      </c>
      <c r="H111" s="61">
        <f t="shared" si="9"/>
        <v>1</v>
      </c>
      <c r="I111" t="str">
        <f>IF(FT!B111&lt;&gt;"",FT!E111,"")</f>
        <v>2 [44.298506]</v>
      </c>
      <c r="J111">
        <f>IF(FT!B111&lt;&gt;"",FT!C111,"")</f>
        <v>44.298499999999997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1.5323100000000001</v>
      </c>
      <c r="G112" s="61">
        <f>IF(FT!B112&lt;&gt;"",FT!B112*100,"")</f>
        <v>57.079899999999995</v>
      </c>
      <c r="H112" s="61">
        <f t="shared" si="9"/>
        <v>1</v>
      </c>
      <c r="I112" t="str">
        <f>IF(FT!B112&lt;&gt;"",FT!E112,"")</f>
        <v>2 [44.704769]</v>
      </c>
      <c r="J112">
        <f>IF(FT!B112&lt;&gt;"",FT!C112,"")</f>
        <v>44.704799999999999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8416</v>
      </c>
      <c r="D113" s="61">
        <f>FH!B113*1</f>
        <v>8416</v>
      </c>
      <c r="E113">
        <f t="shared" si="11"/>
        <v>111</v>
      </c>
      <c r="F113" s="61">
        <f>IF(FT!A113&lt;&gt;"",FT!A113*10,"")</f>
        <v>1.5712100000000002</v>
      </c>
      <c r="G113" s="61">
        <f>IF(FT!B113&lt;&gt;"",FT!B113*100,"")</f>
        <v>56.264400000000002</v>
      </c>
      <c r="H113" s="61">
        <f t="shared" si="9"/>
        <v>1</v>
      </c>
      <c r="I113" t="str">
        <f>IF(FT!B113&lt;&gt;"",FT!E113,"")</f>
        <v>2 [45.111374]</v>
      </c>
      <c r="J113">
        <f>IF(FT!B113&lt;&gt;"",FT!C113,"")</f>
        <v>45.111400000000003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1.61002</v>
      </c>
      <c r="G114" s="61">
        <f>IF(FT!B114&lt;&gt;"",FT!B114*100,"")</f>
        <v>55.527700000000003</v>
      </c>
      <c r="H114" s="61">
        <f t="shared" si="9"/>
        <v>1</v>
      </c>
      <c r="I114" t="str">
        <f>IF(FT!B114&lt;&gt;"",FT!E114,"")</f>
        <v>2 [45.519322]</v>
      </c>
      <c r="J114">
        <f>IF(FT!B114&lt;&gt;"",FT!C114,"")</f>
        <v>45.519300000000001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1.6484199999999998</v>
      </c>
      <c r="G115" s="61">
        <f>IF(FT!B115&lt;&gt;"",FT!B115*100,"")</f>
        <v>54.901400000000002</v>
      </c>
      <c r="H115" s="61">
        <f t="shared" si="9"/>
        <v>1</v>
      </c>
      <c r="I115" t="str">
        <f>IF(FT!B115&lt;&gt;"",FT!E115,"")</f>
        <v>2 [45.926130]</v>
      </c>
      <c r="J115">
        <f>IF(FT!B115&lt;&gt;"",FT!C115,"")</f>
        <v>45.926099999999998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7758</v>
      </c>
      <c r="D116" s="61">
        <f>FH!B116*1</f>
        <v>7758</v>
      </c>
      <c r="E116">
        <f t="shared" si="11"/>
        <v>114</v>
      </c>
      <c r="F116" s="61">
        <f>IF(FT!A116&lt;&gt;"",FT!A116*10,"")</f>
        <v>1.68685</v>
      </c>
      <c r="G116" s="61">
        <f>IF(FT!B116&lt;&gt;"",FT!B116*100,"")</f>
        <v>54.307700000000004</v>
      </c>
      <c r="H116" s="61">
        <f t="shared" si="9"/>
        <v>1</v>
      </c>
      <c r="I116" t="str">
        <f>IF(FT!B116&lt;&gt;"",FT!E116,"")</f>
        <v>2 [46.331017]</v>
      </c>
      <c r="J116">
        <f>IF(FT!B116&lt;&gt;"",FT!C116,"")</f>
        <v>46.331000000000003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1.72255</v>
      </c>
      <c r="G117" s="61">
        <f>IF(FT!B117&lt;&gt;"",FT!B117*100,"")</f>
        <v>53.802999999999997</v>
      </c>
      <c r="H117" s="61">
        <f t="shared" si="9"/>
        <v>1</v>
      </c>
      <c r="I117" t="str">
        <f>IF(FT!B117&lt;&gt;"",FT!E117,"")</f>
        <v>2 [46.737242]</v>
      </c>
      <c r="J117">
        <f>IF(FT!B117&lt;&gt;"",FT!C117,"")</f>
        <v>46.737200000000001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6950</v>
      </c>
      <c r="D118" s="61">
        <f>FH!B118*1</f>
        <v>6950</v>
      </c>
      <c r="E118">
        <f t="shared" si="11"/>
        <v>116</v>
      </c>
      <c r="F118" s="61">
        <f>IF(FT!A118&lt;&gt;"",FT!A118*10,"")</f>
        <v>1.7551099999999999</v>
      </c>
      <c r="G118" s="61">
        <f>IF(FT!B118&lt;&gt;"",FT!B118*100,"")</f>
        <v>53.360199999999999</v>
      </c>
      <c r="H118" s="61">
        <f t="shared" si="9"/>
        <v>1</v>
      </c>
      <c r="I118" t="str">
        <f>IF(FT!B118&lt;&gt;"",FT!E118,"")</f>
        <v>2 [47.140845]</v>
      </c>
      <c r="J118">
        <f>IF(FT!B118&lt;&gt;"",FT!C118,"")</f>
        <v>47.140799999999999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1.7885499999999999</v>
      </c>
      <c r="G119" s="61">
        <f>IF(FT!B119&lt;&gt;"",FT!B119*100,"")</f>
        <v>52.884799999999998</v>
      </c>
      <c r="H119" s="61">
        <f t="shared" si="9"/>
        <v>1</v>
      </c>
      <c r="I119" t="str">
        <f>IF(FT!B119&lt;&gt;"",FT!E119,"")</f>
        <v>2 [47.550782]</v>
      </c>
      <c r="J119">
        <f>IF(FT!B119&lt;&gt;"",FT!C119,"")</f>
        <v>47.550800000000002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1.8243400000000001</v>
      </c>
      <c r="G120" s="61">
        <f>IF(FT!B120&lt;&gt;"",FT!B120*100,"")</f>
        <v>52.354599999999998</v>
      </c>
      <c r="H120" s="61">
        <f t="shared" si="9"/>
        <v>1</v>
      </c>
      <c r="I120" t="str">
        <f>IF(FT!B120&lt;&gt;"",FT!E120,"")</f>
        <v>2 [47.957671]</v>
      </c>
      <c r="J120">
        <f>IF(FT!B120&lt;&gt;"",FT!C120,"")</f>
        <v>47.957700000000003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7167</v>
      </c>
      <c r="D121" s="61">
        <f>FH!B121*1</f>
        <v>7167</v>
      </c>
      <c r="E121">
        <f t="shared" si="11"/>
        <v>119</v>
      </c>
      <c r="F121" s="61">
        <f>IF(FT!A121&lt;&gt;"",FT!A121*10,"")</f>
        <v>1.8567</v>
      </c>
      <c r="G121" s="61">
        <f>IF(FT!B121&lt;&gt;"",FT!B121*100,"")</f>
        <v>51.920100000000005</v>
      </c>
      <c r="H121" s="61">
        <f t="shared" si="9"/>
        <v>1</v>
      </c>
      <c r="I121" t="str">
        <f>IF(FT!B121&lt;&gt;"",FT!E121,"")</f>
        <v>2 [48.360677]</v>
      </c>
      <c r="J121">
        <f>IF(FT!B121&lt;&gt;"",FT!C121,"")</f>
        <v>48.360700000000001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1.8876399999999998</v>
      </c>
      <c r="G122" s="61">
        <f>IF(FT!B122&lt;&gt;"",FT!B122*100,"")</f>
        <v>51.4925</v>
      </c>
      <c r="H122" s="61">
        <f t="shared" si="9"/>
        <v>1</v>
      </c>
      <c r="I122" t="str">
        <f>IF(FT!B122&lt;&gt;"",FT!E122,"")</f>
        <v>2 [48.767885]</v>
      </c>
      <c r="J122">
        <f>IF(FT!B122&lt;&gt;"",FT!C122,"")</f>
        <v>48.767899999999997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1.9201099999999998</v>
      </c>
      <c r="G123" s="61">
        <f>IF(FT!B123&lt;&gt;"",FT!B123*100,"")</f>
        <v>50.973199999999999</v>
      </c>
      <c r="H123" s="61">
        <f t="shared" si="9"/>
        <v>1</v>
      </c>
      <c r="I123" t="str">
        <f>IF(FT!B123&lt;&gt;"",FT!E123,"")</f>
        <v>2 [49.174517]</v>
      </c>
      <c r="J123">
        <f>IF(FT!B123&lt;&gt;"",FT!C123,"")</f>
        <v>49.174500000000002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5690</v>
      </c>
      <c r="D124" s="61">
        <f>FH!B124*1</f>
        <v>5690</v>
      </c>
      <c r="E124">
        <f t="shared" si="11"/>
        <v>122</v>
      </c>
      <c r="F124" s="61">
        <f>IF(FT!A124&lt;&gt;"",FT!A124*10,"")</f>
        <v>1.95364</v>
      </c>
      <c r="G124" s="61">
        <f>IF(FT!B124&lt;&gt;"",FT!B124*100,"")</f>
        <v>50.4803</v>
      </c>
      <c r="H124" s="61">
        <f t="shared" si="9"/>
        <v>1</v>
      </c>
      <c r="I124" t="str">
        <f>IF(FT!B124&lt;&gt;"",FT!E124,"")</f>
        <v>2 [49.579404]</v>
      </c>
      <c r="J124">
        <f>IF(FT!B124&lt;&gt;"",FT!C124,"")</f>
        <v>49.5794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1.9839300000000002</v>
      </c>
      <c r="G125" s="61">
        <f>IF(FT!B125&lt;&gt;"",FT!B125*100,"")</f>
        <v>49.995899999999999</v>
      </c>
      <c r="H125" s="61">
        <f t="shared" si="9"/>
        <v>1</v>
      </c>
      <c r="I125" t="str">
        <f>IF(FT!B125&lt;&gt;"",FT!E125,"")</f>
        <v>2 [49.989328]</v>
      </c>
      <c r="J125">
        <f>IF(FT!B125&lt;&gt;"",FT!C125,"")</f>
        <v>49.9893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4980</v>
      </c>
      <c r="D126" s="61">
        <f>FH!B126*1</f>
        <v>4980</v>
      </c>
      <c r="E126">
        <f t="shared" si="11"/>
        <v>124</v>
      </c>
      <c r="F126" s="61">
        <f>IF(FT!A126&lt;&gt;"",FT!A126*10,"")</f>
        <v>2.0024600000000001</v>
      </c>
      <c r="G126" s="61">
        <f>IF(FT!B126&lt;&gt;"",FT!B126*100,"")</f>
        <v>49.686199999999999</v>
      </c>
      <c r="H126" s="61">
        <f t="shared" si="9"/>
        <v>1</v>
      </c>
      <c r="I126" t="str">
        <f>IF(FT!B126&lt;&gt;"",FT!E126,"")</f>
        <v>2 [50.392260]</v>
      </c>
      <c r="J126">
        <f>IF(FT!B126&lt;&gt;"",FT!C126,"")</f>
        <v>50.392299999999999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2.0140899999999999</v>
      </c>
      <c r="G127" s="61">
        <f>IF(FT!B127&lt;&gt;"",FT!B127*100,"")</f>
        <v>49.558700000000002</v>
      </c>
      <c r="H127" s="61">
        <f t="shared" si="9"/>
        <v>1</v>
      </c>
      <c r="I127" t="str">
        <f>IF(FT!B127&lt;&gt;"",FT!E127,"")</f>
        <v>2 [50.798092]</v>
      </c>
      <c r="J127">
        <f>IF(FT!B127&lt;&gt;"",FT!C127,"")</f>
        <v>50.798099999999998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2.0268600000000001</v>
      </c>
      <c r="G128" s="61">
        <f>IF(FT!B128&lt;&gt;"",FT!B128*100,"")</f>
        <v>49.4405</v>
      </c>
      <c r="H128" s="61">
        <f t="shared" si="9"/>
        <v>1</v>
      </c>
      <c r="I128" t="str">
        <f>IF(FT!B128&lt;&gt;"",FT!E128,"")</f>
        <v>2 [51.208027]</v>
      </c>
      <c r="J128">
        <f>IF(FT!B128&lt;&gt;"",FT!C128,"")</f>
        <v>51.207999999999998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4586</v>
      </c>
      <c r="D129" s="61">
        <f>FH!B129*1</f>
        <v>4586</v>
      </c>
      <c r="E129">
        <f t="shared" si="11"/>
        <v>127</v>
      </c>
      <c r="F129" s="61">
        <f>IF(FT!A129&lt;&gt;"",FT!A129*10,"")</f>
        <v>2.0402200000000001</v>
      </c>
      <c r="G129" s="61">
        <f>IF(FT!B129&lt;&gt;"",FT!B129*100,"")</f>
        <v>49.331199999999995</v>
      </c>
      <c r="H129" s="61">
        <f t="shared" si="9"/>
        <v>1</v>
      </c>
      <c r="I129" t="str">
        <f>IF(FT!B129&lt;&gt;"",FT!E129,"")</f>
        <v>2 [51.610969]</v>
      </c>
      <c r="J129">
        <f>IF(FT!B129&lt;&gt;"",FT!C129,"")</f>
        <v>51.610999999999997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2.0548099999999998</v>
      </c>
      <c r="G130" s="61">
        <f>IF(FT!B130&lt;&gt;"",FT!B130*100,"")</f>
        <v>49.2179</v>
      </c>
      <c r="H130" s="61">
        <f t="shared" si="9"/>
        <v>1</v>
      </c>
      <c r="I130" t="str">
        <f>IF(FT!B130&lt;&gt;"",FT!E130,"")</f>
        <v>2 [52.017894]</v>
      </c>
      <c r="J130">
        <f>IF(FT!B130&lt;&gt;"",FT!C130,"")</f>
        <v>52.017899999999997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2371</v>
      </c>
      <c r="D131" s="61">
        <f>FH!B131*1</f>
        <v>2371</v>
      </c>
      <c r="E131">
        <f t="shared" si="11"/>
        <v>129</v>
      </c>
      <c r="F131" s="61">
        <f>IF(FT!A131&lt;&gt;"",FT!A131*10,"")</f>
        <v>2.07104</v>
      </c>
      <c r="G131" s="61">
        <f>IF(FT!B131&lt;&gt;"",FT!B131*100,"")</f>
        <v>49.080400000000004</v>
      </c>
      <c r="H131" s="61">
        <f t="shared" ref="H131:H194" si="13">(IF(F131&lt;&gt;"",1,""))</f>
        <v>1</v>
      </c>
      <c r="I131" t="str">
        <f>IF(FT!B131&lt;&gt;"",FT!E131,"")</f>
        <v>2 [52.422797]</v>
      </c>
      <c r="J131">
        <f>IF(FT!B131&lt;&gt;"",FT!C131,"")</f>
        <v>52.422800000000002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2.0892200000000001</v>
      </c>
      <c r="G132" s="61">
        <f>IF(FT!B132&lt;&gt;"",FT!B132*100,"")</f>
        <v>48.920900000000003</v>
      </c>
      <c r="H132" s="61">
        <f t="shared" si="13"/>
        <v>1</v>
      </c>
      <c r="I132" t="str">
        <f>IF(FT!B132&lt;&gt;"",FT!E132,"")</f>
        <v>2 [52.828710]</v>
      </c>
      <c r="J132">
        <f>IF(FT!B132&lt;&gt;"",FT!C132,"")</f>
        <v>52.828699999999998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2.1083499999999997</v>
      </c>
      <c r="G133" s="61">
        <f>IF(FT!B133&lt;&gt;"",FT!B133*100,"")</f>
        <v>48.761900000000004</v>
      </c>
      <c r="H133" s="61">
        <f t="shared" si="13"/>
        <v>1</v>
      </c>
      <c r="I133" t="str">
        <f>IF(FT!B133&lt;&gt;"",FT!E133,"")</f>
        <v>2 [53.235674]</v>
      </c>
      <c r="J133">
        <f>IF(FT!B133&lt;&gt;"",FT!C133,"")</f>
        <v>53.235700000000001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1550</v>
      </c>
      <c r="D134" s="61">
        <f>FH!B134*1</f>
        <v>1550</v>
      </c>
      <c r="E134">
        <f t="shared" si="15"/>
        <v>132</v>
      </c>
      <c r="F134" s="61">
        <f>IF(FT!A134&lt;&gt;"",FT!A134*10,"")</f>
        <v>2.12758</v>
      </c>
      <c r="G134" s="61">
        <f>IF(FT!B134&lt;&gt;"",FT!B134*100,"")</f>
        <v>48.615600000000001</v>
      </c>
      <c r="H134" s="61">
        <f t="shared" si="13"/>
        <v>1</v>
      </c>
      <c r="I134" t="str">
        <f>IF(FT!B134&lt;&gt;"",FT!E134,"")</f>
        <v>2 [53.646484]</v>
      </c>
      <c r="J134">
        <f>IF(FT!B134&lt;&gt;"",FT!C134,"")</f>
        <v>53.646500000000003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2.1455600000000001</v>
      </c>
      <c r="G135" s="61">
        <f>IF(FT!B135&lt;&gt;"",FT!B135*100,"")</f>
        <v>48.498100000000001</v>
      </c>
      <c r="H135" s="61">
        <f t="shared" si="13"/>
        <v>1</v>
      </c>
      <c r="I135" t="str">
        <f>IF(FT!B135&lt;&gt;"",FT!E135,"")</f>
        <v>2 [54.052447]</v>
      </c>
      <c r="J135">
        <f>IF(FT!B135&lt;&gt;"",FT!C135,"")</f>
        <v>54.052399999999999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503</v>
      </c>
      <c r="D136" s="61">
        <f>FH!B136*1</f>
        <v>503</v>
      </c>
      <c r="E136">
        <f t="shared" si="15"/>
        <v>134</v>
      </c>
      <c r="F136" s="61">
        <f>IF(FT!A136&lt;&gt;"",FT!A136*10,"")</f>
        <v>2.16343</v>
      </c>
      <c r="G136" s="61">
        <f>IF(FT!B136&lt;&gt;"",FT!B136*100,"")</f>
        <v>48.382199999999997</v>
      </c>
      <c r="H136" s="61">
        <f t="shared" si="13"/>
        <v>1</v>
      </c>
      <c r="I136" t="str">
        <f>IF(FT!B136&lt;&gt;"",FT!E136,"")</f>
        <v>2 [54.457380]</v>
      </c>
      <c r="J136">
        <f>IF(FT!B136&lt;&gt;"",FT!C136,"")</f>
        <v>54.4574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2.1773799999999999</v>
      </c>
      <c r="G137" s="61">
        <f>IF(FT!B137&lt;&gt;"",FT!B137*100,"")</f>
        <v>48.282399999999996</v>
      </c>
      <c r="H137" s="61">
        <f t="shared" si="13"/>
        <v>1</v>
      </c>
      <c r="I137" t="str">
        <f>IF(FT!B137&lt;&gt;"",FT!E137,"")</f>
        <v>2 [54.859224]</v>
      </c>
      <c r="J137">
        <f>IF(FT!B137&lt;&gt;"",FT!C137,"")</f>
        <v>54.859200000000001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2.1901000000000002</v>
      </c>
      <c r="G138" s="61">
        <f>IF(FT!B138&lt;&gt;"",FT!B138*100,"")</f>
        <v>48.179000000000002</v>
      </c>
      <c r="H138" s="61">
        <f t="shared" si="13"/>
        <v>1</v>
      </c>
      <c r="I138" t="str">
        <f>IF(FT!B138&lt;&gt;"",FT!E138,"")</f>
        <v>2 [55.269135]</v>
      </c>
      <c r="J138">
        <f>IF(FT!B138&lt;&gt;"",FT!C138,"")</f>
        <v>55.269100000000002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555</v>
      </c>
      <c r="D139" s="61">
        <f>FH!B139*1</f>
        <v>555</v>
      </c>
      <c r="E139">
        <f t="shared" si="15"/>
        <v>137</v>
      </c>
      <c r="F139" s="61">
        <f>IF(FT!A139&lt;&gt;"",FT!A139*10,"")</f>
        <v>2.20323</v>
      </c>
      <c r="G139" s="61">
        <f>IF(FT!B139&lt;&gt;"",FT!B139*100,"")</f>
        <v>48.076099999999997</v>
      </c>
      <c r="H139" s="61">
        <f t="shared" si="13"/>
        <v>1</v>
      </c>
      <c r="I139" t="str">
        <f>IF(FT!B139&lt;&gt;"",FT!E139,"")</f>
        <v>2 [55.678108]</v>
      </c>
      <c r="J139">
        <f>IF(FT!B139&lt;&gt;"",FT!C139,"")</f>
        <v>55.678100000000001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2.2176100000000001</v>
      </c>
      <c r="G140" s="61">
        <f>IF(FT!B140&lt;&gt;"",FT!B140*100,"")</f>
        <v>47.956600000000002</v>
      </c>
      <c r="H140" s="61">
        <f t="shared" si="13"/>
        <v>1</v>
      </c>
      <c r="I140" t="str">
        <f>IF(FT!B140&lt;&gt;"",FT!E140,"")</f>
        <v>2 [56.082079]</v>
      </c>
      <c r="J140">
        <f>IF(FT!B140&lt;&gt;"",FT!C140,"")</f>
        <v>56.082099999999997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2.2301000000000002</v>
      </c>
      <c r="G141" s="61">
        <f>IF(FT!B141&lt;&gt;"",FT!B141*100,"")</f>
        <v>47.8065</v>
      </c>
      <c r="H141" s="61">
        <f t="shared" si="13"/>
        <v>1</v>
      </c>
      <c r="I141" t="str">
        <f>IF(FT!B141&lt;&gt;"",FT!E141,"")</f>
        <v>2 [56.486944]</v>
      </c>
      <c r="J141">
        <f>IF(FT!B141&lt;&gt;"",FT!C141,"")</f>
        <v>56.486899999999999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301</v>
      </c>
      <c r="D142" s="61">
        <f>FH!B142*1</f>
        <v>301</v>
      </c>
      <c r="E142">
        <f t="shared" si="15"/>
        <v>140</v>
      </c>
      <c r="F142" s="61">
        <f>IF(FT!A142&lt;&gt;"",FT!A142*10,"")</f>
        <v>2.2456400000000003</v>
      </c>
      <c r="G142" s="61">
        <f>IF(FT!B142&lt;&gt;"",FT!B142*100,"")</f>
        <v>47.622700000000002</v>
      </c>
      <c r="H142" s="61">
        <f t="shared" si="13"/>
        <v>1</v>
      </c>
      <c r="I142" t="str">
        <f>IF(FT!B142&lt;&gt;"",FT!E142,"")</f>
        <v>2 [56.891873]</v>
      </c>
      <c r="J142">
        <f>IF(FT!B142&lt;&gt;"",FT!C142,"")</f>
        <v>56.8919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2.2643599999999999</v>
      </c>
      <c r="G143" s="61">
        <f>IF(FT!B143&lt;&gt;"",FT!B143*100,"")</f>
        <v>47.379399999999997</v>
      </c>
      <c r="H143" s="61">
        <f t="shared" si="13"/>
        <v>1</v>
      </c>
      <c r="I143" t="str">
        <f>IF(FT!B143&lt;&gt;"",FT!E143,"")</f>
        <v>2 [57.299812]</v>
      </c>
      <c r="J143">
        <f>IF(FT!B143&lt;&gt;"",FT!C143,"")</f>
        <v>57.299799999999998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248</v>
      </c>
      <c r="D144" s="61">
        <f>FH!B144*1</f>
        <v>248</v>
      </c>
      <c r="E144">
        <f t="shared" si="15"/>
        <v>142</v>
      </c>
      <c r="F144" s="61">
        <f>IF(FT!A144&lt;&gt;"",FT!A144*10,"")</f>
        <v>2.2822899999999997</v>
      </c>
      <c r="G144" s="61">
        <f>IF(FT!B144&lt;&gt;"",FT!B144*100,"")</f>
        <v>47.145299999999999</v>
      </c>
      <c r="H144" s="61">
        <f t="shared" si="13"/>
        <v>1</v>
      </c>
      <c r="I144" t="str">
        <f>IF(FT!B144&lt;&gt;"",FT!E144,"")</f>
        <v>2 [57.707609]</v>
      </c>
      <c r="J144">
        <f>IF(FT!B144&lt;&gt;"",FT!C144,"")</f>
        <v>57.707599999999999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2.2948</v>
      </c>
      <c r="G145" s="61">
        <f>IF(FT!B145&lt;&gt;"",FT!B145*100,"")</f>
        <v>46.937200000000004</v>
      </c>
      <c r="H145" s="61">
        <f t="shared" si="13"/>
        <v>1</v>
      </c>
      <c r="I145" t="str">
        <f>IF(FT!B145&lt;&gt;"",FT!E145,"")</f>
        <v>2 [58.114627]</v>
      </c>
      <c r="J145">
        <f>IF(FT!B145&lt;&gt;"",FT!C145,"")</f>
        <v>58.114600000000003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2.3153099999999998</v>
      </c>
      <c r="G146" s="61">
        <f>IF(FT!B146&lt;&gt;"",FT!B146*100,"")</f>
        <v>46.683400000000006</v>
      </c>
      <c r="H146" s="61">
        <f t="shared" si="13"/>
        <v>1</v>
      </c>
      <c r="I146" t="str">
        <f>IF(FT!B146&lt;&gt;"",FT!E146,"")</f>
        <v>2 [58.518425]</v>
      </c>
      <c r="J146">
        <f>IF(FT!B146&lt;&gt;"",FT!C146,"")</f>
        <v>58.5184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428</v>
      </c>
      <c r="D147" s="61">
        <f>FH!B147*1</f>
        <v>428</v>
      </c>
      <c r="E147">
        <f t="shared" si="15"/>
        <v>145</v>
      </c>
      <c r="F147" s="61">
        <f>IF(FT!A147&lt;&gt;"",FT!A147*10,"")</f>
        <v>2.3410800000000003</v>
      </c>
      <c r="G147" s="61">
        <f>IF(FT!B147&lt;&gt;"",FT!B147*100,"")</f>
        <v>46.529399999999995</v>
      </c>
      <c r="H147" s="61">
        <f t="shared" si="13"/>
        <v>1</v>
      </c>
      <c r="I147" t="str">
        <f>IF(FT!B147&lt;&gt;"",FT!E147,"")</f>
        <v>2 [58.923484]</v>
      </c>
      <c r="J147">
        <f>IF(FT!B147&lt;&gt;"",FT!C147,"")</f>
        <v>58.923499999999997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2.3516900000000001</v>
      </c>
      <c r="G148" s="61">
        <f>IF(FT!B148&lt;&gt;"",FT!B148*100,"")</f>
        <v>46.483200000000004</v>
      </c>
      <c r="H148" s="61">
        <f t="shared" si="13"/>
        <v>1</v>
      </c>
      <c r="I148" t="str">
        <f>IF(FT!B148&lt;&gt;"",FT!E148,"")</f>
        <v>2 [59.330668]</v>
      </c>
      <c r="J148">
        <f>IF(FT!B148&lt;&gt;"",FT!C148,"")</f>
        <v>59.3307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550</v>
      </c>
      <c r="D149" s="61">
        <f>FH!B149*1</f>
        <v>550</v>
      </c>
      <c r="E149">
        <f t="shared" si="15"/>
        <v>147</v>
      </c>
      <c r="F149" s="61">
        <f>IF(FT!A149&lt;&gt;"",FT!A149*10,"")</f>
        <v>2.3553699999999997</v>
      </c>
      <c r="G149" s="61">
        <f>IF(FT!B149&lt;&gt;"",FT!B149*100,"")</f>
        <v>46.2988</v>
      </c>
      <c r="H149" s="61">
        <f t="shared" si="13"/>
        <v>1</v>
      </c>
      <c r="I149" t="str">
        <f>IF(FT!B149&lt;&gt;"",FT!E149,"")</f>
        <v>2 [59.739246]</v>
      </c>
      <c r="J149">
        <f>IF(FT!B149&lt;&gt;"",FT!C149,"")</f>
        <v>59.739199999999997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>
        <f>IF(FT!A150&lt;&gt;"",FT!A150*10,"")</f>
        <v>2.3649400000000003</v>
      </c>
      <c r="G150" s="61">
        <f>IF(FT!B150&lt;&gt;"",FT!B150*100,"")</f>
        <v>46.077400000000004</v>
      </c>
      <c r="H150" s="61">
        <f t="shared" si="13"/>
        <v>1</v>
      </c>
      <c r="I150" t="str">
        <f>IF(FT!B150&lt;&gt;"",FT!E150,"")</f>
        <v>2 [60.145110]</v>
      </c>
      <c r="J150">
        <f>IF(FT!B150&lt;&gt;"",FT!C150,"")</f>
        <v>60.145099999999999</v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210</v>
      </c>
      <c r="D152" s="61">
        <f>FH!B152*1</f>
        <v>210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0</v>
      </c>
      <c r="D154" s="61">
        <f>FH!B154*1</f>
        <v>0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0</v>
      </c>
      <c r="D157" s="61">
        <f>FH!B157*1</f>
        <v>0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0</v>
      </c>
      <c r="D160" s="61">
        <f>FH!B160*1</f>
        <v>0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0</v>
      </c>
      <c r="D162" s="61">
        <f>FH!B162*1</f>
        <v>0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0</v>
      </c>
      <c r="D165" s="61">
        <f>FH!B165*1</f>
        <v>0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0</v>
      </c>
      <c r="D167" s="61">
        <f>FH!B167*1</f>
        <v>0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0</v>
      </c>
      <c r="D170" s="61">
        <f>FH!B170*1</f>
        <v>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0</v>
      </c>
      <c r="D173" s="61">
        <f>FH!B173*1</f>
        <v>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0</v>
      </c>
      <c r="D175" s="61">
        <f>FH!B175*1</f>
        <v>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0</v>
      </c>
      <c r="D178" s="61">
        <f>FH!B178*1</f>
        <v>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27.6189</v>
      </c>
      <c r="C5" s="66">
        <v>6.9300600000000001</v>
      </c>
      <c r="D5" s="66">
        <v>25.091799999999999</v>
      </c>
      <c r="E5" s="66">
        <v>20</v>
      </c>
      <c r="F5" s="66">
        <v>9.8936899999999994</v>
      </c>
      <c r="G5" s="66">
        <v>50</v>
      </c>
      <c r="H5" s="66">
        <v>38.3172</v>
      </c>
    </row>
    <row r="6" spans="1:8">
      <c r="A6" s="58" t="s">
        <v>303</v>
      </c>
      <c r="B6" s="66">
        <v>40.1447</v>
      </c>
      <c r="C6" s="66">
        <v>6.3062199999999997</v>
      </c>
      <c r="D6" s="66">
        <v>15.7087</v>
      </c>
      <c r="E6" s="66">
        <v>20</v>
      </c>
      <c r="F6" s="66">
        <v>29.564800000000002</v>
      </c>
      <c r="G6" s="66">
        <v>40</v>
      </c>
      <c r="H6" s="66">
        <v>54.559699999999999</v>
      </c>
    </row>
    <row r="7" spans="1:8">
      <c r="A7" s="58" t="s">
        <v>304</v>
      </c>
      <c r="B7" s="66">
        <v>27.881900000000002</v>
      </c>
      <c r="C7" s="66">
        <v>7.2570699999999997</v>
      </c>
      <c r="D7" s="66">
        <v>26.027899999999999</v>
      </c>
      <c r="E7" s="66">
        <v>15</v>
      </c>
      <c r="F7" s="66">
        <v>9.20749</v>
      </c>
      <c r="G7" s="66">
        <v>40</v>
      </c>
      <c r="H7" s="66">
        <v>50.445700000000002</v>
      </c>
    </row>
    <row r="8" spans="1:8">
      <c r="A8" s="58" t="s">
        <v>305</v>
      </c>
      <c r="B8" s="66">
        <v>32.819600000000001</v>
      </c>
      <c r="C8" s="66">
        <v>4.0386199999999999</v>
      </c>
      <c r="D8" s="66">
        <v>12.3055</v>
      </c>
      <c r="E8" s="66">
        <v>20</v>
      </c>
      <c r="F8" s="66">
        <v>23.180900000000001</v>
      </c>
      <c r="G8" s="66">
        <v>50</v>
      </c>
      <c r="H8" s="66">
        <v>40.619300000000003</v>
      </c>
    </row>
    <row r="9" spans="1:8">
      <c r="A9" s="58" t="s">
        <v>306</v>
      </c>
      <c r="B9" s="66">
        <v>64.821899999999999</v>
      </c>
      <c r="C9" s="66">
        <v>9.2173300000000005</v>
      </c>
      <c r="D9" s="66">
        <v>14.2195</v>
      </c>
      <c r="E9" s="66">
        <v>50</v>
      </c>
      <c r="F9" s="66">
        <v>33.569899999999997</v>
      </c>
      <c r="G9" s="66">
        <v>100</v>
      </c>
      <c r="H9" s="66">
        <v>85.169300000000007</v>
      </c>
    </row>
    <row r="10" spans="1:8">
      <c r="A10" s="58" t="s">
        <v>307</v>
      </c>
      <c r="B10" s="66">
        <v>56.660200000000003</v>
      </c>
      <c r="C10" s="66">
        <v>15.0084</v>
      </c>
      <c r="D10" s="66">
        <v>26.488499999999998</v>
      </c>
      <c r="E10" s="66">
        <v>40</v>
      </c>
      <c r="F10" s="66">
        <v>29.18</v>
      </c>
      <c r="G10" s="66">
        <v>100</v>
      </c>
      <c r="H10" s="66">
        <v>78.710099999999997</v>
      </c>
    </row>
    <row r="11" spans="1:8">
      <c r="A11" s="58" t="s">
        <v>308</v>
      </c>
      <c r="B11" s="66">
        <v>9.6183899999999998</v>
      </c>
      <c r="C11" s="66">
        <v>2.84476</v>
      </c>
      <c r="D11" s="66">
        <v>29.5762</v>
      </c>
      <c r="E11" s="66">
        <v>10</v>
      </c>
      <c r="F11" s="66">
        <v>4.1538500000000003</v>
      </c>
      <c r="G11" s="66">
        <v>50</v>
      </c>
      <c r="H11" s="66">
        <v>13.726800000000001</v>
      </c>
    </row>
    <row r="12" spans="1:8">
      <c r="A12" s="58" t="s">
        <v>309</v>
      </c>
      <c r="B12" s="66">
        <v>66.588499999999996</v>
      </c>
      <c r="C12" s="66">
        <v>10.2385</v>
      </c>
      <c r="D12" s="66">
        <v>15.3758</v>
      </c>
      <c r="E12" s="66">
        <v>50</v>
      </c>
      <c r="F12" s="66">
        <v>35.571800000000003</v>
      </c>
      <c r="G12" s="66">
        <v>100</v>
      </c>
      <c r="H12" s="66">
        <v>74.650800000000004</v>
      </c>
    </row>
    <row r="13" spans="1:8">
      <c r="A13" s="58" t="s">
        <v>310</v>
      </c>
      <c r="B13" s="66">
        <v>18.156500000000001</v>
      </c>
      <c r="C13" s="66">
        <v>3.1153300000000002</v>
      </c>
      <c r="D13" s="66">
        <v>17.158300000000001</v>
      </c>
      <c r="E13" s="66">
        <v>10</v>
      </c>
      <c r="F13" s="66">
        <v>13.2667</v>
      </c>
      <c r="G13" s="66">
        <v>25</v>
      </c>
      <c r="H13" s="66">
        <v>28.053699999999999</v>
      </c>
    </row>
    <row r="14" spans="1:8">
      <c r="A14" s="58" t="s">
        <v>311</v>
      </c>
      <c r="B14" s="66">
        <v>31.153300000000002</v>
      </c>
      <c r="C14" s="66">
        <v>11.9612</v>
      </c>
      <c r="D14" s="66">
        <v>38.394599999999997</v>
      </c>
      <c r="E14" s="66">
        <v>10</v>
      </c>
      <c r="F14" s="66">
        <v>2.2907600000000001</v>
      </c>
      <c r="G14" s="66">
        <v>50</v>
      </c>
      <c r="H14" s="66">
        <v>36.7776</v>
      </c>
    </row>
    <row r="15" spans="1:8">
      <c r="A15" s="58" t="s">
        <v>312</v>
      </c>
      <c r="B15" s="66">
        <v>0.106002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0.30175400000000002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22.034700000000001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0.60591700000000004</v>
      </c>
      <c r="C18" s="66">
        <v>2.41625E-2</v>
      </c>
      <c r="D18" s="66">
        <v>3.9877599999999999E-2</v>
      </c>
      <c r="E18" s="66">
        <v>0</v>
      </c>
      <c r="F18" s="66">
        <v>0.58175399999999999</v>
      </c>
      <c r="G18" s="66">
        <v>0</v>
      </c>
      <c r="H18" s="66">
        <v>0.63007899999999994</v>
      </c>
    </row>
    <row r="19" spans="1:8">
      <c r="A19" s="58" t="s">
        <v>316</v>
      </c>
      <c r="B19" s="66">
        <v>0.79960500000000001</v>
      </c>
      <c r="C19" s="66">
        <v>5.8237900000000002E-2</v>
      </c>
      <c r="D19" s="66">
        <v>7.2833300000000004E-2</v>
      </c>
      <c r="E19" s="66">
        <v>0</v>
      </c>
      <c r="F19" s="66">
        <v>0.741367</v>
      </c>
      <c r="G19" s="66">
        <v>0</v>
      </c>
      <c r="H19" s="66">
        <v>0.85784300000000002</v>
      </c>
    </row>
    <row r="20" spans="1:8">
      <c r="A20" s="58" t="s">
        <v>317</v>
      </c>
      <c r="B20" s="196">
        <v>1.7906100000000001E-5</v>
      </c>
      <c r="C20" s="66">
        <v>1.33028E-2</v>
      </c>
      <c r="D20" s="66">
        <v>742.92</v>
      </c>
      <c r="E20" s="66">
        <v>0</v>
      </c>
      <c r="F20" s="66">
        <v>0</v>
      </c>
      <c r="G20" s="66">
        <v>0</v>
      </c>
      <c r="H20" s="66">
        <v>0.142235</v>
      </c>
    </row>
    <row r="21" spans="1:8">
      <c r="A21" s="58" t="s">
        <v>318</v>
      </c>
      <c r="B21" s="66">
        <v>8.62016E-3</v>
      </c>
      <c r="C21" s="66">
        <v>7.6032299999999997E-2</v>
      </c>
      <c r="D21" s="66">
        <v>8.82029</v>
      </c>
      <c r="E21" s="66">
        <v>0</v>
      </c>
      <c r="F21" s="66">
        <v>0</v>
      </c>
      <c r="G21" s="66">
        <v>0</v>
      </c>
      <c r="H21" s="66">
        <v>0.65752100000000002</v>
      </c>
    </row>
    <row r="22" spans="1:8">
      <c r="A22" s="58" t="s">
        <v>319</v>
      </c>
      <c r="B22" s="66">
        <v>36.901600000000002</v>
      </c>
      <c r="C22" s="66">
        <v>21.971299999999999</v>
      </c>
      <c r="D22" s="66">
        <v>0.59540199999999999</v>
      </c>
      <c r="E22" s="66">
        <v>0</v>
      </c>
      <c r="F22" s="66">
        <v>10.433400000000001</v>
      </c>
      <c r="G22" s="66">
        <v>0</v>
      </c>
      <c r="H22" s="66">
        <v>133.81800000000001</v>
      </c>
    </row>
    <row r="23" spans="1:8">
      <c r="A23" s="58" t="s">
        <v>320</v>
      </c>
      <c r="B23" s="66">
        <v>12.169499999999999</v>
      </c>
      <c r="C23" s="66">
        <v>2.5785499999999999</v>
      </c>
      <c r="D23" s="66">
        <v>0.21188599999999999</v>
      </c>
      <c r="E23" s="66">
        <v>0</v>
      </c>
      <c r="F23" s="66">
        <v>6.4261100000000004</v>
      </c>
      <c r="G23" s="66">
        <v>0</v>
      </c>
      <c r="H23" s="66">
        <v>20.6616</v>
      </c>
    </row>
    <row r="24" spans="1:8">
      <c r="A24" s="58" t="s">
        <v>321</v>
      </c>
      <c r="B24" s="196">
        <v>3.9602399999999999E-5</v>
      </c>
      <c r="C24" s="66">
        <v>8.1427200000000009E-3</v>
      </c>
      <c r="D24" s="66">
        <v>205.61199999999999</v>
      </c>
      <c r="E24" s="66">
        <v>0</v>
      </c>
      <c r="F24" s="196">
        <v>6.6009299999999999E-9</v>
      </c>
      <c r="G24" s="66">
        <v>0</v>
      </c>
      <c r="H24" s="66">
        <v>4.23662E-2</v>
      </c>
    </row>
    <row r="25" spans="1:8">
      <c r="A25" s="58" t="s">
        <v>322</v>
      </c>
      <c r="B25" s="66">
        <v>2.0058900000000001E-2</v>
      </c>
      <c r="C25" s="66">
        <v>4.5527600000000001E-2</v>
      </c>
      <c r="D25" s="66">
        <v>2.2696999999999998</v>
      </c>
      <c r="E25" s="66">
        <v>0</v>
      </c>
      <c r="F25" s="66">
        <v>1.2516700000000001E-3</v>
      </c>
      <c r="G25" s="66">
        <v>0</v>
      </c>
      <c r="H25" s="66">
        <v>0.197268</v>
      </c>
    </row>
    <row r="26" spans="1:8">
      <c r="A26" s="58" t="s">
        <v>323</v>
      </c>
      <c r="B26" s="196">
        <v>6.5651299999999996E-6</v>
      </c>
      <c r="C26" s="66">
        <v>8.7421000000000005E-4</v>
      </c>
      <c r="D26" s="66">
        <v>133.16</v>
      </c>
      <c r="E26" s="66">
        <v>0</v>
      </c>
      <c r="F26" s="66">
        <v>0</v>
      </c>
      <c r="G26" s="66">
        <v>0</v>
      </c>
      <c r="H26" s="66">
        <v>6.5191700000000003E-3</v>
      </c>
    </row>
    <row r="27" spans="1:8">
      <c r="A27" s="58" t="s">
        <v>324</v>
      </c>
      <c r="B27" s="66">
        <v>0</v>
      </c>
      <c r="C27" s="66">
        <v>6.0754699999999995E-4</v>
      </c>
      <c r="D27" s="66">
        <v>0</v>
      </c>
      <c r="E27" s="66">
        <v>0</v>
      </c>
      <c r="F27" s="66">
        <v>-4.8023900000000001E-3</v>
      </c>
      <c r="G27" s="66">
        <v>0</v>
      </c>
      <c r="H27" s="66">
        <v>4.5496299999999998E-3</v>
      </c>
    </row>
    <row r="28" spans="1:8">
      <c r="A28" s="58" t="s">
        <v>325</v>
      </c>
      <c r="B28" s="66">
        <v>1.56901E-3</v>
      </c>
      <c r="C28" s="66">
        <v>6.6018600000000002E-3</v>
      </c>
      <c r="D28" s="66">
        <v>4.2076599999999997</v>
      </c>
      <c r="E28" s="66">
        <v>0</v>
      </c>
      <c r="F28" s="66">
        <v>0</v>
      </c>
      <c r="G28" s="66">
        <v>0</v>
      </c>
      <c r="H28" s="66">
        <v>5.7913399999999997E-2</v>
      </c>
    </row>
    <row r="29" spans="1:8">
      <c r="A29" s="58" t="s">
        <v>326</v>
      </c>
      <c r="B29" s="66">
        <v>59.926699999999997</v>
      </c>
      <c r="C29" s="66">
        <v>10.6974</v>
      </c>
      <c r="D29" s="66">
        <v>0.178508</v>
      </c>
      <c r="E29" s="66">
        <v>0</v>
      </c>
      <c r="F29" s="66">
        <v>36.7575</v>
      </c>
      <c r="G29" s="66">
        <v>0</v>
      </c>
      <c r="H29" s="66">
        <v>108.991</v>
      </c>
    </row>
    <row r="30" spans="1:8">
      <c r="A30" s="58" t="s">
        <v>327</v>
      </c>
      <c r="B30" s="66">
        <v>15.1867</v>
      </c>
      <c r="C30" s="66">
        <v>2.5342099999999999</v>
      </c>
      <c r="D30" s="66">
        <v>0.16687099999999999</v>
      </c>
      <c r="E30" s="66">
        <v>0</v>
      </c>
      <c r="F30" s="66">
        <v>8.6812199999999997</v>
      </c>
      <c r="G30" s="66">
        <v>0</v>
      </c>
      <c r="H30" s="66">
        <v>21.645499999999998</v>
      </c>
    </row>
    <row r="31" spans="1:8">
      <c r="A31" s="58" t="s">
        <v>328</v>
      </c>
      <c r="B31" s="66">
        <v>97.125600000000006</v>
      </c>
      <c r="C31" s="66">
        <v>25.708100000000002</v>
      </c>
      <c r="D31" s="66">
        <v>0.26468900000000001</v>
      </c>
      <c r="E31" s="66">
        <v>0</v>
      </c>
      <c r="F31" s="66">
        <v>29.418500000000002</v>
      </c>
      <c r="G31" s="66">
        <v>0</v>
      </c>
      <c r="H31" s="66">
        <v>134.38300000000001</v>
      </c>
    </row>
    <row r="32" spans="1:8">
      <c r="A32" s="58" t="s">
        <v>329</v>
      </c>
      <c r="B32" s="66">
        <v>0.27881899999999998</v>
      </c>
      <c r="C32" s="66">
        <v>7.2570700000000002E-2</v>
      </c>
      <c r="D32" s="66">
        <v>0.26027899999999998</v>
      </c>
      <c r="E32" s="66">
        <v>0.15</v>
      </c>
      <c r="F32" s="66">
        <v>9.2074799999999998E-2</v>
      </c>
      <c r="G32" s="66">
        <v>0.4</v>
      </c>
      <c r="H32" s="66">
        <v>0.50445700000000004</v>
      </c>
    </row>
    <row r="33" spans="1:8">
      <c r="A33" s="58" t="s">
        <v>330</v>
      </c>
      <c r="B33" s="66">
        <v>0.38136700000000001</v>
      </c>
      <c r="C33" s="66">
        <v>4.30385E-2</v>
      </c>
      <c r="D33" s="66">
        <v>0.11285299999999999</v>
      </c>
      <c r="E33" s="66">
        <v>0</v>
      </c>
      <c r="F33" s="66">
        <v>0.25383899999999998</v>
      </c>
      <c r="G33" s="66">
        <v>0</v>
      </c>
      <c r="H33" s="66">
        <v>0.47277999999999998</v>
      </c>
    </row>
    <row r="34" spans="1:8">
      <c r="A34" s="58" t="s">
        <v>331</v>
      </c>
      <c r="B34" s="66">
        <v>0.181565</v>
      </c>
      <c r="C34" s="66">
        <v>3.1153299999999998E-2</v>
      </c>
      <c r="D34" s="66">
        <v>0.17158300000000001</v>
      </c>
      <c r="E34" s="66">
        <v>0.1</v>
      </c>
      <c r="F34" s="66">
        <v>0.13266700000000001</v>
      </c>
      <c r="G34" s="66">
        <v>0.25</v>
      </c>
      <c r="H34" s="66">
        <v>0.28053699999999998</v>
      </c>
    </row>
    <row r="35" spans="1:8">
      <c r="A35" s="58" t="s">
        <v>332</v>
      </c>
      <c r="B35" s="66">
        <v>8.4656300000000004E-2</v>
      </c>
      <c r="C35" s="66">
        <v>2.5284899999999999E-2</v>
      </c>
      <c r="D35" s="66">
        <v>0.29867700000000003</v>
      </c>
      <c r="E35" s="66">
        <v>0</v>
      </c>
      <c r="F35" s="66">
        <v>4.1125299999999997E-2</v>
      </c>
      <c r="G35" s="66">
        <v>0</v>
      </c>
      <c r="H35" s="66">
        <v>0.153416</v>
      </c>
    </row>
    <row r="36" spans="1:8">
      <c r="A36" s="58" t="s">
        <v>333</v>
      </c>
      <c r="B36" s="66">
        <v>0.17441599999999999</v>
      </c>
      <c r="C36" s="66">
        <v>9.7930400000000001E-2</v>
      </c>
      <c r="D36" s="66">
        <v>0.561477</v>
      </c>
      <c r="E36" s="66">
        <v>0</v>
      </c>
      <c r="F36" s="66">
        <v>3.8434900000000001E-2</v>
      </c>
      <c r="G36" s="66">
        <v>0</v>
      </c>
      <c r="H36" s="66">
        <v>0.55806599999999995</v>
      </c>
    </row>
    <row r="37" spans="1:8">
      <c r="A37" s="58" t="s">
        <v>334</v>
      </c>
      <c r="B37" s="66">
        <v>0.311533</v>
      </c>
      <c r="C37" s="66">
        <v>0.119612</v>
      </c>
      <c r="D37" s="66">
        <v>0.38394699999999998</v>
      </c>
      <c r="E37" s="66">
        <v>0.1</v>
      </c>
      <c r="F37" s="66">
        <v>2.29076E-2</v>
      </c>
      <c r="G37" s="66">
        <v>0.5</v>
      </c>
      <c r="H37" s="66">
        <v>0.36777599999999999</v>
      </c>
    </row>
    <row r="38" spans="1:8">
      <c r="A38" s="58" t="s">
        <v>335</v>
      </c>
      <c r="B38" s="66">
        <v>0</v>
      </c>
      <c r="C38" s="66">
        <v>35.650300000000001</v>
      </c>
      <c r="D38" s="66">
        <v>0</v>
      </c>
      <c r="E38" s="66">
        <v>0</v>
      </c>
      <c r="F38" s="66">
        <v>-88.404200000000003</v>
      </c>
      <c r="G38" s="66">
        <v>0</v>
      </c>
      <c r="H38" s="66">
        <v>155.60599999999999</v>
      </c>
    </row>
    <row r="39" spans="1:8">
      <c r="A39" s="58" t="s">
        <v>336</v>
      </c>
      <c r="B39" s="66">
        <v>-0.97489599999999998</v>
      </c>
      <c r="C39" s="66">
        <v>3.8045</v>
      </c>
      <c r="D39" s="66">
        <v>-3.9024700000000001</v>
      </c>
      <c r="E39" s="66">
        <v>0</v>
      </c>
      <c r="F39" s="66">
        <v>-12.609400000000001</v>
      </c>
      <c r="G39" s="66">
        <v>0</v>
      </c>
      <c r="H39" s="66">
        <v>11.316800000000001</v>
      </c>
    </row>
    <row r="40" spans="1:8">
      <c r="A40" s="58" t="s">
        <v>337</v>
      </c>
      <c r="B40" s="66">
        <v>-0.22720499999999999</v>
      </c>
      <c r="C40" s="66">
        <v>0.42681799999999998</v>
      </c>
      <c r="D40" s="66">
        <v>-1.87856</v>
      </c>
      <c r="E40" s="66">
        <v>0</v>
      </c>
      <c r="F40" s="66">
        <v>-1.4266099999999999</v>
      </c>
      <c r="G40" s="66">
        <v>0</v>
      </c>
      <c r="H40" s="66">
        <v>0.89712400000000003</v>
      </c>
    </row>
    <row r="41" spans="1:8">
      <c r="A41" s="58" t="s">
        <v>338</v>
      </c>
      <c r="B41" s="66">
        <v>0</v>
      </c>
      <c r="C41" s="66">
        <v>0.37960700000000003</v>
      </c>
      <c r="D41" s="66">
        <v>0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-3.7865799999999998E-2</v>
      </c>
      <c r="C42" s="66">
        <v>0.11643299999999999</v>
      </c>
      <c r="D42" s="66">
        <v>-3.0749</v>
      </c>
      <c r="E42" s="66">
        <v>0</v>
      </c>
      <c r="F42" s="66">
        <v>-0.6</v>
      </c>
      <c r="G42" s="66">
        <v>0</v>
      </c>
      <c r="H42" s="66">
        <v>0.31840000000000002</v>
      </c>
    </row>
    <row r="43" spans="1:8">
      <c r="A43" s="58" t="s">
        <v>340</v>
      </c>
      <c r="B43" s="66">
        <v>-5.0800600000000001E-2</v>
      </c>
      <c r="C43" s="66">
        <v>7.2095400000000004E-2</v>
      </c>
      <c r="D43" s="66">
        <v>-1.4191800000000001</v>
      </c>
      <c r="E43" s="66">
        <v>0</v>
      </c>
      <c r="F43" s="66">
        <v>-0.12497800000000001</v>
      </c>
      <c r="G43" s="66">
        <v>0</v>
      </c>
      <c r="H43" s="66">
        <v>0.12111</v>
      </c>
    </row>
    <row r="44" spans="1:8">
      <c r="A44" s="58" t="s">
        <v>341</v>
      </c>
      <c r="B44" s="66">
        <v>-7.9115900000000003</v>
      </c>
      <c r="C44" s="66">
        <v>8.1814300000000006</v>
      </c>
      <c r="D44" s="66">
        <v>-1.0341100000000001</v>
      </c>
      <c r="E44" s="66">
        <v>0</v>
      </c>
      <c r="F44" s="66">
        <v>-19.5213</v>
      </c>
      <c r="G44" s="66">
        <v>0</v>
      </c>
      <c r="H44" s="66">
        <v>11.1014</v>
      </c>
    </row>
    <row r="45" spans="1:8">
      <c r="A45" s="58" t="s">
        <v>342</v>
      </c>
      <c r="B45" s="66">
        <v>48.039700000000003</v>
      </c>
      <c r="C45" s="66">
        <v>8.7636800000000008</v>
      </c>
      <c r="D45" s="66">
        <v>0.182426</v>
      </c>
      <c r="E45" s="66">
        <v>0</v>
      </c>
      <c r="F45" s="66">
        <v>25.407900000000001</v>
      </c>
      <c r="G45" s="66">
        <v>0</v>
      </c>
      <c r="H45" s="66">
        <v>72.0548</v>
      </c>
    </row>
    <row r="46" spans="1:8">
      <c r="A46" s="58" t="s">
        <v>343</v>
      </c>
      <c r="B46" s="66">
        <v>22.778199999999998</v>
      </c>
      <c r="C46" s="66">
        <v>5.35372</v>
      </c>
      <c r="D46" s="66">
        <v>0.235037</v>
      </c>
      <c r="E46" s="66">
        <v>0</v>
      </c>
      <c r="F46" s="66">
        <v>8.1875900000000001</v>
      </c>
      <c r="G46" s="66">
        <v>0</v>
      </c>
      <c r="H46" s="66">
        <v>30.4343</v>
      </c>
    </row>
    <row r="47" spans="1:8">
      <c r="A47" s="58" t="s">
        <v>344</v>
      </c>
      <c r="B47" s="66">
        <v>0.37974599999999997</v>
      </c>
      <c r="C47" s="66">
        <v>0.25051000000000001</v>
      </c>
      <c r="D47" s="66">
        <v>0.65967799999999999</v>
      </c>
      <c r="E47" s="66">
        <v>0</v>
      </c>
      <c r="F47" s="66">
        <v>0.106809</v>
      </c>
      <c r="G47" s="66">
        <v>0</v>
      </c>
      <c r="H47" s="66">
        <v>1.3555900000000001</v>
      </c>
    </row>
    <row r="48" spans="1:8">
      <c r="A48" s="58" t="s">
        <v>345</v>
      </c>
      <c r="B48" s="66">
        <v>0.42441400000000001</v>
      </c>
      <c r="C48" s="66">
        <v>8.2160300000000006E-2</v>
      </c>
      <c r="D48" s="66">
        <v>0.19358500000000001</v>
      </c>
      <c r="E48" s="66">
        <v>0</v>
      </c>
      <c r="F48" s="66">
        <v>0.27598299999999998</v>
      </c>
      <c r="G48" s="66">
        <v>0</v>
      </c>
      <c r="H48" s="66">
        <v>0.63208799999999998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0.58490000000000109</v>
      </c>
      <c r="C5" s="66">
        <f>'M2'!C5-'M1'!C5</f>
        <v>-2.22248</v>
      </c>
      <c r="D5" s="66">
        <f>'M2'!D5-'M1'!D5</f>
        <v>-8.6387999999999998</v>
      </c>
      <c r="E5" s="66">
        <f>'M2'!E5-'M1'!E5</f>
        <v>0</v>
      </c>
      <c r="F5" s="66">
        <f>'M2'!F5-'M1'!F5</f>
        <v>8.5186099999999989</v>
      </c>
      <c r="G5" s="66">
        <f>'M2'!G5-'M1'!G5</f>
        <v>0</v>
      </c>
      <c r="H5" s="66">
        <f>'M2'!H5-'M1'!H5</f>
        <v>-0.4339999999999975</v>
      </c>
    </row>
    <row r="6" spans="1:8">
      <c r="A6" s="66" t="s">
        <v>244</v>
      </c>
      <c r="B6" s="66">
        <f>'M2'!B6-'M1'!B6</f>
        <v>11.621099999999998</v>
      </c>
      <c r="C6" s="66">
        <f>'M2'!C6-'M1'!C6</f>
        <v>0.63818999999999981</v>
      </c>
      <c r="D6" s="66">
        <f>'M2'!D6-'M1'!D6</f>
        <v>-0.2515900000000002</v>
      </c>
      <c r="E6" s="66">
        <f>'M2'!E6-'M1'!E6</f>
        <v>0</v>
      </c>
      <c r="F6" s="66">
        <f>'M2'!F6-'M1'!F6</f>
        <v>10.579899999999999</v>
      </c>
      <c r="G6" s="66">
        <f>'M2'!G6-'M1'!G6</f>
        <v>0</v>
      </c>
      <c r="H6" s="66">
        <f>'M2'!H6-'M1'!H6</f>
        <v>14.978400000000001</v>
      </c>
    </row>
    <row r="7" spans="1:8">
      <c r="A7" s="66" t="s">
        <v>245</v>
      </c>
      <c r="B7" s="66">
        <f>'M2'!B7-'M1'!B7</f>
        <v>4.5267999999999979</v>
      </c>
      <c r="C7" s="66">
        <f>'M2'!C7-'M1'!C7</f>
        <v>-2.2159699999999996</v>
      </c>
      <c r="D7" s="66">
        <f>'M2'!D7-'M1'!D7</f>
        <v>-12.683900000000001</v>
      </c>
      <c r="E7" s="66">
        <f>'M2'!E7-'M1'!E7</f>
        <v>0</v>
      </c>
      <c r="F7" s="66">
        <f>'M2'!F7-'M1'!F7</f>
        <v>-3.3813100000000009</v>
      </c>
      <c r="G7" s="66">
        <f>'M2'!G7-'M1'!G7</f>
        <v>0</v>
      </c>
      <c r="H7" s="66">
        <f>'M2'!H7-'M1'!H7</f>
        <v>0.19109999999999872</v>
      </c>
    </row>
    <row r="8" spans="1:8">
      <c r="A8" s="66" t="s">
        <v>246</v>
      </c>
      <c r="B8" s="66">
        <f>'M2'!B8-'M1'!B8</f>
        <v>6.4389000000000038</v>
      </c>
      <c r="C8" s="66">
        <f>'M2'!C8-'M1'!C8</f>
        <v>-2.31996</v>
      </c>
      <c r="D8" s="66">
        <f>'M2'!D8-'M1'!D8</f>
        <v>-9.6494999999999997</v>
      </c>
      <c r="E8" s="66">
        <f>'M2'!E8-'M1'!E8</f>
        <v>0</v>
      </c>
      <c r="F8" s="66">
        <f>'M2'!F8-'M1'!F8</f>
        <v>7.0655999999999999</v>
      </c>
      <c r="G8" s="66">
        <f>'M2'!G8-'M1'!G8</f>
        <v>0</v>
      </c>
      <c r="H8" s="66">
        <f>'M2'!H8-'M1'!H8</f>
        <v>1.1920000000000002</v>
      </c>
    </row>
    <row r="9" spans="1:8">
      <c r="A9" s="66" t="s">
        <v>247</v>
      </c>
      <c r="B9" s="66">
        <f>'M2'!B9-'M1'!B9</f>
        <v>-8.0878999999999976</v>
      </c>
      <c r="C9" s="66">
        <f>'M2'!C9-'M1'!C9</f>
        <v>1.2512999999999996</v>
      </c>
      <c r="D9" s="66">
        <f>'M2'!D9-'M1'!D9</f>
        <v>3.3413000000000004</v>
      </c>
      <c r="E9" s="66">
        <f>'M2'!E9-'M1'!E9</f>
        <v>0</v>
      </c>
      <c r="F9" s="66">
        <f>'M2'!F9-'M1'!F9</f>
        <v>-23.385900000000007</v>
      </c>
      <c r="G9" s="66">
        <f>'M2'!G9-'M1'!G9</f>
        <v>0</v>
      </c>
      <c r="H9" s="66">
        <f>'M2'!H9-'M1'!H9</f>
        <v>-13.497</v>
      </c>
    </row>
    <row r="10" spans="1:8">
      <c r="A10" s="66" t="s">
        <v>248</v>
      </c>
      <c r="B10" s="66">
        <f>'M2'!B10-'M1'!B10</f>
        <v>-29.298200000000001</v>
      </c>
      <c r="C10" s="66">
        <f>'M2'!C10-'M1'!C10</f>
        <v>0.66215000000000046</v>
      </c>
      <c r="D10" s="66">
        <f>'M2'!D10-'M1'!D10</f>
        <v>8.6495999999999995</v>
      </c>
      <c r="E10" s="66">
        <f>'M2'!E10-'M1'!E10</f>
        <v>0</v>
      </c>
      <c r="F10" s="66">
        <f>'M2'!F10-'M1'!F10</f>
        <v>-25.826500000000003</v>
      </c>
      <c r="G10" s="66">
        <f>'M2'!G10-'M1'!G10</f>
        <v>0</v>
      </c>
      <c r="H10" s="66">
        <f>'M2'!H10-'M1'!H10</f>
        <v>-5.6674000000000007</v>
      </c>
    </row>
    <row r="11" spans="1:8">
      <c r="A11" s="66" t="s">
        <v>249</v>
      </c>
      <c r="B11" s="66">
        <f>'M2'!B11-'M1'!B11</f>
        <v>-1.2906399999999998</v>
      </c>
      <c r="C11" s="66">
        <f>'M2'!C11-'M1'!C11</f>
        <v>-0.70101999999999975</v>
      </c>
      <c r="D11" s="66">
        <f>'M2'!D11-'M1'!D11</f>
        <v>-3.4427999999999983</v>
      </c>
      <c r="E11" s="66">
        <f>'M2'!E11-'M1'!E11</f>
        <v>0</v>
      </c>
      <c r="F11" s="66">
        <f>'M2'!F11-'M1'!F11</f>
        <v>-0.38631999999999955</v>
      </c>
      <c r="G11" s="66">
        <f>'M2'!G11-'M1'!G11</f>
        <v>0</v>
      </c>
      <c r="H11" s="66">
        <f>'M2'!H11-'M1'!H11</f>
        <v>-0.91130000000000067</v>
      </c>
    </row>
    <row r="12" spans="1:8">
      <c r="A12" s="66" t="s">
        <v>250</v>
      </c>
      <c r="B12" s="66">
        <f>'M2'!B12-'M1'!B12</f>
        <v>-16.419300000000007</v>
      </c>
      <c r="C12" s="66">
        <f>'M2'!C12-'M1'!C12</f>
        <v>4.4687200000000002</v>
      </c>
      <c r="D12" s="66">
        <f>'M2'!D12-'M1'!D12</f>
        <v>9.5695100000000011</v>
      </c>
      <c r="E12" s="66">
        <f>'M2'!E12-'M1'!E12</f>
        <v>0</v>
      </c>
      <c r="F12" s="66">
        <f>'M2'!F12-'M1'!F12</f>
        <v>-27.611399999999996</v>
      </c>
      <c r="G12" s="66">
        <f>'M2'!G12-'M1'!G12</f>
        <v>0</v>
      </c>
      <c r="H12" s="66">
        <f>'M2'!H12-'M1'!H12</f>
        <v>-2.9470000000000027</v>
      </c>
    </row>
    <row r="13" spans="1:8">
      <c r="A13" s="66" t="s">
        <v>251</v>
      </c>
      <c r="B13" s="66">
        <f>'M2'!B13-'M1'!B13</f>
        <v>-0.99919999999999831</v>
      </c>
      <c r="C13" s="66">
        <f>'M2'!C13-'M1'!C13</f>
        <v>-1.3075199999999998</v>
      </c>
      <c r="D13" s="66">
        <f>'M2'!D13-'M1'!D13</f>
        <v>-6.2853999999999992</v>
      </c>
      <c r="E13" s="66">
        <f>'M2'!E13-'M1'!E13</f>
        <v>0</v>
      </c>
      <c r="F13" s="66">
        <f>'M2'!F13-'M1'!F13</f>
        <v>1.4322999999999997</v>
      </c>
      <c r="G13" s="66">
        <f>'M2'!G13-'M1'!G13</f>
        <v>0</v>
      </c>
      <c r="H13" s="66">
        <f>'M2'!H13-'M1'!H13</f>
        <v>-0.40690000000000026</v>
      </c>
    </row>
    <row r="14" spans="1:8">
      <c r="A14" s="66" t="s">
        <v>252</v>
      </c>
      <c r="B14" s="66">
        <f>'M2'!B14-'M1'!B14</f>
        <v>-13.075199999999999</v>
      </c>
      <c r="C14" s="66">
        <f>'M2'!C14-'M1'!C14</f>
        <v>0.8462000000000014</v>
      </c>
      <c r="D14" s="66">
        <f>'M2'!D14-'M1'!D14</f>
        <v>21.3309</v>
      </c>
      <c r="E14" s="66">
        <f>'M2'!E14-'M1'!E14</f>
        <v>0</v>
      </c>
      <c r="F14" s="66">
        <f>'M2'!F14-'M1'!F14</f>
        <v>1.0719799999999999</v>
      </c>
      <c r="G14" s="66">
        <f>'M2'!G14-'M1'!G14</f>
        <v>0</v>
      </c>
      <c r="H14" s="66">
        <f>'M2'!H14-'M1'!H14</f>
        <v>8.8000000000008072E-3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-6.9832000000000005E-2</v>
      </c>
      <c r="C18" s="66">
        <f>'M2'!C18-'M1'!C18</f>
        <v>2.41625E-2</v>
      </c>
      <c r="D18" s="66">
        <f>'M2'!D18-'M1'!D18</f>
        <v>3.9877599999999999E-2</v>
      </c>
      <c r="E18" s="66">
        <f>'M2'!E18-'M1'!E18</f>
        <v>0</v>
      </c>
      <c r="F18" s="66">
        <f>'M2'!F18-'M1'!F18</f>
        <v>0.58175399999999999</v>
      </c>
      <c r="G18" s="66">
        <f>'M2'!G18-'M1'!G18</f>
        <v>0</v>
      </c>
      <c r="H18" s="66">
        <f>'M2'!H18-'M1'!H18</f>
        <v>0.63007899999999994</v>
      </c>
    </row>
    <row r="19" spans="1:8">
      <c r="A19" s="66" t="s">
        <v>256</v>
      </c>
      <c r="B19" s="66">
        <f>'M2'!B19-'M1'!B19</f>
        <v>2.4758999999999975E-2</v>
      </c>
      <c r="C19" s="66">
        <f>'M2'!C19-'M1'!C19</f>
        <v>5.8237900000000002E-2</v>
      </c>
      <c r="D19" s="66">
        <f>'M2'!D19-'M1'!D19</f>
        <v>7.2833300000000004E-2</v>
      </c>
      <c r="E19" s="66">
        <f>'M2'!E19-'M1'!E19</f>
        <v>0</v>
      </c>
      <c r="F19" s="66">
        <f>'M2'!F19-'M1'!F19</f>
        <v>0.741367</v>
      </c>
      <c r="G19" s="66">
        <f>'M2'!G19-'M1'!G19</f>
        <v>0</v>
      </c>
      <c r="H19" s="66">
        <f>'M2'!H19-'M1'!H19</f>
        <v>0.85784300000000002</v>
      </c>
    </row>
    <row r="20" spans="1:8">
      <c r="A20" s="66" t="s">
        <v>63</v>
      </c>
      <c r="B20" s="66">
        <f>'M2'!B20-'M1'!B20</f>
        <v>-1.5537400000000001E-5</v>
      </c>
      <c r="C20" s="66">
        <f>'M2'!C20-'M1'!C20</f>
        <v>-3.6036000000000002E-3</v>
      </c>
      <c r="D20" s="66">
        <f>'M2'!D20-'M1'!D20</f>
        <v>387.48099999999999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-3.9837999999999998E-2</v>
      </c>
    </row>
    <row r="21" spans="1:8">
      <c r="A21" s="66" t="s">
        <v>64</v>
      </c>
      <c r="B21" s="66">
        <f>'M2'!B21-'M1'!B21</f>
        <v>-1.4466490000000002E-2</v>
      </c>
      <c r="C21" s="66">
        <f>'M2'!C21-'M1'!C21</f>
        <v>-5.4604400000000004E-2</v>
      </c>
      <c r="D21" s="66">
        <f>'M2'!D21-'M1'!D21</f>
        <v>3.9191100000000008</v>
      </c>
      <c r="E21" s="66">
        <f>'M2'!E21-'M1'!E21</f>
        <v>0</v>
      </c>
      <c r="F21" s="66">
        <f>'M2'!F21-'M1'!F21</f>
        <v>-4.9645099999999997E-5</v>
      </c>
      <c r="G21" s="66">
        <f>'M2'!G21-'M1'!G21</f>
        <v>0</v>
      </c>
      <c r="H21" s="66">
        <f>'M2'!H21-'M1'!H21</f>
        <v>-0.45649600000000001</v>
      </c>
    </row>
    <row r="22" spans="1:8">
      <c r="A22" s="66" t="s">
        <v>65</v>
      </c>
      <c r="B22" s="66">
        <f>'M2'!B22-'M1'!B22</f>
        <v>-5.1522999999999968</v>
      </c>
      <c r="C22" s="66">
        <f>'M2'!C22-'M1'!C22</f>
        <v>3.6202000000000005</v>
      </c>
      <c r="D22" s="66">
        <f>'M2'!D22-'M1'!D22</f>
        <v>0.18837999999999999</v>
      </c>
      <c r="E22" s="66">
        <f>'M2'!E22-'M1'!E22</f>
        <v>0</v>
      </c>
      <c r="F22" s="66">
        <f>'M2'!F22-'M1'!F22</f>
        <v>-5.057599999999999</v>
      </c>
      <c r="G22" s="66">
        <f>'M2'!G22-'M1'!G22</f>
        <v>0</v>
      </c>
      <c r="H22" s="66">
        <f>'M2'!H22-'M1'!H22</f>
        <v>19.518000000000015</v>
      </c>
    </row>
    <row r="23" spans="1:8">
      <c r="A23" s="66" t="s">
        <v>66</v>
      </c>
      <c r="B23" s="66">
        <f>'M2'!B23-'M1'!B23</f>
        <v>0.93820000000000014</v>
      </c>
      <c r="C23" s="66">
        <f>'M2'!C23-'M1'!C23</f>
        <v>1.7639999999999656E-2</v>
      </c>
      <c r="D23" s="66">
        <f>'M2'!D23-'M1'!D23</f>
        <v>-1.3571E-2</v>
      </c>
      <c r="E23" s="66">
        <f>'M2'!E23-'M1'!E23</f>
        <v>0</v>
      </c>
      <c r="F23" s="66">
        <f>'M2'!F23-'M1'!F23</f>
        <v>3.2812099999999988</v>
      </c>
      <c r="G23" s="66">
        <f>'M2'!G23-'M1'!G23</f>
        <v>0</v>
      </c>
      <c r="H23" s="66">
        <f>'M2'!H23-'M1'!H23</f>
        <v>6.7053000000000011</v>
      </c>
    </row>
    <row r="24" spans="1:8">
      <c r="A24" s="66" t="s">
        <v>67</v>
      </c>
      <c r="B24" s="66">
        <f>'M2'!B24-'M1'!B24</f>
        <v>-4.4794000000000005E-5</v>
      </c>
      <c r="C24" s="66">
        <f>'M2'!C24-'M1'!C24</f>
        <v>-2.3795299999999995E-3</v>
      </c>
      <c r="D24" s="66">
        <f>'M2'!D24-'M1'!D24</f>
        <v>161.86900000000003</v>
      </c>
      <c r="E24" s="66">
        <f>'M2'!E24-'M1'!E24</f>
        <v>0</v>
      </c>
      <c r="F24" s="66">
        <f>'M2'!F24-'M1'!F24</f>
        <v>-9.9044000000000056E-10</v>
      </c>
      <c r="G24" s="66">
        <f>'M2'!G24-'M1'!G24</f>
        <v>0</v>
      </c>
      <c r="H24" s="66">
        <f>'M2'!H24-'M1'!H24</f>
        <v>-1.0133700000000002E-2</v>
      </c>
    </row>
    <row r="25" spans="1:8">
      <c r="A25" s="66" t="s">
        <v>68</v>
      </c>
      <c r="B25" s="66">
        <f>'M2'!B25-'M1'!B25</f>
        <v>-2.50616E-2</v>
      </c>
      <c r="C25" s="66">
        <f>'M2'!C25-'M1'!C25</f>
        <v>-3.7320999999999993E-2</v>
      </c>
      <c r="D25" s="66">
        <f>'M2'!D25-'M1'!D25</f>
        <v>-0.1343399999999999</v>
      </c>
      <c r="E25" s="66">
        <f>'M2'!E25-'M1'!E25</f>
        <v>0</v>
      </c>
      <c r="F25" s="66">
        <f>'M2'!F25-'M1'!F25</f>
        <v>-2.5179499999999997E-3</v>
      </c>
      <c r="G25" s="66">
        <f>'M2'!G25-'M1'!G25</f>
        <v>0</v>
      </c>
      <c r="H25" s="66">
        <f>'M2'!H25-'M1'!H25</f>
        <v>-0.1213726</v>
      </c>
    </row>
    <row r="26" spans="1:8">
      <c r="A26" s="66" t="s">
        <v>69</v>
      </c>
      <c r="B26" s="66">
        <f>'M2'!B26-'M1'!B26</f>
        <v>-6.5651299999999996E-6</v>
      </c>
      <c r="C26" s="66">
        <f>'M2'!C26-'M1'!C26</f>
        <v>-2.0050500000000002E-4</v>
      </c>
      <c r="D26" s="66">
        <f>'M2'!D26-'M1'!D26</f>
        <v>135.39670000000001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-1.2211100000000001E-3</v>
      </c>
    </row>
    <row r="27" spans="1:8">
      <c r="A27" s="66" t="s">
        <v>70</v>
      </c>
      <c r="B27" s="66">
        <f>'M2'!B27-'M1'!B27</f>
        <v>0</v>
      </c>
      <c r="C27" s="66">
        <f>'M2'!C27-'M1'!C27</f>
        <v>-9.3274999999999977E-5</v>
      </c>
      <c r="D27" s="66">
        <f>'M2'!D27-'M1'!D27</f>
        <v>0</v>
      </c>
      <c r="E27" s="66">
        <f>'M2'!E27-'M1'!E27</f>
        <v>0</v>
      </c>
      <c r="F27" s="66">
        <f>'M2'!F27-'M1'!F27</f>
        <v>3.3810000000000003E-4</v>
      </c>
      <c r="G27" s="66">
        <f>'M2'!G27-'M1'!G27</f>
        <v>0</v>
      </c>
      <c r="H27" s="66">
        <f>'M2'!H27-'M1'!H27</f>
        <v>-6.4010000000000022E-4</v>
      </c>
    </row>
    <row r="28" spans="1:8">
      <c r="A28" s="66" t="s">
        <v>71</v>
      </c>
      <c r="B28" s="66">
        <f>'M2'!B28-'M1'!B28</f>
        <v>-1.9856820000000003E-3</v>
      </c>
      <c r="C28" s="66">
        <f>'M2'!C28-'M1'!C28</f>
        <v>-5.1789100000000001E-3</v>
      </c>
      <c r="D28" s="66">
        <f>'M2'!D28-'M1'!D28</f>
        <v>0.49587000000000003</v>
      </c>
      <c r="E28" s="66">
        <f>'M2'!E28-'M1'!E28</f>
        <v>0</v>
      </c>
      <c r="F28" s="66">
        <f>'M2'!F28-'M1'!F28</f>
        <v>-2.9296900000000001E-5</v>
      </c>
      <c r="G28" s="66">
        <f>'M2'!G28-'M1'!G28</f>
        <v>0</v>
      </c>
      <c r="H28" s="66">
        <f>'M2'!H28-'M1'!H28</f>
        <v>-3.6845699999999995E-2</v>
      </c>
    </row>
    <row r="29" spans="1:8">
      <c r="A29" s="66" t="s">
        <v>72</v>
      </c>
      <c r="B29" s="66">
        <f>'M2'!B29-'M1'!B29</f>
        <v>-3.4543999999999997</v>
      </c>
      <c r="C29" s="66">
        <f>'M2'!C29-'M1'!C29</f>
        <v>2.532729999999999</v>
      </c>
      <c r="D29" s="66">
        <f>'M2'!D29-'M1'!D29</f>
        <v>5.3436000000000011E-2</v>
      </c>
      <c r="E29" s="66">
        <f>'M2'!E29-'M1'!E29</f>
        <v>0</v>
      </c>
      <c r="F29" s="66">
        <f>'M2'!F29-'M1'!F29</f>
        <v>-4.2229000000000028</v>
      </c>
      <c r="G29" s="66">
        <f>'M2'!G29-'M1'!G29</f>
        <v>0</v>
      </c>
      <c r="H29" s="66">
        <f>'M2'!H29-'M1'!H29</f>
        <v>24.136200000000002</v>
      </c>
    </row>
    <row r="30" spans="1:8">
      <c r="A30" s="66" t="s">
        <v>73</v>
      </c>
      <c r="B30" s="66">
        <f>'M2'!B30-'M1'!B30</f>
        <v>1.0823999999999998</v>
      </c>
      <c r="C30" s="66">
        <f>'M2'!C30-'M1'!C30</f>
        <v>-0.32911000000000001</v>
      </c>
      <c r="D30" s="66">
        <f>'M2'!D30-'M1'!D30</f>
        <v>-3.157299999999999E-2</v>
      </c>
      <c r="E30" s="66">
        <f>'M2'!E30-'M1'!E30</f>
        <v>0</v>
      </c>
      <c r="F30" s="66">
        <f>'M2'!F30-'M1'!F30</f>
        <v>4.6121800000000004</v>
      </c>
      <c r="G30" s="66">
        <f>'M2'!G30-'M1'!G30</f>
        <v>0</v>
      </c>
      <c r="H30" s="66">
        <f>'M2'!H30-'M1'!H30</f>
        <v>5.0109999999999992</v>
      </c>
    </row>
    <row r="31" spans="1:8">
      <c r="A31" s="66" t="s">
        <v>74</v>
      </c>
      <c r="B31" s="66">
        <f>'M2'!B31-'M1'!B31</f>
        <v>-13.266099999999994</v>
      </c>
      <c r="C31" s="66">
        <f>'M2'!C31-'M1'!C31</f>
        <v>-13.9087</v>
      </c>
      <c r="D31" s="66">
        <f>'M2'!D31-'M1'!D31</f>
        <v>-0.11138600000000001</v>
      </c>
      <c r="E31" s="66">
        <f>'M2'!E31-'M1'!E31</f>
        <v>0</v>
      </c>
      <c r="F31" s="66">
        <f>'M2'!F31-'M1'!F31</f>
        <v>38.933</v>
      </c>
      <c r="G31" s="66">
        <f>'M2'!G31-'M1'!G31</f>
        <v>0</v>
      </c>
      <c r="H31" s="66">
        <f>'M2'!H31-'M1'!H31</f>
        <v>-7.4500000000000028</v>
      </c>
    </row>
    <row r="32" spans="1:8">
      <c r="A32" s="66" t="s">
        <v>75</v>
      </c>
      <c r="B32" s="66">
        <f>'M2'!B32-'M1'!B32</f>
        <v>4.5268000000000003E-2</v>
      </c>
      <c r="C32" s="66">
        <f>'M2'!C32-'M1'!C32</f>
        <v>-2.2159699999999997E-2</v>
      </c>
      <c r="D32" s="66">
        <f>'M2'!D32-'M1'!D32</f>
        <v>-0.12683900000000001</v>
      </c>
      <c r="E32" s="66">
        <f>'M2'!E32-'M1'!E32</f>
        <v>0</v>
      </c>
      <c r="F32" s="66">
        <f>'M2'!F32-'M1'!F32</f>
        <v>-3.3813200000000002E-2</v>
      </c>
      <c r="G32" s="66">
        <f>'M2'!G32-'M1'!G32</f>
        <v>0</v>
      </c>
      <c r="H32" s="66">
        <f>'M2'!H32-'M1'!H32</f>
        <v>1.910999999999996E-3</v>
      </c>
    </row>
    <row r="33" spans="1:8">
      <c r="A33" s="66" t="s">
        <v>76</v>
      </c>
      <c r="B33" s="66">
        <f>'M2'!B33-'M1'!B33</f>
        <v>1.1375999999999997E-2</v>
      </c>
      <c r="C33" s="66">
        <f>'M2'!C33-'M1'!C33</f>
        <v>-3.2498300000000001E-2</v>
      </c>
      <c r="D33" s="66">
        <f>'M2'!D33-'M1'!D33</f>
        <v>-8.7862999999999997E-2</v>
      </c>
      <c r="E33" s="66">
        <f>'M2'!E33-'M1'!E33</f>
        <v>0</v>
      </c>
      <c r="F33" s="66">
        <f>'M2'!F33-'M1'!F33</f>
        <v>9.1624000000000039E-2</v>
      </c>
      <c r="G33" s="66">
        <f>'M2'!G33-'M1'!G33</f>
        <v>0</v>
      </c>
      <c r="H33" s="66">
        <f>'M2'!H33-'M1'!H33</f>
        <v>7.7910999999999953E-2</v>
      </c>
    </row>
    <row r="34" spans="1:8">
      <c r="A34" s="66" t="s">
        <v>77</v>
      </c>
      <c r="B34" s="66">
        <f>'M2'!B34-'M1'!B34</f>
        <v>-9.9920000000000009E-3</v>
      </c>
      <c r="C34" s="66">
        <f>'M2'!C34-'M1'!C34</f>
        <v>-1.3075200000000002E-2</v>
      </c>
      <c r="D34" s="66">
        <f>'M2'!D34-'M1'!D34</f>
        <v>-6.2853999999999993E-2</v>
      </c>
      <c r="E34" s="66">
        <f>'M2'!E34-'M1'!E34</f>
        <v>0</v>
      </c>
      <c r="F34" s="66">
        <f>'M2'!F34-'M1'!F34</f>
        <v>1.4323000000000002E-2</v>
      </c>
      <c r="G34" s="66">
        <f>'M2'!G34-'M1'!G34</f>
        <v>0</v>
      </c>
      <c r="H34" s="66">
        <f>'M2'!H34-'M1'!H34</f>
        <v>-4.0689999999999893E-3</v>
      </c>
    </row>
    <row r="35" spans="1:8">
      <c r="A35" s="66" t="s">
        <v>78</v>
      </c>
      <c r="B35" s="66">
        <f>'M2'!B35-'M1'!B35</f>
        <v>1.346929999999999E-2</v>
      </c>
      <c r="C35" s="66">
        <f>'M2'!C35-'M1'!C35</f>
        <v>1.6597999999999995E-3</v>
      </c>
      <c r="D35" s="66">
        <f>'M2'!D35-'M1'!D35</f>
        <v>-2.7184999999999959E-2</v>
      </c>
      <c r="E35" s="66">
        <f>'M2'!E35-'M1'!E35</f>
        <v>0</v>
      </c>
      <c r="F35" s="66">
        <f>'M2'!F35-'M1'!F35</f>
        <v>-2.4868000000000043E-3</v>
      </c>
      <c r="G35" s="66">
        <f>'M2'!G35-'M1'!G35</f>
        <v>0</v>
      </c>
      <c r="H35" s="66">
        <f>'M2'!H35-'M1'!H35</f>
        <v>4.7609999999999875E-3</v>
      </c>
    </row>
    <row r="36" spans="1:8">
      <c r="A36" s="66" t="s">
        <v>79</v>
      </c>
      <c r="B36" s="66">
        <f>'M2'!B36-'M1'!B36</f>
        <v>-1.7425999999999997E-2</v>
      </c>
      <c r="C36" s="66">
        <f>'M2'!C36-'M1'!C36</f>
        <v>5.2776999999999963E-3</v>
      </c>
      <c r="D36" s="66">
        <f>'M2'!D36-'M1'!D36</f>
        <v>8.7992999999999988E-2</v>
      </c>
      <c r="E36" s="66">
        <f>'M2'!E36-'M1'!E36</f>
        <v>0</v>
      </c>
      <c r="F36" s="66">
        <f>'M2'!F36-'M1'!F36</f>
        <v>2.7316999999999966E-3</v>
      </c>
      <c r="G36" s="66">
        <f>'M2'!G36-'M1'!G36</f>
        <v>0</v>
      </c>
      <c r="H36" s="66">
        <f>'M2'!H36-'M1'!H36</f>
        <v>4.391299999999998E-2</v>
      </c>
    </row>
    <row r="37" spans="1:8">
      <c r="A37" s="66" t="s">
        <v>80</v>
      </c>
      <c r="B37" s="66">
        <f>'M2'!B37-'M1'!B37</f>
        <v>-0.13075199999999998</v>
      </c>
      <c r="C37" s="66">
        <f>'M2'!C37-'M1'!C37</f>
        <v>8.4619999999999973E-3</v>
      </c>
      <c r="D37" s="66">
        <f>'M2'!D37-'M1'!D37</f>
        <v>0.21330899999999997</v>
      </c>
      <c r="E37" s="66">
        <f>'M2'!E37-'M1'!E37</f>
        <v>0</v>
      </c>
      <c r="F37" s="66">
        <f>'M2'!F37-'M1'!F37</f>
        <v>1.0719800000000002E-2</v>
      </c>
      <c r="G37" s="66">
        <f>'M2'!G37-'M1'!G37</f>
        <v>0</v>
      </c>
      <c r="H37" s="66">
        <f>'M2'!H37-'M1'!H37</f>
        <v>8.7999999999976986E-5</v>
      </c>
    </row>
    <row r="38" spans="1:8">
      <c r="A38" s="66" t="s">
        <v>81</v>
      </c>
      <c r="B38" s="66">
        <f>'M2'!B38-'M1'!B38</f>
        <v>0</v>
      </c>
      <c r="C38" s="66">
        <f>'M2'!C38-'M1'!C38</f>
        <v>-4.7663999999999973</v>
      </c>
      <c r="D38" s="66">
        <f>'M2'!D38-'M1'!D38</f>
        <v>0</v>
      </c>
      <c r="E38" s="66">
        <f>'M2'!E38-'M1'!E38</f>
        <v>0</v>
      </c>
      <c r="F38" s="66">
        <f>'M2'!F38-'M1'!F38</f>
        <v>10.835000000000008</v>
      </c>
      <c r="G38" s="66">
        <f>'M2'!G38-'M1'!G38</f>
        <v>0</v>
      </c>
      <c r="H38" s="66">
        <f>'M2'!H38-'M1'!H38</f>
        <v>20.329999999999984</v>
      </c>
    </row>
    <row r="39" spans="1:8">
      <c r="A39" s="66" t="s">
        <v>82</v>
      </c>
      <c r="B39" s="66">
        <f>'M2'!B39-'M1'!B39</f>
        <v>1.133273</v>
      </c>
      <c r="C39" s="66">
        <f>'M2'!C39-'M1'!C39</f>
        <v>-0.94923000000000002</v>
      </c>
      <c r="D39" s="66">
        <f>'M2'!D39-'M1'!D39</f>
        <v>-5.7478100000000003</v>
      </c>
      <c r="E39" s="66">
        <f>'M2'!E39-'M1'!E39</f>
        <v>0</v>
      </c>
      <c r="F39" s="66">
        <f>'M2'!F39-'M1'!F39</f>
        <v>2.4587000000000003</v>
      </c>
      <c r="G39" s="66">
        <f>'M2'!G39-'M1'!G39</f>
        <v>0</v>
      </c>
      <c r="H39" s="66">
        <f>'M2'!H39-'M1'!H39</f>
        <v>-6.0827600000000004</v>
      </c>
    </row>
    <row r="40" spans="1:8">
      <c r="A40" s="66" t="s">
        <v>83</v>
      </c>
      <c r="B40" s="66">
        <f>'M2'!B40-'M1'!B40</f>
        <v>-0.36780420000000003</v>
      </c>
      <c r="C40" s="66">
        <f>'M2'!C40-'M1'!C40</f>
        <v>-3.5285999999999984E-2</v>
      </c>
      <c r="D40" s="66">
        <f>'M2'!D40-'M1'!D40</f>
        <v>-5.9080900000000005</v>
      </c>
      <c r="E40" s="66">
        <f>'M2'!E40-'M1'!E40</f>
        <v>0</v>
      </c>
      <c r="F40" s="66">
        <f>'M2'!F40-'M1'!F40</f>
        <v>-0.39027999999999996</v>
      </c>
      <c r="G40" s="66">
        <f>'M2'!G40-'M1'!G40</f>
        <v>0</v>
      </c>
      <c r="H40" s="66">
        <f>'M2'!H40-'M1'!H40</f>
        <v>-0.298871</v>
      </c>
    </row>
    <row r="41" spans="1:8">
      <c r="A41" s="66" t="s">
        <v>84</v>
      </c>
      <c r="B41" s="66">
        <f>'M2'!B41-'M1'!B41</f>
        <v>0</v>
      </c>
      <c r="C41" s="66">
        <f>'M2'!C41-'M1'!C41</f>
        <v>4.8860000000000015E-3</v>
      </c>
      <c r="D41" s="66">
        <f>'M2'!D41-'M1'!D41</f>
        <v>0</v>
      </c>
      <c r="E41" s="66">
        <f>'M2'!E41-'M1'!E41</f>
        <v>0</v>
      </c>
      <c r="F41" s="66">
        <f>'M2'!F41-'M1'!F41</f>
        <v>-0.21052599999999999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2.1262999999999997E-2</v>
      </c>
      <c r="C42" s="66">
        <f>'M2'!C42-'M1'!C42</f>
        <v>3.317740000000001E-2</v>
      </c>
      <c r="D42" s="66">
        <f>'M2'!D42-'M1'!D42</f>
        <v>-3.1055300000000003</v>
      </c>
      <c r="E42" s="66">
        <f>'M2'!E42-'M1'!E42</f>
        <v>0</v>
      </c>
      <c r="F42" s="66">
        <f>'M2'!F42-'M1'!F42</f>
        <v>-0.36580299999999999</v>
      </c>
      <c r="G42" s="66">
        <f>'M2'!G42-'M1'!G42</f>
        <v>0</v>
      </c>
      <c r="H42" s="66">
        <f>'M2'!H42-'M1'!H42</f>
        <v>-7.4498000000000009E-2</v>
      </c>
    </row>
    <row r="43" spans="1:8">
      <c r="A43" s="66" t="s">
        <v>86</v>
      </c>
      <c r="B43" s="66">
        <f>'M2'!B43-'M1'!B43</f>
        <v>-0.11752009999999999</v>
      </c>
      <c r="C43" s="66">
        <f>'M2'!C43-'M1'!C43</f>
        <v>-8.3356999999999945E-3</v>
      </c>
      <c r="D43" s="66">
        <f>'M2'!D43-'M1'!D43</f>
        <v>-2.158604</v>
      </c>
      <c r="E43" s="66">
        <f>'M2'!E43-'M1'!E43</f>
        <v>0</v>
      </c>
      <c r="F43" s="66">
        <f>'M2'!F43-'M1'!F43</f>
        <v>-1.4311000000000004E-2</v>
      </c>
      <c r="G43" s="66">
        <f>'M2'!G43-'M1'!G43</f>
        <v>0</v>
      </c>
      <c r="H43" s="66">
        <f>'M2'!H43-'M1'!H43</f>
        <v>-3.8599999999999746E-4</v>
      </c>
    </row>
    <row r="44" spans="1:8">
      <c r="A44" s="66" t="s">
        <v>87</v>
      </c>
      <c r="B44" s="66">
        <f>'M2'!B44-'M1'!B44</f>
        <v>9.8369999999999997</v>
      </c>
      <c r="C44" s="66">
        <f>'M2'!C44-'M1'!C44</f>
        <v>3.5341399999999998</v>
      </c>
      <c r="D44" s="66">
        <f>'M2'!D44-'M1'!D44</f>
        <v>8.4265190000000008</v>
      </c>
      <c r="E44" s="66">
        <f>'M2'!E44-'M1'!E44</f>
        <v>0</v>
      </c>
      <c r="F44" s="66">
        <f>'M2'!F44-'M1'!F44</f>
        <v>2.7696000000000005</v>
      </c>
      <c r="G44" s="66">
        <f>'M2'!G44-'M1'!G44</f>
        <v>0</v>
      </c>
      <c r="H44" s="66">
        <f>'M2'!H44-'M1'!H44</f>
        <v>10.063890000000001</v>
      </c>
    </row>
    <row r="45" spans="1:8">
      <c r="A45" s="66" t="s">
        <v>88</v>
      </c>
      <c r="B45" s="66">
        <f>'M2'!B45-'M1'!B45</f>
        <v>-5.0388999999999982</v>
      </c>
      <c r="C45" s="66">
        <f>'M2'!C45-'M1'!C45</f>
        <v>2.5572200000000009</v>
      </c>
      <c r="D45" s="66">
        <f>'M2'!D45-'M1'!D45</f>
        <v>7.1512999999999993E-2</v>
      </c>
      <c r="E45" s="66">
        <f>'M2'!E45-'M1'!E45</f>
        <v>0</v>
      </c>
      <c r="F45" s="66">
        <f>'M2'!F45-'M1'!F45</f>
        <v>-8.992799999999999</v>
      </c>
      <c r="G45" s="66">
        <f>'M2'!G45-'M1'!G45</f>
        <v>0</v>
      </c>
      <c r="H45" s="66">
        <f>'M2'!H45-'M1'!H45</f>
        <v>3.5130000000000052</v>
      </c>
    </row>
    <row r="46" spans="1:8">
      <c r="A46" s="66" t="s">
        <v>89</v>
      </c>
      <c r="B46" s="66">
        <f>'M2'!B46-'M1'!B46</f>
        <v>0.3597999999999999</v>
      </c>
      <c r="C46" s="66">
        <f>'M2'!C46-'M1'!C46</f>
        <v>-1.4934000000000003</v>
      </c>
      <c r="D46" s="66">
        <f>'M2'!D46-'M1'!D46</f>
        <v>-6.9550000000000028E-2</v>
      </c>
      <c r="E46" s="66">
        <f>'M2'!E46-'M1'!E46</f>
        <v>0</v>
      </c>
      <c r="F46" s="66">
        <f>'M2'!F46-'M1'!F46</f>
        <v>7.3437099999999997</v>
      </c>
      <c r="G46" s="66">
        <f>'M2'!G46-'M1'!G46</f>
        <v>0</v>
      </c>
      <c r="H46" s="66">
        <f>'M2'!H46-'M1'!H46</f>
        <v>1.5937000000000019</v>
      </c>
    </row>
    <row r="47" spans="1:8">
      <c r="A47" s="66" t="s">
        <v>90</v>
      </c>
      <c r="B47" s="66">
        <f>'M2'!B47-'M1'!B47</f>
        <v>-0.229709</v>
      </c>
      <c r="C47" s="66">
        <f>'M2'!C47-'M1'!C47</f>
        <v>-5.887400000000001E-2</v>
      </c>
      <c r="D47" s="66">
        <f>'M2'!D47-'M1'!D47</f>
        <v>0.20089999999999997</v>
      </c>
      <c r="E47" s="66">
        <f>'M2'!E47-'M1'!E47</f>
        <v>0</v>
      </c>
      <c r="F47" s="66">
        <f>'M2'!F47-'M1'!F47</f>
        <v>-1.6628000000000004E-2</v>
      </c>
      <c r="G47" s="66">
        <f>'M2'!G47-'M1'!G47</f>
        <v>0</v>
      </c>
      <c r="H47" s="66">
        <f>'M2'!H47-'M1'!H47</f>
        <v>-0.23094000000000015</v>
      </c>
    </row>
    <row r="48" spans="1:8">
      <c r="A48" s="66" t="s">
        <v>91</v>
      </c>
      <c r="B48" s="66">
        <f>'M2'!B48-'M1'!B48</f>
        <v>-0.12541800000000003</v>
      </c>
      <c r="C48" s="66">
        <f>'M2'!C48-'M1'!C48</f>
        <v>-1.4518099999999992E-2</v>
      </c>
      <c r="D48" s="66">
        <f>'M2'!D48-'M1'!D48</f>
        <v>4.1969999999999785E-3</v>
      </c>
      <c r="E48" s="66">
        <f>'M2'!E48-'M1'!E48</f>
        <v>0</v>
      </c>
      <c r="F48" s="66">
        <f>'M2'!F48-'M1'!F48</f>
        <v>-9.9521999999999999E-2</v>
      </c>
      <c r="G48" s="66">
        <f>'M2'!G48-'M1'!G48</f>
        <v>0</v>
      </c>
      <c r="H48" s="66">
        <f>'M2'!H48-'M1'!H48</f>
        <v>-0.152258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346</v>
      </c>
      <c r="D1" s="66" t="s">
        <v>347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27.114799999999999</v>
      </c>
      <c r="C5" s="66">
        <v>7.90205</v>
      </c>
      <c r="D5" s="66">
        <v>29.142900000000001</v>
      </c>
      <c r="E5" s="66">
        <v>20</v>
      </c>
      <c r="F5" s="66">
        <v>9.8936899999999994</v>
      </c>
      <c r="G5" s="66">
        <v>50</v>
      </c>
      <c r="H5" s="66">
        <v>38.3172</v>
      </c>
    </row>
    <row r="6" spans="1:8">
      <c r="A6" s="66" t="s">
        <v>303</v>
      </c>
      <c r="B6" s="66">
        <v>34.671900000000001</v>
      </c>
      <c r="C6" s="66">
        <v>2.2515700000000001</v>
      </c>
      <c r="D6" s="66">
        <v>6.4939200000000001</v>
      </c>
      <c r="E6" s="66">
        <v>20</v>
      </c>
      <c r="F6" s="66">
        <v>29.564800000000002</v>
      </c>
      <c r="G6" s="66">
        <v>40</v>
      </c>
      <c r="H6" s="66">
        <v>39.581299999999999</v>
      </c>
    </row>
    <row r="7" spans="1:8">
      <c r="A7" s="66" t="s">
        <v>304</v>
      </c>
      <c r="B7" s="66">
        <v>24.805700000000002</v>
      </c>
      <c r="C7" s="66">
        <v>8.2443799999999996</v>
      </c>
      <c r="D7" s="66">
        <v>33.235900000000001</v>
      </c>
      <c r="E7" s="66">
        <v>15</v>
      </c>
      <c r="F7" s="66">
        <v>12.588800000000001</v>
      </c>
      <c r="G7" s="66">
        <v>40</v>
      </c>
      <c r="H7" s="66">
        <v>50.254600000000003</v>
      </c>
    </row>
    <row r="8" spans="1:8">
      <c r="A8" s="66" t="s">
        <v>305</v>
      </c>
      <c r="B8" s="66">
        <v>27.58</v>
      </c>
      <c r="C8" s="66">
        <v>4.1234999999999999</v>
      </c>
      <c r="D8" s="66">
        <v>14.9511</v>
      </c>
      <c r="E8" s="66">
        <v>20</v>
      </c>
      <c r="F8" s="66">
        <v>23.180900000000001</v>
      </c>
      <c r="G8" s="66">
        <v>50</v>
      </c>
      <c r="H8" s="66">
        <v>39.427300000000002</v>
      </c>
    </row>
    <row r="9" spans="1:8">
      <c r="A9" s="66" t="s">
        <v>306</v>
      </c>
      <c r="B9" s="66">
        <v>69.782899999999998</v>
      </c>
      <c r="C9" s="66">
        <v>6.9899899999999997</v>
      </c>
      <c r="D9" s="66">
        <v>10.0168</v>
      </c>
      <c r="E9" s="66">
        <v>50</v>
      </c>
      <c r="F9" s="66">
        <v>56.955800000000004</v>
      </c>
      <c r="G9" s="66">
        <v>100</v>
      </c>
      <c r="H9" s="66">
        <v>85.169300000000007</v>
      </c>
    </row>
    <row r="10" spans="1:8">
      <c r="A10" s="66" t="s">
        <v>307</v>
      </c>
      <c r="B10" s="66">
        <v>75.411500000000004</v>
      </c>
      <c r="C10" s="66">
        <v>8.5620700000000003</v>
      </c>
      <c r="D10" s="66">
        <v>11.3538</v>
      </c>
      <c r="E10" s="66">
        <v>40</v>
      </c>
      <c r="F10" s="66">
        <v>55.006500000000003</v>
      </c>
      <c r="G10" s="66">
        <v>100</v>
      </c>
      <c r="H10" s="66">
        <v>78.710099999999997</v>
      </c>
    </row>
    <row r="11" spans="1:8">
      <c r="A11" s="66" t="s">
        <v>308</v>
      </c>
      <c r="B11" s="66">
        <v>10.1431</v>
      </c>
      <c r="C11" s="66">
        <v>3.1142099999999999</v>
      </c>
      <c r="D11" s="66">
        <v>30.7029</v>
      </c>
      <c r="E11" s="66">
        <v>10</v>
      </c>
      <c r="F11" s="66">
        <v>4.5401699999999998</v>
      </c>
      <c r="G11" s="66">
        <v>50</v>
      </c>
      <c r="H11" s="66">
        <v>13.726800000000001</v>
      </c>
    </row>
    <row r="12" spans="1:8">
      <c r="A12" s="66" t="s">
        <v>309</v>
      </c>
      <c r="B12" s="66">
        <v>70.019800000000004</v>
      </c>
      <c r="C12" s="66">
        <v>2.81717</v>
      </c>
      <c r="D12" s="66">
        <v>4.02339</v>
      </c>
      <c r="E12" s="66">
        <v>50</v>
      </c>
      <c r="F12" s="66">
        <v>63.183199999999999</v>
      </c>
      <c r="G12" s="66">
        <v>100</v>
      </c>
      <c r="H12" s="66">
        <v>74.650800000000004</v>
      </c>
    </row>
    <row r="13" spans="1:8">
      <c r="A13" s="66" t="s">
        <v>310</v>
      </c>
      <c r="B13" s="66">
        <v>18.7104</v>
      </c>
      <c r="C13" s="66">
        <v>3.63855</v>
      </c>
      <c r="D13" s="66">
        <v>19.4467</v>
      </c>
      <c r="E13" s="66">
        <v>10</v>
      </c>
      <c r="F13" s="66">
        <v>13.2667</v>
      </c>
      <c r="G13" s="66">
        <v>25</v>
      </c>
      <c r="H13" s="66">
        <v>28.053699999999999</v>
      </c>
    </row>
    <row r="14" spans="1:8">
      <c r="A14" s="66" t="s">
        <v>311</v>
      </c>
      <c r="B14" s="66">
        <v>36.3855</v>
      </c>
      <c r="C14" s="66">
        <v>11.481999999999999</v>
      </c>
      <c r="D14" s="66">
        <v>31.5565</v>
      </c>
      <c r="E14" s="66">
        <v>10</v>
      </c>
      <c r="F14" s="66">
        <v>2.2907600000000001</v>
      </c>
      <c r="G14" s="66">
        <v>50</v>
      </c>
      <c r="H14" s="66">
        <v>36.768799999999999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0.67574900000000004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0.77484600000000003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317</v>
      </c>
      <c r="B20" s="196">
        <v>2.7824500000000001E-5</v>
      </c>
      <c r="C20" s="66">
        <v>1.49794E-2</v>
      </c>
      <c r="D20" s="66">
        <v>538.35199999999998</v>
      </c>
      <c r="E20" s="66">
        <v>0</v>
      </c>
      <c r="F20" s="66">
        <v>0</v>
      </c>
      <c r="G20" s="66">
        <v>0</v>
      </c>
      <c r="H20" s="66">
        <v>0.142235</v>
      </c>
    </row>
    <row r="21" spans="1:8">
      <c r="A21" s="66" t="s">
        <v>318</v>
      </c>
      <c r="B21" s="66">
        <v>1.9075000000000002E-2</v>
      </c>
      <c r="C21" s="66">
        <v>9.5814200000000002E-2</v>
      </c>
      <c r="D21" s="66">
        <v>5.0230199999999998</v>
      </c>
      <c r="E21" s="66">
        <v>0</v>
      </c>
      <c r="F21" s="196">
        <v>4.9645099999999997E-5</v>
      </c>
      <c r="G21" s="66">
        <v>0</v>
      </c>
      <c r="H21" s="66">
        <v>0.65752100000000002</v>
      </c>
    </row>
    <row r="22" spans="1:8">
      <c r="A22" s="66" t="s">
        <v>319</v>
      </c>
      <c r="B22" s="66">
        <v>38.32</v>
      </c>
      <c r="C22" s="66">
        <v>19.544699999999999</v>
      </c>
      <c r="D22" s="66">
        <v>0.51003900000000002</v>
      </c>
      <c r="E22" s="66">
        <v>0</v>
      </c>
      <c r="F22" s="66">
        <v>15.491</v>
      </c>
      <c r="G22" s="66">
        <v>0</v>
      </c>
      <c r="H22" s="66">
        <v>114.3</v>
      </c>
    </row>
    <row r="23" spans="1:8">
      <c r="A23" s="66" t="s">
        <v>320</v>
      </c>
      <c r="B23" s="66">
        <v>11.5518</v>
      </c>
      <c r="C23" s="66">
        <v>2.3042600000000002</v>
      </c>
      <c r="D23" s="66">
        <v>0.19947200000000001</v>
      </c>
      <c r="E23" s="66">
        <v>0</v>
      </c>
      <c r="F23" s="66">
        <v>6.4261100000000004</v>
      </c>
      <c r="G23" s="66">
        <v>0</v>
      </c>
      <c r="H23" s="66">
        <v>13.9528</v>
      </c>
    </row>
    <row r="24" spans="1:8">
      <c r="A24" s="66" t="s">
        <v>321</v>
      </c>
      <c r="B24" s="196">
        <v>6.7764900000000006E-5</v>
      </c>
      <c r="C24" s="66">
        <v>9.2248399999999998E-3</v>
      </c>
      <c r="D24" s="66">
        <v>136.13</v>
      </c>
      <c r="E24" s="66">
        <v>0</v>
      </c>
      <c r="F24" s="196">
        <v>7.5913700000000004E-9</v>
      </c>
      <c r="G24" s="66">
        <v>0</v>
      </c>
      <c r="H24" s="66">
        <v>4.23662E-2</v>
      </c>
    </row>
    <row r="25" spans="1:8">
      <c r="A25" s="66" t="s">
        <v>322</v>
      </c>
      <c r="B25" s="66">
        <v>3.87423E-2</v>
      </c>
      <c r="C25" s="66">
        <v>5.4852699999999997E-2</v>
      </c>
      <c r="D25" s="66">
        <v>1.4158299999999999</v>
      </c>
      <c r="E25" s="66">
        <v>0</v>
      </c>
      <c r="F25" s="66">
        <v>3.76962E-3</v>
      </c>
      <c r="G25" s="66">
        <v>0</v>
      </c>
      <c r="H25" s="66">
        <v>0.197268</v>
      </c>
    </row>
    <row r="26" spans="1:8">
      <c r="A26" s="66" t="s">
        <v>323</v>
      </c>
      <c r="B26" s="196">
        <v>9.8476899999999999E-6</v>
      </c>
      <c r="C26" s="66">
        <v>9.6743000000000003E-4</v>
      </c>
      <c r="D26" s="66">
        <v>98.2393</v>
      </c>
      <c r="E26" s="66">
        <v>0</v>
      </c>
      <c r="F26" s="66">
        <v>0</v>
      </c>
      <c r="G26" s="66">
        <v>0</v>
      </c>
      <c r="H26" s="66">
        <v>6.5191700000000003E-3</v>
      </c>
    </row>
    <row r="27" spans="1:8">
      <c r="A27" s="66" t="s">
        <v>324</v>
      </c>
      <c r="B27" s="66">
        <v>0</v>
      </c>
      <c r="C27" s="66">
        <v>6.5318400000000001E-4</v>
      </c>
      <c r="D27" s="66">
        <v>0</v>
      </c>
      <c r="E27" s="66">
        <v>0</v>
      </c>
      <c r="F27" s="66">
        <v>-4.8023900000000001E-3</v>
      </c>
      <c r="G27" s="66">
        <v>0</v>
      </c>
      <c r="H27" s="66">
        <v>4.5496299999999998E-3</v>
      </c>
    </row>
    <row r="28" spans="1:8">
      <c r="A28" s="66" t="s">
        <v>325</v>
      </c>
      <c r="B28" s="66">
        <v>2.9378300000000002E-3</v>
      </c>
      <c r="C28" s="66">
        <v>8.36077E-3</v>
      </c>
      <c r="D28" s="66">
        <v>2.8458999999999999</v>
      </c>
      <c r="E28" s="66">
        <v>0</v>
      </c>
      <c r="F28" s="196">
        <v>2.9296900000000001E-5</v>
      </c>
      <c r="G28" s="66">
        <v>0</v>
      </c>
      <c r="H28" s="66">
        <v>5.7913399999999997E-2</v>
      </c>
    </row>
    <row r="29" spans="1:8">
      <c r="A29" s="66" t="s">
        <v>326</v>
      </c>
      <c r="B29" s="66">
        <v>60.509700000000002</v>
      </c>
      <c r="C29" s="66">
        <v>9.0399700000000003</v>
      </c>
      <c r="D29" s="66">
        <v>0.149397</v>
      </c>
      <c r="E29" s="66">
        <v>0</v>
      </c>
      <c r="F29" s="66">
        <v>40.980400000000003</v>
      </c>
      <c r="G29" s="66">
        <v>0</v>
      </c>
      <c r="H29" s="66">
        <v>84.854799999999997</v>
      </c>
    </row>
    <row r="30" spans="1:8">
      <c r="A30" s="66" t="s">
        <v>327</v>
      </c>
      <c r="B30" s="66">
        <v>14.8164</v>
      </c>
      <c r="C30" s="66">
        <v>2.3660999999999999</v>
      </c>
      <c r="D30" s="66">
        <v>0.159695</v>
      </c>
      <c r="E30" s="66">
        <v>0</v>
      </c>
      <c r="F30" s="66">
        <v>8.6812199999999997</v>
      </c>
      <c r="G30" s="66">
        <v>0</v>
      </c>
      <c r="H30" s="66">
        <v>16.6265</v>
      </c>
    </row>
    <row r="31" spans="1:8">
      <c r="A31" s="66" t="s">
        <v>328</v>
      </c>
      <c r="B31" s="66">
        <v>100.68899999999999</v>
      </c>
      <c r="C31" s="66">
        <v>31.658100000000001</v>
      </c>
      <c r="D31" s="66">
        <v>0.314415</v>
      </c>
      <c r="E31" s="66">
        <v>0</v>
      </c>
      <c r="F31" s="66">
        <v>29.418500000000002</v>
      </c>
      <c r="G31" s="66">
        <v>0</v>
      </c>
      <c r="H31" s="66">
        <v>134.38300000000001</v>
      </c>
    </row>
    <row r="32" spans="1:8">
      <c r="A32" s="66" t="s">
        <v>329</v>
      </c>
      <c r="B32" s="66">
        <v>0.248057</v>
      </c>
      <c r="C32" s="66">
        <v>8.2443799999999998E-2</v>
      </c>
      <c r="D32" s="66">
        <v>0.33235900000000002</v>
      </c>
      <c r="E32" s="66">
        <v>0.15</v>
      </c>
      <c r="F32" s="66">
        <v>0.125888</v>
      </c>
      <c r="G32" s="66">
        <v>0.4</v>
      </c>
      <c r="H32" s="66">
        <v>0.50254600000000005</v>
      </c>
    </row>
    <row r="33" spans="1:8">
      <c r="A33" s="66" t="s">
        <v>330</v>
      </c>
      <c r="B33" s="66">
        <v>0.375807</v>
      </c>
      <c r="C33" s="66">
        <v>5.02429E-2</v>
      </c>
      <c r="D33" s="66">
        <v>0.13369300000000001</v>
      </c>
      <c r="E33" s="66">
        <v>0</v>
      </c>
      <c r="F33" s="66">
        <v>0.25383899999999998</v>
      </c>
      <c r="G33" s="66">
        <v>0</v>
      </c>
      <c r="H33" s="66">
        <v>0.39486900000000003</v>
      </c>
    </row>
    <row r="34" spans="1:8">
      <c r="A34" s="66" t="s">
        <v>331</v>
      </c>
      <c r="B34" s="66">
        <v>0.18710399999999999</v>
      </c>
      <c r="C34" s="66">
        <v>3.6385500000000001E-2</v>
      </c>
      <c r="D34" s="66">
        <v>0.194467</v>
      </c>
      <c r="E34" s="66">
        <v>0.1</v>
      </c>
      <c r="F34" s="66">
        <v>0.13266700000000001</v>
      </c>
      <c r="G34" s="66">
        <v>0.25</v>
      </c>
      <c r="H34" s="66">
        <v>0.28053699999999998</v>
      </c>
    </row>
    <row r="35" spans="1:8">
      <c r="A35" s="66" t="s">
        <v>332</v>
      </c>
      <c r="B35" s="66">
        <v>7.8622700000000004E-2</v>
      </c>
      <c r="C35" s="66">
        <v>2.4301900000000001E-2</v>
      </c>
      <c r="D35" s="66">
        <v>0.30909599999999998</v>
      </c>
      <c r="E35" s="66">
        <v>0</v>
      </c>
      <c r="F35" s="66">
        <v>4.3612100000000001E-2</v>
      </c>
      <c r="G35" s="66">
        <v>0</v>
      </c>
      <c r="H35" s="66">
        <v>0.14865500000000001</v>
      </c>
    </row>
    <row r="36" spans="1:8">
      <c r="A36" s="66" t="s">
        <v>333</v>
      </c>
      <c r="B36" s="66">
        <v>0.181363</v>
      </c>
      <c r="C36" s="66">
        <v>9.5203300000000005E-2</v>
      </c>
      <c r="D36" s="66">
        <v>0.52493100000000004</v>
      </c>
      <c r="E36" s="66">
        <v>0</v>
      </c>
      <c r="F36" s="66">
        <v>3.8434900000000001E-2</v>
      </c>
      <c r="G36" s="66">
        <v>0</v>
      </c>
      <c r="H36" s="66">
        <v>0.51415299999999997</v>
      </c>
    </row>
    <row r="37" spans="1:8">
      <c r="A37" s="66" t="s">
        <v>334</v>
      </c>
      <c r="B37" s="66">
        <v>0.36385499999999998</v>
      </c>
      <c r="C37" s="66">
        <v>0.11482000000000001</v>
      </c>
      <c r="D37" s="66">
        <v>0.31556499999999998</v>
      </c>
      <c r="E37" s="66">
        <v>0.1</v>
      </c>
      <c r="F37" s="66">
        <v>2.29076E-2</v>
      </c>
      <c r="G37" s="66">
        <v>0.5</v>
      </c>
      <c r="H37" s="66">
        <v>0.36768800000000001</v>
      </c>
    </row>
    <row r="38" spans="1:8">
      <c r="A38" s="66" t="s">
        <v>335</v>
      </c>
      <c r="B38" s="66">
        <v>0</v>
      </c>
      <c r="C38" s="66">
        <v>37.739100000000001</v>
      </c>
      <c r="D38" s="66">
        <v>0</v>
      </c>
      <c r="E38" s="66">
        <v>0</v>
      </c>
      <c r="F38" s="66">
        <v>-88.404200000000003</v>
      </c>
      <c r="G38" s="66">
        <v>0</v>
      </c>
      <c r="H38" s="66">
        <v>135.27600000000001</v>
      </c>
    </row>
    <row r="39" spans="1:8">
      <c r="A39" s="66" t="s">
        <v>336</v>
      </c>
      <c r="B39" s="66">
        <v>-1.51539</v>
      </c>
      <c r="C39" s="66">
        <v>4.2061799999999998</v>
      </c>
      <c r="D39" s="66">
        <v>-2.7756400000000001</v>
      </c>
      <c r="E39" s="66">
        <v>0</v>
      </c>
      <c r="F39" s="66">
        <v>-12.609400000000001</v>
      </c>
      <c r="G39" s="66">
        <v>0</v>
      </c>
      <c r="H39" s="66">
        <v>11.316800000000001</v>
      </c>
    </row>
    <row r="40" spans="1:8">
      <c r="A40" s="66" t="s">
        <v>337</v>
      </c>
      <c r="B40" s="66">
        <v>9.7756200000000001E-2</v>
      </c>
      <c r="C40" s="66">
        <v>0.43342700000000001</v>
      </c>
      <c r="D40" s="66">
        <v>4.4337600000000004</v>
      </c>
      <c r="E40" s="66">
        <v>0</v>
      </c>
      <c r="F40" s="66">
        <v>-1.03633</v>
      </c>
      <c r="G40" s="66">
        <v>0</v>
      </c>
      <c r="H40" s="66">
        <v>0.89712400000000003</v>
      </c>
    </row>
    <row r="41" spans="1:8">
      <c r="A41" s="66" t="s">
        <v>338</v>
      </c>
      <c r="B41" s="66">
        <v>0</v>
      </c>
      <c r="C41" s="66">
        <v>0.37396000000000001</v>
      </c>
      <c r="D41" s="66">
        <v>0</v>
      </c>
      <c r="E41" s="66">
        <v>0</v>
      </c>
      <c r="F41" s="66">
        <v>-0.78947400000000001</v>
      </c>
      <c r="G41" s="66">
        <v>0</v>
      </c>
      <c r="H41" s="66">
        <v>1</v>
      </c>
    </row>
    <row r="42" spans="1:8">
      <c r="A42" s="66" t="s">
        <v>339</v>
      </c>
      <c r="B42" s="66">
        <v>-4.6479199999999998E-2</v>
      </c>
      <c r="C42" s="66">
        <v>9.8655599999999996E-2</v>
      </c>
      <c r="D42" s="66">
        <v>-2.1225700000000001</v>
      </c>
      <c r="E42" s="66">
        <v>0</v>
      </c>
      <c r="F42" s="66">
        <v>-0.23419699999999999</v>
      </c>
      <c r="G42" s="66">
        <v>0</v>
      </c>
      <c r="H42" s="66">
        <v>0.31840000000000002</v>
      </c>
    </row>
    <row r="43" spans="1:8">
      <c r="A43" s="66" t="s">
        <v>340</v>
      </c>
      <c r="B43" s="66">
        <v>4.5964999999999999E-2</v>
      </c>
      <c r="C43" s="66">
        <v>6.3673099999999996E-2</v>
      </c>
      <c r="D43" s="66">
        <v>1.3852500000000001</v>
      </c>
      <c r="E43" s="66">
        <v>0</v>
      </c>
      <c r="F43" s="66">
        <v>-0.110667</v>
      </c>
      <c r="G43" s="66">
        <v>0</v>
      </c>
      <c r="H43" s="66">
        <v>0.12111</v>
      </c>
    </row>
    <row r="44" spans="1:8">
      <c r="A44" s="66" t="s">
        <v>341</v>
      </c>
      <c r="B44" s="66">
        <v>-8.7323400000000007</v>
      </c>
      <c r="C44" s="66">
        <v>5.1258699999999999</v>
      </c>
      <c r="D44" s="66">
        <v>-0.58699900000000005</v>
      </c>
      <c r="E44" s="66">
        <v>0</v>
      </c>
      <c r="F44" s="66">
        <v>-19.5213</v>
      </c>
      <c r="G44" s="66">
        <v>0</v>
      </c>
      <c r="H44" s="66">
        <v>1.0375099999999999</v>
      </c>
    </row>
    <row r="45" spans="1:8">
      <c r="A45" s="66" t="s">
        <v>342</v>
      </c>
      <c r="B45" s="66">
        <v>50.446300000000001</v>
      </c>
      <c r="C45" s="66">
        <v>6.9080899999999996</v>
      </c>
      <c r="D45" s="66">
        <v>0.13694000000000001</v>
      </c>
      <c r="E45" s="66">
        <v>0</v>
      </c>
      <c r="F45" s="66">
        <v>34.400700000000001</v>
      </c>
      <c r="G45" s="66">
        <v>0</v>
      </c>
      <c r="H45" s="66">
        <v>68.541799999999995</v>
      </c>
    </row>
    <row r="46" spans="1:8">
      <c r="A46" s="66" t="s">
        <v>343</v>
      </c>
      <c r="B46" s="66">
        <v>22.478999999999999</v>
      </c>
      <c r="C46" s="66">
        <v>5.9370500000000002</v>
      </c>
      <c r="D46" s="66">
        <v>0.26411600000000002</v>
      </c>
      <c r="E46" s="66">
        <v>0</v>
      </c>
      <c r="F46" s="66">
        <v>8.1875900000000001</v>
      </c>
      <c r="G46" s="66">
        <v>0</v>
      </c>
      <c r="H46" s="66">
        <v>28.840599999999998</v>
      </c>
    </row>
    <row r="47" spans="1:8">
      <c r="A47" s="66" t="s">
        <v>344</v>
      </c>
      <c r="B47" s="66">
        <v>0.50658999999999998</v>
      </c>
      <c r="C47" s="66">
        <v>0.25251200000000001</v>
      </c>
      <c r="D47" s="66">
        <v>0.49845499999999998</v>
      </c>
      <c r="E47" s="66">
        <v>0</v>
      </c>
      <c r="F47" s="66">
        <v>0.12343700000000001</v>
      </c>
      <c r="G47" s="66">
        <v>0</v>
      </c>
      <c r="H47" s="66">
        <v>1.3555900000000001</v>
      </c>
    </row>
    <row r="48" spans="1:8">
      <c r="A48" s="66" t="s">
        <v>345</v>
      </c>
      <c r="B48" s="66">
        <v>0.51393500000000003</v>
      </c>
      <c r="C48" s="66">
        <v>6.6173899999999994E-2</v>
      </c>
      <c r="D48" s="66">
        <v>0.12875900000000001</v>
      </c>
      <c r="E48" s="66">
        <v>0</v>
      </c>
      <c r="F48" s="66">
        <v>0.37550499999999998</v>
      </c>
      <c r="G48" s="66">
        <v>0</v>
      </c>
      <c r="H48" s="66">
        <v>0.63208799999999998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291</v>
      </c>
      <c r="B1" s="66" t="s">
        <v>293</v>
      </c>
      <c r="C1" s="66" t="s">
        <v>346</v>
      </c>
      <c r="D1" s="66" t="s">
        <v>347</v>
      </c>
      <c r="E1" s="66" t="s">
        <v>296</v>
      </c>
      <c r="F1" s="66" t="s">
        <v>297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27.6997</v>
      </c>
      <c r="C5" s="66">
        <v>5.67957</v>
      </c>
      <c r="D5" s="66">
        <v>20.504100000000001</v>
      </c>
      <c r="E5" s="66">
        <v>20</v>
      </c>
      <c r="F5" s="66">
        <v>18.412299999999998</v>
      </c>
      <c r="G5" s="66">
        <v>50</v>
      </c>
      <c r="H5" s="66">
        <v>37.883200000000002</v>
      </c>
    </row>
    <row r="6" spans="1:8">
      <c r="A6" s="66" t="s">
        <v>303</v>
      </c>
      <c r="B6" s="66">
        <v>46.292999999999999</v>
      </c>
      <c r="C6" s="66">
        <v>2.8897599999999999</v>
      </c>
      <c r="D6" s="66">
        <v>6.2423299999999999</v>
      </c>
      <c r="E6" s="66">
        <v>20</v>
      </c>
      <c r="F6" s="66">
        <v>40.1447</v>
      </c>
      <c r="G6" s="66">
        <v>40</v>
      </c>
      <c r="H6" s="66">
        <v>54.559699999999999</v>
      </c>
    </row>
    <row r="7" spans="1:8">
      <c r="A7" s="66" t="s">
        <v>304</v>
      </c>
      <c r="B7" s="66">
        <v>29.3325</v>
      </c>
      <c r="C7" s="66">
        <v>6.02841</v>
      </c>
      <c r="D7" s="66">
        <v>20.552</v>
      </c>
      <c r="E7" s="66">
        <v>15</v>
      </c>
      <c r="F7" s="66">
        <v>9.20749</v>
      </c>
      <c r="G7" s="66">
        <v>40</v>
      </c>
      <c r="H7" s="66">
        <v>50.445700000000002</v>
      </c>
    </row>
    <row r="8" spans="1:8">
      <c r="A8" s="66" t="s">
        <v>305</v>
      </c>
      <c r="B8" s="66">
        <v>34.018900000000002</v>
      </c>
      <c r="C8" s="66">
        <v>1.8035399999999999</v>
      </c>
      <c r="D8" s="66">
        <v>5.3015999999999996</v>
      </c>
      <c r="E8" s="66">
        <v>20</v>
      </c>
      <c r="F8" s="66">
        <v>30.246500000000001</v>
      </c>
      <c r="G8" s="66">
        <v>50</v>
      </c>
      <c r="H8" s="66">
        <v>40.619300000000003</v>
      </c>
    </row>
    <row r="9" spans="1:8">
      <c r="A9" s="66" t="s">
        <v>306</v>
      </c>
      <c r="B9" s="66">
        <v>61.695</v>
      </c>
      <c r="C9" s="66">
        <v>8.2412899999999993</v>
      </c>
      <c r="D9" s="66">
        <v>13.3581</v>
      </c>
      <c r="E9" s="66">
        <v>50</v>
      </c>
      <c r="F9" s="66">
        <v>33.569899999999997</v>
      </c>
      <c r="G9" s="66">
        <v>100</v>
      </c>
      <c r="H9" s="66">
        <v>71.672300000000007</v>
      </c>
    </row>
    <row r="10" spans="1:8">
      <c r="A10" s="66" t="s">
        <v>307</v>
      </c>
      <c r="B10" s="66">
        <v>46.113300000000002</v>
      </c>
      <c r="C10" s="66">
        <v>9.2242200000000008</v>
      </c>
      <c r="D10" s="66">
        <v>20.003399999999999</v>
      </c>
      <c r="E10" s="66">
        <v>40</v>
      </c>
      <c r="F10" s="66">
        <v>29.18</v>
      </c>
      <c r="G10" s="66">
        <v>100</v>
      </c>
      <c r="H10" s="66">
        <v>73.042699999999996</v>
      </c>
    </row>
    <row r="11" spans="1:8">
      <c r="A11" s="66" t="s">
        <v>308</v>
      </c>
      <c r="B11" s="66">
        <v>8.8524600000000007</v>
      </c>
      <c r="C11" s="66">
        <v>2.4131900000000002</v>
      </c>
      <c r="D11" s="66">
        <v>27.260100000000001</v>
      </c>
      <c r="E11" s="66">
        <v>10</v>
      </c>
      <c r="F11" s="66">
        <v>4.1538500000000003</v>
      </c>
      <c r="G11" s="66">
        <v>50</v>
      </c>
      <c r="H11" s="66">
        <v>12.8155</v>
      </c>
    </row>
    <row r="12" spans="1:8">
      <c r="A12" s="66" t="s">
        <v>309</v>
      </c>
      <c r="B12" s="66">
        <v>53.600499999999997</v>
      </c>
      <c r="C12" s="66">
        <v>7.2858900000000002</v>
      </c>
      <c r="D12" s="66">
        <v>13.5929</v>
      </c>
      <c r="E12" s="66">
        <v>50</v>
      </c>
      <c r="F12" s="66">
        <v>35.571800000000003</v>
      </c>
      <c r="G12" s="66">
        <v>100</v>
      </c>
      <c r="H12" s="66">
        <v>71.703800000000001</v>
      </c>
    </row>
    <row r="13" spans="1:8">
      <c r="A13" s="66" t="s">
        <v>310</v>
      </c>
      <c r="B13" s="66">
        <v>17.711200000000002</v>
      </c>
      <c r="C13" s="66">
        <v>2.3310300000000002</v>
      </c>
      <c r="D13" s="66">
        <v>13.161300000000001</v>
      </c>
      <c r="E13" s="66">
        <v>10</v>
      </c>
      <c r="F13" s="66">
        <v>14.699</v>
      </c>
      <c r="G13" s="66">
        <v>25</v>
      </c>
      <c r="H13" s="66">
        <v>27.646799999999999</v>
      </c>
    </row>
    <row r="14" spans="1:8">
      <c r="A14" s="66" t="s">
        <v>311</v>
      </c>
      <c r="B14" s="66">
        <v>23.310300000000002</v>
      </c>
      <c r="C14" s="66">
        <v>12.328200000000001</v>
      </c>
      <c r="D14" s="66">
        <v>52.8874</v>
      </c>
      <c r="E14" s="66">
        <v>10</v>
      </c>
      <c r="F14" s="66">
        <v>3.3627400000000001</v>
      </c>
      <c r="G14" s="66">
        <v>50</v>
      </c>
      <c r="H14" s="66">
        <v>36.7776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0.60591700000000004</v>
      </c>
      <c r="C18" s="66">
        <v>2.41625E-2</v>
      </c>
      <c r="D18" s="66">
        <v>3.9877599999999999E-2</v>
      </c>
      <c r="E18" s="66">
        <v>0</v>
      </c>
      <c r="F18" s="66">
        <v>0.58175399999999999</v>
      </c>
      <c r="G18" s="66">
        <v>0</v>
      </c>
      <c r="H18" s="66">
        <v>0.63007899999999994</v>
      </c>
    </row>
    <row r="19" spans="1:8">
      <c r="A19" s="66" t="s">
        <v>316</v>
      </c>
      <c r="B19" s="66">
        <v>0.79960500000000001</v>
      </c>
      <c r="C19" s="66">
        <v>5.8237900000000002E-2</v>
      </c>
      <c r="D19" s="66">
        <v>7.2833300000000004E-2</v>
      </c>
      <c r="E19" s="66">
        <v>0</v>
      </c>
      <c r="F19" s="66">
        <v>0.741367</v>
      </c>
      <c r="G19" s="66">
        <v>0</v>
      </c>
      <c r="H19" s="66">
        <v>0.85784300000000002</v>
      </c>
    </row>
    <row r="20" spans="1:8">
      <c r="A20" s="66" t="s">
        <v>317</v>
      </c>
      <c r="B20" s="196">
        <v>1.22871E-5</v>
      </c>
      <c r="C20" s="66">
        <v>1.13758E-2</v>
      </c>
      <c r="D20" s="66">
        <v>925.83299999999997</v>
      </c>
      <c r="E20" s="66">
        <v>0</v>
      </c>
      <c r="F20" s="66">
        <v>0</v>
      </c>
      <c r="G20" s="66">
        <v>0</v>
      </c>
      <c r="H20" s="66">
        <v>0.102397</v>
      </c>
    </row>
    <row r="21" spans="1:8">
      <c r="A21" s="66" t="s">
        <v>318</v>
      </c>
      <c r="B21" s="66">
        <v>4.6085099999999997E-3</v>
      </c>
      <c r="C21" s="66">
        <v>4.1209799999999998E-2</v>
      </c>
      <c r="D21" s="66">
        <v>8.9421300000000006</v>
      </c>
      <c r="E21" s="66">
        <v>0</v>
      </c>
      <c r="F21" s="66">
        <v>0</v>
      </c>
      <c r="G21" s="66">
        <v>0</v>
      </c>
      <c r="H21" s="66">
        <v>0.20102500000000001</v>
      </c>
    </row>
    <row r="22" spans="1:8">
      <c r="A22" s="66" t="s">
        <v>319</v>
      </c>
      <c r="B22" s="66">
        <v>33.167700000000004</v>
      </c>
      <c r="C22" s="66">
        <v>23.164899999999999</v>
      </c>
      <c r="D22" s="66">
        <v>0.69841900000000001</v>
      </c>
      <c r="E22" s="66">
        <v>0</v>
      </c>
      <c r="F22" s="66">
        <v>10.433400000000001</v>
      </c>
      <c r="G22" s="66">
        <v>0</v>
      </c>
      <c r="H22" s="66">
        <v>133.81800000000001</v>
      </c>
    </row>
    <row r="23" spans="1:8">
      <c r="A23" s="66" t="s">
        <v>320</v>
      </c>
      <c r="B23" s="66">
        <v>12.49</v>
      </c>
      <c r="C23" s="66">
        <v>2.3218999999999999</v>
      </c>
      <c r="D23" s="66">
        <v>0.18590100000000001</v>
      </c>
      <c r="E23" s="66">
        <v>0</v>
      </c>
      <c r="F23" s="66">
        <v>9.7073199999999993</v>
      </c>
      <c r="G23" s="66">
        <v>0</v>
      </c>
      <c r="H23" s="66">
        <v>20.658100000000001</v>
      </c>
    </row>
    <row r="24" spans="1:8">
      <c r="A24" s="66" t="s">
        <v>321</v>
      </c>
      <c r="B24" s="196">
        <v>2.2970900000000001E-5</v>
      </c>
      <c r="C24" s="66">
        <v>6.8453100000000003E-3</v>
      </c>
      <c r="D24" s="66">
        <v>297.99900000000002</v>
      </c>
      <c r="E24" s="66">
        <v>0</v>
      </c>
      <c r="F24" s="196">
        <v>6.6009299999999999E-9</v>
      </c>
      <c r="G24" s="66">
        <v>0</v>
      </c>
      <c r="H24" s="66">
        <v>3.2232499999999997E-2</v>
      </c>
    </row>
    <row r="25" spans="1:8">
      <c r="A25" s="66" t="s">
        <v>322</v>
      </c>
      <c r="B25" s="66">
        <v>1.36807E-2</v>
      </c>
      <c r="C25" s="66">
        <v>1.7531700000000001E-2</v>
      </c>
      <c r="D25" s="66">
        <v>1.28149</v>
      </c>
      <c r="E25" s="66">
        <v>0</v>
      </c>
      <c r="F25" s="66">
        <v>1.2516700000000001E-3</v>
      </c>
      <c r="G25" s="66">
        <v>0</v>
      </c>
      <c r="H25" s="66">
        <v>7.5895400000000002E-2</v>
      </c>
    </row>
    <row r="26" spans="1:8">
      <c r="A26" s="66" t="s">
        <v>323</v>
      </c>
      <c r="B26" s="196">
        <v>3.2825599999999999E-6</v>
      </c>
      <c r="C26" s="66">
        <v>7.6692500000000001E-4</v>
      </c>
      <c r="D26" s="66">
        <v>233.636</v>
      </c>
      <c r="E26" s="66">
        <v>0</v>
      </c>
      <c r="F26" s="66">
        <v>0</v>
      </c>
      <c r="G26" s="66">
        <v>0</v>
      </c>
      <c r="H26" s="66">
        <v>5.2980600000000003E-3</v>
      </c>
    </row>
    <row r="27" spans="1:8">
      <c r="A27" s="66" t="s">
        <v>324</v>
      </c>
      <c r="B27" s="66">
        <v>0</v>
      </c>
      <c r="C27" s="66">
        <v>5.5990900000000004E-4</v>
      </c>
      <c r="D27" s="66">
        <v>0</v>
      </c>
      <c r="E27" s="66">
        <v>0</v>
      </c>
      <c r="F27" s="66">
        <v>-4.4642900000000001E-3</v>
      </c>
      <c r="G27" s="66">
        <v>0</v>
      </c>
      <c r="H27" s="66">
        <v>3.9095299999999996E-3</v>
      </c>
    </row>
    <row r="28" spans="1:8">
      <c r="A28" s="66" t="s">
        <v>325</v>
      </c>
      <c r="B28" s="66">
        <v>9.5214799999999999E-4</v>
      </c>
      <c r="C28" s="66">
        <v>3.1818599999999999E-3</v>
      </c>
      <c r="D28" s="66">
        <v>3.3417699999999999</v>
      </c>
      <c r="E28" s="66">
        <v>0</v>
      </c>
      <c r="F28" s="66">
        <v>0</v>
      </c>
      <c r="G28" s="66">
        <v>0</v>
      </c>
      <c r="H28" s="66">
        <v>2.1067700000000002E-2</v>
      </c>
    </row>
    <row r="29" spans="1:8">
      <c r="A29" s="66" t="s">
        <v>326</v>
      </c>
      <c r="B29" s="66">
        <v>57.055300000000003</v>
      </c>
      <c r="C29" s="66">
        <v>11.572699999999999</v>
      </c>
      <c r="D29" s="66">
        <v>0.20283300000000001</v>
      </c>
      <c r="E29" s="66">
        <v>0</v>
      </c>
      <c r="F29" s="66">
        <v>36.7575</v>
      </c>
      <c r="G29" s="66">
        <v>0</v>
      </c>
      <c r="H29" s="66">
        <v>108.991</v>
      </c>
    </row>
    <row r="30" spans="1:8">
      <c r="A30" s="66" t="s">
        <v>327</v>
      </c>
      <c r="B30" s="66">
        <v>15.8988</v>
      </c>
      <c r="C30" s="66">
        <v>2.0369899999999999</v>
      </c>
      <c r="D30" s="66">
        <v>0.12812200000000001</v>
      </c>
      <c r="E30" s="66">
        <v>0</v>
      </c>
      <c r="F30" s="66">
        <v>13.2934</v>
      </c>
      <c r="G30" s="66">
        <v>0</v>
      </c>
      <c r="H30" s="66">
        <v>21.637499999999999</v>
      </c>
    </row>
    <row r="31" spans="1:8">
      <c r="A31" s="66" t="s">
        <v>328</v>
      </c>
      <c r="B31" s="66">
        <v>87.422899999999998</v>
      </c>
      <c r="C31" s="66">
        <v>17.749400000000001</v>
      </c>
      <c r="D31" s="66">
        <v>0.20302899999999999</v>
      </c>
      <c r="E31" s="66">
        <v>0</v>
      </c>
      <c r="F31" s="66">
        <v>68.351500000000001</v>
      </c>
      <c r="G31" s="66">
        <v>0</v>
      </c>
      <c r="H31" s="66">
        <v>126.93300000000001</v>
      </c>
    </row>
    <row r="32" spans="1:8">
      <c r="A32" s="66" t="s">
        <v>329</v>
      </c>
      <c r="B32" s="66">
        <v>0.293325</v>
      </c>
      <c r="C32" s="66">
        <v>6.02841E-2</v>
      </c>
      <c r="D32" s="66">
        <v>0.20552000000000001</v>
      </c>
      <c r="E32" s="66">
        <v>0.15</v>
      </c>
      <c r="F32" s="66">
        <v>9.2074799999999998E-2</v>
      </c>
      <c r="G32" s="66">
        <v>0.4</v>
      </c>
      <c r="H32" s="66">
        <v>0.50445700000000004</v>
      </c>
    </row>
    <row r="33" spans="1:8">
      <c r="A33" s="66" t="s">
        <v>330</v>
      </c>
      <c r="B33" s="66">
        <v>0.387183</v>
      </c>
      <c r="C33" s="66">
        <v>1.7744599999999999E-2</v>
      </c>
      <c r="D33" s="66">
        <v>4.5830000000000003E-2</v>
      </c>
      <c r="E33" s="66">
        <v>0</v>
      </c>
      <c r="F33" s="66">
        <v>0.34546300000000002</v>
      </c>
      <c r="G33" s="66">
        <v>0</v>
      </c>
      <c r="H33" s="66">
        <v>0.47277999999999998</v>
      </c>
    </row>
    <row r="34" spans="1:8">
      <c r="A34" s="66" t="s">
        <v>331</v>
      </c>
      <c r="B34" s="66">
        <v>0.17711199999999999</v>
      </c>
      <c r="C34" s="66">
        <v>2.3310299999999999E-2</v>
      </c>
      <c r="D34" s="66">
        <v>0.13161300000000001</v>
      </c>
      <c r="E34" s="66">
        <v>0.1</v>
      </c>
      <c r="F34" s="66">
        <v>0.14699000000000001</v>
      </c>
      <c r="G34" s="66">
        <v>0.25</v>
      </c>
      <c r="H34" s="66">
        <v>0.27646799999999999</v>
      </c>
    </row>
    <row r="35" spans="1:8">
      <c r="A35" s="66" t="s">
        <v>332</v>
      </c>
      <c r="B35" s="66">
        <v>9.2091999999999993E-2</v>
      </c>
      <c r="C35" s="66">
        <v>2.5961700000000001E-2</v>
      </c>
      <c r="D35" s="66">
        <v>0.28191100000000002</v>
      </c>
      <c r="E35" s="66">
        <v>0</v>
      </c>
      <c r="F35" s="66">
        <v>4.1125299999999997E-2</v>
      </c>
      <c r="G35" s="66">
        <v>0</v>
      </c>
      <c r="H35" s="66">
        <v>0.153416</v>
      </c>
    </row>
    <row r="36" spans="1:8">
      <c r="A36" s="66" t="s">
        <v>333</v>
      </c>
      <c r="B36" s="66">
        <v>0.163937</v>
      </c>
      <c r="C36" s="66">
        <v>0.100481</v>
      </c>
      <c r="D36" s="66">
        <v>0.61292400000000002</v>
      </c>
      <c r="E36" s="66">
        <v>0</v>
      </c>
      <c r="F36" s="66">
        <v>4.1166599999999998E-2</v>
      </c>
      <c r="G36" s="66">
        <v>0</v>
      </c>
      <c r="H36" s="66">
        <v>0.55806599999999995</v>
      </c>
    </row>
    <row r="37" spans="1:8">
      <c r="A37" s="66" t="s">
        <v>334</v>
      </c>
      <c r="B37" s="66">
        <v>0.233103</v>
      </c>
      <c r="C37" s="66">
        <v>0.123282</v>
      </c>
      <c r="D37" s="66">
        <v>0.52887399999999996</v>
      </c>
      <c r="E37" s="66">
        <v>0.1</v>
      </c>
      <c r="F37" s="66">
        <v>3.3627400000000002E-2</v>
      </c>
      <c r="G37" s="66">
        <v>0.5</v>
      </c>
      <c r="H37" s="66">
        <v>0.36777599999999999</v>
      </c>
    </row>
    <row r="38" spans="1:8">
      <c r="A38" s="66" t="s">
        <v>335</v>
      </c>
      <c r="B38" s="66">
        <v>0</v>
      </c>
      <c r="C38" s="66">
        <v>32.972700000000003</v>
      </c>
      <c r="D38" s="66">
        <v>0</v>
      </c>
      <c r="E38" s="66">
        <v>0</v>
      </c>
      <c r="F38" s="66">
        <v>-77.569199999999995</v>
      </c>
      <c r="G38" s="66">
        <v>0</v>
      </c>
      <c r="H38" s="66">
        <v>155.60599999999999</v>
      </c>
    </row>
    <row r="39" spans="1:8">
      <c r="A39" s="66" t="s">
        <v>336</v>
      </c>
      <c r="B39" s="66">
        <v>-0.38211699999999998</v>
      </c>
      <c r="C39" s="66">
        <v>3.2569499999999998</v>
      </c>
      <c r="D39" s="66">
        <v>-8.5234500000000004</v>
      </c>
      <c r="E39" s="66">
        <v>0</v>
      </c>
      <c r="F39" s="66">
        <v>-10.150700000000001</v>
      </c>
      <c r="G39" s="66">
        <v>0</v>
      </c>
      <c r="H39" s="66">
        <v>5.2340400000000002</v>
      </c>
    </row>
    <row r="40" spans="1:8">
      <c r="A40" s="66" t="s">
        <v>337</v>
      </c>
      <c r="B40" s="66">
        <v>-0.27004800000000001</v>
      </c>
      <c r="C40" s="66">
        <v>0.39814100000000002</v>
      </c>
      <c r="D40" s="66">
        <v>-1.4743299999999999</v>
      </c>
      <c r="E40" s="66">
        <v>0</v>
      </c>
      <c r="F40" s="66">
        <v>-1.4266099999999999</v>
      </c>
      <c r="G40" s="66">
        <v>0</v>
      </c>
      <c r="H40" s="66">
        <v>0.59825300000000003</v>
      </c>
    </row>
    <row r="41" spans="1:8">
      <c r="A41" s="66" t="s">
        <v>338</v>
      </c>
      <c r="B41" s="66">
        <v>0</v>
      </c>
      <c r="C41" s="66">
        <v>0.37884600000000002</v>
      </c>
      <c r="D41" s="66">
        <v>0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-2.5216200000000001E-2</v>
      </c>
      <c r="C42" s="66">
        <v>0.13183300000000001</v>
      </c>
      <c r="D42" s="66">
        <v>-5.2281000000000004</v>
      </c>
      <c r="E42" s="66">
        <v>0</v>
      </c>
      <c r="F42" s="66">
        <v>-0.6</v>
      </c>
      <c r="G42" s="66">
        <v>0</v>
      </c>
      <c r="H42" s="66">
        <v>0.24390200000000001</v>
      </c>
    </row>
    <row r="43" spans="1:8">
      <c r="A43" s="66" t="s">
        <v>340</v>
      </c>
      <c r="B43" s="66">
        <v>-7.1555099999999996E-2</v>
      </c>
      <c r="C43" s="66">
        <v>5.5337400000000002E-2</v>
      </c>
      <c r="D43" s="66">
        <v>-0.77335399999999999</v>
      </c>
      <c r="E43" s="66">
        <v>0</v>
      </c>
      <c r="F43" s="66">
        <v>-0.12497800000000001</v>
      </c>
      <c r="G43" s="66">
        <v>0</v>
      </c>
      <c r="H43" s="66">
        <v>0.120724</v>
      </c>
    </row>
    <row r="44" spans="1:8">
      <c r="A44" s="66" t="s">
        <v>341</v>
      </c>
      <c r="B44" s="66">
        <v>1.10466</v>
      </c>
      <c r="C44" s="66">
        <v>8.6600099999999998</v>
      </c>
      <c r="D44" s="66">
        <v>7.8395200000000003</v>
      </c>
      <c r="E44" s="66">
        <v>0</v>
      </c>
      <c r="F44" s="66">
        <v>-16.7517</v>
      </c>
      <c r="G44" s="66">
        <v>0</v>
      </c>
      <c r="H44" s="66">
        <v>11.1014</v>
      </c>
    </row>
    <row r="45" spans="1:8">
      <c r="A45" s="66" t="s">
        <v>342</v>
      </c>
      <c r="B45" s="66">
        <v>45.407400000000003</v>
      </c>
      <c r="C45" s="66">
        <v>9.4653100000000006</v>
      </c>
      <c r="D45" s="66">
        <v>0.208453</v>
      </c>
      <c r="E45" s="66">
        <v>0</v>
      </c>
      <c r="F45" s="66">
        <v>25.407900000000001</v>
      </c>
      <c r="G45" s="66">
        <v>0</v>
      </c>
      <c r="H45" s="66">
        <v>72.0548</v>
      </c>
    </row>
    <row r="46" spans="1:8">
      <c r="A46" s="66" t="s">
        <v>343</v>
      </c>
      <c r="B46" s="66">
        <v>22.838799999999999</v>
      </c>
      <c r="C46" s="66">
        <v>4.4436499999999999</v>
      </c>
      <c r="D46" s="66">
        <v>0.19456599999999999</v>
      </c>
      <c r="E46" s="66">
        <v>0</v>
      </c>
      <c r="F46" s="66">
        <v>15.5313</v>
      </c>
      <c r="G46" s="66">
        <v>0</v>
      </c>
      <c r="H46" s="66">
        <v>30.4343</v>
      </c>
    </row>
    <row r="47" spans="1:8">
      <c r="A47" s="66" t="s">
        <v>344</v>
      </c>
      <c r="B47" s="66">
        <v>0.27688099999999999</v>
      </c>
      <c r="C47" s="66">
        <v>0.193638</v>
      </c>
      <c r="D47" s="66">
        <v>0.69935499999999995</v>
      </c>
      <c r="E47" s="66">
        <v>0</v>
      </c>
      <c r="F47" s="66">
        <v>0.106809</v>
      </c>
      <c r="G47" s="66">
        <v>0</v>
      </c>
      <c r="H47" s="66">
        <v>1.1246499999999999</v>
      </c>
    </row>
    <row r="48" spans="1:8">
      <c r="A48" s="66" t="s">
        <v>345</v>
      </c>
      <c r="B48" s="66">
        <v>0.388517</v>
      </c>
      <c r="C48" s="66">
        <v>5.1655800000000002E-2</v>
      </c>
      <c r="D48" s="66">
        <v>0.13295599999999999</v>
      </c>
      <c r="E48" s="66">
        <v>0</v>
      </c>
      <c r="F48" s="66">
        <v>0.27598299999999998</v>
      </c>
      <c r="G48" s="66">
        <v>0</v>
      </c>
      <c r="H48" s="66">
        <v>0.47982999999999998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348</v>
      </c>
      <c r="B1" s="60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48.37775716096467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0.93405307209358834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0.50483159359194196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28383</v>
      </c>
      <c r="B8" s="66">
        <v>28383</v>
      </c>
      <c r="D8">
        <f t="shared" si="0"/>
        <v>0.23866904357478011</v>
      </c>
      <c r="E8">
        <f t="shared" si="0"/>
        <v>0.23866904357478011</v>
      </c>
      <c r="G8">
        <f t="shared" ca="1" si="1"/>
        <v>6</v>
      </c>
      <c r="H8">
        <f t="shared" ca="1" si="2"/>
        <v>1.4320142614486806</v>
      </c>
      <c r="I8">
        <f t="shared" ca="1" si="3"/>
        <v>428.61960203736038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44060</v>
      </c>
      <c r="B10" s="66">
        <v>44060</v>
      </c>
      <c r="D10">
        <f t="shared" si="0"/>
        <v>0.37049494626730128</v>
      </c>
      <c r="E10">
        <f t="shared" si="0"/>
        <v>0.37049494626730128</v>
      </c>
      <c r="G10">
        <f t="shared" ca="1" si="1"/>
        <v>8</v>
      </c>
      <c r="H10">
        <f t="shared" ca="1" si="2"/>
        <v>2.9639595701384103</v>
      </c>
      <c r="I10">
        <f t="shared" ca="1" si="3"/>
        <v>604.04135335592809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64892</v>
      </c>
      <c r="B13" s="66">
        <v>64892</v>
      </c>
      <c r="D13">
        <f t="shared" si="0"/>
        <v>0.54566858949563579</v>
      </c>
      <c r="E13">
        <f t="shared" si="0"/>
        <v>0.54566858949563579</v>
      </c>
      <c r="G13">
        <f t="shared" ca="1" si="1"/>
        <v>11</v>
      </c>
      <c r="H13">
        <f t="shared" ca="1" si="2"/>
        <v>6.0023544844519936</v>
      </c>
      <c r="I13">
        <f t="shared" ca="1" si="3"/>
        <v>762.35180225762679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78072</v>
      </c>
      <c r="B15" s="66">
        <v>78072</v>
      </c>
      <c r="D15">
        <f t="shared" si="0"/>
        <v>0.65649753620019846</v>
      </c>
      <c r="E15">
        <f t="shared" si="0"/>
        <v>0.65649753620019846</v>
      </c>
      <c r="G15">
        <f t="shared" ca="1" si="1"/>
        <v>13</v>
      </c>
      <c r="H15">
        <f t="shared" ca="1" si="2"/>
        <v>8.5344679706025808</v>
      </c>
      <c r="I15">
        <f t="shared" ca="1" si="3"/>
        <v>821.66292953582922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84021</v>
      </c>
      <c r="B18" s="66">
        <v>84021</v>
      </c>
      <c r="D18">
        <f t="shared" si="0"/>
        <v>0.70652192193202268</v>
      </c>
      <c r="E18">
        <f t="shared" si="0"/>
        <v>0.70652192193202268</v>
      </c>
      <c r="G18">
        <f t="shared" ca="1" si="1"/>
        <v>16</v>
      </c>
      <c r="H18">
        <f t="shared" ca="1" si="2"/>
        <v>11.304350750912363</v>
      </c>
      <c r="I18">
        <f t="shared" ca="1" si="3"/>
        <v>740.66046685544961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94434</v>
      </c>
      <c r="B21" s="66">
        <v>94434</v>
      </c>
      <c r="D21">
        <f t="shared" si="0"/>
        <v>0.79408351692706147</v>
      </c>
      <c r="E21">
        <f t="shared" si="0"/>
        <v>0.79408351692706147</v>
      </c>
      <c r="G21">
        <f t="shared" ca="1" si="1"/>
        <v>19</v>
      </c>
      <c r="H21">
        <f t="shared" ca="1" si="2"/>
        <v>15.087586821614169</v>
      </c>
      <c r="I21">
        <f t="shared" ca="1" si="3"/>
        <v>685.33585645440178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84317</v>
      </c>
      <c r="B23" s="66">
        <v>84317</v>
      </c>
      <c r="D23">
        <f t="shared" si="0"/>
        <v>0.70901094835270173</v>
      </c>
      <c r="E23">
        <f t="shared" si="0"/>
        <v>0.70901094835270173</v>
      </c>
      <c r="G23">
        <f t="shared" ca="1" si="1"/>
        <v>21</v>
      </c>
      <c r="H23">
        <f t="shared" ca="1" si="2"/>
        <v>14.889229915406736</v>
      </c>
      <c r="I23">
        <f t="shared" ca="1" si="3"/>
        <v>531.43319154547032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105728</v>
      </c>
      <c r="B26" s="66">
        <v>105728</v>
      </c>
      <c r="D26">
        <f t="shared" si="0"/>
        <v>0.88905332907283763</v>
      </c>
      <c r="E26">
        <f t="shared" si="0"/>
        <v>0.88905332907283763</v>
      </c>
      <c r="G26">
        <f t="shared" ca="1" si="1"/>
        <v>24</v>
      </c>
      <c r="H26">
        <f t="shared" ca="1" si="2"/>
        <v>21.337279897748104</v>
      </c>
      <c r="I26">
        <f t="shared" ca="1" si="3"/>
        <v>528.34220642999685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109603</v>
      </c>
      <c r="B28" s="66">
        <v>109603</v>
      </c>
      <c r="D28">
        <f t="shared" si="0"/>
        <v>0.9216377121138225</v>
      </c>
      <c r="E28">
        <f t="shared" si="0"/>
        <v>0.9216377121138225</v>
      </c>
      <c r="G28">
        <f t="shared" ca="1" si="1"/>
        <v>26</v>
      </c>
      <c r="H28">
        <f t="shared" ca="1" si="2"/>
        <v>23.962580514959384</v>
      </c>
      <c r="I28">
        <f t="shared" ca="1" si="3"/>
        <v>461.52300160513812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118922</v>
      </c>
      <c r="B31" s="66">
        <v>118922</v>
      </c>
      <c r="D31">
        <f t="shared" si="0"/>
        <v>1</v>
      </c>
      <c r="E31">
        <f t="shared" si="0"/>
        <v>1</v>
      </c>
      <c r="G31">
        <f t="shared" ca="1" si="1"/>
        <v>29</v>
      </c>
      <c r="H31">
        <f t="shared" ca="1" si="2"/>
        <v>29</v>
      </c>
      <c r="I31">
        <f t="shared" ca="1" si="3"/>
        <v>375.49747258931757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101941</v>
      </c>
      <c r="B33" s="66">
        <v>101941</v>
      </c>
      <c r="D33">
        <f t="shared" si="0"/>
        <v>0.85720892685962224</v>
      </c>
      <c r="E33">
        <f t="shared" si="0"/>
        <v>0.85720892685962224</v>
      </c>
      <c r="G33">
        <f t="shared" ca="1" si="1"/>
        <v>31</v>
      </c>
      <c r="H33">
        <f t="shared" ca="1" si="2"/>
        <v>26.573476732648288</v>
      </c>
      <c r="I33">
        <f t="shared" ca="1" si="3"/>
        <v>258.86547554064026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109872</v>
      </c>
      <c r="B36" s="66">
        <v>109872</v>
      </c>
      <c r="D36">
        <f t="shared" si="0"/>
        <v>0.92389969896234503</v>
      </c>
      <c r="E36">
        <f t="shared" si="0"/>
        <v>0.92389969896234503</v>
      </c>
      <c r="G36">
        <f t="shared" ca="1" si="1"/>
        <v>34</v>
      </c>
      <c r="H36">
        <f t="shared" ca="1" si="2"/>
        <v>31.41258976471973</v>
      </c>
      <c r="I36">
        <f t="shared" ca="1" si="3"/>
        <v>190.98845428464367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107930</v>
      </c>
      <c r="B39" s="66">
        <v>107930</v>
      </c>
      <c r="D39">
        <f t="shared" si="0"/>
        <v>0.90756966751315993</v>
      </c>
      <c r="E39">
        <f t="shared" si="0"/>
        <v>0.90756966751315993</v>
      </c>
      <c r="G39">
        <f t="shared" ca="1" si="1"/>
        <v>37</v>
      </c>
      <c r="H39">
        <f t="shared" ca="1" si="2"/>
        <v>33.580077697986916</v>
      </c>
      <c r="I39">
        <f t="shared" ca="1" si="3"/>
        <v>117.48794109112168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103931</v>
      </c>
      <c r="B41" s="66">
        <v>103931</v>
      </c>
      <c r="D41">
        <f t="shared" si="0"/>
        <v>0.87394258421486348</v>
      </c>
      <c r="E41">
        <f t="shared" si="0"/>
        <v>0.87394258421486348</v>
      </c>
      <c r="G41">
        <f t="shared" ca="1" si="1"/>
        <v>39</v>
      </c>
      <c r="H41">
        <f t="shared" ca="1" si="2"/>
        <v>34.083760784379677</v>
      </c>
      <c r="I41">
        <f t="shared" ca="1" si="3"/>
        <v>76.856546591513577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103897</v>
      </c>
      <c r="B44" s="66">
        <v>103897</v>
      </c>
      <c r="D44">
        <f t="shared" si="0"/>
        <v>0.87365668253140716</v>
      </c>
      <c r="E44">
        <f t="shared" si="0"/>
        <v>0.87365668253140716</v>
      </c>
      <c r="G44">
        <f t="shared" ca="1" si="1"/>
        <v>42</v>
      </c>
      <c r="H44">
        <f t="shared" ca="1" si="2"/>
        <v>36.6935806663191</v>
      </c>
      <c r="I44">
        <f t="shared" ca="1" si="3"/>
        <v>35.536672609281048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96749</v>
      </c>
      <c r="B46" s="66">
        <v>96749</v>
      </c>
      <c r="D46">
        <f t="shared" si="0"/>
        <v>0.81355005802122404</v>
      </c>
      <c r="E46">
        <f t="shared" si="0"/>
        <v>0.81355005802122404</v>
      </c>
      <c r="G46">
        <f t="shared" ca="1" si="1"/>
        <v>44</v>
      </c>
      <c r="H46">
        <f t="shared" ca="1" si="2"/>
        <v>35.796202552933856</v>
      </c>
      <c r="I46">
        <f t="shared" ca="1" si="3"/>
        <v>15.591489787917777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87401</v>
      </c>
      <c r="B49" s="66">
        <v>87401</v>
      </c>
      <c r="D49">
        <f t="shared" si="0"/>
        <v>0.73494391281680427</v>
      </c>
      <c r="E49">
        <f t="shared" si="0"/>
        <v>0.73494391281680427</v>
      </c>
      <c r="G49">
        <f t="shared" ca="1" si="1"/>
        <v>47</v>
      </c>
      <c r="H49">
        <f t="shared" ca="1" si="2"/>
        <v>34.542363902389802</v>
      </c>
      <c r="I49">
        <f t="shared" ca="1" si="3"/>
        <v>1.3950814085023002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93779</v>
      </c>
      <c r="B51" s="66">
        <v>93779</v>
      </c>
      <c r="D51">
        <f t="shared" si="0"/>
        <v>0.78857570508400465</v>
      </c>
      <c r="E51">
        <f t="shared" si="0"/>
        <v>0.78857570508400465</v>
      </c>
      <c r="G51">
        <f t="shared" ca="1" si="1"/>
        <v>49</v>
      </c>
      <c r="H51">
        <f t="shared" ca="1" si="2"/>
        <v>38.640209549116229</v>
      </c>
      <c r="I51">
        <f t="shared" ca="1" si="3"/>
        <v>0.30532559181126107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86310</v>
      </c>
      <c r="B54" s="66">
        <v>86310</v>
      </c>
      <c r="D54">
        <f t="shared" si="0"/>
        <v>0.72576983232707148</v>
      </c>
      <c r="E54">
        <f t="shared" si="0"/>
        <v>0.72576983232707148</v>
      </c>
      <c r="G54">
        <f t="shared" ca="1" si="1"/>
        <v>52</v>
      </c>
      <c r="H54">
        <f t="shared" ca="1" si="2"/>
        <v>37.740031281007717</v>
      </c>
      <c r="I54">
        <f t="shared" ca="1" si="3"/>
        <v>9.5225670043592157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84351</v>
      </c>
      <c r="B57" s="66">
        <v>84351</v>
      </c>
      <c r="D57">
        <f t="shared" si="0"/>
        <v>0.70929685003615817</v>
      </c>
      <c r="E57">
        <f t="shared" si="0"/>
        <v>0.70929685003615817</v>
      </c>
      <c r="G57">
        <f t="shared" ca="1" si="1"/>
        <v>55</v>
      </c>
      <c r="H57">
        <f t="shared" ca="1" si="2"/>
        <v>39.011326751988697</v>
      </c>
      <c r="I57">
        <f t="shared" ca="1" si="3"/>
        <v>31.105575146616427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76606</v>
      </c>
      <c r="B59" s="66">
        <v>76606</v>
      </c>
      <c r="D59">
        <f t="shared" si="0"/>
        <v>0.64417012831940268</v>
      </c>
      <c r="E59">
        <f t="shared" si="0"/>
        <v>0.64417012831940268</v>
      </c>
      <c r="G59">
        <f t="shared" ca="1" si="1"/>
        <v>57</v>
      </c>
      <c r="H59">
        <f t="shared" ca="1" si="2"/>
        <v>36.71769731420595</v>
      </c>
      <c r="I59">
        <f t="shared" ca="1" si="3"/>
        <v>47.889585956316978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79811</v>
      </c>
      <c r="B62" s="66">
        <v>79811</v>
      </c>
      <c r="D62">
        <f t="shared" si="0"/>
        <v>0.67112056642168816</v>
      </c>
      <c r="E62">
        <f t="shared" si="0"/>
        <v>0.67112056642168816</v>
      </c>
      <c r="G62">
        <f t="shared" ca="1" si="1"/>
        <v>60</v>
      </c>
      <c r="H62">
        <f t="shared" ca="1" si="2"/>
        <v>40.267233985301289</v>
      </c>
      <c r="I62">
        <f t="shared" ca="1" si="3"/>
        <v>90.652636390688386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77927</v>
      </c>
      <c r="B64" s="66">
        <v>77927</v>
      </c>
      <c r="D64">
        <f t="shared" si="0"/>
        <v>0.6552782496089874</v>
      </c>
      <c r="E64">
        <f t="shared" si="0"/>
        <v>0.6552782496089874</v>
      </c>
      <c r="G64">
        <f t="shared" ca="1" si="1"/>
        <v>62</v>
      </c>
      <c r="H64">
        <f t="shared" ca="1" si="2"/>
        <v>40.62725147575722</v>
      </c>
      <c r="I64">
        <f t="shared" ca="1" si="3"/>
        <v>121.5970360053073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78483</v>
      </c>
      <c r="B67" s="66">
        <v>78483</v>
      </c>
      <c r="D67">
        <f t="shared" ref="D67:E130" si="4">IFERROR( A67/MAX(A$2:A$257), 0 )</f>
        <v>0.65995358302080354</v>
      </c>
      <c r="E67">
        <f t="shared" si="4"/>
        <v>0.65995358302080354</v>
      </c>
      <c r="G67">
        <f t="shared" ref="G67:G130" ca="1" si="5">CELL("row",D67)-2</f>
        <v>65</v>
      </c>
      <c r="H67">
        <f t="shared" ref="H67:H130" ca="1" si="6">D67*G67</f>
        <v>42.896982896352227</v>
      </c>
      <c r="I67">
        <f t="shared" ref="I67:I130" ca="1" si="7">D67*((G67-$L$1)^2)</f>
        <v>182.34448665696942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69086</v>
      </c>
      <c r="B69" s="66">
        <v>69086</v>
      </c>
      <c r="D69">
        <f t="shared" si="4"/>
        <v>0.58093540303728497</v>
      </c>
      <c r="E69">
        <f t="shared" si="4"/>
        <v>0.58093540303728497</v>
      </c>
      <c r="G69">
        <f t="shared" ca="1" si="5"/>
        <v>67</v>
      </c>
      <c r="H69">
        <f t="shared" ca="1" si="6"/>
        <v>38.922672003498093</v>
      </c>
      <c r="I69">
        <f t="shared" ca="1" si="7"/>
        <v>201.4613849279595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65887</v>
      </c>
      <c r="B72" s="66">
        <v>65887</v>
      </c>
      <c r="D72">
        <f t="shared" si="4"/>
        <v>0.55403541817325641</v>
      </c>
      <c r="E72">
        <f t="shared" si="4"/>
        <v>0.55403541817325641</v>
      </c>
      <c r="G72">
        <f t="shared" ca="1" si="5"/>
        <v>70</v>
      </c>
      <c r="H72">
        <f t="shared" ca="1" si="6"/>
        <v>38.782479272127951</v>
      </c>
      <c r="I72">
        <f t="shared" ca="1" si="7"/>
        <v>259.02340625960773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59806</v>
      </c>
      <c r="B75" s="66">
        <v>59806</v>
      </c>
      <c r="D75">
        <f t="shared" si="4"/>
        <v>0.50290106119977795</v>
      </c>
      <c r="E75">
        <f t="shared" si="4"/>
        <v>0.50290106119977795</v>
      </c>
      <c r="G75">
        <f t="shared" ca="1" si="5"/>
        <v>73</v>
      </c>
      <c r="H75">
        <f t="shared" ca="1" si="6"/>
        <v>36.711777467583794</v>
      </c>
      <c r="I75">
        <f t="shared" ca="1" si="7"/>
        <v>304.88620361274826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52787</v>
      </c>
      <c r="B77" s="66">
        <v>52787</v>
      </c>
      <c r="D77">
        <f t="shared" si="4"/>
        <v>0.44387918131212056</v>
      </c>
      <c r="E77">
        <f t="shared" si="4"/>
        <v>0.44387918131212056</v>
      </c>
      <c r="G77">
        <f t="shared" ca="1" si="5"/>
        <v>75</v>
      </c>
      <c r="H77">
        <f t="shared" ca="1" si="6"/>
        <v>33.290938598409042</v>
      </c>
      <c r="I77">
        <f t="shared" ca="1" si="7"/>
        <v>314.59662382094854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56449</v>
      </c>
      <c r="B80" s="66">
        <v>56449</v>
      </c>
      <c r="D80">
        <f t="shared" si="4"/>
        <v>0.47467247439498156</v>
      </c>
      <c r="E80">
        <f t="shared" si="4"/>
        <v>0.47467247439498156</v>
      </c>
      <c r="G80">
        <f t="shared" ca="1" si="5"/>
        <v>78</v>
      </c>
      <c r="H80">
        <f t="shared" ca="1" si="6"/>
        <v>37.024453002808563</v>
      </c>
      <c r="I80">
        <f t="shared" ca="1" si="7"/>
        <v>416.51430736300694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48154</v>
      </c>
      <c r="B82" s="66">
        <v>48154</v>
      </c>
      <c r="D82">
        <f t="shared" si="4"/>
        <v>0.40492087250466691</v>
      </c>
      <c r="E82">
        <f t="shared" si="4"/>
        <v>0.40492087250466691</v>
      </c>
      <c r="G82">
        <f t="shared" ca="1" si="5"/>
        <v>80</v>
      </c>
      <c r="H82">
        <f t="shared" ca="1" si="6"/>
        <v>32.393669800373353</v>
      </c>
      <c r="I82">
        <f t="shared" ca="1" si="7"/>
        <v>404.90720325506243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44501</v>
      </c>
      <c r="B85" s="66">
        <v>44501</v>
      </c>
      <c r="D85">
        <f t="shared" si="4"/>
        <v>0.3742032592791914</v>
      </c>
      <c r="E85">
        <f t="shared" si="4"/>
        <v>0.3742032592791914</v>
      </c>
      <c r="G85">
        <f t="shared" ca="1" si="5"/>
        <v>83</v>
      </c>
      <c r="H85">
        <f t="shared" ca="1" si="6"/>
        <v>31.058870520172885</v>
      </c>
      <c r="I85">
        <f t="shared" ca="1" si="7"/>
        <v>448.5573343395472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47252</v>
      </c>
      <c r="B88" s="66">
        <v>47252</v>
      </c>
      <c r="D88">
        <f t="shared" si="4"/>
        <v>0.39733606902002994</v>
      </c>
      <c r="E88">
        <f t="shared" si="4"/>
        <v>0.39733606902002994</v>
      </c>
      <c r="G88">
        <f t="shared" ca="1" si="5"/>
        <v>86</v>
      </c>
      <c r="H88">
        <f t="shared" ca="1" si="6"/>
        <v>34.170901935722576</v>
      </c>
      <c r="I88">
        <f t="shared" ca="1" si="7"/>
        <v>562.40264626075532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36669</v>
      </c>
      <c r="B90" s="66">
        <v>36669</v>
      </c>
      <c r="D90">
        <f t="shared" si="4"/>
        <v>0.30834496560770924</v>
      </c>
      <c r="E90">
        <f t="shared" si="4"/>
        <v>0.30834496560770924</v>
      </c>
      <c r="G90">
        <f t="shared" ca="1" si="5"/>
        <v>88</v>
      </c>
      <c r="H90">
        <f t="shared" ca="1" si="6"/>
        <v>27.134356973478415</v>
      </c>
      <c r="I90">
        <f t="shared" ca="1" si="7"/>
        <v>484.07758444021198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36341</v>
      </c>
      <c r="B93" s="66">
        <v>36341</v>
      </c>
      <c r="D93">
        <f t="shared" si="4"/>
        <v>0.30558685524965945</v>
      </c>
      <c r="E93">
        <f t="shared" si="4"/>
        <v>0.30558685524965945</v>
      </c>
      <c r="G93">
        <f t="shared" ca="1" si="5"/>
        <v>91</v>
      </c>
      <c r="H93">
        <f t="shared" ca="1" si="6"/>
        <v>27.808403827719012</v>
      </c>
      <c r="I93">
        <f t="shared" ca="1" si="7"/>
        <v>555.14606717872118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29318</v>
      </c>
      <c r="B95" s="66">
        <v>29318</v>
      </c>
      <c r="D95">
        <f t="shared" si="4"/>
        <v>0.24653133986983064</v>
      </c>
      <c r="E95">
        <f t="shared" si="4"/>
        <v>0.24653133986983064</v>
      </c>
      <c r="G95">
        <f t="shared" ca="1" si="5"/>
        <v>93</v>
      </c>
      <c r="H95">
        <f t="shared" ca="1" si="6"/>
        <v>22.927414607894249</v>
      </c>
      <c r="I95">
        <f t="shared" ca="1" si="7"/>
        <v>490.8795352617081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27201</v>
      </c>
      <c r="B98" s="66">
        <v>27201</v>
      </c>
      <c r="D98">
        <f t="shared" si="4"/>
        <v>0.22872975563814937</v>
      </c>
      <c r="E98">
        <f t="shared" si="4"/>
        <v>0.22872975563814937</v>
      </c>
      <c r="G98">
        <f t="shared" ca="1" si="5"/>
        <v>96</v>
      </c>
      <c r="H98">
        <f t="shared" ca="1" si="6"/>
        <v>21.958056541262341</v>
      </c>
      <c r="I98">
        <f t="shared" ca="1" si="7"/>
        <v>518.73118373520811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20562</v>
      </c>
      <c r="B100" s="66">
        <v>20562</v>
      </c>
      <c r="D100">
        <f t="shared" si="4"/>
        <v>0.17290324750676914</v>
      </c>
      <c r="E100">
        <f t="shared" si="4"/>
        <v>0.17290324750676914</v>
      </c>
      <c r="G100">
        <f t="shared" ca="1" si="5"/>
        <v>98</v>
      </c>
      <c r="H100">
        <f t="shared" ca="1" si="6"/>
        <v>16.944518255663375</v>
      </c>
      <c r="I100">
        <f t="shared" ca="1" si="7"/>
        <v>425.75124815209364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16640</v>
      </c>
      <c r="B103" s="66">
        <v>16640</v>
      </c>
      <c r="D103">
        <f t="shared" si="4"/>
        <v>0.13992364743277105</v>
      </c>
      <c r="E103">
        <f t="shared" si="4"/>
        <v>0.13992364743277105</v>
      </c>
      <c r="G103">
        <f t="shared" ca="1" si="5"/>
        <v>101</v>
      </c>
      <c r="H103">
        <f t="shared" ca="1" si="6"/>
        <v>14.132288390709876</v>
      </c>
      <c r="I103">
        <f t="shared" ca="1" si="7"/>
        <v>387.4626338698402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11409</v>
      </c>
      <c r="B106" s="66">
        <v>11409</v>
      </c>
      <c r="D106">
        <f t="shared" si="4"/>
        <v>9.5936832545702219E-2</v>
      </c>
      <c r="E106">
        <f t="shared" si="4"/>
        <v>9.5936832545702219E-2</v>
      </c>
      <c r="G106">
        <f t="shared" ca="1" si="5"/>
        <v>104</v>
      </c>
      <c r="H106">
        <f t="shared" ca="1" si="6"/>
        <v>9.97743058475303</v>
      </c>
      <c r="I106">
        <f t="shared" ca="1" si="7"/>
        <v>296.81262463929835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10406</v>
      </c>
      <c r="B108" s="66">
        <v>10406</v>
      </c>
      <c r="D108">
        <f t="shared" si="4"/>
        <v>8.7502732883738915E-2</v>
      </c>
      <c r="E108">
        <f t="shared" si="4"/>
        <v>8.7502732883738915E-2</v>
      </c>
      <c r="G108">
        <f t="shared" ca="1" si="5"/>
        <v>106</v>
      </c>
      <c r="H108">
        <f t="shared" ca="1" si="6"/>
        <v>9.2752896856763254</v>
      </c>
      <c r="I108">
        <f t="shared" ca="1" si="7"/>
        <v>290.53732516394518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9841</v>
      </c>
      <c r="B111" s="66">
        <v>9841</v>
      </c>
      <c r="D111">
        <f t="shared" si="4"/>
        <v>8.2751719614537256E-2</v>
      </c>
      <c r="E111">
        <f t="shared" si="4"/>
        <v>8.2751719614537256E-2</v>
      </c>
      <c r="G111">
        <f t="shared" ca="1" si="5"/>
        <v>109</v>
      </c>
      <c r="H111">
        <f t="shared" ca="1" si="6"/>
        <v>9.0199374379845612</v>
      </c>
      <c r="I111">
        <f t="shared" ca="1" si="7"/>
        <v>304.11723072587864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8416</v>
      </c>
      <c r="B113" s="66">
        <v>8416</v>
      </c>
      <c r="D113">
        <f t="shared" si="4"/>
        <v>7.0769075528497677E-2</v>
      </c>
      <c r="E113">
        <f t="shared" si="4"/>
        <v>7.0769075528497677E-2</v>
      </c>
      <c r="G113">
        <f t="shared" ca="1" si="5"/>
        <v>111</v>
      </c>
      <c r="H113">
        <f t="shared" ca="1" si="6"/>
        <v>7.8553673836632418</v>
      </c>
      <c r="I113">
        <f t="shared" ca="1" si="7"/>
        <v>277.52413539611172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7758</v>
      </c>
      <c r="B116" s="66">
        <v>7758</v>
      </c>
      <c r="D116">
        <f t="shared" si="4"/>
        <v>6.5236037066312369E-2</v>
      </c>
      <c r="E116">
        <f t="shared" si="4"/>
        <v>6.5236037066312369E-2</v>
      </c>
      <c r="G116">
        <f t="shared" ca="1" si="5"/>
        <v>114</v>
      </c>
      <c r="H116">
        <f t="shared" ca="1" si="6"/>
        <v>7.43690822555961</v>
      </c>
      <c r="I116">
        <f t="shared" ca="1" si="7"/>
        <v>280.92456049375267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6950</v>
      </c>
      <c r="B118" s="66">
        <v>6950</v>
      </c>
      <c r="D118">
        <f t="shared" si="4"/>
        <v>5.8441667647701853E-2</v>
      </c>
      <c r="E118">
        <f t="shared" si="4"/>
        <v>5.8441667647701853E-2</v>
      </c>
      <c r="G118">
        <f t="shared" ca="1" si="5"/>
        <v>116</v>
      </c>
      <c r="H118">
        <f t="shared" ca="1" si="6"/>
        <v>6.7792334471334152</v>
      </c>
      <c r="I118">
        <f t="shared" ca="1" si="7"/>
        <v>267.24017170701109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7167</v>
      </c>
      <c r="B121" s="66">
        <v>7167</v>
      </c>
      <c r="D121">
        <f t="shared" si="4"/>
        <v>6.0266393097997008E-2</v>
      </c>
      <c r="E121">
        <f t="shared" si="4"/>
        <v>6.0266393097997008E-2</v>
      </c>
      <c r="G121">
        <f t="shared" ca="1" si="5"/>
        <v>119</v>
      </c>
      <c r="H121">
        <f t="shared" ca="1" si="6"/>
        <v>7.171700778661644</v>
      </c>
      <c r="I121">
        <f t="shared" ca="1" si="7"/>
        <v>300.57870690850768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5690</v>
      </c>
      <c r="B124" s="66">
        <v>5690</v>
      </c>
      <c r="D124">
        <f t="shared" si="4"/>
        <v>4.7846487613730011E-2</v>
      </c>
      <c r="E124">
        <f t="shared" si="4"/>
        <v>4.7846487613730011E-2</v>
      </c>
      <c r="G124">
        <f t="shared" ca="1" si="5"/>
        <v>122</v>
      </c>
      <c r="H124">
        <f t="shared" ca="1" si="6"/>
        <v>5.8372714888750616</v>
      </c>
      <c r="I124">
        <f t="shared" ca="1" si="7"/>
        <v>259.33918959736519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4980</v>
      </c>
      <c r="B126" s="66">
        <v>4980</v>
      </c>
      <c r="D126">
        <f t="shared" si="4"/>
        <v>4.18761877533173E-2</v>
      </c>
      <c r="E126">
        <f t="shared" si="4"/>
        <v>4.18761877533173E-2</v>
      </c>
      <c r="G126">
        <f t="shared" ca="1" si="5"/>
        <v>124</v>
      </c>
      <c r="H126">
        <f t="shared" ca="1" si="6"/>
        <v>5.1926472814113449</v>
      </c>
      <c r="I126">
        <f t="shared" ca="1" si="7"/>
        <v>239.47834368569335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4586</v>
      </c>
      <c r="B129" s="66">
        <v>4586</v>
      </c>
      <c r="D129">
        <f t="shared" si="4"/>
        <v>3.8563091774440388E-2</v>
      </c>
      <c r="E129">
        <f t="shared" si="4"/>
        <v>3.8563091774440388E-2</v>
      </c>
      <c r="G129">
        <f t="shared" ca="1" si="5"/>
        <v>127</v>
      </c>
      <c r="H129">
        <f t="shared" ca="1" si="6"/>
        <v>4.8975126553539292</v>
      </c>
      <c r="I129">
        <f t="shared" ca="1" si="7"/>
        <v>238.37609625316213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2371</v>
      </c>
      <c r="B131" s="66">
        <v>2371</v>
      </c>
      <c r="D131">
        <f t="shared" ref="D131:E194" si="8">IFERROR( A131/MAX(A$2:A$257), 0 )</f>
        <v>1.993743798456131E-2</v>
      </c>
      <c r="E131">
        <f t="shared" si="8"/>
        <v>1.993743798456131E-2</v>
      </c>
      <c r="G131">
        <f t="shared" ref="G131:G194" ca="1" si="9">CELL("row",D131)-2</f>
        <v>129</v>
      </c>
      <c r="H131">
        <f t="shared" ref="H131:H194" ca="1" si="10">D131*G131</f>
        <v>2.5719295000084088</v>
      </c>
      <c r="I131">
        <f t="shared" ref="I131:I194" ca="1" si="11">D131*((G131-$L$1)^2)</f>
        <v>129.59227108339772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1550</v>
      </c>
      <c r="B134" s="66">
        <v>1550</v>
      </c>
      <c r="D134">
        <f t="shared" si="8"/>
        <v>1.303375321639394E-2</v>
      </c>
      <c r="E134">
        <f t="shared" si="8"/>
        <v>1.303375321639394E-2</v>
      </c>
      <c r="G134">
        <f t="shared" ca="1" si="9"/>
        <v>132</v>
      </c>
      <c r="H134">
        <f t="shared" ca="1" si="10"/>
        <v>1.720455424564</v>
      </c>
      <c r="I134">
        <f t="shared" ca="1" si="11"/>
        <v>91.140858890847966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503</v>
      </c>
      <c r="B136" s="66">
        <v>503</v>
      </c>
      <c r="D136">
        <f t="shared" si="8"/>
        <v>4.2296631405459037E-3</v>
      </c>
      <c r="E136">
        <f t="shared" si="8"/>
        <v>4.2296631405459037E-3</v>
      </c>
      <c r="G136">
        <f t="shared" ca="1" si="9"/>
        <v>134</v>
      </c>
      <c r="H136">
        <f t="shared" ca="1" si="10"/>
        <v>0.5667748608331511</v>
      </c>
      <c r="I136">
        <f t="shared" ca="1" si="11"/>
        <v>31.008373049559609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555</v>
      </c>
      <c r="B139" s="66">
        <v>555</v>
      </c>
      <c r="D139">
        <f t="shared" si="8"/>
        <v>4.6669245387733135E-3</v>
      </c>
      <c r="E139">
        <f t="shared" si="8"/>
        <v>4.6669245387733135E-3</v>
      </c>
      <c r="G139">
        <f t="shared" ca="1" si="9"/>
        <v>137</v>
      </c>
      <c r="H139">
        <f t="shared" ca="1" si="10"/>
        <v>0.63936866181194396</v>
      </c>
      <c r="I139">
        <f t="shared" ca="1" si="11"/>
        <v>36.653567622732766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301</v>
      </c>
      <c r="B142" s="66">
        <v>301</v>
      </c>
      <c r="D142">
        <f t="shared" si="8"/>
        <v>2.5310707858932748E-3</v>
      </c>
      <c r="E142">
        <f t="shared" si="8"/>
        <v>2.5310707858932748E-3</v>
      </c>
      <c r="G142">
        <f t="shared" ca="1" si="9"/>
        <v>140</v>
      </c>
      <c r="H142">
        <f t="shared" ca="1" si="10"/>
        <v>0.35434991002505845</v>
      </c>
      <c r="I142">
        <f t="shared" ca="1" si="11"/>
        <v>21.247416375770701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248</v>
      </c>
      <c r="B144" s="66">
        <v>248</v>
      </c>
      <c r="D144">
        <f t="shared" si="8"/>
        <v>2.0854005146230302E-3</v>
      </c>
      <c r="E144">
        <f t="shared" si="8"/>
        <v>2.0854005146230302E-3</v>
      </c>
      <c r="G144">
        <f t="shared" ca="1" si="9"/>
        <v>142</v>
      </c>
      <c r="H144">
        <f t="shared" ca="1" si="10"/>
        <v>0.29612687307647029</v>
      </c>
      <c r="I144">
        <f t="shared" ca="1" si="11"/>
        <v>18.278794839007102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428</v>
      </c>
      <c r="B147" s="66">
        <v>428</v>
      </c>
      <c r="D147">
        <f t="shared" si="8"/>
        <v>3.5989976623332942E-3</v>
      </c>
      <c r="E147">
        <f t="shared" si="8"/>
        <v>3.5989976623332942E-3</v>
      </c>
      <c r="G147">
        <f t="shared" ca="1" si="9"/>
        <v>145</v>
      </c>
      <c r="H147">
        <f t="shared" ca="1" si="10"/>
        <v>0.52185466103832767</v>
      </c>
      <c r="I147">
        <f t="shared" ca="1" si="11"/>
        <v>33.599730438548626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550</v>
      </c>
      <c r="B149" s="66">
        <v>550</v>
      </c>
      <c r="D149">
        <f t="shared" si="8"/>
        <v>4.6248801735591398E-3</v>
      </c>
      <c r="E149">
        <f t="shared" si="8"/>
        <v>4.6248801735591398E-3</v>
      </c>
      <c r="G149">
        <f t="shared" ca="1" si="9"/>
        <v>147</v>
      </c>
      <c r="H149">
        <f t="shared" ca="1" si="10"/>
        <v>0.67985738551319352</v>
      </c>
      <c r="I149">
        <f t="shared" ca="1" si="11"/>
        <v>44.983188396015123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210</v>
      </c>
      <c r="B152" s="66">
        <v>210</v>
      </c>
      <c r="D152">
        <f t="shared" si="8"/>
        <v>1.7658633389953078E-3</v>
      </c>
      <c r="E152">
        <f t="shared" si="8"/>
        <v>1.7658633389953078E-3</v>
      </c>
      <c r="G152">
        <f t="shared" ca="1" si="9"/>
        <v>150</v>
      </c>
      <c r="H152">
        <f t="shared" ca="1" si="10"/>
        <v>0.26487950084929618</v>
      </c>
      <c r="I152">
        <f t="shared" ca="1" si="11"/>
        <v>18.236212394035856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0</v>
      </c>
      <c r="B154" s="66">
        <v>0</v>
      </c>
      <c r="D154">
        <f t="shared" si="8"/>
        <v>0</v>
      </c>
      <c r="E154">
        <f t="shared" si="8"/>
        <v>0</v>
      </c>
      <c r="G154">
        <f t="shared" ca="1" si="9"/>
        <v>152</v>
      </c>
      <c r="H154">
        <f t="shared" ca="1" si="10"/>
        <v>0</v>
      </c>
      <c r="I154">
        <f t="shared" ca="1" si="11"/>
        <v>0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0</v>
      </c>
      <c r="B157" s="66">
        <v>0</v>
      </c>
      <c r="D157">
        <f t="shared" si="8"/>
        <v>0</v>
      </c>
      <c r="E157">
        <f t="shared" si="8"/>
        <v>0</v>
      </c>
      <c r="G157">
        <f t="shared" ca="1" si="9"/>
        <v>155</v>
      </c>
      <c r="H157">
        <f t="shared" ca="1" si="10"/>
        <v>0</v>
      </c>
      <c r="I157">
        <f t="shared" ca="1" si="11"/>
        <v>0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0</v>
      </c>
      <c r="B160" s="66">
        <v>0</v>
      </c>
      <c r="D160">
        <f t="shared" si="8"/>
        <v>0</v>
      </c>
      <c r="E160">
        <f t="shared" si="8"/>
        <v>0</v>
      </c>
      <c r="G160">
        <f t="shared" ca="1" si="9"/>
        <v>158</v>
      </c>
      <c r="H160">
        <f t="shared" ca="1" si="10"/>
        <v>0</v>
      </c>
      <c r="I160">
        <f t="shared" ca="1" si="11"/>
        <v>0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0</v>
      </c>
      <c r="B162" s="66">
        <v>0</v>
      </c>
      <c r="D162">
        <f t="shared" si="8"/>
        <v>0</v>
      </c>
      <c r="E162">
        <f t="shared" si="8"/>
        <v>0</v>
      </c>
      <c r="G162">
        <f t="shared" ca="1" si="9"/>
        <v>160</v>
      </c>
      <c r="H162">
        <f t="shared" ca="1" si="10"/>
        <v>0</v>
      </c>
      <c r="I162">
        <f t="shared" ca="1" si="11"/>
        <v>0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0</v>
      </c>
      <c r="B165" s="66">
        <v>0</v>
      </c>
      <c r="D165">
        <f t="shared" si="8"/>
        <v>0</v>
      </c>
      <c r="E165">
        <f t="shared" si="8"/>
        <v>0</v>
      </c>
      <c r="G165">
        <f t="shared" ca="1" si="9"/>
        <v>163</v>
      </c>
      <c r="H165">
        <f t="shared" ca="1" si="10"/>
        <v>0</v>
      </c>
      <c r="I165">
        <f t="shared" ca="1" si="11"/>
        <v>0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0</v>
      </c>
      <c r="B167" s="66">
        <v>0</v>
      </c>
      <c r="D167">
        <f t="shared" si="8"/>
        <v>0</v>
      </c>
      <c r="E167">
        <f t="shared" si="8"/>
        <v>0</v>
      </c>
      <c r="G167">
        <f t="shared" ca="1" si="9"/>
        <v>165</v>
      </c>
      <c r="H167">
        <f t="shared" ca="1" si="10"/>
        <v>0</v>
      </c>
      <c r="I167">
        <f t="shared" ca="1" si="11"/>
        <v>0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0</v>
      </c>
      <c r="B170" s="66">
        <v>0</v>
      </c>
      <c r="D170">
        <f t="shared" si="8"/>
        <v>0</v>
      </c>
      <c r="E170">
        <f t="shared" si="8"/>
        <v>0</v>
      </c>
      <c r="G170">
        <f t="shared" ca="1" si="9"/>
        <v>168</v>
      </c>
      <c r="H170">
        <f t="shared" ca="1" si="10"/>
        <v>0</v>
      </c>
      <c r="I170">
        <f t="shared" ca="1" si="11"/>
        <v>0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0</v>
      </c>
      <c r="B173" s="66">
        <v>0</v>
      </c>
      <c r="D173">
        <f t="shared" si="8"/>
        <v>0</v>
      </c>
      <c r="E173">
        <f t="shared" si="8"/>
        <v>0</v>
      </c>
      <c r="G173">
        <f t="shared" ca="1" si="9"/>
        <v>171</v>
      </c>
      <c r="H173">
        <f t="shared" ca="1" si="10"/>
        <v>0</v>
      </c>
      <c r="I173">
        <f t="shared" ca="1" si="11"/>
        <v>0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0</v>
      </c>
      <c r="B175" s="66">
        <v>0</v>
      </c>
      <c r="D175">
        <f t="shared" si="8"/>
        <v>0</v>
      </c>
      <c r="E175">
        <f t="shared" si="8"/>
        <v>0</v>
      </c>
      <c r="G175">
        <f t="shared" ca="1" si="9"/>
        <v>173</v>
      </c>
      <c r="H175">
        <f t="shared" ca="1" si="10"/>
        <v>0</v>
      </c>
      <c r="I175">
        <f t="shared" ca="1" si="11"/>
        <v>0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0</v>
      </c>
      <c r="B178" s="66">
        <v>0</v>
      </c>
      <c r="D178">
        <f t="shared" si="8"/>
        <v>0</v>
      </c>
      <c r="E178">
        <f t="shared" si="8"/>
        <v>0</v>
      </c>
      <c r="G178">
        <f t="shared" ca="1" si="9"/>
        <v>176</v>
      </c>
      <c r="H178">
        <f t="shared" ca="1" si="10"/>
        <v>0</v>
      </c>
      <c r="I178">
        <f t="shared" ca="1" si="11"/>
        <v>0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348</v>
      </c>
      <c r="B1" s="66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49.892641585838511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0.96330168827503204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0.52500702900705487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9938</v>
      </c>
      <c r="B8" s="66">
        <v>9938</v>
      </c>
      <c r="D8">
        <f t="shared" si="0"/>
        <v>15.625786163522013</v>
      </c>
      <c r="E8">
        <f t="shared" si="1"/>
        <v>15.625786163522013</v>
      </c>
      <c r="G8">
        <f t="shared" ca="1" si="2"/>
        <v>6</v>
      </c>
      <c r="H8">
        <f t="shared" ca="1" si="3"/>
        <v>93.754716981132077</v>
      </c>
      <c r="I8">
        <f t="shared" ca="1" si="4"/>
        <v>30104.076865935636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14183</v>
      </c>
      <c r="B10" s="66">
        <v>14183</v>
      </c>
      <c r="D10">
        <f t="shared" si="0"/>
        <v>22.300314465408807</v>
      </c>
      <c r="E10">
        <f t="shared" si="1"/>
        <v>22.300314465408807</v>
      </c>
      <c r="G10">
        <f t="shared" ca="1" si="2"/>
        <v>8</v>
      </c>
      <c r="H10">
        <f t="shared" ca="1" si="3"/>
        <v>178.40251572327045</v>
      </c>
      <c r="I10">
        <f t="shared" ca="1" si="4"/>
        <v>39136.90512930441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28529</v>
      </c>
      <c r="B13" s="66">
        <v>28529</v>
      </c>
      <c r="D13">
        <f t="shared" si="0"/>
        <v>44.856918238993714</v>
      </c>
      <c r="E13">
        <f t="shared" si="1"/>
        <v>44.856918238993714</v>
      </c>
      <c r="G13">
        <f t="shared" ca="1" si="2"/>
        <v>11</v>
      </c>
      <c r="H13">
        <f t="shared" ca="1" si="3"/>
        <v>493.42610062893084</v>
      </c>
      <c r="I13">
        <f t="shared" ca="1" si="4"/>
        <v>67852.259781390443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38008</v>
      </c>
      <c r="B15" s="66">
        <v>38008</v>
      </c>
      <c r="D15">
        <f t="shared" si="0"/>
        <v>59.761006289308177</v>
      </c>
      <c r="E15">
        <f t="shared" si="1"/>
        <v>59.761006289308177</v>
      </c>
      <c r="G15">
        <f t="shared" ca="1" si="2"/>
        <v>13</v>
      </c>
      <c r="H15">
        <f t="shared" ca="1" si="3"/>
        <v>776.89308176100633</v>
      </c>
      <c r="I15">
        <f t="shared" ca="1" si="4"/>
        <v>81338.733737278017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39373</v>
      </c>
      <c r="B18" s="66">
        <v>39373</v>
      </c>
      <c r="D18">
        <f t="shared" si="0"/>
        <v>61.907232704402517</v>
      </c>
      <c r="E18">
        <f t="shared" si="1"/>
        <v>61.907232704402517</v>
      </c>
      <c r="G18">
        <f t="shared" ca="1" si="2"/>
        <v>16</v>
      </c>
      <c r="H18">
        <f t="shared" ca="1" si="3"/>
        <v>990.51572327044028</v>
      </c>
      <c r="I18">
        <f t="shared" ca="1" si="4"/>
        <v>71113.528700150549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46629</v>
      </c>
      <c r="B21" s="66">
        <v>46629</v>
      </c>
      <c r="D21">
        <f t="shared" si="0"/>
        <v>73.316037735849051</v>
      </c>
      <c r="E21">
        <f t="shared" si="1"/>
        <v>73.316037735849051</v>
      </c>
      <c r="G21">
        <f t="shared" ca="1" si="2"/>
        <v>19</v>
      </c>
      <c r="H21">
        <f t="shared" ca="1" si="3"/>
        <v>1393.0047169811319</v>
      </c>
      <c r="I21">
        <f t="shared" ca="1" si="4"/>
        <v>69969.549492548205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41861</v>
      </c>
      <c r="B23" s="66">
        <v>41861</v>
      </c>
      <c r="D23">
        <f t="shared" si="0"/>
        <v>65.819182389937112</v>
      </c>
      <c r="E23">
        <f t="shared" si="1"/>
        <v>65.819182389937112</v>
      </c>
      <c r="G23">
        <f t="shared" ca="1" si="2"/>
        <v>21</v>
      </c>
      <c r="H23">
        <f t="shared" ca="1" si="3"/>
        <v>1382.2028301886794</v>
      </c>
      <c r="I23">
        <f t="shared" ca="1" si="4"/>
        <v>54944.848914102477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59934</v>
      </c>
      <c r="B26" s="66">
        <v>59934</v>
      </c>
      <c r="D26">
        <f t="shared" si="0"/>
        <v>94.235849056603769</v>
      </c>
      <c r="E26">
        <f t="shared" si="1"/>
        <v>94.235849056603769</v>
      </c>
      <c r="G26">
        <f t="shared" ca="1" si="2"/>
        <v>24</v>
      </c>
      <c r="H26">
        <f t="shared" ca="1" si="3"/>
        <v>2261.6603773584902</v>
      </c>
      <c r="I26">
        <f t="shared" ca="1" si="4"/>
        <v>63178.435520336963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59815</v>
      </c>
      <c r="B28" s="66">
        <v>59815</v>
      </c>
      <c r="D28">
        <f t="shared" si="0"/>
        <v>94.048742138364773</v>
      </c>
      <c r="E28">
        <f t="shared" si="1"/>
        <v>94.048742138364773</v>
      </c>
      <c r="G28">
        <f t="shared" ca="1" si="2"/>
        <v>26</v>
      </c>
      <c r="H28">
        <f t="shared" ca="1" si="3"/>
        <v>2445.267295597484</v>
      </c>
      <c r="I28">
        <f t="shared" ca="1" si="4"/>
        <v>53688.507118553083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63600</v>
      </c>
      <c r="B31" s="66">
        <v>63600</v>
      </c>
      <c r="D31">
        <f t="shared" si="0"/>
        <v>100</v>
      </c>
      <c r="E31">
        <f t="shared" si="1"/>
        <v>100</v>
      </c>
      <c r="G31">
        <f t="shared" ca="1" si="2"/>
        <v>29</v>
      </c>
      <c r="H31">
        <f t="shared" ca="1" si="3"/>
        <v>2900</v>
      </c>
      <c r="I31">
        <f t="shared" ca="1" si="4"/>
        <v>43650.247243430873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57916</v>
      </c>
      <c r="B33" s="66">
        <v>57916</v>
      </c>
      <c r="D33">
        <f t="shared" si="0"/>
        <v>91.062893081761004</v>
      </c>
      <c r="E33">
        <f t="shared" si="1"/>
        <v>91.062893081761004</v>
      </c>
      <c r="G33">
        <f t="shared" ca="1" si="2"/>
        <v>31</v>
      </c>
      <c r="H33">
        <f t="shared" ca="1" si="3"/>
        <v>2822.949685534591</v>
      </c>
      <c r="I33">
        <f t="shared" ca="1" si="4"/>
        <v>32503.252001829769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58653</v>
      </c>
      <c r="B36" s="66">
        <v>58653</v>
      </c>
      <c r="D36">
        <f t="shared" si="0"/>
        <v>92.221698113207552</v>
      </c>
      <c r="E36">
        <f t="shared" si="1"/>
        <v>92.221698113207552</v>
      </c>
      <c r="G36">
        <f t="shared" ca="1" si="2"/>
        <v>34</v>
      </c>
      <c r="H36">
        <f t="shared" ca="1" si="3"/>
        <v>3135.5377358490568</v>
      </c>
      <c r="I36">
        <f t="shared" ca="1" si="4"/>
        <v>23292.99284016926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62371</v>
      </c>
      <c r="B39" s="66">
        <v>62371</v>
      </c>
      <c r="D39">
        <f t="shared" si="0"/>
        <v>98.067610062893081</v>
      </c>
      <c r="E39">
        <f t="shared" si="1"/>
        <v>98.067610062893081</v>
      </c>
      <c r="G39">
        <f t="shared" ca="1" si="2"/>
        <v>37</v>
      </c>
      <c r="H39">
        <f t="shared" ca="1" si="3"/>
        <v>3628.501572327044</v>
      </c>
      <c r="I39">
        <f t="shared" ca="1" si="4"/>
        <v>16300.818450620958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59079</v>
      </c>
      <c r="B41" s="66">
        <v>59079</v>
      </c>
      <c r="D41">
        <f t="shared" si="0"/>
        <v>92.89150943396227</v>
      </c>
      <c r="E41">
        <f t="shared" si="1"/>
        <v>92.89150943396227</v>
      </c>
      <c r="G41">
        <f t="shared" ca="1" si="2"/>
        <v>39</v>
      </c>
      <c r="H41">
        <f t="shared" ca="1" si="3"/>
        <v>3622.7688679245284</v>
      </c>
      <c r="I41">
        <f t="shared" ca="1" si="4"/>
        <v>11021.544220049464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60740</v>
      </c>
      <c r="B44" s="66">
        <v>60740</v>
      </c>
      <c r="D44">
        <f t="shared" si="0"/>
        <v>95.503144654088047</v>
      </c>
      <c r="E44">
        <f t="shared" si="1"/>
        <v>95.503144654088047</v>
      </c>
      <c r="G44">
        <f t="shared" ca="1" si="2"/>
        <v>42</v>
      </c>
      <c r="H44">
        <f t="shared" ca="1" si="3"/>
        <v>4011.132075471698</v>
      </c>
      <c r="I44">
        <f t="shared" ca="1" si="4"/>
        <v>5949.2529522646264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51195</v>
      </c>
      <c r="B46" s="66">
        <v>51195</v>
      </c>
      <c r="D46">
        <f t="shared" si="0"/>
        <v>80.495283018867923</v>
      </c>
      <c r="E46">
        <f t="shared" si="1"/>
        <v>80.495283018867923</v>
      </c>
      <c r="G46">
        <f t="shared" ca="1" si="2"/>
        <v>44</v>
      </c>
      <c r="H46">
        <f t="shared" ca="1" si="3"/>
        <v>3541.7924528301887</v>
      </c>
      <c r="I46">
        <f t="shared" ca="1" si="4"/>
        <v>2795.0558123653436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45549</v>
      </c>
      <c r="B49" s="66">
        <v>45549</v>
      </c>
      <c r="D49">
        <f t="shared" si="0"/>
        <v>71.617924528301884</v>
      </c>
      <c r="E49">
        <f t="shared" si="1"/>
        <v>71.617924528301884</v>
      </c>
      <c r="G49">
        <f t="shared" ca="1" si="2"/>
        <v>47</v>
      </c>
      <c r="H49">
        <f t="shared" ca="1" si="3"/>
        <v>3366.0424528301887</v>
      </c>
      <c r="I49">
        <f t="shared" ca="1" si="4"/>
        <v>599.2540558953275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45038</v>
      </c>
      <c r="B51" s="66">
        <v>45038</v>
      </c>
      <c r="D51">
        <f t="shared" si="0"/>
        <v>70.814465408805034</v>
      </c>
      <c r="E51">
        <f t="shared" si="1"/>
        <v>70.814465408805034</v>
      </c>
      <c r="G51">
        <f t="shared" ca="1" si="2"/>
        <v>49</v>
      </c>
      <c r="H51">
        <f t="shared" ca="1" si="3"/>
        <v>3469.9088050314467</v>
      </c>
      <c r="I51">
        <f t="shared" ca="1" si="4"/>
        <v>56.425603422330738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42369</v>
      </c>
      <c r="B54" s="66">
        <v>42369</v>
      </c>
      <c r="D54">
        <f t="shared" si="0"/>
        <v>66.617924528301884</v>
      </c>
      <c r="E54">
        <f t="shared" si="1"/>
        <v>66.617924528301884</v>
      </c>
      <c r="G54">
        <f t="shared" ca="1" si="2"/>
        <v>52</v>
      </c>
      <c r="H54">
        <f t="shared" ca="1" si="3"/>
        <v>3464.132075471698</v>
      </c>
      <c r="I54">
        <f t="shared" ca="1" si="4"/>
        <v>295.84750385408881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35896</v>
      </c>
      <c r="B57" s="66">
        <v>35896</v>
      </c>
      <c r="D57">
        <f t="shared" si="0"/>
        <v>56.440251572327043</v>
      </c>
      <c r="E57">
        <f t="shared" si="1"/>
        <v>56.440251572327043</v>
      </c>
      <c r="G57">
        <f t="shared" ca="1" si="2"/>
        <v>55</v>
      </c>
      <c r="H57">
        <f t="shared" ca="1" si="3"/>
        <v>3104.2138364779876</v>
      </c>
      <c r="I57">
        <f t="shared" ca="1" si="4"/>
        <v>1472.250169038472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36892</v>
      </c>
      <c r="B59" s="66">
        <v>36892</v>
      </c>
      <c r="D59">
        <f t="shared" si="0"/>
        <v>58.0062893081761</v>
      </c>
      <c r="E59">
        <f t="shared" si="1"/>
        <v>58.0062893081761</v>
      </c>
      <c r="G59">
        <f t="shared" ca="1" si="2"/>
        <v>57</v>
      </c>
      <c r="H59">
        <f t="shared" ca="1" si="3"/>
        <v>3306.3584905660377</v>
      </c>
      <c r="I59">
        <f t="shared" ca="1" si="4"/>
        <v>2930.1612319186697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36964</v>
      </c>
      <c r="B62" s="66">
        <v>36964</v>
      </c>
      <c r="D62">
        <f t="shared" si="0"/>
        <v>58.119496855345915</v>
      </c>
      <c r="E62">
        <f t="shared" si="1"/>
        <v>58.119496855345915</v>
      </c>
      <c r="G62">
        <f t="shared" ca="1" si="2"/>
        <v>60</v>
      </c>
      <c r="H62">
        <f t="shared" ca="1" si="3"/>
        <v>3487.1698113207549</v>
      </c>
      <c r="I62">
        <f t="shared" ca="1" si="4"/>
        <v>5937.4119012072879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36721</v>
      </c>
      <c r="B64" s="66">
        <v>36721</v>
      </c>
      <c r="D64">
        <f t="shared" si="0"/>
        <v>57.737421383647799</v>
      </c>
      <c r="E64">
        <f t="shared" si="1"/>
        <v>57.737421383647799</v>
      </c>
      <c r="G64">
        <f t="shared" ca="1" si="2"/>
        <v>62</v>
      </c>
      <c r="H64">
        <f t="shared" ca="1" si="3"/>
        <v>3579.7201257861634</v>
      </c>
      <c r="I64">
        <f t="shared" ca="1" si="4"/>
        <v>8463.6205028368513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35534</v>
      </c>
      <c r="B67" s="66">
        <v>35534</v>
      </c>
      <c r="D67">
        <f t="shared" ref="D67:D130" si="5">IFERROR( 100*A67/MAX(A$2:A$257), 0 )</f>
        <v>55.871069182389938</v>
      </c>
      <c r="E67">
        <f t="shared" ref="E67:E130" si="6">IFERROR( 100*B67/MAX(B$2:B$257), 0 )</f>
        <v>55.871069182389938</v>
      </c>
      <c r="G67">
        <f t="shared" ref="G67:G130" ca="1" si="7">CELL("row",D67)-2</f>
        <v>65</v>
      </c>
      <c r="H67">
        <f t="shared" ref="H67:H130" ca="1" si="8">D67*G67</f>
        <v>3631.6194968553459</v>
      </c>
      <c r="I67">
        <f t="shared" ref="I67:I130" ca="1" si="9">D67*((G67-$L$1)^2)</f>
        <v>12751.581407980126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32167</v>
      </c>
      <c r="B69" s="66">
        <v>32167</v>
      </c>
      <c r="D69">
        <f t="shared" si="5"/>
        <v>50.577044025157235</v>
      </c>
      <c r="E69">
        <f t="shared" si="6"/>
        <v>50.577044025157235</v>
      </c>
      <c r="G69">
        <f t="shared" ca="1" si="7"/>
        <v>67</v>
      </c>
      <c r="H69">
        <f t="shared" ca="1" si="8"/>
        <v>3388.6619496855346</v>
      </c>
      <c r="I69">
        <f t="shared" ca="1" si="9"/>
        <v>14801.964287779385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28939</v>
      </c>
      <c r="B72" s="66">
        <v>28939</v>
      </c>
      <c r="D72">
        <f t="shared" si="5"/>
        <v>45.501572327044023</v>
      </c>
      <c r="E72">
        <f t="shared" si="6"/>
        <v>45.501572327044023</v>
      </c>
      <c r="G72">
        <f t="shared" ca="1" si="7"/>
        <v>70</v>
      </c>
      <c r="H72">
        <f t="shared" ca="1" si="8"/>
        <v>3185.1100628930817</v>
      </c>
      <c r="I72">
        <f t="shared" ca="1" si="9"/>
        <v>18396.552440039064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27481</v>
      </c>
      <c r="B75" s="66">
        <v>27481</v>
      </c>
      <c r="D75">
        <f t="shared" si="5"/>
        <v>43.209119496855344</v>
      </c>
      <c r="E75">
        <f t="shared" si="6"/>
        <v>43.209119496855344</v>
      </c>
      <c r="G75">
        <f t="shared" ca="1" si="7"/>
        <v>73</v>
      </c>
      <c r="H75">
        <f t="shared" ca="1" si="8"/>
        <v>3154.26572327044</v>
      </c>
      <c r="I75">
        <f t="shared" ca="1" si="9"/>
        <v>23071.50991190183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24151</v>
      </c>
      <c r="B77" s="66">
        <v>24151</v>
      </c>
      <c r="D77">
        <f t="shared" si="5"/>
        <v>37.973270440251575</v>
      </c>
      <c r="E77">
        <f t="shared" si="6"/>
        <v>37.973270440251575</v>
      </c>
      <c r="G77">
        <f t="shared" ca="1" si="7"/>
        <v>75</v>
      </c>
      <c r="H77">
        <f t="shared" ca="1" si="8"/>
        <v>2847.9952830188681</v>
      </c>
      <c r="I77">
        <f t="shared" ca="1" si="9"/>
        <v>23937.569203331903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24540</v>
      </c>
      <c r="B80" s="66">
        <v>24540</v>
      </c>
      <c r="D80">
        <f t="shared" si="5"/>
        <v>38.584905660377359</v>
      </c>
      <c r="E80">
        <f t="shared" si="6"/>
        <v>38.584905660377359</v>
      </c>
      <c r="G80">
        <f t="shared" ca="1" si="7"/>
        <v>78</v>
      </c>
      <c r="H80">
        <f t="shared" ca="1" si="8"/>
        <v>3009.6226415094338</v>
      </c>
      <c r="I80">
        <f t="shared" ca="1" si="9"/>
        <v>30482.985960571044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24395</v>
      </c>
      <c r="B82" s="66">
        <v>24395</v>
      </c>
      <c r="D82">
        <f t="shared" si="5"/>
        <v>38.356918238993714</v>
      </c>
      <c r="E82">
        <f t="shared" si="6"/>
        <v>38.356918238993714</v>
      </c>
      <c r="G82">
        <f t="shared" ca="1" si="7"/>
        <v>80</v>
      </c>
      <c r="H82">
        <f t="shared" ca="1" si="8"/>
        <v>3068.5534591194973</v>
      </c>
      <c r="I82">
        <f t="shared" ca="1" si="9"/>
        <v>34768.744785234048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23488</v>
      </c>
      <c r="B85" s="66">
        <v>23488</v>
      </c>
      <c r="D85">
        <f t="shared" si="5"/>
        <v>36.930817610062896</v>
      </c>
      <c r="E85">
        <f t="shared" si="6"/>
        <v>36.930817610062896</v>
      </c>
      <c r="G85">
        <f t="shared" ca="1" si="7"/>
        <v>83</v>
      </c>
      <c r="H85">
        <f t="shared" ca="1" si="8"/>
        <v>3065.2578616352203</v>
      </c>
      <c r="I85">
        <f t="shared" ca="1" si="9"/>
        <v>40479.765080462501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29782</v>
      </c>
      <c r="B88" s="66">
        <v>29782</v>
      </c>
      <c r="D88">
        <f t="shared" si="5"/>
        <v>46.827044025157235</v>
      </c>
      <c r="E88">
        <f t="shared" si="6"/>
        <v>46.827044025157235</v>
      </c>
      <c r="G88">
        <f t="shared" ca="1" si="7"/>
        <v>86</v>
      </c>
      <c r="H88">
        <f t="shared" ca="1" si="8"/>
        <v>4027.1257861635222</v>
      </c>
      <c r="I88">
        <f t="shared" ca="1" si="9"/>
        <v>61050.352734531654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22635</v>
      </c>
      <c r="B90" s="66">
        <v>22635</v>
      </c>
      <c r="D90">
        <f t="shared" si="5"/>
        <v>35.589622641509436</v>
      </c>
      <c r="E90">
        <f t="shared" si="6"/>
        <v>35.589622641509436</v>
      </c>
      <c r="G90">
        <f t="shared" ca="1" si="7"/>
        <v>88</v>
      </c>
      <c r="H90">
        <f t="shared" ca="1" si="8"/>
        <v>3131.8867924528304</v>
      </c>
      <c r="I90">
        <f t="shared" ca="1" si="9"/>
        <v>51682.209548249884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23061</v>
      </c>
      <c r="B93" s="66">
        <v>23061</v>
      </c>
      <c r="D93">
        <f t="shared" si="5"/>
        <v>36.259433962264154</v>
      </c>
      <c r="E93">
        <f t="shared" si="6"/>
        <v>36.259433962264154</v>
      </c>
      <c r="G93">
        <f t="shared" ca="1" si="7"/>
        <v>91</v>
      </c>
      <c r="H93">
        <f t="shared" ca="1" si="8"/>
        <v>3299.6084905660382</v>
      </c>
      <c r="I93">
        <f t="shared" ca="1" si="9"/>
        <v>61271.732347548554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20377</v>
      </c>
      <c r="B95" s="66">
        <v>20377</v>
      </c>
      <c r="D95">
        <f t="shared" si="5"/>
        <v>32.039308176100626</v>
      </c>
      <c r="E95">
        <f t="shared" si="6"/>
        <v>32.039308176100626</v>
      </c>
      <c r="G95">
        <f t="shared" ca="1" si="7"/>
        <v>93</v>
      </c>
      <c r="H95">
        <f t="shared" ca="1" si="8"/>
        <v>2979.6556603773583</v>
      </c>
      <c r="I95">
        <f t="shared" ca="1" si="9"/>
        <v>59536.863378429392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19237</v>
      </c>
      <c r="B98" s="66">
        <v>19237</v>
      </c>
      <c r="D98">
        <f t="shared" si="5"/>
        <v>30.24685534591195</v>
      </c>
      <c r="E98">
        <f t="shared" si="6"/>
        <v>30.24685534591195</v>
      </c>
      <c r="G98">
        <f t="shared" ca="1" si="7"/>
        <v>96</v>
      </c>
      <c r="H98">
        <f t="shared" ca="1" si="8"/>
        <v>2903.6981132075471</v>
      </c>
      <c r="I98">
        <f t="shared" ca="1" si="9"/>
        <v>64301.441938979391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13319</v>
      </c>
      <c r="B100" s="66">
        <v>13319</v>
      </c>
      <c r="D100">
        <f t="shared" si="5"/>
        <v>20.941823899371069</v>
      </c>
      <c r="E100">
        <f t="shared" si="6"/>
        <v>20.941823899371069</v>
      </c>
      <c r="G100">
        <f t="shared" ca="1" si="7"/>
        <v>98</v>
      </c>
      <c r="H100">
        <f t="shared" ca="1" si="8"/>
        <v>2052.298742138365</v>
      </c>
      <c r="I100">
        <f t="shared" ca="1" si="9"/>
        <v>48466.038612368691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12089</v>
      </c>
      <c r="B103" s="66">
        <v>12089</v>
      </c>
      <c r="D103">
        <f t="shared" si="5"/>
        <v>19.007861635220127</v>
      </c>
      <c r="E103">
        <f t="shared" si="6"/>
        <v>19.007861635220127</v>
      </c>
      <c r="G103">
        <f t="shared" ca="1" si="7"/>
        <v>101</v>
      </c>
      <c r="H103">
        <f t="shared" ca="1" si="8"/>
        <v>1919.7940251572329</v>
      </c>
      <c r="I103">
        <f t="shared" ca="1" si="9"/>
        <v>49647.81389051149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8290</v>
      </c>
      <c r="B106" s="66">
        <v>8290</v>
      </c>
      <c r="D106">
        <f t="shared" si="5"/>
        <v>13.034591194968554</v>
      </c>
      <c r="E106">
        <f t="shared" si="6"/>
        <v>13.034591194968554</v>
      </c>
      <c r="G106">
        <f t="shared" ca="1" si="7"/>
        <v>104</v>
      </c>
      <c r="H106">
        <f t="shared" ca="1" si="8"/>
        <v>1355.5974842767296</v>
      </c>
      <c r="I106">
        <f t="shared" ca="1" si="9"/>
        <v>38160.15044731168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6733</v>
      </c>
      <c r="B108" s="66">
        <v>6733</v>
      </c>
      <c r="D108">
        <f t="shared" si="5"/>
        <v>10.586477987421384</v>
      </c>
      <c r="E108">
        <f t="shared" si="6"/>
        <v>10.586477987421384</v>
      </c>
      <c r="G108">
        <f t="shared" ca="1" si="7"/>
        <v>106</v>
      </c>
      <c r="H108">
        <f t="shared" ca="1" si="8"/>
        <v>1122.1666666666667</v>
      </c>
      <c r="I108">
        <f t="shared" ca="1" si="9"/>
        <v>33326.610305177346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6651</v>
      </c>
      <c r="B111" s="66">
        <v>6651</v>
      </c>
      <c r="D111">
        <f t="shared" si="5"/>
        <v>10.45754716981132</v>
      </c>
      <c r="E111">
        <f t="shared" si="6"/>
        <v>10.45754716981132</v>
      </c>
      <c r="G111">
        <f t="shared" ca="1" si="7"/>
        <v>109</v>
      </c>
      <c r="H111">
        <f t="shared" ca="1" si="8"/>
        <v>1139.8726415094338</v>
      </c>
      <c r="I111">
        <f t="shared" ca="1" si="9"/>
        <v>36535.321500274651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5916</v>
      </c>
      <c r="B113" s="66">
        <v>5916</v>
      </c>
      <c r="D113">
        <f t="shared" si="5"/>
        <v>9.3018867924528301</v>
      </c>
      <c r="E113">
        <f t="shared" si="6"/>
        <v>9.3018867924528301</v>
      </c>
      <c r="G113">
        <f t="shared" ca="1" si="7"/>
        <v>111</v>
      </c>
      <c r="H113">
        <f t="shared" ca="1" si="8"/>
        <v>1032.5094339622642</v>
      </c>
      <c r="I113">
        <f t="shared" ca="1" si="9"/>
        <v>34734.261536073565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5691</v>
      </c>
      <c r="B116" s="66">
        <v>5691</v>
      </c>
      <c r="D116">
        <f t="shared" si="5"/>
        <v>8.9481132075471699</v>
      </c>
      <c r="E116">
        <f t="shared" si="6"/>
        <v>8.9481132075471699</v>
      </c>
      <c r="G116">
        <f t="shared" ca="1" si="7"/>
        <v>114</v>
      </c>
      <c r="H116">
        <f t="shared" ca="1" si="8"/>
        <v>1020.0849056603773</v>
      </c>
      <c r="I116">
        <f t="shared" ca="1" si="9"/>
        <v>36774.538703730308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5069</v>
      </c>
      <c r="B118" s="66">
        <v>5069</v>
      </c>
      <c r="D118">
        <f t="shared" si="5"/>
        <v>7.9701257861635222</v>
      </c>
      <c r="E118">
        <f t="shared" si="6"/>
        <v>7.9701257861635222</v>
      </c>
      <c r="G118">
        <f t="shared" ca="1" si="7"/>
        <v>116</v>
      </c>
      <c r="H118">
        <f t="shared" ca="1" si="8"/>
        <v>924.53459119496858</v>
      </c>
      <c r="I118">
        <f t="shared" ca="1" si="9"/>
        <v>34830.906915425207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4386</v>
      </c>
      <c r="B121" s="66">
        <v>4386</v>
      </c>
      <c r="D121">
        <f t="shared" si="5"/>
        <v>6.8962264150943398</v>
      </c>
      <c r="E121">
        <f t="shared" si="6"/>
        <v>6.8962264150943398</v>
      </c>
      <c r="G121">
        <f t="shared" ca="1" si="7"/>
        <v>119</v>
      </c>
      <c r="H121">
        <f t="shared" ca="1" si="8"/>
        <v>820.65094339622647</v>
      </c>
      <c r="I121">
        <f t="shared" ca="1" si="9"/>
        <v>32935.184221555181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4303</v>
      </c>
      <c r="B124" s="66">
        <v>4303</v>
      </c>
      <c r="D124">
        <f t="shared" si="5"/>
        <v>6.7657232704402519</v>
      </c>
      <c r="E124">
        <f t="shared" si="6"/>
        <v>6.7657232704402519</v>
      </c>
      <c r="G124">
        <f t="shared" ca="1" si="7"/>
        <v>122</v>
      </c>
      <c r="H124">
        <f t="shared" ca="1" si="8"/>
        <v>825.4182389937107</v>
      </c>
      <c r="I124">
        <f t="shared" ca="1" si="9"/>
        <v>35178.182868752039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3572</v>
      </c>
      <c r="B126" s="66">
        <v>3572</v>
      </c>
      <c r="D126">
        <f t="shared" si="5"/>
        <v>5.6163522012578619</v>
      </c>
      <c r="E126">
        <f t="shared" si="6"/>
        <v>5.6163522012578619</v>
      </c>
      <c r="G126">
        <f t="shared" ca="1" si="7"/>
        <v>124</v>
      </c>
      <c r="H126">
        <f t="shared" ca="1" si="8"/>
        <v>696.42767295597491</v>
      </c>
      <c r="I126">
        <f t="shared" ca="1" si="9"/>
        <v>30844.447861727163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4363</v>
      </c>
      <c r="B129" s="66">
        <v>4363</v>
      </c>
      <c r="D129">
        <f t="shared" si="5"/>
        <v>6.8600628930817606</v>
      </c>
      <c r="E129">
        <f t="shared" si="6"/>
        <v>6.8600628930817606</v>
      </c>
      <c r="G129">
        <f t="shared" ca="1" si="7"/>
        <v>127</v>
      </c>
      <c r="H129">
        <f t="shared" ca="1" si="8"/>
        <v>871.22798742138366</v>
      </c>
      <c r="I129">
        <f t="shared" ca="1" si="9"/>
        <v>40786.810723874623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1833</v>
      </c>
      <c r="B131" s="66">
        <v>1833</v>
      </c>
      <c r="D131">
        <f t="shared" ref="D131:D194" si="10">IFERROR( 100*A131/MAX(A$2:A$257), 0 )</f>
        <v>2.8820754716981134</v>
      </c>
      <c r="E131">
        <f t="shared" ref="E131:E194" si="11">IFERROR( 100*B131/MAX(B$2:B$257), 0 )</f>
        <v>2.8820754716981134</v>
      </c>
      <c r="G131">
        <f t="shared" ref="G131:G194" ca="1" si="12">CELL("row",D131)-2</f>
        <v>129</v>
      </c>
      <c r="H131">
        <f t="shared" ref="H131:H194" ca="1" si="13">D131*G131</f>
        <v>371.78773584905662</v>
      </c>
      <c r="I131">
        <f t="shared" ref="I131:I194" ca="1" si="14">D131*((G131-$L$1)^2)</f>
        <v>18035.95381541461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1149</v>
      </c>
      <c r="B134" s="66">
        <v>1149</v>
      </c>
      <c r="D134">
        <f t="shared" si="10"/>
        <v>1.8066037735849056</v>
      </c>
      <c r="E134">
        <f t="shared" si="11"/>
        <v>1.8066037735849056</v>
      </c>
      <c r="G134">
        <f t="shared" ca="1" si="12"/>
        <v>132</v>
      </c>
      <c r="H134">
        <f t="shared" ca="1" si="13"/>
        <v>238.47169811320754</v>
      </c>
      <c r="I134">
        <f t="shared" ca="1" si="14"/>
        <v>12179.433071239877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187</v>
      </c>
      <c r="B136" s="66">
        <v>187</v>
      </c>
      <c r="D136">
        <f t="shared" si="10"/>
        <v>0.29402515723270439</v>
      </c>
      <c r="E136">
        <f t="shared" si="11"/>
        <v>0.29402515723270439</v>
      </c>
      <c r="G136">
        <f t="shared" ca="1" si="12"/>
        <v>134</v>
      </c>
      <c r="H136">
        <f t="shared" ca="1" si="13"/>
        <v>39.399371069182386</v>
      </c>
      <c r="I136">
        <f t="shared" ca="1" si="14"/>
        <v>2079.9479988511598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249</v>
      </c>
      <c r="B139" s="66">
        <v>249</v>
      </c>
      <c r="D139">
        <f t="shared" si="10"/>
        <v>0.39150943396226418</v>
      </c>
      <c r="E139">
        <f t="shared" si="11"/>
        <v>0.39150943396226418</v>
      </c>
      <c r="G139">
        <f t="shared" ca="1" si="12"/>
        <v>137</v>
      </c>
      <c r="H139">
        <f t="shared" ca="1" si="13"/>
        <v>53.636792452830193</v>
      </c>
      <c r="I139">
        <f t="shared" ca="1" si="14"/>
        <v>2970.652956892146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198</v>
      </c>
      <c r="B142" s="66">
        <v>198</v>
      </c>
      <c r="D142">
        <f t="shared" si="10"/>
        <v>0.31132075471698112</v>
      </c>
      <c r="E142">
        <f t="shared" si="11"/>
        <v>0.31132075471698112</v>
      </c>
      <c r="G142">
        <f t="shared" ca="1" si="12"/>
        <v>140</v>
      </c>
      <c r="H142">
        <f t="shared" ca="1" si="13"/>
        <v>43.584905660377359</v>
      </c>
      <c r="I142">
        <f t="shared" ca="1" si="14"/>
        <v>2527.7178238913143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110</v>
      </c>
      <c r="B144" s="66">
        <v>110</v>
      </c>
      <c r="D144">
        <f t="shared" si="10"/>
        <v>0.17295597484276728</v>
      </c>
      <c r="E144">
        <f t="shared" si="11"/>
        <v>0.17295597484276728</v>
      </c>
      <c r="G144">
        <f t="shared" ca="1" si="12"/>
        <v>142</v>
      </c>
      <c r="H144">
        <f t="shared" ca="1" si="13"/>
        <v>24.559748427672954</v>
      </c>
      <c r="I144">
        <f t="shared" ca="1" si="14"/>
        <v>1467.3179278991015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144</v>
      </c>
      <c r="B147" s="66">
        <v>144</v>
      </c>
      <c r="D147">
        <f t="shared" si="10"/>
        <v>0.22641509433962265</v>
      </c>
      <c r="E147">
        <f t="shared" si="11"/>
        <v>0.22641509433962265</v>
      </c>
      <c r="G147">
        <f t="shared" ca="1" si="12"/>
        <v>145</v>
      </c>
      <c r="H147">
        <f t="shared" ca="1" si="13"/>
        <v>32.830188679245282</v>
      </c>
      <c r="I147">
        <f t="shared" ca="1" si="14"/>
        <v>2048.0172734761759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550</v>
      </c>
      <c r="B149" s="66">
        <v>550</v>
      </c>
      <c r="D149">
        <f t="shared" si="10"/>
        <v>0.86477987421383651</v>
      </c>
      <c r="E149">
        <f t="shared" si="11"/>
        <v>0.86477987421383651</v>
      </c>
      <c r="G149">
        <f t="shared" ca="1" si="12"/>
        <v>147</v>
      </c>
      <c r="H149">
        <f t="shared" ca="1" si="13"/>
        <v>127.12264150943396</v>
      </c>
      <c r="I149">
        <f t="shared" ca="1" si="14"/>
        <v>8154.7350345865279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210</v>
      </c>
      <c r="B152" s="66">
        <v>210</v>
      </c>
      <c r="D152">
        <f t="shared" si="10"/>
        <v>0.330188679245283</v>
      </c>
      <c r="E152">
        <f t="shared" si="11"/>
        <v>0.330188679245283</v>
      </c>
      <c r="G152">
        <f t="shared" ca="1" si="12"/>
        <v>150</v>
      </c>
      <c r="H152">
        <f t="shared" ca="1" si="13"/>
        <v>49.528301886792448</v>
      </c>
      <c r="I152">
        <f t="shared" ca="1" si="14"/>
        <v>3308.9803047466853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0</v>
      </c>
      <c r="B154" s="66">
        <v>0</v>
      </c>
      <c r="D154">
        <f t="shared" si="10"/>
        <v>0</v>
      </c>
      <c r="E154">
        <f t="shared" si="11"/>
        <v>0</v>
      </c>
      <c r="G154">
        <f t="shared" ca="1" si="12"/>
        <v>152</v>
      </c>
      <c r="H154">
        <f t="shared" ca="1" si="13"/>
        <v>0</v>
      </c>
      <c r="I154">
        <f t="shared" ca="1" si="14"/>
        <v>0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348</v>
      </c>
      <c r="B1" s="66" t="s">
        <v>349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47.052383068989556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0.90846342480664266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0.48313030587221861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18565</v>
      </c>
      <c r="B8" s="66">
        <v>18565</v>
      </c>
      <c r="D8">
        <f t="shared" si="0"/>
        <v>32.856080985416959</v>
      </c>
      <c r="E8">
        <f t="shared" si="1"/>
        <v>32.856080985416959</v>
      </c>
      <c r="G8">
        <f t="shared" ca="1" si="2"/>
        <v>6</v>
      </c>
      <c r="H8">
        <f t="shared" ca="1" si="3"/>
        <v>197.13648591250177</v>
      </c>
      <c r="I8">
        <f t="shared" ca="1" si="4"/>
        <v>55372.292686382229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30283</v>
      </c>
      <c r="B10" s="66">
        <v>30283</v>
      </c>
      <c r="D10">
        <f t="shared" si="0"/>
        <v>53.594435792156311</v>
      </c>
      <c r="E10">
        <f t="shared" si="1"/>
        <v>53.594435792156311</v>
      </c>
      <c r="G10">
        <f t="shared" ca="1" si="2"/>
        <v>8</v>
      </c>
      <c r="H10">
        <f t="shared" ca="1" si="3"/>
        <v>428.75548633725049</v>
      </c>
      <c r="I10">
        <f t="shared" ca="1" si="4"/>
        <v>81736.264302396215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36944</v>
      </c>
      <c r="B13" s="66">
        <v>36944</v>
      </c>
      <c r="D13">
        <f t="shared" si="0"/>
        <v>65.382981735806311</v>
      </c>
      <c r="E13">
        <f t="shared" si="1"/>
        <v>65.382981735806311</v>
      </c>
      <c r="G13">
        <f t="shared" ca="1" si="2"/>
        <v>11</v>
      </c>
      <c r="H13">
        <f t="shared" ca="1" si="3"/>
        <v>719.21279909386942</v>
      </c>
      <c r="I13">
        <f t="shared" ca="1" si="4"/>
        <v>84983.120949082746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40606</v>
      </c>
      <c r="B15" s="66">
        <v>40606</v>
      </c>
      <c r="D15">
        <f t="shared" si="0"/>
        <v>71.863938836188595</v>
      </c>
      <c r="E15">
        <f t="shared" si="1"/>
        <v>71.863938836188595</v>
      </c>
      <c r="G15">
        <f t="shared" ca="1" si="2"/>
        <v>13</v>
      </c>
      <c r="H15">
        <f t="shared" ca="1" si="3"/>
        <v>934.23120487045173</v>
      </c>
      <c r="I15">
        <f t="shared" ca="1" si="4"/>
        <v>83330.893337552479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45304</v>
      </c>
      <c r="B18" s="66">
        <v>45304</v>
      </c>
      <c r="D18">
        <f t="shared" si="0"/>
        <v>80.178394449950446</v>
      </c>
      <c r="E18">
        <f t="shared" si="1"/>
        <v>80.178394449950446</v>
      </c>
      <c r="G18">
        <f t="shared" ca="1" si="2"/>
        <v>16</v>
      </c>
      <c r="H18">
        <f t="shared" ca="1" si="3"/>
        <v>1282.8543111992071</v>
      </c>
      <c r="I18">
        <f t="shared" ca="1" si="4"/>
        <v>77312.056477600083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48806</v>
      </c>
      <c r="B21" s="66">
        <v>48806</v>
      </c>
      <c r="D21">
        <f t="shared" si="0"/>
        <v>86.376185756760577</v>
      </c>
      <c r="E21">
        <f t="shared" si="1"/>
        <v>86.376185756760577</v>
      </c>
      <c r="G21">
        <f t="shared" ca="1" si="2"/>
        <v>19</v>
      </c>
      <c r="H21">
        <f t="shared" ca="1" si="3"/>
        <v>1641.1475293784511</v>
      </c>
      <c r="I21">
        <f t="shared" ca="1" si="4"/>
        <v>67972.547031400405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43475</v>
      </c>
      <c r="B23" s="66">
        <v>43475</v>
      </c>
      <c r="D23">
        <f t="shared" si="0"/>
        <v>76.941455472178959</v>
      </c>
      <c r="E23">
        <f t="shared" si="1"/>
        <v>76.941455472178959</v>
      </c>
      <c r="G23">
        <f t="shared" ca="1" si="2"/>
        <v>21</v>
      </c>
      <c r="H23">
        <f t="shared" ca="1" si="3"/>
        <v>1615.7705649157581</v>
      </c>
      <c r="I23">
        <f t="shared" ca="1" si="4"/>
        <v>52222.217363111318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46780</v>
      </c>
      <c r="B26" s="66">
        <v>46780</v>
      </c>
      <c r="D26">
        <f t="shared" si="0"/>
        <v>82.790598895653403</v>
      </c>
      <c r="E26">
        <f t="shared" si="1"/>
        <v>82.790598895653403</v>
      </c>
      <c r="G26">
        <f t="shared" ca="1" si="2"/>
        <v>24</v>
      </c>
      <c r="H26">
        <f t="shared" ca="1" si="3"/>
        <v>1986.9743734956817</v>
      </c>
      <c r="I26">
        <f t="shared" ca="1" si="4"/>
        <v>43995.947972105394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51008</v>
      </c>
      <c r="B28" s="66">
        <v>51008</v>
      </c>
      <c r="D28">
        <f t="shared" si="0"/>
        <v>90.273254990797113</v>
      </c>
      <c r="E28">
        <f t="shared" si="1"/>
        <v>90.273254990797113</v>
      </c>
      <c r="G28">
        <f t="shared" ca="1" si="2"/>
        <v>26</v>
      </c>
      <c r="H28">
        <f t="shared" ca="1" si="3"/>
        <v>2347.1046297607249</v>
      </c>
      <c r="I28">
        <f t="shared" ca="1" si="4"/>
        <v>40009.36234553386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56504</v>
      </c>
      <c r="B31" s="66">
        <v>56504</v>
      </c>
      <c r="D31">
        <f t="shared" si="0"/>
        <v>100</v>
      </c>
      <c r="E31">
        <f t="shared" si="1"/>
        <v>100</v>
      </c>
      <c r="G31">
        <f t="shared" ca="1" si="2"/>
        <v>29</v>
      </c>
      <c r="H31">
        <f t="shared" ca="1" si="3"/>
        <v>2900</v>
      </c>
      <c r="I31">
        <f t="shared" ca="1" si="4"/>
        <v>32588.853446954079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45060</v>
      </c>
      <c r="B33" s="66">
        <v>45060</v>
      </c>
      <c r="D33">
        <f t="shared" si="0"/>
        <v>79.746566614752936</v>
      </c>
      <c r="E33">
        <f t="shared" si="1"/>
        <v>79.746566614752936</v>
      </c>
      <c r="G33">
        <f t="shared" ca="1" si="2"/>
        <v>31</v>
      </c>
      <c r="H33">
        <f t="shared" ca="1" si="3"/>
        <v>2472.1435650573412</v>
      </c>
      <c r="I33">
        <f t="shared" ca="1" si="4"/>
        <v>20549.0157136536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51961</v>
      </c>
      <c r="B36" s="66">
        <v>51961</v>
      </c>
      <c r="D36">
        <f t="shared" si="0"/>
        <v>91.959861248761143</v>
      </c>
      <c r="E36">
        <f t="shared" si="1"/>
        <v>91.959861248761143</v>
      </c>
      <c r="G36">
        <f t="shared" ca="1" si="2"/>
        <v>34</v>
      </c>
      <c r="H36">
        <f t="shared" ca="1" si="3"/>
        <v>3126.6352824578789</v>
      </c>
      <c r="I36">
        <f t="shared" ca="1" si="4"/>
        <v>15666.714521262467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47076</v>
      </c>
      <c r="B39" s="66">
        <v>47076</v>
      </c>
      <c r="D39">
        <f t="shared" si="0"/>
        <v>83.314455613761851</v>
      </c>
      <c r="E39">
        <f t="shared" si="1"/>
        <v>83.314455613761851</v>
      </c>
      <c r="G39">
        <f t="shared" ca="1" si="2"/>
        <v>37</v>
      </c>
      <c r="H39">
        <f t="shared" ca="1" si="3"/>
        <v>3082.6348577091885</v>
      </c>
      <c r="I39">
        <f t="shared" ca="1" si="4"/>
        <v>8418.9595125939122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45996</v>
      </c>
      <c r="B41" s="66">
        <v>45996</v>
      </c>
      <c r="D41">
        <f t="shared" si="0"/>
        <v>81.403086507149936</v>
      </c>
      <c r="E41">
        <f t="shared" si="1"/>
        <v>81.403086507149936</v>
      </c>
      <c r="G41">
        <f t="shared" ca="1" si="2"/>
        <v>39</v>
      </c>
      <c r="H41">
        <f t="shared" ca="1" si="3"/>
        <v>3174.7203737788477</v>
      </c>
      <c r="I41">
        <f t="shared" ca="1" si="4"/>
        <v>5278.2472013240222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44807</v>
      </c>
      <c r="B44" s="66">
        <v>44807</v>
      </c>
      <c r="D44">
        <f t="shared" si="0"/>
        <v>79.298810703667002</v>
      </c>
      <c r="E44">
        <f t="shared" si="1"/>
        <v>79.298810703667002</v>
      </c>
      <c r="G44">
        <f t="shared" ca="1" si="2"/>
        <v>42</v>
      </c>
      <c r="H44">
        <f t="shared" ca="1" si="3"/>
        <v>3330.5500495540141</v>
      </c>
      <c r="I44">
        <f t="shared" ca="1" si="4"/>
        <v>2024.2270131302616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47031</v>
      </c>
      <c r="B46" s="66">
        <v>47031</v>
      </c>
      <c r="D46">
        <f t="shared" si="0"/>
        <v>83.234815234319697</v>
      </c>
      <c r="E46">
        <f t="shared" si="1"/>
        <v>83.234815234319697</v>
      </c>
      <c r="G46">
        <f t="shared" ca="1" si="2"/>
        <v>44</v>
      </c>
      <c r="H46">
        <f t="shared" ca="1" si="3"/>
        <v>3662.3318703100667</v>
      </c>
      <c r="I46">
        <f t="shared" ca="1" si="4"/>
        <v>775.50230268217865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42925</v>
      </c>
      <c r="B49" s="66">
        <v>42925</v>
      </c>
      <c r="D49">
        <f t="shared" si="0"/>
        <v>75.968073056774742</v>
      </c>
      <c r="E49">
        <f t="shared" si="1"/>
        <v>75.968073056774742</v>
      </c>
      <c r="G49">
        <f t="shared" ca="1" si="2"/>
        <v>47</v>
      </c>
      <c r="H49">
        <f t="shared" ca="1" si="3"/>
        <v>3570.4994336684131</v>
      </c>
      <c r="I49">
        <f t="shared" ca="1" si="4"/>
        <v>0.20845532259153399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49753</v>
      </c>
      <c r="B51" s="66">
        <v>49753</v>
      </c>
      <c r="D51">
        <f t="shared" si="0"/>
        <v>88.052173297465671</v>
      </c>
      <c r="E51">
        <f t="shared" si="1"/>
        <v>88.052173297465671</v>
      </c>
      <c r="G51">
        <f t="shared" ca="1" si="2"/>
        <v>49</v>
      </c>
      <c r="H51">
        <f t="shared" ca="1" si="3"/>
        <v>4314.5564915758177</v>
      </c>
      <c r="I51">
        <f t="shared" ca="1" si="4"/>
        <v>334.00053483924546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45137</v>
      </c>
      <c r="B54" s="66">
        <v>45137</v>
      </c>
      <c r="D54">
        <f t="shared" si="0"/>
        <v>79.882840152909523</v>
      </c>
      <c r="E54">
        <f t="shared" si="1"/>
        <v>79.882840152909523</v>
      </c>
      <c r="G54">
        <f t="shared" ca="1" si="2"/>
        <v>52</v>
      </c>
      <c r="H54">
        <f t="shared" ca="1" si="3"/>
        <v>4153.907687951295</v>
      </c>
      <c r="I54">
        <f t="shared" ca="1" si="4"/>
        <v>1955.4451179429934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49671</v>
      </c>
      <c r="B57" s="66">
        <v>49671</v>
      </c>
      <c r="D57">
        <f t="shared" si="0"/>
        <v>87.907050828259941</v>
      </c>
      <c r="E57">
        <f t="shared" si="1"/>
        <v>87.907050828259941</v>
      </c>
      <c r="G57">
        <f t="shared" ca="1" si="2"/>
        <v>55</v>
      </c>
      <c r="H57">
        <f t="shared" ca="1" si="3"/>
        <v>4834.8877955542966</v>
      </c>
      <c r="I57">
        <f t="shared" ca="1" si="4"/>
        <v>5552.6150109868104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40705</v>
      </c>
      <c r="B59" s="66">
        <v>40705</v>
      </c>
      <c r="D59">
        <f t="shared" si="0"/>
        <v>72.039147670961341</v>
      </c>
      <c r="E59">
        <f t="shared" si="1"/>
        <v>72.039147670961341</v>
      </c>
      <c r="G59">
        <f t="shared" ca="1" si="2"/>
        <v>57</v>
      </c>
      <c r="H59">
        <f t="shared" ca="1" si="3"/>
        <v>4106.2314172447968</v>
      </c>
      <c r="I59">
        <f t="shared" ca="1" si="4"/>
        <v>7128.6398086548634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43862</v>
      </c>
      <c r="B62" s="66">
        <v>43862</v>
      </c>
      <c r="D62">
        <f t="shared" si="0"/>
        <v>77.626362735381562</v>
      </c>
      <c r="E62">
        <f t="shared" si="1"/>
        <v>77.626362735381562</v>
      </c>
      <c r="G62">
        <f t="shared" ca="1" si="2"/>
        <v>60</v>
      </c>
      <c r="H62">
        <f t="shared" ca="1" si="3"/>
        <v>4657.5817641228941</v>
      </c>
      <c r="I62">
        <f t="shared" ca="1" si="4"/>
        <v>13013.344322946628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42543</v>
      </c>
      <c r="B64" s="66">
        <v>42543</v>
      </c>
      <c r="D64">
        <f t="shared" si="0"/>
        <v>75.292014724621268</v>
      </c>
      <c r="E64">
        <f t="shared" si="1"/>
        <v>75.292014724621268</v>
      </c>
      <c r="G64">
        <f t="shared" ca="1" si="2"/>
        <v>62</v>
      </c>
      <c r="H64">
        <f t="shared" ca="1" si="3"/>
        <v>4668.1049129265184</v>
      </c>
      <c r="I64">
        <f t="shared" ca="1" si="4"/>
        <v>16822.589109217359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44153</v>
      </c>
      <c r="B67" s="66">
        <v>44153</v>
      </c>
      <c r="D67">
        <f t="shared" ref="D67:D130" si="5">IFERROR(100*A67/MAX(A$2:A$257), 0 )</f>
        <v>78.141370522440894</v>
      </c>
      <c r="E67">
        <f t="shared" ref="E67:E130" si="6">IFERROR(100*B67/MAX(B$2:B$257), 0 )</f>
        <v>78.141370522440894</v>
      </c>
      <c r="G67">
        <f t="shared" ref="G67:G130" ca="1" si="7">CELL("row",D67)-2</f>
        <v>65</v>
      </c>
      <c r="H67">
        <f t="shared" ref="H67:H130" ca="1" si="8">D67*G67</f>
        <v>5079.1890839586586</v>
      </c>
      <c r="I67">
        <f t="shared" ref="I67:I130" ca="1" si="9">D67*((G67-$L$1)^2)</f>
        <v>25170.660215182521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38188</v>
      </c>
      <c r="B69" s="66">
        <v>38188</v>
      </c>
      <c r="D69">
        <f t="shared" si="5"/>
        <v>67.584595780829673</v>
      </c>
      <c r="E69">
        <f t="shared" si="6"/>
        <v>67.584595780829673</v>
      </c>
      <c r="G69">
        <f t="shared" ca="1" si="7"/>
        <v>67</v>
      </c>
      <c r="H69">
        <f t="shared" ca="1" si="8"/>
        <v>4528.1679173155881</v>
      </c>
      <c r="I69">
        <f t="shared" ca="1" si="9"/>
        <v>26892.412221774142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38231</v>
      </c>
      <c r="B72" s="66">
        <v>38231</v>
      </c>
      <c r="D72">
        <f t="shared" si="5"/>
        <v>67.660696587852186</v>
      </c>
      <c r="E72">
        <f t="shared" si="6"/>
        <v>67.660696587852186</v>
      </c>
      <c r="G72">
        <f t="shared" ca="1" si="7"/>
        <v>70</v>
      </c>
      <c r="H72">
        <f t="shared" ca="1" si="8"/>
        <v>4736.2487611496526</v>
      </c>
      <c r="I72">
        <f t="shared" ca="1" si="9"/>
        <v>35629.657507859185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33576</v>
      </c>
      <c r="B75" s="66">
        <v>33576</v>
      </c>
      <c r="D75">
        <f t="shared" si="5"/>
        <v>59.422341781112841</v>
      </c>
      <c r="E75">
        <f t="shared" si="6"/>
        <v>59.422341781112841</v>
      </c>
      <c r="G75">
        <f t="shared" ca="1" si="7"/>
        <v>73</v>
      </c>
      <c r="H75">
        <f t="shared" ca="1" si="8"/>
        <v>4337.8309500212372</v>
      </c>
      <c r="I75">
        <f t="shared" ca="1" si="9"/>
        <v>40007.804417391133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29738</v>
      </c>
      <c r="B77" s="66">
        <v>29738</v>
      </c>
      <c r="D77">
        <f t="shared" si="5"/>
        <v>52.629902307801217</v>
      </c>
      <c r="E77">
        <f t="shared" si="6"/>
        <v>52.629902307801217</v>
      </c>
      <c r="G77">
        <f t="shared" ca="1" si="7"/>
        <v>75</v>
      </c>
      <c r="H77">
        <f t="shared" ca="1" si="8"/>
        <v>3947.2426730850912</v>
      </c>
      <c r="I77">
        <f t="shared" ca="1" si="9"/>
        <v>41107.600540030711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33220</v>
      </c>
      <c r="B80" s="66">
        <v>33220</v>
      </c>
      <c r="D80">
        <f t="shared" si="5"/>
        <v>58.792297890414837</v>
      </c>
      <c r="E80">
        <f t="shared" si="6"/>
        <v>58.792297890414837</v>
      </c>
      <c r="G80">
        <f t="shared" ca="1" si="7"/>
        <v>78</v>
      </c>
      <c r="H80">
        <f t="shared" ca="1" si="8"/>
        <v>4585.7992354523576</v>
      </c>
      <c r="I80">
        <f t="shared" ca="1" si="9"/>
        <v>56308.616896146297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24506</v>
      </c>
      <c r="B82" s="66">
        <v>24506</v>
      </c>
      <c r="D82">
        <f t="shared" si="5"/>
        <v>43.370380857992352</v>
      </c>
      <c r="E82">
        <f t="shared" si="6"/>
        <v>43.370380857992352</v>
      </c>
      <c r="G82">
        <f t="shared" ca="1" si="7"/>
        <v>80</v>
      </c>
      <c r="H82">
        <f t="shared" ca="1" si="8"/>
        <v>3469.6304686393883</v>
      </c>
      <c r="I82">
        <f t="shared" ca="1" si="9"/>
        <v>47080.520100997172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22036</v>
      </c>
      <c r="B85" s="66">
        <v>22036</v>
      </c>
      <c r="D85">
        <f t="shared" si="5"/>
        <v>38.999008919722499</v>
      </c>
      <c r="E85">
        <f t="shared" si="6"/>
        <v>38.999008919722499</v>
      </c>
      <c r="G85">
        <f t="shared" ca="1" si="7"/>
        <v>83</v>
      </c>
      <c r="H85">
        <f t="shared" ca="1" si="8"/>
        <v>3236.9177403369672</v>
      </c>
      <c r="I85">
        <f t="shared" ca="1" si="9"/>
        <v>50395.734652908439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18321</v>
      </c>
      <c r="B88" s="66">
        <v>18321</v>
      </c>
      <c r="D88">
        <f t="shared" si="5"/>
        <v>32.424253150219457</v>
      </c>
      <c r="E88">
        <f t="shared" si="6"/>
        <v>32.424253150219457</v>
      </c>
      <c r="G88">
        <f t="shared" ca="1" si="7"/>
        <v>86</v>
      </c>
      <c r="H88">
        <f t="shared" ca="1" si="8"/>
        <v>2788.4857709188732</v>
      </c>
      <c r="I88">
        <f t="shared" ca="1" si="9"/>
        <v>49184.896425780986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14806</v>
      </c>
      <c r="B90" s="66">
        <v>14806</v>
      </c>
      <c r="D90">
        <f t="shared" si="5"/>
        <v>26.20345462268158</v>
      </c>
      <c r="E90">
        <f t="shared" si="6"/>
        <v>26.20345462268158</v>
      </c>
      <c r="G90">
        <f t="shared" ca="1" si="7"/>
        <v>88</v>
      </c>
      <c r="H90">
        <f t="shared" ca="1" si="8"/>
        <v>2305.9040067959791</v>
      </c>
      <c r="I90">
        <f t="shared" ca="1" si="9"/>
        <v>43935.524498194492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14636</v>
      </c>
      <c r="B93" s="66">
        <v>14636</v>
      </c>
      <c r="D93">
        <f t="shared" si="5"/>
        <v>25.902590967011186</v>
      </c>
      <c r="E93">
        <f t="shared" si="6"/>
        <v>25.902590967011186</v>
      </c>
      <c r="G93">
        <f t="shared" ca="1" si="7"/>
        <v>91</v>
      </c>
      <c r="H93">
        <f t="shared" ca="1" si="8"/>
        <v>2357.1357779980181</v>
      </c>
      <c r="I93">
        <f t="shared" ca="1" si="9"/>
        <v>50028.083754030755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9883</v>
      </c>
      <c r="B95" s="66">
        <v>9883</v>
      </c>
      <c r="D95">
        <f t="shared" si="5"/>
        <v>17.490797111708904</v>
      </c>
      <c r="E95">
        <f t="shared" si="6"/>
        <v>17.490797111708904</v>
      </c>
      <c r="G95">
        <f t="shared" ca="1" si="7"/>
        <v>93</v>
      </c>
      <c r="H95">
        <f t="shared" ca="1" si="8"/>
        <v>1626.6441313889281</v>
      </c>
      <c r="I95">
        <f t="shared" ca="1" si="9"/>
        <v>36926.282292752774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8611</v>
      </c>
      <c r="B98" s="66">
        <v>8611</v>
      </c>
      <c r="D98">
        <f t="shared" si="5"/>
        <v>15.23962905281042</v>
      </c>
      <c r="E98">
        <f t="shared" si="6"/>
        <v>15.23962905281042</v>
      </c>
      <c r="G98">
        <f t="shared" ca="1" si="7"/>
        <v>96</v>
      </c>
      <c r="H98">
        <f t="shared" ca="1" si="8"/>
        <v>1463.0043890698003</v>
      </c>
      <c r="I98">
        <f t="shared" ca="1" si="9"/>
        <v>36512.157916200551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7545</v>
      </c>
      <c r="B100" s="66">
        <v>7545</v>
      </c>
      <c r="D100">
        <f t="shared" si="5"/>
        <v>13.353036953136062</v>
      </c>
      <c r="E100">
        <f t="shared" si="6"/>
        <v>13.353036953136062</v>
      </c>
      <c r="G100">
        <f t="shared" ca="1" si="7"/>
        <v>98</v>
      </c>
      <c r="H100">
        <f t="shared" ca="1" si="8"/>
        <v>1308.5976214073341</v>
      </c>
      <c r="I100">
        <f t="shared" ca="1" si="9"/>
        <v>34659.939503946749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4966</v>
      </c>
      <c r="B103" s="66">
        <v>4966</v>
      </c>
      <c r="D103">
        <f t="shared" si="5"/>
        <v>8.7887583179951854</v>
      </c>
      <c r="E103">
        <f t="shared" si="6"/>
        <v>8.7887583179951854</v>
      </c>
      <c r="G103">
        <f t="shared" ca="1" si="7"/>
        <v>101</v>
      </c>
      <c r="H103">
        <f t="shared" ca="1" si="8"/>
        <v>887.66459011751374</v>
      </c>
      <c r="I103">
        <f t="shared" ca="1" si="9"/>
        <v>25578.322101106169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3446</v>
      </c>
      <c r="B106" s="66">
        <v>3446</v>
      </c>
      <c r="D106">
        <f t="shared" si="5"/>
        <v>6.0986832790598893</v>
      </c>
      <c r="E106">
        <f t="shared" si="6"/>
        <v>6.0986832790598893</v>
      </c>
      <c r="G106">
        <f t="shared" ca="1" si="7"/>
        <v>104</v>
      </c>
      <c r="H106">
        <f t="shared" ca="1" si="8"/>
        <v>634.2630610222285</v>
      </c>
      <c r="I106">
        <f t="shared" ca="1" si="9"/>
        <v>19778.21938521403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3794</v>
      </c>
      <c r="B108" s="66">
        <v>3794</v>
      </c>
      <c r="D108">
        <f t="shared" si="5"/>
        <v>6.7145688800792867</v>
      </c>
      <c r="E108">
        <f t="shared" si="6"/>
        <v>6.7145688800792867</v>
      </c>
      <c r="G108">
        <f t="shared" ca="1" si="7"/>
        <v>106</v>
      </c>
      <c r="H108">
        <f t="shared" ca="1" si="8"/>
        <v>711.74430128840436</v>
      </c>
      <c r="I108">
        <f t="shared" ca="1" si="9"/>
        <v>23331.928588702562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3190</v>
      </c>
      <c r="B111" s="66">
        <v>3190</v>
      </c>
      <c r="D111">
        <f t="shared" si="5"/>
        <v>5.6456180093444708</v>
      </c>
      <c r="E111">
        <f t="shared" si="6"/>
        <v>5.6456180093444708</v>
      </c>
      <c r="G111">
        <f t="shared" ca="1" si="7"/>
        <v>109</v>
      </c>
      <c r="H111">
        <f t="shared" ca="1" si="8"/>
        <v>615.37236301854728</v>
      </c>
      <c r="I111">
        <f t="shared" ca="1" si="9"/>
        <v>21665.100004505108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2592</v>
      </c>
      <c r="B113" s="66">
        <v>2592</v>
      </c>
      <c r="D113">
        <f t="shared" si="5"/>
        <v>4.5872858558686112</v>
      </c>
      <c r="E113">
        <f t="shared" si="6"/>
        <v>4.5872858558686112</v>
      </c>
      <c r="G113">
        <f t="shared" ca="1" si="7"/>
        <v>111</v>
      </c>
      <c r="H113">
        <f t="shared" ca="1" si="8"/>
        <v>509.18873000141582</v>
      </c>
      <c r="I113">
        <f t="shared" ca="1" si="9"/>
        <v>18758.77755081838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2395</v>
      </c>
      <c r="B116" s="66">
        <v>2395</v>
      </c>
      <c r="D116">
        <f t="shared" si="5"/>
        <v>4.238637972532918</v>
      </c>
      <c r="E116">
        <f t="shared" si="6"/>
        <v>4.238637972532918</v>
      </c>
      <c r="G116">
        <f t="shared" ca="1" si="7"/>
        <v>114</v>
      </c>
      <c r="H116">
        <f t="shared" ca="1" si="8"/>
        <v>483.20472886875262</v>
      </c>
      <c r="I116">
        <f t="shared" ca="1" si="9"/>
        <v>18997.505085508019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2180</v>
      </c>
      <c r="B118" s="66">
        <v>2180</v>
      </c>
      <c r="D118">
        <f t="shared" si="5"/>
        <v>3.8581339374203596</v>
      </c>
      <c r="E118">
        <f t="shared" si="6"/>
        <v>3.8581339374203596</v>
      </c>
      <c r="G118">
        <f t="shared" ca="1" si="7"/>
        <v>116</v>
      </c>
      <c r="H118">
        <f t="shared" ca="1" si="8"/>
        <v>447.54353674076174</v>
      </c>
      <c r="I118">
        <f t="shared" ca="1" si="9"/>
        <v>18340.696339045873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2989</v>
      </c>
      <c r="B121" s="66">
        <v>2989</v>
      </c>
      <c r="D121">
        <f t="shared" si="5"/>
        <v>5.2898909811694743</v>
      </c>
      <c r="E121">
        <f t="shared" si="6"/>
        <v>5.2898909811694743</v>
      </c>
      <c r="G121">
        <f t="shared" ca="1" si="7"/>
        <v>119</v>
      </c>
      <c r="H121">
        <f t="shared" ca="1" si="8"/>
        <v>629.4970267591674</v>
      </c>
      <c r="I121">
        <f t="shared" ca="1" si="9"/>
        <v>27382.906857482114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1622</v>
      </c>
      <c r="B124" s="66">
        <v>1622</v>
      </c>
      <c r="D124">
        <f t="shared" si="5"/>
        <v>2.8705932323375336</v>
      </c>
      <c r="E124">
        <f t="shared" si="6"/>
        <v>2.8705932323375336</v>
      </c>
      <c r="G124">
        <f t="shared" ca="1" si="7"/>
        <v>122</v>
      </c>
      <c r="H124">
        <f t="shared" ca="1" si="8"/>
        <v>350.21237434517911</v>
      </c>
      <c r="I124">
        <f t="shared" ca="1" si="9"/>
        <v>16124.539236266457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1477</v>
      </c>
      <c r="B126" s="66">
        <v>1477</v>
      </c>
      <c r="D126">
        <f t="shared" si="5"/>
        <v>2.6139742319127848</v>
      </c>
      <c r="E126">
        <f t="shared" si="6"/>
        <v>2.6139742319127848</v>
      </c>
      <c r="G126">
        <f t="shared" ca="1" si="7"/>
        <v>124</v>
      </c>
      <c r="H126">
        <f t="shared" ca="1" si="8"/>
        <v>324.13280475718534</v>
      </c>
      <c r="I126">
        <f t="shared" ca="1" si="9"/>
        <v>15477.17348287019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295</v>
      </c>
      <c r="B129" s="66">
        <v>295</v>
      </c>
      <c r="D129">
        <f t="shared" si="5"/>
        <v>0.52208693189862665</v>
      </c>
      <c r="E129">
        <f t="shared" si="6"/>
        <v>0.52208693189862665</v>
      </c>
      <c r="G129">
        <f t="shared" ca="1" si="7"/>
        <v>127</v>
      </c>
      <c r="H129">
        <f t="shared" ca="1" si="8"/>
        <v>66.305040351125584</v>
      </c>
      <c r="I129">
        <f t="shared" ca="1" si="9"/>
        <v>3336.9820342268481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691</v>
      </c>
      <c r="B131" s="66">
        <v>691</v>
      </c>
      <c r="D131">
        <f t="shared" ref="D131:D194" si="10">IFERROR(100*A131/MAX(A$2:A$257), 0 )</f>
        <v>1.2229222709896646</v>
      </c>
      <c r="E131">
        <f t="shared" ref="E131:E194" si="11">IFERROR(100*B131/MAX(B$2:B$257), 0 )</f>
        <v>1.2229222709896646</v>
      </c>
      <c r="G131">
        <f t="shared" ref="G131:G194" ca="1" si="12">CELL("row",D131)-2</f>
        <v>129</v>
      </c>
      <c r="H131">
        <f t="shared" ref="H131:H194" ca="1" si="13">D131*G131</f>
        <v>157.75697295766673</v>
      </c>
      <c r="I131">
        <f t="shared" ref="I131:I194" ca="1" si="14">D131*((G131-$L$1)^2)</f>
        <v>8212.4267966588141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442</v>
      </c>
      <c r="B134" s="66">
        <v>442</v>
      </c>
      <c r="D134">
        <f t="shared" si="10"/>
        <v>0.78224550474302701</v>
      </c>
      <c r="E134">
        <f t="shared" si="11"/>
        <v>0.78224550474302701</v>
      </c>
      <c r="G134">
        <f t="shared" ca="1" si="12"/>
        <v>132</v>
      </c>
      <c r="H134">
        <f t="shared" ca="1" si="13"/>
        <v>103.25640662607957</v>
      </c>
      <c r="I134">
        <f t="shared" ca="1" si="14"/>
        <v>5644.7599267979249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316</v>
      </c>
      <c r="B136" s="66">
        <v>316</v>
      </c>
      <c r="D136">
        <f t="shared" si="10"/>
        <v>0.55925244230496951</v>
      </c>
      <c r="E136">
        <f t="shared" si="11"/>
        <v>0.55925244230496951</v>
      </c>
      <c r="G136">
        <f t="shared" ca="1" si="12"/>
        <v>134</v>
      </c>
      <c r="H136">
        <f t="shared" ca="1" si="13"/>
        <v>74.939827268865912</v>
      </c>
      <c r="I136">
        <f t="shared" ca="1" si="14"/>
        <v>4227.8858778745362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306</v>
      </c>
      <c r="B139" s="66">
        <v>306</v>
      </c>
      <c r="D139">
        <f t="shared" si="10"/>
        <v>0.54155458020671099</v>
      </c>
      <c r="E139">
        <f t="shared" si="11"/>
        <v>0.54155458020671099</v>
      </c>
      <c r="G139">
        <f t="shared" ca="1" si="12"/>
        <v>137</v>
      </c>
      <c r="H139">
        <f t="shared" ca="1" si="13"/>
        <v>74.1929774883194</v>
      </c>
      <c r="I139">
        <f t="shared" ca="1" si="14"/>
        <v>4381.4872933239158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103</v>
      </c>
      <c r="B142" s="66">
        <v>103</v>
      </c>
      <c r="D142">
        <f t="shared" si="10"/>
        <v>0.18228797961206286</v>
      </c>
      <c r="E142">
        <f t="shared" si="11"/>
        <v>0.18228797961206286</v>
      </c>
      <c r="G142">
        <f t="shared" ca="1" si="12"/>
        <v>140</v>
      </c>
      <c r="H142">
        <f t="shared" ca="1" si="13"/>
        <v>25.5203171456888</v>
      </c>
      <c r="I142">
        <f t="shared" ca="1" si="14"/>
        <v>1574.8331583513511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138</v>
      </c>
      <c r="B144" s="66">
        <v>138</v>
      </c>
      <c r="D144">
        <f t="shared" si="10"/>
        <v>0.24423049695596771</v>
      </c>
      <c r="E144">
        <f t="shared" si="11"/>
        <v>0.24423049695596771</v>
      </c>
      <c r="G144">
        <f t="shared" ca="1" si="12"/>
        <v>142</v>
      </c>
      <c r="H144">
        <f t="shared" ca="1" si="13"/>
        <v>34.680730567747418</v>
      </c>
      <c r="I144">
        <f t="shared" ca="1" si="14"/>
        <v>2201.7501320280871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284</v>
      </c>
      <c r="B147" s="66">
        <v>284</v>
      </c>
      <c r="D147">
        <f t="shared" si="10"/>
        <v>0.50261928359054231</v>
      </c>
      <c r="E147">
        <f t="shared" si="11"/>
        <v>0.50261928359054231</v>
      </c>
      <c r="G147">
        <f t="shared" ca="1" si="12"/>
        <v>145</v>
      </c>
      <c r="H147">
        <f t="shared" ca="1" si="13"/>
        <v>72.87979612062864</v>
      </c>
      <c r="I147">
        <f t="shared" ca="1" si="14"/>
        <v>4821.9965456246737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37</v>
      </c>
      <c r="B149" s="66">
        <v>37</v>
      </c>
      <c r="D149">
        <f t="shared" si="10"/>
        <v>6.5482089763556559E-2</v>
      </c>
      <c r="E149">
        <f t="shared" si="11"/>
        <v>6.5482089763556559E-2</v>
      </c>
      <c r="G149">
        <f t="shared" ca="1" si="12"/>
        <v>147</v>
      </c>
      <c r="H149">
        <f t="shared" ca="1" si="13"/>
        <v>9.6258671952428134</v>
      </c>
      <c r="I149">
        <f t="shared" ca="1" si="14"/>
        <v>654.1350467523647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100</v>
      </c>
      <c r="B152" s="66">
        <v>100</v>
      </c>
      <c r="D152">
        <f t="shared" si="10"/>
        <v>0.17697862098258529</v>
      </c>
      <c r="E152">
        <f t="shared" si="11"/>
        <v>0.17697862098258529</v>
      </c>
      <c r="G152">
        <f t="shared" ca="1" si="12"/>
        <v>150</v>
      </c>
      <c r="H152">
        <f t="shared" ca="1" si="13"/>
        <v>26.546793147387795</v>
      </c>
      <c r="I152">
        <f t="shared" ca="1" si="14"/>
        <v>1875.6569148686938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0</v>
      </c>
      <c r="B154" s="66">
        <v>0</v>
      </c>
      <c r="D154">
        <f t="shared" si="10"/>
        <v>0</v>
      </c>
      <c r="E154">
        <f t="shared" si="11"/>
        <v>0</v>
      </c>
      <c r="G154">
        <f t="shared" ca="1" si="12"/>
        <v>152</v>
      </c>
      <c r="H154">
        <f t="shared" ca="1" si="13"/>
        <v>0</v>
      </c>
      <c r="I154">
        <f t="shared" ca="1" si="14"/>
        <v>0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350</v>
      </c>
      <c r="B1" s="68" t="s">
        <v>351</v>
      </c>
      <c r="C1" s="32" t="s">
        <v>352</v>
      </c>
      <c r="D1" s="32" t="s">
        <v>353</v>
      </c>
      <c r="E1" s="32" t="s">
        <v>354</v>
      </c>
    </row>
    <row r="2" spans="1:5">
      <c r="A2" s="68">
        <v>0.116519</v>
      </c>
      <c r="B2" s="68">
        <v>0.69485399999999997</v>
      </c>
      <c r="C2" s="68">
        <v>0</v>
      </c>
      <c r="D2" s="68">
        <v>1</v>
      </c>
      <c r="E2" s="68" t="s">
        <v>355</v>
      </c>
    </row>
    <row r="3" spans="1:5">
      <c r="A3" s="68">
        <v>0.11944399999999999</v>
      </c>
      <c r="B3" s="68">
        <v>0.68548100000000001</v>
      </c>
      <c r="C3" s="68">
        <v>0.38189000000000001</v>
      </c>
      <c r="D3" s="89">
        <v>1</v>
      </c>
      <c r="E3" s="68" t="s">
        <v>356</v>
      </c>
    </row>
    <row r="4" spans="1:5">
      <c r="A4" s="68">
        <v>0.122429</v>
      </c>
      <c r="B4" s="68">
        <v>0.675871</v>
      </c>
      <c r="C4" s="68">
        <v>0.78580000000000005</v>
      </c>
      <c r="D4" s="89">
        <v>1</v>
      </c>
      <c r="E4" s="68" t="s">
        <v>357</v>
      </c>
    </row>
    <row r="5" spans="1:5">
      <c r="A5" s="89">
        <v>0.12573599999999999</v>
      </c>
      <c r="B5" s="89">
        <v>0.66561099999999995</v>
      </c>
      <c r="C5" s="89">
        <v>1.1898200000000001</v>
      </c>
      <c r="D5" s="89">
        <v>1</v>
      </c>
      <c r="E5" s="68" t="s">
        <v>358</v>
      </c>
    </row>
    <row r="6" spans="1:5">
      <c r="A6" s="68">
        <v>0.12936600000000001</v>
      </c>
      <c r="B6" s="68">
        <v>0.65472699999999995</v>
      </c>
      <c r="C6" s="68">
        <v>1.59568</v>
      </c>
      <c r="D6" s="68">
        <v>1</v>
      </c>
      <c r="E6" s="68" t="s">
        <v>359</v>
      </c>
    </row>
    <row r="7" spans="1:5">
      <c r="A7" s="68">
        <v>0.13289500000000001</v>
      </c>
      <c r="B7" s="68">
        <v>0.64407199999999998</v>
      </c>
      <c r="C7" s="68">
        <v>2.0027300000000001</v>
      </c>
      <c r="D7" s="68">
        <v>1</v>
      </c>
      <c r="E7" s="68" t="s">
        <v>360</v>
      </c>
    </row>
    <row r="8" spans="1:5">
      <c r="A8" s="68">
        <v>0.13648399999999999</v>
      </c>
      <c r="B8" s="68">
        <v>0.633432</v>
      </c>
      <c r="C8" s="68">
        <v>2.4095300000000002</v>
      </c>
      <c r="D8" s="68">
        <v>1</v>
      </c>
      <c r="E8" s="68" t="s">
        <v>361</v>
      </c>
    </row>
    <row r="9" spans="1:5">
      <c r="A9" s="68">
        <v>0.13997000000000001</v>
      </c>
      <c r="B9" s="68">
        <v>0.62246299999999999</v>
      </c>
      <c r="C9" s="68">
        <v>2.8173900000000001</v>
      </c>
      <c r="D9" s="68">
        <v>1</v>
      </c>
      <c r="E9" s="68" t="s">
        <v>362</v>
      </c>
    </row>
    <row r="10" spans="1:5">
      <c r="A10" s="68">
        <v>0.14358399999999999</v>
      </c>
      <c r="B10" s="68">
        <v>0.61102699999999999</v>
      </c>
      <c r="C10" s="68">
        <v>3.2224400000000002</v>
      </c>
      <c r="D10" s="68">
        <v>1</v>
      </c>
      <c r="E10" s="68" t="s">
        <v>363</v>
      </c>
    </row>
    <row r="11" spans="1:5">
      <c r="A11" s="68">
        <v>0.147234</v>
      </c>
      <c r="B11" s="68">
        <v>0.59986399999999995</v>
      </c>
      <c r="C11" s="68">
        <v>3.6262599999999998</v>
      </c>
      <c r="D11" s="68">
        <v>1</v>
      </c>
      <c r="E11" s="68" t="s">
        <v>364</v>
      </c>
    </row>
    <row r="12" spans="1:5">
      <c r="A12" s="68">
        <v>0.15096599999999999</v>
      </c>
      <c r="B12" s="68">
        <v>0.58908899999999997</v>
      </c>
      <c r="C12" s="68">
        <v>4.0362600000000004</v>
      </c>
      <c r="D12" s="68">
        <v>1</v>
      </c>
      <c r="E12" s="68" t="s">
        <v>365</v>
      </c>
    </row>
    <row r="13" spans="1:5">
      <c r="A13" s="68">
        <v>0.154692</v>
      </c>
      <c r="B13" s="68">
        <v>0.57889400000000002</v>
      </c>
      <c r="C13" s="68">
        <v>4.4430300000000003</v>
      </c>
      <c r="D13" s="68">
        <v>1</v>
      </c>
      <c r="E13" s="68" t="s">
        <v>366</v>
      </c>
    </row>
    <row r="14" spans="1:5">
      <c r="A14" s="68">
        <v>0.15828600000000001</v>
      </c>
      <c r="B14" s="68">
        <v>0.56946600000000003</v>
      </c>
      <c r="C14" s="68">
        <v>4.8440000000000003</v>
      </c>
      <c r="D14" s="68">
        <v>1</v>
      </c>
      <c r="E14" s="68" t="s">
        <v>367</v>
      </c>
    </row>
    <row r="15" spans="1:5">
      <c r="A15" s="68">
        <v>0.161773</v>
      </c>
      <c r="B15" s="68">
        <v>0.560867</v>
      </c>
      <c r="C15" s="68">
        <v>5.2550299999999996</v>
      </c>
      <c r="D15" s="68">
        <v>1</v>
      </c>
      <c r="E15" s="68" t="s">
        <v>368</v>
      </c>
    </row>
    <row r="16" spans="1:5">
      <c r="A16" s="68">
        <v>0.16513</v>
      </c>
      <c r="B16" s="68">
        <v>0.55332400000000004</v>
      </c>
      <c r="C16" s="68">
        <v>5.6588599999999998</v>
      </c>
      <c r="D16" s="68">
        <v>1</v>
      </c>
      <c r="E16" s="68" t="s">
        <v>369</v>
      </c>
    </row>
    <row r="17" spans="1:5">
      <c r="A17" s="68">
        <v>0.16853499999999999</v>
      </c>
      <c r="B17" s="68">
        <v>0.54629799999999995</v>
      </c>
      <c r="C17" s="68">
        <v>6.0639700000000003</v>
      </c>
      <c r="D17" s="68">
        <v>1</v>
      </c>
      <c r="E17" s="68" t="s">
        <v>370</v>
      </c>
    </row>
    <row r="18" spans="1:5">
      <c r="A18" s="68">
        <v>0.17216100000000001</v>
      </c>
      <c r="B18" s="68">
        <v>0.53845600000000005</v>
      </c>
      <c r="C18" s="68">
        <v>6.4707299999999996</v>
      </c>
      <c r="D18" s="68">
        <v>1</v>
      </c>
      <c r="E18" s="68" t="s">
        <v>371</v>
      </c>
    </row>
    <row r="19" spans="1:5">
      <c r="A19" s="68">
        <v>0.17596300000000001</v>
      </c>
      <c r="B19" s="68">
        <v>0.53061999999999998</v>
      </c>
      <c r="C19" s="68">
        <v>6.87852</v>
      </c>
      <c r="D19" s="68">
        <v>1</v>
      </c>
      <c r="E19" s="68" t="s">
        <v>372</v>
      </c>
    </row>
    <row r="20" spans="1:5">
      <c r="A20" s="68">
        <v>0.17971500000000001</v>
      </c>
      <c r="B20" s="68">
        <v>0.52319000000000004</v>
      </c>
      <c r="C20" s="68">
        <v>7.2844100000000003</v>
      </c>
      <c r="D20" s="68">
        <v>1</v>
      </c>
      <c r="E20" s="68" t="s">
        <v>373</v>
      </c>
    </row>
    <row r="21" spans="1:5">
      <c r="A21" s="68">
        <v>0.183251</v>
      </c>
      <c r="B21" s="68">
        <v>0.51683199999999996</v>
      </c>
      <c r="C21" s="68">
        <v>7.6893599999999998</v>
      </c>
      <c r="D21" s="68">
        <v>1</v>
      </c>
      <c r="E21" s="68" t="s">
        <v>374</v>
      </c>
    </row>
    <row r="22" spans="1:5">
      <c r="A22" s="68">
        <v>0.18678</v>
      </c>
      <c r="B22" s="68">
        <v>0.51050499999999999</v>
      </c>
      <c r="C22" s="68">
        <v>8.0957399999999993</v>
      </c>
      <c r="D22" s="68">
        <v>1</v>
      </c>
      <c r="E22" s="68" t="s">
        <v>375</v>
      </c>
    </row>
    <row r="23" spans="1:5">
      <c r="A23" s="68">
        <v>0.19020899999999999</v>
      </c>
      <c r="B23" s="68">
        <v>0.50510600000000005</v>
      </c>
      <c r="C23" s="68">
        <v>8.5021900000000006</v>
      </c>
      <c r="D23" s="68">
        <v>1</v>
      </c>
      <c r="E23" s="68" t="s">
        <v>376</v>
      </c>
    </row>
    <row r="24" spans="1:5">
      <c r="A24" s="68">
        <v>0.193462</v>
      </c>
      <c r="B24" s="68">
        <v>0.50100100000000003</v>
      </c>
      <c r="C24" s="68">
        <v>8.9121600000000001</v>
      </c>
      <c r="D24" s="68">
        <v>1</v>
      </c>
      <c r="E24" s="68" t="s">
        <v>377</v>
      </c>
    </row>
    <row r="25" spans="1:5">
      <c r="A25" s="68">
        <v>0.19634399999999999</v>
      </c>
      <c r="B25" s="68">
        <v>0.49832199999999999</v>
      </c>
      <c r="C25" s="68">
        <v>9.3170599999999997</v>
      </c>
      <c r="D25" s="68">
        <v>1</v>
      </c>
      <c r="E25" s="68" t="s">
        <v>378</v>
      </c>
    </row>
    <row r="26" spans="1:5">
      <c r="A26" s="68">
        <v>0.19927900000000001</v>
      </c>
      <c r="B26" s="68">
        <v>0.495257</v>
      </c>
      <c r="C26" s="68">
        <v>9.7212800000000001</v>
      </c>
      <c r="D26" s="68">
        <v>1</v>
      </c>
      <c r="E26" s="68" t="s">
        <v>379</v>
      </c>
    </row>
    <row r="27" spans="1:5">
      <c r="A27" s="68">
        <v>0.20216899999999999</v>
      </c>
      <c r="B27" s="68">
        <v>0.49259599999999998</v>
      </c>
      <c r="C27" s="68">
        <v>10.126799999999999</v>
      </c>
      <c r="D27" s="68">
        <v>1</v>
      </c>
      <c r="E27" s="68" t="s">
        <v>380</v>
      </c>
    </row>
    <row r="28" spans="1:5">
      <c r="A28" s="68">
        <v>0.20490900000000001</v>
      </c>
      <c r="B28" s="68">
        <v>0.49067100000000002</v>
      </c>
      <c r="C28" s="68">
        <v>10.5328</v>
      </c>
      <c r="D28" s="68">
        <v>1</v>
      </c>
      <c r="E28" s="68" t="s">
        <v>381</v>
      </c>
    </row>
    <row r="29" spans="1:5">
      <c r="A29" s="68">
        <v>0.20750099999999999</v>
      </c>
      <c r="B29" s="68">
        <v>0.48936000000000002</v>
      </c>
      <c r="C29" s="68">
        <v>10.941700000000001</v>
      </c>
      <c r="D29" s="68">
        <v>1</v>
      </c>
      <c r="E29" s="68" t="s">
        <v>382</v>
      </c>
    </row>
    <row r="30" spans="1:5">
      <c r="A30" s="68">
        <v>0.21007600000000001</v>
      </c>
      <c r="B30" s="68">
        <v>0.48747800000000002</v>
      </c>
      <c r="C30" s="68">
        <v>11.348599999999999</v>
      </c>
      <c r="D30" s="68">
        <v>1</v>
      </c>
      <c r="E30" s="68" t="s">
        <v>383</v>
      </c>
    </row>
    <row r="31" spans="1:5">
      <c r="A31" s="68">
        <v>0.21252299999999999</v>
      </c>
      <c r="B31" s="68">
        <v>0.485429</v>
      </c>
      <c r="C31" s="68">
        <v>11.7525</v>
      </c>
      <c r="D31" s="68">
        <v>1</v>
      </c>
      <c r="E31" s="68" t="s">
        <v>384</v>
      </c>
    </row>
    <row r="32" spans="1:5">
      <c r="A32" s="68">
        <v>0.21487000000000001</v>
      </c>
      <c r="B32" s="68">
        <v>0.48357099999999997</v>
      </c>
      <c r="C32" s="68">
        <v>12.1584</v>
      </c>
      <c r="D32" s="68">
        <v>1</v>
      </c>
      <c r="E32" s="68" t="s">
        <v>385</v>
      </c>
    </row>
    <row r="33" spans="1:5">
      <c r="A33" s="68">
        <v>0.21703700000000001</v>
      </c>
      <c r="B33" s="68">
        <v>0.48219400000000001</v>
      </c>
      <c r="C33" s="68">
        <v>12.565300000000001</v>
      </c>
      <c r="D33" s="68">
        <v>1</v>
      </c>
      <c r="E33" s="68" t="s">
        <v>386</v>
      </c>
    </row>
    <row r="34" spans="1:5">
      <c r="A34" s="68">
        <v>0.219026</v>
      </c>
      <c r="B34" s="68">
        <v>0.48083900000000002</v>
      </c>
      <c r="C34" s="68">
        <v>12.969200000000001</v>
      </c>
      <c r="D34" s="68">
        <v>1</v>
      </c>
      <c r="E34" s="68" t="s">
        <v>387</v>
      </c>
    </row>
    <row r="35" spans="1:5">
      <c r="A35" s="68">
        <v>0.22104599999999999</v>
      </c>
      <c r="B35" s="68">
        <v>0.47881099999999999</v>
      </c>
      <c r="C35" s="68">
        <v>13.3741</v>
      </c>
      <c r="D35" s="68">
        <v>1</v>
      </c>
      <c r="E35" s="68" t="s">
        <v>388</v>
      </c>
    </row>
    <row r="36" spans="1:5">
      <c r="A36" s="68">
        <v>0.22312000000000001</v>
      </c>
      <c r="B36" s="68">
        <v>0.47686299999999998</v>
      </c>
      <c r="C36" s="68">
        <v>13.786</v>
      </c>
      <c r="D36" s="68">
        <v>1</v>
      </c>
      <c r="E36" s="68" t="s">
        <v>389</v>
      </c>
    </row>
    <row r="37" spans="1:5">
      <c r="A37" s="68">
        <v>0.225047</v>
      </c>
      <c r="B37" s="68">
        <v>0.47539900000000002</v>
      </c>
      <c r="C37" s="68">
        <v>14.193</v>
      </c>
      <c r="D37" s="68">
        <v>1</v>
      </c>
      <c r="E37" s="68" t="s">
        <v>390</v>
      </c>
    </row>
    <row r="38" spans="1:5">
      <c r="A38" s="68">
        <v>0.226741</v>
      </c>
      <c r="B38" s="68">
        <v>0.474408</v>
      </c>
      <c r="C38" s="68">
        <v>14.5968</v>
      </c>
      <c r="D38" s="68">
        <v>1</v>
      </c>
      <c r="E38" s="68" t="s">
        <v>391</v>
      </c>
    </row>
    <row r="39" spans="1:5">
      <c r="A39" s="68">
        <v>0.22842399999999999</v>
      </c>
      <c r="B39" s="68">
        <v>0.47328900000000002</v>
      </c>
      <c r="C39" s="68">
        <v>15.002700000000001</v>
      </c>
      <c r="D39" s="68">
        <v>1</v>
      </c>
      <c r="E39" s="68" t="s">
        <v>392</v>
      </c>
    </row>
    <row r="40" spans="1:5">
      <c r="A40" s="68">
        <v>0.23008999999999999</v>
      </c>
      <c r="B40" s="68">
        <v>0.47223599999999999</v>
      </c>
      <c r="C40" s="68">
        <v>15.407999999999999</v>
      </c>
      <c r="D40" s="68">
        <v>1</v>
      </c>
      <c r="E40" s="68" t="s">
        <v>393</v>
      </c>
    </row>
    <row r="41" spans="1:5">
      <c r="A41" s="68">
        <v>0.231769</v>
      </c>
      <c r="B41" s="68">
        <v>0.47107199999999999</v>
      </c>
      <c r="C41" s="68">
        <v>15.813800000000001</v>
      </c>
      <c r="D41" s="68">
        <v>1</v>
      </c>
      <c r="E41" s="68" t="s">
        <v>394</v>
      </c>
    </row>
    <row r="42" spans="1:5">
      <c r="A42" s="68">
        <v>0.23327400000000001</v>
      </c>
      <c r="B42" s="68">
        <v>0.469889</v>
      </c>
      <c r="C42" s="68">
        <v>16.224599999999999</v>
      </c>
      <c r="D42" s="68">
        <v>1</v>
      </c>
      <c r="E42" s="68" t="s">
        <v>395</v>
      </c>
    </row>
    <row r="43" spans="1:5">
      <c r="A43" s="68">
        <v>0.23444799999999999</v>
      </c>
      <c r="B43" s="68">
        <v>0.46934300000000001</v>
      </c>
      <c r="C43" s="68">
        <v>16.627400000000002</v>
      </c>
      <c r="D43" s="68">
        <v>1</v>
      </c>
      <c r="E43" s="68" t="s">
        <v>396</v>
      </c>
    </row>
    <row r="44" spans="1:5">
      <c r="A44" s="68">
        <v>0.235462</v>
      </c>
      <c r="B44" s="68">
        <v>0.46841500000000003</v>
      </c>
      <c r="C44" s="68">
        <v>17.035399999999999</v>
      </c>
      <c r="D44" s="68">
        <v>1</v>
      </c>
      <c r="E44" s="68" t="s">
        <v>397</v>
      </c>
    </row>
    <row r="45" spans="1:5">
      <c r="A45" s="68">
        <v>0.236341</v>
      </c>
      <c r="B45" s="68">
        <v>0.46762700000000001</v>
      </c>
      <c r="C45" s="68">
        <v>17.4405</v>
      </c>
      <c r="D45" s="68">
        <v>1</v>
      </c>
      <c r="E45" s="68" t="s">
        <v>398</v>
      </c>
    </row>
    <row r="46" spans="1:5">
      <c r="A46" s="68">
        <v>0.23729900000000001</v>
      </c>
      <c r="B46" s="68">
        <v>0.46649299999999999</v>
      </c>
      <c r="C46" s="68">
        <v>17.845199999999998</v>
      </c>
      <c r="D46" s="68">
        <v>1</v>
      </c>
      <c r="E46" s="68" t="s">
        <v>399</v>
      </c>
    </row>
    <row r="47" spans="1:5">
      <c r="A47" s="68">
        <v>0.23811199999999999</v>
      </c>
      <c r="B47" s="68">
        <v>0.46585199999999999</v>
      </c>
      <c r="C47" s="68">
        <v>18.2531</v>
      </c>
      <c r="D47" s="68">
        <v>1</v>
      </c>
      <c r="E47" s="68" t="s">
        <v>400</v>
      </c>
    </row>
    <row r="48" spans="1:5">
      <c r="A48" s="68">
        <v>0.238538</v>
      </c>
      <c r="B48" s="68">
        <v>0.46583799999999997</v>
      </c>
      <c r="C48" s="68">
        <v>18.658999999999999</v>
      </c>
      <c r="D48" s="68">
        <v>1</v>
      </c>
      <c r="E48" s="68" t="s">
        <v>401</v>
      </c>
    </row>
    <row r="49" spans="1:5">
      <c r="A49" s="68">
        <v>0.23882700000000001</v>
      </c>
      <c r="B49" s="68">
        <v>0.46555000000000002</v>
      </c>
      <c r="C49" s="68">
        <v>19.064900000000002</v>
      </c>
      <c r="D49" s="68">
        <v>1</v>
      </c>
      <c r="E49" s="68" t="s">
        <v>402</v>
      </c>
    </row>
    <row r="50" spans="1:5">
      <c r="A50" s="68">
        <v>0.23898</v>
      </c>
      <c r="B50" s="68">
        <v>0.46479500000000001</v>
      </c>
      <c r="C50" s="68">
        <v>19.469899999999999</v>
      </c>
      <c r="D50" s="68">
        <v>1</v>
      </c>
      <c r="E50" s="68" t="s">
        <v>403</v>
      </c>
    </row>
    <row r="51" spans="1:5">
      <c r="A51" s="68">
        <v>0.23894199999999999</v>
      </c>
      <c r="B51" s="68">
        <v>0.46404200000000001</v>
      </c>
      <c r="C51" s="68">
        <v>19.878799999999998</v>
      </c>
      <c r="D51" s="68">
        <v>1</v>
      </c>
      <c r="E51" s="68" t="s">
        <v>404</v>
      </c>
    </row>
    <row r="52" spans="1:5">
      <c r="A52" s="68">
        <v>0.239064</v>
      </c>
      <c r="B52" s="68">
        <v>0.46350999999999998</v>
      </c>
      <c r="C52" s="68">
        <v>20.285699999999999</v>
      </c>
      <c r="D52" s="68">
        <v>1</v>
      </c>
      <c r="E52" s="68" t="s">
        <v>405</v>
      </c>
    </row>
    <row r="53" spans="1:5">
      <c r="A53" s="68">
        <v>0.23901</v>
      </c>
      <c r="B53" s="68">
        <v>0.46216800000000002</v>
      </c>
      <c r="C53" s="68">
        <v>20.687999999999999</v>
      </c>
      <c r="D53" s="68">
        <v>1</v>
      </c>
      <c r="E53" s="68" t="s">
        <v>406</v>
      </c>
    </row>
    <row r="54" spans="1:5">
      <c r="A54" s="68">
        <v>0.238926</v>
      </c>
      <c r="B54" s="68">
        <v>0.460426</v>
      </c>
      <c r="C54" s="68">
        <v>21.096499999999999</v>
      </c>
      <c r="D54" s="68">
        <v>1</v>
      </c>
      <c r="E54" s="68" t="s">
        <v>407</v>
      </c>
    </row>
    <row r="55" spans="1:5">
      <c r="A55" s="68">
        <v>0.23859900000000001</v>
      </c>
      <c r="B55" s="68">
        <v>0.45883200000000002</v>
      </c>
      <c r="C55" s="68">
        <v>21.502400000000002</v>
      </c>
      <c r="D55" s="68">
        <v>1</v>
      </c>
      <c r="E55" s="68" t="s">
        <v>408</v>
      </c>
    </row>
    <row r="56" spans="1:5">
      <c r="A56" s="68">
        <v>0.238093</v>
      </c>
      <c r="B56" s="68">
        <v>0.457117</v>
      </c>
      <c r="C56" s="68">
        <v>21.9084</v>
      </c>
      <c r="D56" s="68">
        <v>1</v>
      </c>
      <c r="E56" s="68" t="s">
        <v>409</v>
      </c>
    </row>
    <row r="57" spans="1:5">
      <c r="A57" s="68">
        <v>0.23713400000000001</v>
      </c>
      <c r="B57" s="68">
        <v>0.45463199999999998</v>
      </c>
      <c r="C57" s="68">
        <v>22.3172</v>
      </c>
      <c r="D57" s="68">
        <v>1</v>
      </c>
      <c r="E57" s="68" t="s">
        <v>410</v>
      </c>
    </row>
    <row r="58" spans="1:5">
      <c r="A58" s="68">
        <v>0.23649500000000001</v>
      </c>
      <c r="B58" s="68">
        <v>0.45279799999999998</v>
      </c>
      <c r="C58" s="68">
        <v>22.7241</v>
      </c>
      <c r="D58" s="68">
        <v>1</v>
      </c>
      <c r="E58" s="68" t="s">
        <v>411</v>
      </c>
    </row>
    <row r="59" spans="1:5">
      <c r="A59" s="68">
        <v>0.236151</v>
      </c>
      <c r="B59" s="68">
        <v>0.451405</v>
      </c>
      <c r="C59" s="68">
        <v>23.127099999999999</v>
      </c>
      <c r="D59" s="68">
        <v>1</v>
      </c>
      <c r="E59" s="68" t="s">
        <v>412</v>
      </c>
    </row>
    <row r="60" spans="1:5">
      <c r="A60" s="68">
        <v>0.234656</v>
      </c>
      <c r="B60" s="68">
        <v>0.45273400000000003</v>
      </c>
      <c r="C60" s="68">
        <v>23.535</v>
      </c>
      <c r="D60" s="68">
        <v>1</v>
      </c>
      <c r="E60" s="68" t="s">
        <v>413</v>
      </c>
    </row>
    <row r="61" spans="1:5">
      <c r="A61" s="68">
        <v>0.233211</v>
      </c>
      <c r="B61" s="68">
        <v>0.45490799999999998</v>
      </c>
      <c r="C61" s="68">
        <v>23.9419</v>
      </c>
      <c r="D61" s="68">
        <v>1</v>
      </c>
      <c r="E61" s="68" t="s">
        <v>414</v>
      </c>
    </row>
    <row r="62" spans="1:5">
      <c r="A62" s="68">
        <v>0.232127</v>
      </c>
      <c r="B62" s="68">
        <v>0.45582099999999998</v>
      </c>
      <c r="C62" s="68">
        <v>24.344799999999999</v>
      </c>
      <c r="D62" s="68">
        <v>1</v>
      </c>
      <c r="E62" s="68" t="s">
        <v>415</v>
      </c>
    </row>
    <row r="63" spans="1:5">
      <c r="A63" s="68">
        <v>0.229767</v>
      </c>
      <c r="B63" s="68">
        <v>0.458478</v>
      </c>
      <c r="C63" s="68">
        <v>24.755800000000001</v>
      </c>
      <c r="D63" s="68">
        <v>1</v>
      </c>
      <c r="E63" s="68" t="s">
        <v>416</v>
      </c>
    </row>
    <row r="64" spans="1:5">
      <c r="A64" s="68">
        <v>0.22847600000000001</v>
      </c>
      <c r="B64" s="68">
        <v>0.45954499999999998</v>
      </c>
      <c r="C64" s="68">
        <v>25.1587</v>
      </c>
      <c r="D64" s="68">
        <v>1</v>
      </c>
      <c r="E64" s="68" t="s">
        <v>417</v>
      </c>
    </row>
    <row r="65" spans="1:5">
      <c r="A65" s="68">
        <v>0.22648399999999999</v>
      </c>
      <c r="B65" s="68">
        <v>0.46211000000000002</v>
      </c>
      <c r="C65" s="68">
        <v>25.563700000000001</v>
      </c>
      <c r="D65" s="68">
        <v>1</v>
      </c>
      <c r="E65" s="68" t="s">
        <v>418</v>
      </c>
    </row>
    <row r="66" spans="1:5">
      <c r="A66" s="68">
        <v>0.224464</v>
      </c>
      <c r="B66" s="68">
        <v>0.46503800000000001</v>
      </c>
      <c r="C66" s="68">
        <v>25.9709</v>
      </c>
      <c r="D66" s="68">
        <v>1</v>
      </c>
      <c r="E66" s="68" t="s">
        <v>419</v>
      </c>
    </row>
    <row r="67" spans="1:5">
      <c r="A67" s="68">
        <v>0.222246</v>
      </c>
      <c r="B67" s="68">
        <v>0.468163</v>
      </c>
      <c r="C67" s="68">
        <v>26.379300000000001</v>
      </c>
      <c r="D67" s="68">
        <v>1</v>
      </c>
      <c r="E67" s="68" t="s">
        <v>420</v>
      </c>
    </row>
    <row r="68" spans="1:5">
      <c r="A68" s="68">
        <v>0.21942900000000001</v>
      </c>
      <c r="B68" s="68">
        <v>0.47284900000000002</v>
      </c>
      <c r="C68" s="68">
        <v>26.786300000000001</v>
      </c>
      <c r="D68" s="68">
        <v>1</v>
      </c>
      <c r="E68" s="68" t="s">
        <v>421</v>
      </c>
    </row>
    <row r="69" spans="1:5">
      <c r="A69" s="68">
        <v>0.21685599999999999</v>
      </c>
      <c r="B69" s="68">
        <v>0.47688999999999998</v>
      </c>
      <c r="C69" s="68">
        <v>27.191299999999998</v>
      </c>
      <c r="D69" s="68">
        <v>1</v>
      </c>
      <c r="E69" s="68" t="s">
        <v>422</v>
      </c>
    </row>
    <row r="70" spans="1:5">
      <c r="A70" s="68">
        <v>0.21491399999999999</v>
      </c>
      <c r="B70" s="68">
        <v>0.48012700000000003</v>
      </c>
      <c r="C70" s="68">
        <v>27.594100000000001</v>
      </c>
      <c r="D70" s="68">
        <v>1</v>
      </c>
      <c r="E70" s="68" t="s">
        <v>423</v>
      </c>
    </row>
    <row r="71" spans="1:5">
      <c r="A71" s="68">
        <v>0.211474</v>
      </c>
      <c r="B71" s="68">
        <v>0.48683999999999999</v>
      </c>
      <c r="C71" s="68">
        <v>28.002500000000001</v>
      </c>
      <c r="D71" s="68">
        <v>1</v>
      </c>
      <c r="E71" s="68" t="s">
        <v>424</v>
      </c>
    </row>
    <row r="72" spans="1:5">
      <c r="A72" s="68">
        <v>0.209258</v>
      </c>
      <c r="B72" s="68">
        <v>0.491539</v>
      </c>
      <c r="C72" s="68">
        <v>28.410900000000002</v>
      </c>
      <c r="D72" s="68">
        <v>1</v>
      </c>
      <c r="E72" s="68" t="s">
        <v>425</v>
      </c>
    </row>
    <row r="73" spans="1:5">
      <c r="A73" s="68">
        <v>0.206708</v>
      </c>
      <c r="B73" s="68">
        <v>0.49640600000000001</v>
      </c>
      <c r="C73" s="68">
        <v>28.8169</v>
      </c>
      <c r="D73" s="68">
        <v>1</v>
      </c>
      <c r="E73" s="68" t="s">
        <v>426</v>
      </c>
    </row>
    <row r="74" spans="1:5">
      <c r="A74" s="68">
        <v>0.204036</v>
      </c>
      <c r="B74" s="68">
        <v>0.500749</v>
      </c>
      <c r="C74" s="68">
        <v>29.221900000000002</v>
      </c>
      <c r="D74" s="68">
        <v>1</v>
      </c>
      <c r="E74" s="68" t="s">
        <v>427</v>
      </c>
    </row>
    <row r="75" spans="1:5">
      <c r="A75" s="68">
        <v>0.200764</v>
      </c>
      <c r="B75" s="68">
        <v>0.50517000000000001</v>
      </c>
      <c r="C75" s="68">
        <v>29.6267</v>
      </c>
      <c r="D75" s="68">
        <v>1</v>
      </c>
      <c r="E75" s="68" t="s">
        <v>428</v>
      </c>
    </row>
    <row r="76" spans="1:5">
      <c r="A76" s="68">
        <v>0.198127</v>
      </c>
      <c r="B76" s="68">
        <v>0.50955600000000001</v>
      </c>
      <c r="C76" s="68">
        <v>30.0366</v>
      </c>
      <c r="D76" s="68">
        <v>1</v>
      </c>
      <c r="E76" s="68" t="s">
        <v>429</v>
      </c>
    </row>
    <row r="77" spans="1:5">
      <c r="A77" s="68">
        <v>0.19530800000000001</v>
      </c>
      <c r="B77" s="68">
        <v>0.51443399999999995</v>
      </c>
      <c r="C77" s="68">
        <v>30.612200000000001</v>
      </c>
      <c r="D77" s="68">
        <v>2</v>
      </c>
      <c r="E77" s="68" t="s">
        <v>430</v>
      </c>
    </row>
    <row r="78" spans="1:5">
      <c r="A78" s="68">
        <v>0.19231799999999999</v>
      </c>
      <c r="B78" s="68">
        <v>0.51974399999999998</v>
      </c>
      <c r="C78" s="68">
        <v>30.989100000000001</v>
      </c>
      <c r="D78" s="68">
        <v>2</v>
      </c>
      <c r="E78" s="68" t="s">
        <v>431</v>
      </c>
    </row>
    <row r="79" spans="1:5">
      <c r="A79" s="68">
        <v>0.189246</v>
      </c>
      <c r="B79" s="68">
        <v>0.52512700000000001</v>
      </c>
      <c r="C79" s="68">
        <v>31.363099999999999</v>
      </c>
      <c r="D79" s="68">
        <v>2</v>
      </c>
      <c r="E79" s="68" t="s">
        <v>432</v>
      </c>
    </row>
    <row r="80" spans="1:5">
      <c r="A80" s="68">
        <v>0.18620200000000001</v>
      </c>
      <c r="B80" s="68">
        <v>0.53090999999999999</v>
      </c>
      <c r="C80" s="68">
        <v>31.741099999999999</v>
      </c>
      <c r="D80" s="68">
        <v>2</v>
      </c>
      <c r="E80" s="68" t="s">
        <v>433</v>
      </c>
    </row>
    <row r="81" spans="1:5">
      <c r="A81" s="68">
        <v>0.18318200000000001</v>
      </c>
      <c r="B81" s="68">
        <v>0.53763399999999995</v>
      </c>
      <c r="C81" s="68">
        <v>32.112099999999998</v>
      </c>
      <c r="D81" s="68">
        <v>2</v>
      </c>
      <c r="E81" s="68" t="s">
        <v>434</v>
      </c>
    </row>
    <row r="82" spans="1:5">
      <c r="A82" s="68">
        <v>0.18021699999999999</v>
      </c>
      <c r="B82" s="68">
        <v>0.54474</v>
      </c>
      <c r="C82" s="68">
        <v>32.518000000000001</v>
      </c>
      <c r="D82" s="68">
        <v>2</v>
      </c>
      <c r="E82" s="68" t="s">
        <v>435</v>
      </c>
    </row>
    <row r="83" spans="1:5">
      <c r="A83" s="68">
        <v>0.17738499999999999</v>
      </c>
      <c r="B83" s="68">
        <v>0.55169599999999996</v>
      </c>
      <c r="C83" s="68">
        <v>32.923000000000002</v>
      </c>
      <c r="D83" s="68">
        <v>2</v>
      </c>
      <c r="E83" s="68" t="s">
        <v>436</v>
      </c>
    </row>
    <row r="84" spans="1:5">
      <c r="A84" s="68">
        <v>0.174675</v>
      </c>
      <c r="B84" s="68">
        <v>0.55818400000000001</v>
      </c>
      <c r="C84" s="68">
        <v>33.33</v>
      </c>
      <c r="D84" s="68">
        <v>2</v>
      </c>
      <c r="E84" s="68" t="s">
        <v>437</v>
      </c>
    </row>
    <row r="85" spans="1:5">
      <c r="A85" s="68">
        <v>0.17114099999999999</v>
      </c>
      <c r="B85" s="68">
        <v>0.563689</v>
      </c>
      <c r="C85" s="68">
        <v>33.738700000000001</v>
      </c>
      <c r="D85" s="68">
        <v>2</v>
      </c>
      <c r="E85" s="68" t="s">
        <v>438</v>
      </c>
    </row>
    <row r="86" spans="1:5">
      <c r="A86" s="68">
        <v>0.16750399999999999</v>
      </c>
      <c r="B86" s="68">
        <v>0.56901999999999997</v>
      </c>
      <c r="C86" s="68">
        <v>34.140700000000002</v>
      </c>
      <c r="D86" s="68">
        <v>2</v>
      </c>
      <c r="E86" s="68" t="s">
        <v>439</v>
      </c>
    </row>
    <row r="87" spans="1:5">
      <c r="A87" s="68">
        <v>0.16414899999999999</v>
      </c>
      <c r="B87" s="68">
        <v>0.57345000000000002</v>
      </c>
      <c r="C87" s="68">
        <v>34.551600000000001</v>
      </c>
      <c r="D87" s="68">
        <v>2</v>
      </c>
      <c r="E87" s="68" t="s">
        <v>440</v>
      </c>
    </row>
    <row r="88" spans="1:5">
      <c r="A88" s="68">
        <v>0.16083800000000001</v>
      </c>
      <c r="B88" s="68">
        <v>0.57753299999999996</v>
      </c>
      <c r="C88" s="68">
        <v>34.954700000000003</v>
      </c>
      <c r="D88" s="68">
        <v>2</v>
      </c>
      <c r="E88" s="68" t="s">
        <v>441</v>
      </c>
    </row>
    <row r="89" spans="1:5">
      <c r="A89" s="68">
        <v>0.15748899999999999</v>
      </c>
      <c r="B89" s="68">
        <v>0.58181899999999998</v>
      </c>
      <c r="C89" s="68">
        <v>35.361400000000003</v>
      </c>
      <c r="D89" s="68">
        <v>2</v>
      </c>
      <c r="E89" s="68" t="s">
        <v>442</v>
      </c>
    </row>
    <row r="90" spans="1:5">
      <c r="A90" s="68">
        <v>0.15393899999999999</v>
      </c>
      <c r="B90" s="68">
        <v>0.587171</v>
      </c>
      <c r="C90" s="68">
        <v>35.767299999999999</v>
      </c>
      <c r="D90" s="68">
        <v>2</v>
      </c>
      <c r="E90" s="68" t="s">
        <v>443</v>
      </c>
    </row>
    <row r="91" spans="1:5">
      <c r="A91" s="68">
        <v>0.15049699999999999</v>
      </c>
      <c r="B91" s="68">
        <v>0.59293600000000002</v>
      </c>
      <c r="C91" s="68">
        <v>36.1723</v>
      </c>
      <c r="D91" s="68">
        <v>2</v>
      </c>
      <c r="E91" s="68" t="s">
        <v>444</v>
      </c>
    </row>
    <row r="92" spans="1:5">
      <c r="A92" s="68">
        <v>0.14730599999999999</v>
      </c>
      <c r="B92" s="68">
        <v>0.59852099999999997</v>
      </c>
      <c r="C92" s="68">
        <v>36.5792</v>
      </c>
      <c r="D92" s="68">
        <v>2</v>
      </c>
      <c r="E92" s="68" t="s">
        <v>445</v>
      </c>
    </row>
    <row r="93" spans="1:5">
      <c r="A93" s="68">
        <v>0.144233</v>
      </c>
      <c r="B93" s="68">
        <v>0.60443800000000003</v>
      </c>
      <c r="C93" s="68">
        <v>36.989100000000001</v>
      </c>
      <c r="D93" s="68">
        <v>2</v>
      </c>
      <c r="E93" s="68" t="s">
        <v>446</v>
      </c>
    </row>
    <row r="94" spans="1:5">
      <c r="A94" s="68">
        <v>0.14139299999999999</v>
      </c>
      <c r="B94" s="68">
        <v>0.610317</v>
      </c>
      <c r="C94" s="68">
        <v>37.394100000000002</v>
      </c>
      <c r="D94" s="68">
        <v>2</v>
      </c>
      <c r="E94" s="68" t="s">
        <v>447</v>
      </c>
    </row>
    <row r="95" spans="1:5">
      <c r="A95" s="68">
        <v>0.13853499999999999</v>
      </c>
      <c r="B95" s="68">
        <v>0.61695299999999997</v>
      </c>
      <c r="C95" s="68">
        <v>37.798900000000003</v>
      </c>
      <c r="D95" s="68">
        <v>2</v>
      </c>
      <c r="E95" s="68" t="s">
        <v>448</v>
      </c>
    </row>
    <row r="96" spans="1:5">
      <c r="A96" s="68">
        <v>0.135906</v>
      </c>
      <c r="B96" s="68">
        <v>0.622834</v>
      </c>
      <c r="C96" s="68">
        <v>38.205800000000004</v>
      </c>
      <c r="D96" s="68">
        <v>2</v>
      </c>
      <c r="E96" s="68" t="s">
        <v>449</v>
      </c>
    </row>
    <row r="97" spans="1:5">
      <c r="A97" s="68">
        <v>0.13348399999999999</v>
      </c>
      <c r="B97" s="68">
        <v>0.62807000000000002</v>
      </c>
      <c r="C97" s="68">
        <v>38.609900000000003</v>
      </c>
      <c r="D97" s="68">
        <v>2</v>
      </c>
      <c r="E97" s="68" t="s">
        <v>450</v>
      </c>
    </row>
    <row r="98" spans="1:5">
      <c r="A98" s="68">
        <v>0.13165499999999999</v>
      </c>
      <c r="B98" s="68">
        <v>0.63222699999999998</v>
      </c>
      <c r="C98" s="68">
        <v>39.0167</v>
      </c>
      <c r="D98" s="68">
        <v>2</v>
      </c>
      <c r="E98" s="68" t="s">
        <v>451</v>
      </c>
    </row>
    <row r="99" spans="1:5">
      <c r="A99" s="68">
        <v>0.13041700000000001</v>
      </c>
      <c r="B99" s="68">
        <v>0.63494899999999999</v>
      </c>
      <c r="C99" s="68">
        <v>39.424599999999998</v>
      </c>
      <c r="D99" s="68">
        <v>2</v>
      </c>
      <c r="E99" s="68" t="s">
        <v>452</v>
      </c>
    </row>
    <row r="100" spans="1:5">
      <c r="A100" s="68">
        <v>0.13008900000000001</v>
      </c>
      <c r="B100" s="68">
        <v>0.63539800000000002</v>
      </c>
      <c r="C100" s="68">
        <v>39.8324</v>
      </c>
      <c r="D100" s="68">
        <v>2</v>
      </c>
      <c r="E100" s="68" t="s">
        <v>453</v>
      </c>
    </row>
    <row r="101" spans="1:5">
      <c r="A101" s="68">
        <v>0.13048999999999999</v>
      </c>
      <c r="B101" s="68">
        <v>0.63320600000000005</v>
      </c>
      <c r="C101" s="68">
        <v>40.235300000000002</v>
      </c>
      <c r="D101" s="68">
        <v>2</v>
      </c>
      <c r="E101" s="68" t="s">
        <v>454</v>
      </c>
    </row>
    <row r="102" spans="1:5">
      <c r="A102" s="68">
        <v>0.13150200000000001</v>
      </c>
      <c r="B102" s="68">
        <v>0.628938</v>
      </c>
      <c r="C102" s="68">
        <v>40.641500000000001</v>
      </c>
      <c r="D102" s="68">
        <v>2</v>
      </c>
      <c r="E102" s="68" t="s">
        <v>455</v>
      </c>
    </row>
    <row r="103" spans="1:5">
      <c r="A103" s="68">
        <v>0.13272600000000001</v>
      </c>
      <c r="B103" s="68">
        <v>0.62403900000000001</v>
      </c>
      <c r="C103" s="68">
        <v>41.050199999999997</v>
      </c>
      <c r="D103" s="68">
        <v>2</v>
      </c>
      <c r="E103" s="68" t="s">
        <v>456</v>
      </c>
    </row>
    <row r="104" spans="1:5">
      <c r="A104" s="68">
        <v>0.134572</v>
      </c>
      <c r="B104" s="68">
        <v>0.61754600000000004</v>
      </c>
      <c r="C104" s="68">
        <v>41.456099999999999</v>
      </c>
      <c r="D104" s="68">
        <v>2</v>
      </c>
      <c r="E104" s="68" t="s">
        <v>457</v>
      </c>
    </row>
    <row r="105" spans="1:5">
      <c r="A105" s="68">
        <v>0.13642899999999999</v>
      </c>
      <c r="B105" s="68">
        <v>0.61173100000000002</v>
      </c>
      <c r="C105" s="68">
        <v>41.862099999999998</v>
      </c>
      <c r="D105" s="68">
        <v>2</v>
      </c>
      <c r="E105" s="68" t="s">
        <v>458</v>
      </c>
    </row>
    <row r="106" spans="1:5">
      <c r="A106" s="68">
        <v>0.13833999999999999</v>
      </c>
      <c r="B106" s="68">
        <v>0.60628300000000002</v>
      </c>
      <c r="C106" s="68">
        <v>42.268000000000001</v>
      </c>
      <c r="D106" s="68">
        <v>2</v>
      </c>
      <c r="E106" s="68" t="s">
        <v>459</v>
      </c>
    </row>
    <row r="107" spans="1:5">
      <c r="A107" s="68">
        <v>0.14028399999999999</v>
      </c>
      <c r="B107" s="68">
        <v>0.60139799999999999</v>
      </c>
      <c r="C107" s="68">
        <v>42.672899999999998</v>
      </c>
      <c r="D107" s="68">
        <v>2</v>
      </c>
      <c r="E107" s="68" t="s">
        <v>460</v>
      </c>
    </row>
    <row r="108" spans="1:5">
      <c r="A108" s="68">
        <v>0.14211599999999999</v>
      </c>
      <c r="B108" s="68">
        <v>0.59707900000000003</v>
      </c>
      <c r="C108" s="68">
        <v>43.0839</v>
      </c>
      <c r="D108" s="68">
        <v>2</v>
      </c>
      <c r="E108" s="68" t="s">
        <v>461</v>
      </c>
    </row>
    <row r="109" spans="1:5">
      <c r="A109" s="68">
        <v>0.14412</v>
      </c>
      <c r="B109" s="68">
        <v>0.59226699999999999</v>
      </c>
      <c r="C109" s="68">
        <v>43.488199999999999</v>
      </c>
      <c r="D109" s="68">
        <v>2</v>
      </c>
      <c r="E109" s="68" t="s">
        <v>462</v>
      </c>
    </row>
    <row r="110" spans="1:5">
      <c r="A110" s="68">
        <v>0.14669099999999999</v>
      </c>
      <c r="B110" s="68">
        <v>0.58609900000000004</v>
      </c>
      <c r="C110" s="68">
        <v>43.896599999999999</v>
      </c>
      <c r="D110" s="68">
        <v>2</v>
      </c>
      <c r="E110" s="68" t="s">
        <v>463</v>
      </c>
    </row>
    <row r="111" spans="1:5">
      <c r="A111" s="68">
        <v>0.14963000000000001</v>
      </c>
      <c r="B111" s="68">
        <v>0.579318</v>
      </c>
      <c r="C111" s="68">
        <v>44.298499999999997</v>
      </c>
      <c r="D111" s="68">
        <v>2</v>
      </c>
      <c r="E111" s="68" t="s">
        <v>464</v>
      </c>
    </row>
    <row r="112" spans="1:5">
      <c r="A112" s="68">
        <v>0.15323100000000001</v>
      </c>
      <c r="B112" s="68">
        <v>0.57079899999999995</v>
      </c>
      <c r="C112" s="68">
        <v>44.704799999999999</v>
      </c>
      <c r="D112" s="68">
        <v>2</v>
      </c>
      <c r="E112" s="68" t="s">
        <v>465</v>
      </c>
    </row>
    <row r="113" spans="1:5">
      <c r="A113" s="68">
        <v>0.15712100000000001</v>
      </c>
      <c r="B113" s="68">
        <v>0.56264400000000003</v>
      </c>
      <c r="C113" s="68">
        <v>45.111400000000003</v>
      </c>
      <c r="D113" s="68">
        <v>2</v>
      </c>
      <c r="E113" s="68" t="s">
        <v>466</v>
      </c>
    </row>
    <row r="114" spans="1:5">
      <c r="A114" s="68">
        <v>0.16100200000000001</v>
      </c>
      <c r="B114" s="68">
        <v>0.55527700000000002</v>
      </c>
      <c r="C114" s="68">
        <v>45.519300000000001</v>
      </c>
      <c r="D114" s="68">
        <v>2</v>
      </c>
      <c r="E114" s="68" t="s">
        <v>467</v>
      </c>
    </row>
    <row r="115" spans="1:5">
      <c r="A115" s="68">
        <v>0.16484199999999999</v>
      </c>
      <c r="B115" s="68">
        <v>0.549014</v>
      </c>
      <c r="C115" s="68">
        <v>45.926099999999998</v>
      </c>
      <c r="D115" s="68">
        <v>2</v>
      </c>
      <c r="E115" s="68" t="s">
        <v>468</v>
      </c>
    </row>
    <row r="116" spans="1:5">
      <c r="A116" s="68">
        <v>0.168685</v>
      </c>
      <c r="B116" s="68">
        <v>0.54307700000000003</v>
      </c>
      <c r="C116" s="68">
        <v>46.331000000000003</v>
      </c>
      <c r="D116" s="68">
        <v>2</v>
      </c>
      <c r="E116" s="68" t="s">
        <v>469</v>
      </c>
    </row>
    <row r="117" spans="1:5">
      <c r="A117" s="68">
        <v>0.17225499999999999</v>
      </c>
      <c r="B117" s="68">
        <v>0.53803000000000001</v>
      </c>
      <c r="C117" s="68">
        <v>46.737200000000001</v>
      </c>
      <c r="D117" s="68">
        <v>2</v>
      </c>
      <c r="E117" s="68" t="s">
        <v>470</v>
      </c>
    </row>
    <row r="118" spans="1:5">
      <c r="A118" s="68">
        <v>0.175511</v>
      </c>
      <c r="B118" s="68">
        <v>0.53360200000000002</v>
      </c>
      <c r="C118" s="68">
        <v>47.140799999999999</v>
      </c>
      <c r="D118" s="68">
        <v>2</v>
      </c>
      <c r="E118" s="68" t="s">
        <v>471</v>
      </c>
    </row>
    <row r="119" spans="1:5">
      <c r="A119" s="68">
        <v>0.17885499999999999</v>
      </c>
      <c r="B119" s="68">
        <v>0.52884799999999998</v>
      </c>
      <c r="C119" s="68">
        <v>47.550800000000002</v>
      </c>
      <c r="D119" s="68">
        <v>2</v>
      </c>
      <c r="E119" s="68" t="s">
        <v>472</v>
      </c>
    </row>
    <row r="120" spans="1:5">
      <c r="A120" s="68">
        <v>0.18243400000000001</v>
      </c>
      <c r="B120" s="68">
        <v>0.52354599999999996</v>
      </c>
      <c r="C120" s="68">
        <v>47.957700000000003</v>
      </c>
      <c r="D120" s="68">
        <v>2</v>
      </c>
      <c r="E120" s="68" t="s">
        <v>473</v>
      </c>
    </row>
    <row r="121" spans="1:5">
      <c r="A121" s="68">
        <v>0.18567</v>
      </c>
      <c r="B121" s="68">
        <v>0.51920100000000002</v>
      </c>
      <c r="C121" s="68">
        <v>48.360700000000001</v>
      </c>
      <c r="D121" s="68">
        <v>2</v>
      </c>
      <c r="E121" s="68" t="s">
        <v>474</v>
      </c>
    </row>
    <row r="122" spans="1:5">
      <c r="A122" s="68">
        <v>0.18876399999999999</v>
      </c>
      <c r="B122" s="68">
        <v>0.51492499999999997</v>
      </c>
      <c r="C122" s="68">
        <v>48.767899999999997</v>
      </c>
      <c r="D122" s="68">
        <v>2</v>
      </c>
      <c r="E122" s="68" t="s">
        <v>475</v>
      </c>
    </row>
    <row r="123" spans="1:5">
      <c r="A123" s="68">
        <v>0.19201099999999999</v>
      </c>
      <c r="B123" s="68">
        <v>0.50973199999999996</v>
      </c>
      <c r="C123" s="68">
        <v>49.174500000000002</v>
      </c>
      <c r="D123" s="68">
        <v>2</v>
      </c>
      <c r="E123" s="68" t="s">
        <v>476</v>
      </c>
    </row>
    <row r="124" spans="1:5">
      <c r="A124" s="68">
        <v>0.19536400000000001</v>
      </c>
      <c r="B124" s="68">
        <v>0.504803</v>
      </c>
      <c r="C124" s="68">
        <v>49.5794</v>
      </c>
      <c r="D124" s="68">
        <v>2</v>
      </c>
      <c r="E124" s="68" t="s">
        <v>477</v>
      </c>
    </row>
    <row r="125" spans="1:5">
      <c r="A125" s="68">
        <v>0.19839300000000001</v>
      </c>
      <c r="B125" s="68">
        <v>0.49995899999999999</v>
      </c>
      <c r="C125" s="68">
        <v>49.9893</v>
      </c>
      <c r="D125" s="68">
        <v>2</v>
      </c>
      <c r="E125" s="68" t="s">
        <v>478</v>
      </c>
    </row>
    <row r="126" spans="1:5">
      <c r="A126" s="68">
        <v>0.20024600000000001</v>
      </c>
      <c r="B126" s="68">
        <v>0.49686200000000003</v>
      </c>
      <c r="C126" s="68">
        <v>50.392299999999999</v>
      </c>
      <c r="D126" s="68">
        <v>2</v>
      </c>
      <c r="E126" s="68" t="s">
        <v>479</v>
      </c>
    </row>
    <row r="127" spans="1:5">
      <c r="A127" s="68">
        <v>0.201409</v>
      </c>
      <c r="B127" s="68">
        <v>0.495587</v>
      </c>
      <c r="C127" s="68">
        <v>50.798099999999998</v>
      </c>
      <c r="D127" s="68">
        <v>2</v>
      </c>
      <c r="E127" s="68" t="s">
        <v>480</v>
      </c>
    </row>
    <row r="128" spans="1:5">
      <c r="A128" s="68">
        <v>0.20268600000000001</v>
      </c>
      <c r="B128" s="68">
        <v>0.49440499999999998</v>
      </c>
      <c r="C128" s="68">
        <v>51.207999999999998</v>
      </c>
      <c r="D128" s="68">
        <v>2</v>
      </c>
      <c r="E128" s="68" t="s">
        <v>481</v>
      </c>
    </row>
    <row r="129" spans="1:5">
      <c r="A129" s="68">
        <v>0.20402200000000001</v>
      </c>
      <c r="B129" s="68">
        <v>0.49331199999999997</v>
      </c>
      <c r="C129" s="68">
        <v>51.610999999999997</v>
      </c>
      <c r="D129" s="68">
        <v>2</v>
      </c>
      <c r="E129" s="68" t="s">
        <v>482</v>
      </c>
    </row>
    <row r="130" spans="1:5">
      <c r="A130" s="68">
        <v>0.205481</v>
      </c>
      <c r="B130" s="68">
        <v>0.49217899999999998</v>
      </c>
      <c r="C130" s="68">
        <v>52.017899999999997</v>
      </c>
      <c r="D130" s="68">
        <v>2</v>
      </c>
      <c r="E130" s="68" t="s">
        <v>483</v>
      </c>
    </row>
    <row r="131" spans="1:5">
      <c r="A131" s="68">
        <v>0.20710400000000001</v>
      </c>
      <c r="B131" s="68">
        <v>0.49080400000000002</v>
      </c>
      <c r="C131" s="68">
        <v>52.422800000000002</v>
      </c>
      <c r="D131" s="68">
        <v>2</v>
      </c>
      <c r="E131" s="68" t="s">
        <v>484</v>
      </c>
    </row>
    <row r="132" spans="1:5">
      <c r="A132" s="68">
        <v>0.208922</v>
      </c>
      <c r="B132" s="68">
        <v>0.489209</v>
      </c>
      <c r="C132" s="68">
        <v>52.828699999999998</v>
      </c>
      <c r="D132" s="68">
        <v>2</v>
      </c>
      <c r="E132" s="68" t="s">
        <v>485</v>
      </c>
    </row>
    <row r="133" spans="1:5">
      <c r="A133" s="68">
        <v>0.21083499999999999</v>
      </c>
      <c r="B133" s="68">
        <v>0.48761900000000002</v>
      </c>
      <c r="C133" s="68">
        <v>53.235700000000001</v>
      </c>
      <c r="D133" s="68">
        <v>2</v>
      </c>
      <c r="E133" s="68" t="s">
        <v>486</v>
      </c>
    </row>
    <row r="134" spans="1:5">
      <c r="A134" s="68">
        <v>0.212758</v>
      </c>
      <c r="B134" s="68">
        <v>0.48615599999999998</v>
      </c>
      <c r="C134" s="68">
        <v>53.646500000000003</v>
      </c>
      <c r="D134" s="68">
        <v>2</v>
      </c>
      <c r="E134" s="68" t="s">
        <v>487</v>
      </c>
    </row>
    <row r="135" spans="1:5">
      <c r="A135" s="68">
        <v>0.214556</v>
      </c>
      <c r="B135" s="68">
        <v>0.484981</v>
      </c>
      <c r="C135" s="68">
        <v>54.052399999999999</v>
      </c>
      <c r="D135" s="68">
        <v>2</v>
      </c>
      <c r="E135" s="68" t="s">
        <v>488</v>
      </c>
    </row>
    <row r="136" spans="1:5">
      <c r="A136" s="68">
        <v>0.21634300000000001</v>
      </c>
      <c r="B136" s="68">
        <v>0.48382199999999997</v>
      </c>
      <c r="C136" s="68">
        <v>54.4574</v>
      </c>
      <c r="D136" s="68">
        <v>2</v>
      </c>
      <c r="E136" s="68" t="s">
        <v>489</v>
      </c>
    </row>
    <row r="137" spans="1:5">
      <c r="A137" s="68">
        <v>0.21773799999999999</v>
      </c>
      <c r="B137" s="68">
        <v>0.48282399999999998</v>
      </c>
      <c r="C137" s="68">
        <v>54.859200000000001</v>
      </c>
      <c r="D137" s="68">
        <v>2</v>
      </c>
      <c r="E137" s="68" t="s">
        <v>490</v>
      </c>
    </row>
    <row r="138" spans="1:5">
      <c r="A138" s="68">
        <v>0.21901000000000001</v>
      </c>
      <c r="B138" s="68">
        <v>0.48179</v>
      </c>
      <c r="C138" s="68">
        <v>55.269100000000002</v>
      </c>
      <c r="D138" s="68">
        <v>2</v>
      </c>
      <c r="E138" s="68" t="s">
        <v>491</v>
      </c>
    </row>
    <row r="139" spans="1:5">
      <c r="A139" s="68">
        <v>0.22032299999999999</v>
      </c>
      <c r="B139" s="68">
        <v>0.48076099999999999</v>
      </c>
      <c r="C139" s="68">
        <v>55.678100000000001</v>
      </c>
      <c r="D139" s="68">
        <v>2</v>
      </c>
      <c r="E139" s="68" t="s">
        <v>492</v>
      </c>
    </row>
    <row r="140" spans="1:5">
      <c r="A140" s="68">
        <v>0.22176100000000001</v>
      </c>
      <c r="B140" s="68">
        <v>0.47956599999999999</v>
      </c>
      <c r="C140" s="68">
        <v>56.082099999999997</v>
      </c>
      <c r="D140" s="68">
        <v>2</v>
      </c>
      <c r="E140" s="68" t="s">
        <v>493</v>
      </c>
    </row>
    <row r="141" spans="1:5">
      <c r="A141" s="68">
        <v>0.22301000000000001</v>
      </c>
      <c r="B141" s="68">
        <v>0.47806500000000002</v>
      </c>
      <c r="C141" s="68">
        <v>56.486899999999999</v>
      </c>
      <c r="D141" s="68">
        <v>2</v>
      </c>
      <c r="E141" s="68" t="s">
        <v>494</v>
      </c>
    </row>
    <row r="142" spans="1:5">
      <c r="A142" s="68">
        <v>0.22456400000000001</v>
      </c>
      <c r="B142" s="68">
        <v>0.47622700000000001</v>
      </c>
      <c r="C142" s="68">
        <v>56.8919</v>
      </c>
      <c r="D142" s="68">
        <v>2</v>
      </c>
      <c r="E142" s="68" t="s">
        <v>495</v>
      </c>
    </row>
    <row r="143" spans="1:5">
      <c r="A143" s="68">
        <v>0.226436</v>
      </c>
      <c r="B143" s="68">
        <v>0.47379399999999999</v>
      </c>
      <c r="C143" s="68">
        <v>57.299799999999998</v>
      </c>
      <c r="D143" s="68">
        <v>2</v>
      </c>
      <c r="E143" s="68" t="s">
        <v>496</v>
      </c>
    </row>
    <row r="144" spans="1:5">
      <c r="A144" s="68">
        <v>0.22822899999999999</v>
      </c>
      <c r="B144" s="68">
        <v>0.47145300000000001</v>
      </c>
      <c r="C144" s="68">
        <v>57.707599999999999</v>
      </c>
      <c r="D144" s="68">
        <v>2</v>
      </c>
      <c r="E144" s="68" t="s">
        <v>497</v>
      </c>
    </row>
    <row r="145" spans="1:5">
      <c r="A145" s="68">
        <v>0.22947999999999999</v>
      </c>
      <c r="B145" s="68">
        <v>0.46937200000000001</v>
      </c>
      <c r="C145" s="68">
        <v>58.114600000000003</v>
      </c>
      <c r="D145" s="68">
        <v>2</v>
      </c>
      <c r="E145" s="68" t="s">
        <v>498</v>
      </c>
    </row>
    <row r="146" spans="1:5">
      <c r="A146" s="68">
        <v>0.23153099999999999</v>
      </c>
      <c r="B146" s="68">
        <v>0.46683400000000003</v>
      </c>
      <c r="C146" s="68">
        <v>58.5184</v>
      </c>
      <c r="D146" s="68">
        <v>2</v>
      </c>
      <c r="E146" s="68" t="s">
        <v>499</v>
      </c>
    </row>
    <row r="147" spans="1:5">
      <c r="A147" s="68">
        <v>0.23410800000000001</v>
      </c>
      <c r="B147" s="68">
        <v>0.46529399999999999</v>
      </c>
      <c r="C147" s="68">
        <v>58.923499999999997</v>
      </c>
      <c r="D147" s="68">
        <v>2</v>
      </c>
      <c r="E147" s="68" t="s">
        <v>500</v>
      </c>
    </row>
    <row r="148" spans="1:5">
      <c r="A148" s="68">
        <v>0.23516899999999999</v>
      </c>
      <c r="B148" s="68">
        <v>0.46483200000000002</v>
      </c>
      <c r="C148" s="68">
        <v>59.3307</v>
      </c>
      <c r="D148" s="68">
        <v>2</v>
      </c>
      <c r="E148" s="68" t="s">
        <v>501</v>
      </c>
    </row>
    <row r="149" spans="1:5">
      <c r="A149" s="68">
        <v>0.235537</v>
      </c>
      <c r="B149" s="68">
        <v>0.46298800000000001</v>
      </c>
      <c r="C149" s="68">
        <v>59.739199999999997</v>
      </c>
      <c r="D149" s="68">
        <v>2</v>
      </c>
      <c r="E149" s="68" t="s">
        <v>502</v>
      </c>
    </row>
    <row r="150" spans="1:5">
      <c r="A150" s="68">
        <v>0.23649400000000001</v>
      </c>
      <c r="B150" s="68">
        <v>0.46077400000000002</v>
      </c>
      <c r="C150" s="32">
        <v>60.145099999999999</v>
      </c>
      <c r="D150" s="32">
        <v>2</v>
      </c>
      <c r="E150" s="32" t="s">
        <v>503</v>
      </c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352</v>
      </c>
      <c r="B1" s="66" t="s">
        <v>504</v>
      </c>
      <c r="C1" s="66" t="s">
        <v>506</v>
      </c>
      <c r="D1" s="66" t="s">
        <v>507</v>
      </c>
      <c r="E1" s="66" t="s">
        <v>508</v>
      </c>
      <c r="F1" s="66" t="s">
        <v>509</v>
      </c>
      <c r="G1" s="66" t="s">
        <v>510</v>
      </c>
      <c r="H1" s="66" t="s">
        <v>511</v>
      </c>
      <c r="I1" s="66" t="s">
        <v>512</v>
      </c>
      <c r="J1" s="66" t="s">
        <v>513</v>
      </c>
      <c r="K1" s="66" t="s">
        <v>514</v>
      </c>
      <c r="L1" s="66" t="s">
        <v>515</v>
      </c>
      <c r="M1" s="66" t="s">
        <v>516</v>
      </c>
      <c r="N1" s="66"/>
    </row>
    <row r="2" spans="1:14">
      <c r="A2" s="75">
        <v>43607.408009259256</v>
      </c>
      <c r="B2" s="66" t="s">
        <v>505</v>
      </c>
      <c r="C2" s="66"/>
      <c r="D2" s="66"/>
      <c r="E2" s="66">
        <v>4.9234099999999996</v>
      </c>
      <c r="F2" s="66">
        <v>0.90333300000000005</v>
      </c>
      <c r="G2" s="66">
        <v>0.486153</v>
      </c>
      <c r="H2" s="66">
        <v>0</v>
      </c>
      <c r="I2" s="66">
        <v>56504</v>
      </c>
      <c r="J2" s="66">
        <v>29</v>
      </c>
      <c r="K2" s="66">
        <v>29</v>
      </c>
      <c r="L2" s="66">
        <v>0</v>
      </c>
      <c r="M2" s="66" t="s">
        <v>517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2019-05-22T01:48:54Z</cp:lastPrinted>
  <dcterms:created xsi:type="dcterms:W3CDTF">2010-10-29T12:53:05Z</dcterms:created>
  <dcterms:modified xsi:type="dcterms:W3CDTF">2019-05-22T01:49:17Z</dcterms:modified>
</cp:coreProperties>
</file>