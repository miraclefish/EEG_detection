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H19" i="23"/>
  <c r="AH18" i="23"/>
  <c r="AF19" i="23"/>
  <c r="N7" i="23"/>
  <c r="AG18" i="23" l="1"/>
  <c r="Z17" i="23"/>
  <c r="X19" i="23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<sst xmlns="http://schemas.openxmlformats.org/spreadsheetml/2006/main" count="701" uniqueCount="625">
  <si>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</si>
  <si>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</si>
  <si>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</si>
  <si>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</si>
  <si>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</si>
  <si>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</si>
  <si>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</si>
  <si>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</si>
  <si>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</si>
  <si>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</si>
  <si>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</si>
  <si>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</si>
  <si>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</si>
  <si>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</si>
  <si>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</si>
  <si>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</si>
  <si>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</si>
  <si>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</si>
  <si>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</si>
  <si>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</si>
  <si>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</si>
  <si>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</si>
  <si>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</si>
  <si>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</si>
  <si>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</si>
  <si>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</si>
  <si>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</si>
  <si>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</si>
  <si>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</si>
  <si>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</si>
  <si>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</si>
  <si>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</si>
  <si>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</si>
  <si>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</si>
  <si>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</si>
  <si>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</si>
  <si>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</si>
  <si>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</si>
  <si>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</si>
  <si>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</si>
  <si>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</si>
  <si>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</si>
  <si>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</si>
  <si>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</si>
  <si>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</si>
  <si>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</si>
  <si>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</si>
  <si>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</si>
  <si>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</si>
  <si>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</si>
  <si>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</si>
  <si>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</si>
  <si>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</si>
  <si>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</si>
  <si>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</si>
  <si>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</si>
  <si>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</si>
  <si>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</si>
  <si>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</si>
  <si>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</si>
  <si>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</si>
  <si>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</si>
  <si>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</si>
  <si>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</si>
  <si>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</si>
  <si>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</si>
  <si>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</si>
  <si>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</si>
  <si>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</si>
  <si>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</si>
  <si>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</si>
  <si>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</si>
  <si>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</si>
  <si>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</si>
  <si>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</si>
  <si>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</si>
  <si>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</si>
  <si>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</si>
  <si>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</si>
  <si>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</si>
  <si>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</si>
  <si>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</si>
  <si>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</si>
  <si>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</si>
  <si>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</si>
  <si>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</si>
  <si>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</si>
  <si>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</si>
  <si>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</si>
  <si>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</si>
  <si>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</si>
  <si>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</si>
  <si>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</si>
  <si>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</si>
  <si>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</si>
  <si>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</si>
  <si>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</si>
  <si>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</si>
  <si>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</si>
  <si>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</si>
  <si>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</si>
  <si>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</si>
  <si>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</si>
  <si>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</si>
  <si>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</si>
  <si>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</si>
  <si>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</si>
  <si>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</si>
  <si>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</si>
  <si>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</si>
  <si>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</si>
  <si>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</si>
  <si>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</si>
  <si>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</si>
  <si>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</si>
  <si>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</si>
  <si>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</si>
  <si>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</si>
  <si>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</si>
  <si>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</si>
  <si>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</si>
  <si>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</si>
  <si>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</si>
  <si>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</si>
  <si>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</si>
  <si>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</si>
  <si>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</si>
  <si>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</si>
  <si>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</si>
  <si>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</si>
  <si>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</si>
  <si>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</si>
  <si>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</si>
  <si>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</si>
  <si>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</si>
  <si>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</si>
  <si>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</si>
  <si>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</si>
  <si>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</si>
  <si>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</si>
  <si>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</si>
  <si>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</si>
  <si>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</si>
  <si>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</si>
  <si>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</si>
  <si>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</si>
  <si>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</si>
  <si>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</si>
  <si>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</si>
  <si>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</si>
  <si>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</si>
  <si>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</si>
  <si>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</si>
  <si>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</si>
  <si>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</si>
  <si>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</si>
  <si>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</si>
  <si>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</si>
  <si>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</si>
  <si>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</si>
  <si>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</si>
  <si>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</si>
  <si>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</si>
  <si>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</si>
  <si>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</si>
  <si>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</si>
  <si>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</si>
  <si>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</si>
  <si>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</si>
  <si>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</si>
  <si>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</si>
  <si>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</si>
  <si>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</si>
  <si>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</si>
  <si>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</si>
  <si>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</si>
  <si>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</si>
  <si>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</si>
  <si>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</si>
  <si>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</si>
  <si>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</si>
  <si>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</si>
  <si>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</si>
  <si>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</si>
  <si>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</si>
  <si>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</si>
  <si>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</si>
  <si>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</si>
  <si>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</si>
  <si>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</si>
  <si>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</si>
  <si>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</si>
  <si>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</si>
  <si>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</si>
  <si>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</si>
  <si>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</si>
  <si>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</si>
  <si>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</si>
  <si>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</si>
  <si>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</si>
  <si>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</si>
  <si>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</si>
  <si>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</si>
  <si>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</si>
  <si>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</si>
  <si>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</si>
  <si>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</si>
  <si>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</si>
  <si>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</si>
  <si>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</si>
  <si>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</si>
  <si>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</si>
  <si>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</si>
  <si>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</si>
  <si>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</si>
  <si>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</si>
  <si>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</si>
  <si>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</si>
  <si>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</si>
  <si>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</si>
  <si>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</si>
  <si>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</si>
  <si>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</si>
  <si>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</si>
  <si>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</si>
  <si>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</si>
  <si>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</si>
  <si>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</si>
  <si>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</si>
  <si>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</si>
  <si>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</si>
  <si>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</si>
  <si>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</si>
  <si>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</si>
  <si>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</si>
  <si>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</si>
  <si>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</si>
  <si>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</si>
  <si>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</si>
  <si>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</si>
  <si>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</si>
  <si>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</si>
  <si>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</si>
  <si>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</si>
  <si>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</si>
  <si>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</si>
  <si>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</si>
  <si>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</si>
  <si>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</si>
  <si>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</si>
  <si>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</si>
  <si>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</si>
  <si>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</si>
  <si>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</si>
  <si>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</si>
  <si>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</si>
  <si>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</si>
  <si>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</si>
  <si>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</si>
  <si>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</si>
  <si>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</si>
  <si>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</si>
  <si>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</si>
  <si>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</si>
  <si>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</si>
  <si>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</si>
  <si>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</si>
  <si>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</si>
  <si>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</si>
  <si>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</si>
  <si>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</si>
  <si>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</si>
  <si>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</si>
  <si>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</si>
  <si>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</si>
  <si>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</si>
  <si>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</si>
  <si>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</si>
  <si>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</si>
  <si>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</si>
  <si>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</si>
  <si>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</si>
  <si>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</si>
  <si>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</si>
  <si>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</si>
  <si>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</si>
  <si>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</si>
  <si>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</si>
  <si>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</si>
  <si>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</si>
  <si>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</si>
  <si>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</si>
  <si>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</si>
  <si>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</si>
  <si>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</si>
  <si>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</si>
  <si>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</si>
  <si>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</si>
  <si>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</si>
  <si>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</si>
  <si>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</si>
  <si>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</si>
  <si>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</si>
  <si>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</si>
  <si>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</si>
  <si>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</si>
  <si>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</si>
  <si>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</si>
  <si>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</si>
  <si>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</si>
  <si>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</si>
  <si>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</si>
  <si>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</si>
  <si>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</si>
  <si>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</si>
  <si>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</si>
  <si>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</si>
  <si>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</si>
  <si>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</si>
  <si>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</si>
  <si>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</si>
  <si>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</si>
  <si>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</si>
  <si>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</si>
  <si>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</si>
  <si>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</si>
  <si>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</si>
  <si>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</si>
  <si>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</si>
  <si>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</si>
  <si>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</si>
  <si>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</si>
  <si>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</si>
  <si>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</si>
  <si>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</si>
  <si>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</si>
  <si>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</si>
  <si>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</si>
  <si>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</si>
  <si>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</si>
  <si>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</si>
  <si>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</si>
  <si>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</si>
  <si>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</si>
  <si>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</si>
  <si>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</si>
  <si>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</si>
  <si>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</si>
  <si>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</si>
  <si>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</si>
  <si>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</si>
  <si>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</si>
  <si>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</si>
  <si>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</si>
  <si>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</si>
  <si>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</si>
  <si>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</si>
  <si>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</si>
  <si>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</si>
  <si>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</si>
  <si>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</si>
  <si>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</si>
  <si>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</si>
  <si>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</si>
  <si>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</si>
  <si>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</si>
  <si>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</si>
  <si>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</si>
  <si>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</si>
  <si>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</si>
  <si>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</si>
  <si>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</si>
  <si>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</si>
  <si>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</si>
  <si>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</si>
  <si>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</si>
  <si>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</si>
  <si>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</si>
  <si>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</si>
  <si>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</si>
  <si>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</si>
  <si>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</si>
  <si>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</si>
  <si>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</si>
  <si>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</si>
  <si>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</si>
  <si>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</si>
  <si>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</si>
  <si>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</si>
  <si>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</si>
  <si>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</si>
  <si>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</si>
  <si>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</si>
  <si>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</si>
  <si>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</si>
  <si>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</si>
  <si>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</si>
  <si>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</si>
  <si>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</si>
  <si>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</si>
  <si>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</si>
  <si>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</si>
  <si>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</si>
  <si>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</si>
  <si>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</si>
  <si>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</si>
  <si>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</si>
  <si>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</si>
  <si>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</si>
  <si>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</si>
  <si>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</si>
  <si>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</si>
  <si>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</si>
  <si>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</si>
  <si>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</si>
  <si>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</si>
  <si>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</si>
  <si>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</si>
  <si>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</si>
  <si>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</si>
  <si>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</si>
  <si>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</si>
  <si>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</si>
  <si>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</si>
  <si>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</si>
  <si>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</si>
  <si>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</si>
  <si>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</si>
  <si>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</si>
  <si>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</si>
  <si>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</si>
  <si>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</si>
  <si>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</si>
  <si>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</si>
  <si>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</si>
  <si>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</si>
  <si>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</si>
  <si>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</si>
  <si>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</si>
  <si>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</si>
  <si>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</si>
  <si>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</si>
  <si>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</si>
  <si>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</si>
  <si>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</si>
  <si>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</si>
  <si>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</si>
  <si>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</si>
  <si>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</si>
  <si>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</si>
  <si>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</si>
  <si>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</si>
  <si>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</si>
  <si>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</si>
  <si>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</si>
  <si>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</si>
  <si>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</si>
  <si>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</si>
  <si>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</si>
  <si>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</si>
  <si>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</si>
  <si>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</si>
  <si>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</si>
  <si>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</si>
  <si>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[0.408378]</t>
  </si>
  <si>
    <t>1 [0.812588]</t>
  </si>
  <si>
    <t>1 [1.217385]</t>
  </si>
  <si>
    <t>1 [1.627072]</t>
  </si>
  <si>
    <t>1 [2.028336]</t>
  </si>
  <si>
    <t>1 [2.437958]</t>
  </si>
  <si>
    <t>1 [2.843976]</t>
  </si>
  <si>
    <t>1 [3.252058]</t>
  </si>
  <si>
    <t>1 [3.658255]</t>
  </si>
  <si>
    <t>1 [4.063576]</t>
  </si>
  <si>
    <t>1 [4.465868]</t>
  </si>
  <si>
    <t>1 [4.874353]</t>
  </si>
  <si>
    <t>1 [5.277317]</t>
  </si>
  <si>
    <t>1 [5.688045]</t>
  </si>
  <si>
    <t>1 [6.094548]</t>
  </si>
  <si>
    <t>1 [6.498311]</t>
  </si>
  <si>
    <t>1 [6.903499]</t>
  </si>
  <si>
    <t>1 [7.312967]</t>
  </si>
  <si>
    <t>1 [7.720028]</t>
  </si>
  <si>
    <t>1 [8.124204]</t>
  </si>
  <si>
    <t>1 [8.530058]</t>
  </si>
  <si>
    <t>1 [8.936105]</t>
  </si>
  <si>
    <t>1 [9.344794]</t>
  </si>
  <si>
    <t>1 [9.749493]</t>
  </si>
  <si>
    <t>1 [10.158196]</t>
  </si>
  <si>
    <t>1 [10.562333]</t>
  </si>
  <si>
    <t>1 [10.969417]</t>
  </si>
  <si>
    <t>1 [11.374842]</t>
  </si>
  <si>
    <t>1 [11.783589]</t>
  </si>
  <si>
    <t>1 [12.189924]</t>
  </si>
  <si>
    <t>1 [12.592071]</t>
  </si>
  <si>
    <t>1 [12.998228]</t>
  </si>
  <si>
    <t>1 [13.404975]</t>
  </si>
  <si>
    <t>1 [13.814088]</t>
  </si>
  <si>
    <t>1 [14.219692]</t>
  </si>
  <si>
    <t>1 [14.626955]</t>
  </si>
  <si>
    <t>1 [15.035065]</t>
  </si>
  <si>
    <t>1 [15.440407]</t>
  </si>
  <si>
    <t>1 [15.846578]</t>
  </si>
  <si>
    <t>1 [16.253000]</t>
  </si>
  <si>
    <t>1 [16.657813]</t>
  </si>
  <si>
    <t>1 [17.061812]</t>
  </si>
  <si>
    <t>1 [17.466841]</t>
  </si>
  <si>
    <t>1 [17.876121]</t>
  </si>
  <si>
    <t>1 [18.281570]</t>
  </si>
  <si>
    <t>1 [18.687537]</t>
  </si>
  <si>
    <t>1 [19.093679]</t>
  </si>
  <si>
    <t>1 [19.501985]</t>
  </si>
  <si>
    <t>1 [19.906762]</t>
  </si>
  <si>
    <t>1 [20.313518]</t>
  </si>
  <si>
    <t>1 [20.719157]</t>
  </si>
  <si>
    <t>1 [21.124046]</t>
  </si>
  <si>
    <t>1 [21.531400]</t>
  </si>
  <si>
    <t>1 [21.940314]</t>
  </si>
  <si>
    <t>1 [22.342330]</t>
  </si>
  <si>
    <t>1 [22.750447]</t>
  </si>
  <si>
    <t>1 [23.153211]</t>
  </si>
  <si>
    <t>1 [23.561485]</t>
  </si>
  <si>
    <t>1 [23.969605]</t>
  </si>
  <si>
    <t>1 [24.375865]</t>
  </si>
  <si>
    <t>1 [24.783580]</t>
  </si>
  <si>
    <t>1 [25.187762]</t>
  </si>
  <si>
    <t>1 [25.592124]</t>
  </si>
  <si>
    <t>1 [25.998642]</t>
  </si>
  <si>
    <t>1 [26.407898]</t>
  </si>
  <si>
    <t>1 [26.814470]</t>
  </si>
  <si>
    <t>1 [27.218596]</t>
  </si>
  <si>
    <t>1 [27.624899]</t>
  </si>
  <si>
    <t>1 [28.031768]</t>
  </si>
  <si>
    <t>1 [28.435753]</t>
  </si>
  <si>
    <t>1 [28.845256]</t>
  </si>
  <si>
    <t>1 [29.250257]</t>
  </si>
  <si>
    <t>1 [29.658537]</t>
  </si>
  <si>
    <t>2 [30.063708]</t>
  </si>
  <si>
    <t>2 [30.530085]</t>
  </si>
  <si>
    <t>2 [30.921956]</t>
  </si>
  <si>
    <t>2 [31.329169]</t>
  </si>
  <si>
    <t>2 [31.733702]</t>
  </si>
  <si>
    <t>2 [32.138565]</t>
  </si>
  <si>
    <t>2 [32.547093]</t>
  </si>
  <si>
    <t>2 [32.954443]</t>
  </si>
  <si>
    <t>2 [33.359552]</t>
  </si>
  <si>
    <t>2 [33.763172]</t>
  </si>
  <si>
    <t>2 [34.170916]</t>
  </si>
  <si>
    <t>2 [34.581280]</t>
  </si>
  <si>
    <t>2 [34.985918]</t>
  </si>
  <si>
    <t>2 [35.390697]</t>
  </si>
  <si>
    <t>2 [35.795173]</t>
  </si>
  <si>
    <t>2 [36.201612]</t>
  </si>
  <si>
    <t>2 [36.608517]</t>
  </si>
  <si>
    <t>2 [37.015861]</t>
  </si>
  <si>
    <t>2 [37.422087]</t>
  </si>
  <si>
    <t>2 [37.827917]</t>
  </si>
  <si>
    <t>2 [38.233287]</t>
  </si>
  <si>
    <t>2 [38.640657]</t>
  </si>
  <si>
    <t>2 [39.049499]</t>
  </si>
  <si>
    <t>2 [39.453271]</t>
  </si>
  <si>
    <t>2 [39.858148]</t>
  </si>
  <si>
    <t>2 [40.264425]</t>
  </si>
  <si>
    <t>2 [40.669999]</t>
  </si>
  <si>
    <t>2 [41.080311]</t>
  </si>
  <si>
    <t>2 [41.484435]</t>
  </si>
  <si>
    <t>2 [41.890614]</t>
  </si>
  <si>
    <t>2 [42.296704]</t>
  </si>
  <si>
    <t>2 [42.702784]</t>
  </si>
  <si>
    <t>2 [43.107949]</t>
  </si>
  <si>
    <t>2 [43.515695]</t>
  </si>
  <si>
    <t>2 [43.919820]</t>
  </si>
  <si>
    <t>2 [44.327178]</t>
  </si>
  <si>
    <t>2 [44.733521]</t>
  </si>
  <si>
    <t>2 [45.143484]</t>
  </si>
  <si>
    <t>2 [45.549726]</t>
  </si>
  <si>
    <t>2 [45.953977]</t>
  </si>
  <si>
    <t>2 [46.358261]</t>
  </si>
  <si>
    <t>2 [46.766041]</t>
  </si>
  <si>
    <t>2 [47.174769]</t>
  </si>
  <si>
    <t>2 [47.581883]</t>
  </si>
  <si>
    <t>2 [47.984964]</t>
  </si>
  <si>
    <t>2 [48.387011]</t>
  </si>
  <si>
    <t>2 [48.796244]</t>
  </si>
  <si>
    <t>2 [49.204242]</t>
  </si>
  <si>
    <t>2 [49.610893]</t>
  </si>
  <si>
    <t>2 [50.015320]</t>
  </si>
  <si>
    <t>2 [50.421437]</t>
  </si>
  <si>
    <t>2 [50.828061]</t>
  </si>
  <si>
    <t>2 [51.233380]</t>
  </si>
  <si>
    <t>2 [51.639113]</t>
  </si>
  <si>
    <t>2 [52.048686]</t>
  </si>
  <si>
    <t>2 [52.453649]</t>
  </si>
  <si>
    <t>2 [52.860725]</t>
  </si>
  <si>
    <t>2 [53.266838]</t>
  </si>
  <si>
    <t>2 [53.673290]</t>
  </si>
  <si>
    <t>2 [54.083508]</t>
  </si>
  <si>
    <t>2 [54.485161]</t>
  </si>
  <si>
    <t>2 [54.894819]</t>
  </si>
  <si>
    <t>2 [55.297099]</t>
  </si>
  <si>
    <t>2 [55.702862]</t>
  </si>
  <si>
    <t>2 [56.108805]</t>
  </si>
  <si>
    <t>2 [56.516327]</t>
  </si>
  <si>
    <t>2 [56.926959]</t>
  </si>
  <si>
    <t>2 [57.331674]</t>
  </si>
  <si>
    <t>2 [57.735089]</t>
  </si>
  <si>
    <t>2 [58.142200]</t>
  </si>
  <si>
    <t>2 [58.547353]</t>
  </si>
  <si>
    <t>2 [58.955347]</t>
  </si>
  <si>
    <t>2 [59.361245]</t>
  </si>
  <si>
    <t>2 [59.763557]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</si>
  <si>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</si>
  <si>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</si>
  <si>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</si>
  <si>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</si>
  <si>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</si>
  <si>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</si>
  <si>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</si>
  <si>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</si>
  <si>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</si>
  <si>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</si>
  <si>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</si>
  <si>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</si>
  <si>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</si>
  <si>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梅秀宾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</si>
</sst>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34.9666</c:v>
                </c:pt>
                <c:pt idx="1">
                  <c:v>32.343699999999998</c:v>
                </c:pt>
                <c:pt idx="2">
                  <c:v>32.093800000000002</c:v>
                </c:pt>
                <c:pt idx="3">
                  <c:v>33.077399999999997</c:v>
                </c:pt>
                <c:pt idx="4">
                  <c:v>66.172899999999998</c:v>
                </c:pt>
                <c:pt idx="5">
                  <c:v>80.205399999999997</c:v>
                </c:pt>
                <c:pt idx="6">
                  <c:v>13.502599999999999</c:v>
                </c:pt>
                <c:pt idx="7">
                  <c:v>72.374700000000004</c:v>
                </c:pt>
                <c:pt idx="8">
                  <c:v>11.2662</c:v>
                </c:pt>
                <c:pt idx="9">
                  <c:v>26.1877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0.52827998232209683</c:v>
                </c:pt>
                <c:pt idx="1">
                  <c:v>0.30133751125055697</c:v>
                </c:pt>
                <c:pt idx="2">
                  <c:v>0.17038250642734623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8356</c:v>
                </c:pt>
                <c:pt idx="7">
                  <c:v>0</c:v>
                </c:pt>
                <c:pt idx="8">
                  <c:v>10130</c:v>
                </c:pt>
                <c:pt idx="9">
                  <c:v>0</c:v>
                </c:pt>
                <c:pt idx="10">
                  <c:v>0</c:v>
                </c:pt>
                <c:pt idx="11">
                  <c:v>18470</c:v>
                </c:pt>
                <c:pt idx="12">
                  <c:v>0</c:v>
                </c:pt>
                <c:pt idx="13">
                  <c:v>25293</c:v>
                </c:pt>
                <c:pt idx="14">
                  <c:v>0</c:v>
                </c:pt>
                <c:pt idx="15">
                  <c:v>0</c:v>
                </c:pt>
                <c:pt idx="16">
                  <c:v>34949</c:v>
                </c:pt>
                <c:pt idx="17">
                  <c:v>0</c:v>
                </c:pt>
                <c:pt idx="18">
                  <c:v>0</c:v>
                </c:pt>
                <c:pt idx="19">
                  <c:v>51940</c:v>
                </c:pt>
                <c:pt idx="20">
                  <c:v>0</c:v>
                </c:pt>
                <c:pt idx="21">
                  <c:v>93804</c:v>
                </c:pt>
                <c:pt idx="22">
                  <c:v>0</c:v>
                </c:pt>
                <c:pt idx="23">
                  <c:v>0</c:v>
                </c:pt>
                <c:pt idx="24">
                  <c:v>117916</c:v>
                </c:pt>
                <c:pt idx="25">
                  <c:v>0</c:v>
                </c:pt>
                <c:pt idx="26">
                  <c:v>124903</c:v>
                </c:pt>
                <c:pt idx="27">
                  <c:v>0</c:v>
                </c:pt>
                <c:pt idx="28">
                  <c:v>0</c:v>
                </c:pt>
                <c:pt idx="29">
                  <c:v>108442</c:v>
                </c:pt>
                <c:pt idx="30">
                  <c:v>0</c:v>
                </c:pt>
                <c:pt idx="31">
                  <c:v>126438</c:v>
                </c:pt>
                <c:pt idx="32">
                  <c:v>0</c:v>
                </c:pt>
                <c:pt idx="33">
                  <c:v>0</c:v>
                </c:pt>
                <c:pt idx="34">
                  <c:v>126052</c:v>
                </c:pt>
                <c:pt idx="35">
                  <c:v>0</c:v>
                </c:pt>
                <c:pt idx="36">
                  <c:v>0</c:v>
                </c:pt>
                <c:pt idx="37">
                  <c:v>129473</c:v>
                </c:pt>
                <c:pt idx="38">
                  <c:v>0</c:v>
                </c:pt>
                <c:pt idx="39">
                  <c:v>130870</c:v>
                </c:pt>
                <c:pt idx="40">
                  <c:v>0</c:v>
                </c:pt>
                <c:pt idx="41">
                  <c:v>0</c:v>
                </c:pt>
                <c:pt idx="42">
                  <c:v>135904</c:v>
                </c:pt>
                <c:pt idx="43">
                  <c:v>0</c:v>
                </c:pt>
                <c:pt idx="44">
                  <c:v>134244</c:v>
                </c:pt>
                <c:pt idx="45">
                  <c:v>0</c:v>
                </c:pt>
                <c:pt idx="46">
                  <c:v>0</c:v>
                </c:pt>
                <c:pt idx="47">
                  <c:v>133470</c:v>
                </c:pt>
                <c:pt idx="48">
                  <c:v>0</c:v>
                </c:pt>
                <c:pt idx="49">
                  <c:v>136551</c:v>
                </c:pt>
                <c:pt idx="50">
                  <c:v>0</c:v>
                </c:pt>
                <c:pt idx="51">
                  <c:v>0</c:v>
                </c:pt>
                <c:pt idx="52">
                  <c:v>149019</c:v>
                </c:pt>
                <c:pt idx="53">
                  <c:v>0</c:v>
                </c:pt>
                <c:pt idx="54">
                  <c:v>0</c:v>
                </c:pt>
                <c:pt idx="55">
                  <c:v>158463</c:v>
                </c:pt>
                <c:pt idx="56">
                  <c:v>0</c:v>
                </c:pt>
                <c:pt idx="57">
                  <c:v>155195</c:v>
                </c:pt>
                <c:pt idx="58">
                  <c:v>0</c:v>
                </c:pt>
                <c:pt idx="59">
                  <c:v>0</c:v>
                </c:pt>
                <c:pt idx="60">
                  <c:v>144476</c:v>
                </c:pt>
                <c:pt idx="61">
                  <c:v>0</c:v>
                </c:pt>
                <c:pt idx="62">
                  <c:v>146052</c:v>
                </c:pt>
                <c:pt idx="63">
                  <c:v>0</c:v>
                </c:pt>
                <c:pt idx="64">
                  <c:v>0</c:v>
                </c:pt>
                <c:pt idx="65">
                  <c:v>143398</c:v>
                </c:pt>
                <c:pt idx="66">
                  <c:v>0</c:v>
                </c:pt>
                <c:pt idx="67">
                  <c:v>147303</c:v>
                </c:pt>
                <c:pt idx="68">
                  <c:v>0</c:v>
                </c:pt>
                <c:pt idx="69">
                  <c:v>0</c:v>
                </c:pt>
                <c:pt idx="70">
                  <c:v>139135</c:v>
                </c:pt>
                <c:pt idx="71">
                  <c:v>0</c:v>
                </c:pt>
                <c:pt idx="72">
                  <c:v>0</c:v>
                </c:pt>
                <c:pt idx="73">
                  <c:v>137509</c:v>
                </c:pt>
                <c:pt idx="74">
                  <c:v>0</c:v>
                </c:pt>
                <c:pt idx="75">
                  <c:v>124381</c:v>
                </c:pt>
                <c:pt idx="76">
                  <c:v>0</c:v>
                </c:pt>
                <c:pt idx="77">
                  <c:v>0</c:v>
                </c:pt>
                <c:pt idx="78">
                  <c:v>117292</c:v>
                </c:pt>
                <c:pt idx="79">
                  <c:v>0</c:v>
                </c:pt>
                <c:pt idx="80">
                  <c:v>110578</c:v>
                </c:pt>
                <c:pt idx="81">
                  <c:v>0</c:v>
                </c:pt>
                <c:pt idx="82">
                  <c:v>0</c:v>
                </c:pt>
                <c:pt idx="83">
                  <c:v>99404</c:v>
                </c:pt>
                <c:pt idx="84">
                  <c:v>0</c:v>
                </c:pt>
                <c:pt idx="85">
                  <c:v>0</c:v>
                </c:pt>
                <c:pt idx="86">
                  <c:v>96356</c:v>
                </c:pt>
                <c:pt idx="87">
                  <c:v>0</c:v>
                </c:pt>
                <c:pt idx="88">
                  <c:v>86188</c:v>
                </c:pt>
                <c:pt idx="89">
                  <c:v>0</c:v>
                </c:pt>
                <c:pt idx="90">
                  <c:v>0</c:v>
                </c:pt>
                <c:pt idx="91">
                  <c:v>76633</c:v>
                </c:pt>
                <c:pt idx="92">
                  <c:v>0</c:v>
                </c:pt>
                <c:pt idx="93">
                  <c:v>63274</c:v>
                </c:pt>
                <c:pt idx="94">
                  <c:v>0</c:v>
                </c:pt>
                <c:pt idx="95">
                  <c:v>0</c:v>
                </c:pt>
                <c:pt idx="96">
                  <c:v>54639</c:v>
                </c:pt>
                <c:pt idx="97">
                  <c:v>0</c:v>
                </c:pt>
                <c:pt idx="98">
                  <c:v>51487</c:v>
                </c:pt>
                <c:pt idx="99">
                  <c:v>0</c:v>
                </c:pt>
                <c:pt idx="100">
                  <c:v>0</c:v>
                </c:pt>
                <c:pt idx="101">
                  <c:v>44551</c:v>
                </c:pt>
                <c:pt idx="102">
                  <c:v>0</c:v>
                </c:pt>
                <c:pt idx="103">
                  <c:v>0</c:v>
                </c:pt>
                <c:pt idx="104">
                  <c:v>41268</c:v>
                </c:pt>
                <c:pt idx="105">
                  <c:v>0</c:v>
                </c:pt>
                <c:pt idx="106">
                  <c:v>38558</c:v>
                </c:pt>
                <c:pt idx="107">
                  <c:v>0</c:v>
                </c:pt>
                <c:pt idx="108">
                  <c:v>0</c:v>
                </c:pt>
                <c:pt idx="109">
                  <c:v>36411</c:v>
                </c:pt>
                <c:pt idx="110">
                  <c:v>0</c:v>
                </c:pt>
                <c:pt idx="111">
                  <c:v>36081</c:v>
                </c:pt>
                <c:pt idx="112">
                  <c:v>0</c:v>
                </c:pt>
                <c:pt idx="113">
                  <c:v>0</c:v>
                </c:pt>
                <c:pt idx="114">
                  <c:v>33500</c:v>
                </c:pt>
                <c:pt idx="115">
                  <c:v>0</c:v>
                </c:pt>
                <c:pt idx="116">
                  <c:v>32254</c:v>
                </c:pt>
                <c:pt idx="117">
                  <c:v>0</c:v>
                </c:pt>
                <c:pt idx="118">
                  <c:v>0</c:v>
                </c:pt>
                <c:pt idx="119">
                  <c:v>29685</c:v>
                </c:pt>
                <c:pt idx="120">
                  <c:v>0</c:v>
                </c:pt>
                <c:pt idx="121">
                  <c:v>0</c:v>
                </c:pt>
                <c:pt idx="122">
                  <c:v>27553</c:v>
                </c:pt>
                <c:pt idx="123">
                  <c:v>0</c:v>
                </c:pt>
                <c:pt idx="124">
                  <c:v>25540</c:v>
                </c:pt>
                <c:pt idx="125">
                  <c:v>0</c:v>
                </c:pt>
                <c:pt idx="126">
                  <c:v>0</c:v>
                </c:pt>
                <c:pt idx="127">
                  <c:v>24675</c:v>
                </c:pt>
                <c:pt idx="128">
                  <c:v>0</c:v>
                </c:pt>
                <c:pt idx="129">
                  <c:v>25586</c:v>
                </c:pt>
                <c:pt idx="130">
                  <c:v>0</c:v>
                </c:pt>
                <c:pt idx="131">
                  <c:v>0</c:v>
                </c:pt>
                <c:pt idx="132">
                  <c:v>26797</c:v>
                </c:pt>
                <c:pt idx="133">
                  <c:v>0</c:v>
                </c:pt>
                <c:pt idx="134">
                  <c:v>26410</c:v>
                </c:pt>
                <c:pt idx="135">
                  <c:v>0</c:v>
                </c:pt>
                <c:pt idx="136">
                  <c:v>0</c:v>
                </c:pt>
                <c:pt idx="137">
                  <c:v>25908</c:v>
                </c:pt>
                <c:pt idx="138">
                  <c:v>0</c:v>
                </c:pt>
                <c:pt idx="139">
                  <c:v>0</c:v>
                </c:pt>
                <c:pt idx="140">
                  <c:v>23441</c:v>
                </c:pt>
                <c:pt idx="141">
                  <c:v>0</c:v>
                </c:pt>
                <c:pt idx="142">
                  <c:v>21771</c:v>
                </c:pt>
                <c:pt idx="143">
                  <c:v>0</c:v>
                </c:pt>
                <c:pt idx="144">
                  <c:v>0</c:v>
                </c:pt>
                <c:pt idx="145">
                  <c:v>18957</c:v>
                </c:pt>
                <c:pt idx="146">
                  <c:v>0</c:v>
                </c:pt>
                <c:pt idx="147">
                  <c:v>13726</c:v>
                </c:pt>
                <c:pt idx="148">
                  <c:v>0</c:v>
                </c:pt>
                <c:pt idx="149">
                  <c:v>0</c:v>
                </c:pt>
                <c:pt idx="150">
                  <c:v>10518</c:v>
                </c:pt>
                <c:pt idx="151">
                  <c:v>0</c:v>
                </c:pt>
                <c:pt idx="152">
                  <c:v>6822</c:v>
                </c:pt>
                <c:pt idx="153">
                  <c:v>0</c:v>
                </c:pt>
                <c:pt idx="154">
                  <c:v>0</c:v>
                </c:pt>
                <c:pt idx="155">
                  <c:v>5642</c:v>
                </c:pt>
                <c:pt idx="156">
                  <c:v>0</c:v>
                </c:pt>
                <c:pt idx="157">
                  <c:v>0</c:v>
                </c:pt>
                <c:pt idx="158">
                  <c:v>5158</c:v>
                </c:pt>
                <c:pt idx="159">
                  <c:v>0</c:v>
                </c:pt>
                <c:pt idx="160">
                  <c:v>3017</c:v>
                </c:pt>
                <c:pt idx="161">
                  <c:v>0</c:v>
                </c:pt>
                <c:pt idx="162">
                  <c:v>0</c:v>
                </c:pt>
                <c:pt idx="163">
                  <c:v>2259</c:v>
                </c:pt>
                <c:pt idx="164">
                  <c:v>0</c:v>
                </c:pt>
                <c:pt idx="165">
                  <c:v>938</c:v>
                </c:pt>
                <c:pt idx="166">
                  <c:v>0</c:v>
                </c:pt>
                <c:pt idx="167">
                  <c:v>0</c:v>
                </c:pt>
                <c:pt idx="168">
                  <c:v>1112</c:v>
                </c:pt>
                <c:pt idx="169">
                  <c:v>0</c:v>
                </c:pt>
                <c:pt idx="170">
                  <c:v>0</c:v>
                </c:pt>
                <c:pt idx="171">
                  <c:v>243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1.6071499999999999</c:v>
                </c:pt>
                <c:pt idx="1">
                  <c:v>1.64775</c:v>
                </c:pt>
                <c:pt idx="2">
                  <c:v>1.68801</c:v>
                </c:pt>
                <c:pt idx="3">
                  <c:v>1.72766</c:v>
                </c:pt>
                <c:pt idx="4">
                  <c:v>1.7677100000000001</c:v>
                </c:pt>
                <c:pt idx="5">
                  <c:v>1.80965</c:v>
                </c:pt>
                <c:pt idx="6">
                  <c:v>1.8545199999999999</c:v>
                </c:pt>
                <c:pt idx="7">
                  <c:v>1.89856</c:v>
                </c:pt>
                <c:pt idx="8">
                  <c:v>1.94123</c:v>
                </c:pt>
                <c:pt idx="9">
                  <c:v>1.9839100000000001</c:v>
                </c:pt>
                <c:pt idx="10">
                  <c:v>2.0267499999999998</c:v>
                </c:pt>
                <c:pt idx="11">
                  <c:v>2.0707900000000001</c:v>
                </c:pt>
                <c:pt idx="12">
                  <c:v>2.1160399999999999</c:v>
                </c:pt>
                <c:pt idx="13">
                  <c:v>2.1603300000000001</c:v>
                </c:pt>
                <c:pt idx="14">
                  <c:v>2.2047300000000001</c:v>
                </c:pt>
                <c:pt idx="15">
                  <c:v>2.24681</c:v>
                </c:pt>
                <c:pt idx="16">
                  <c:v>2.2880700000000003</c:v>
                </c:pt>
                <c:pt idx="17">
                  <c:v>2.32524</c:v>
                </c:pt>
                <c:pt idx="18">
                  <c:v>2.3630499999999999</c:v>
                </c:pt>
                <c:pt idx="19">
                  <c:v>2.3992100000000001</c:v>
                </c:pt>
                <c:pt idx="20">
                  <c:v>2.4311099999999999</c:v>
                </c:pt>
                <c:pt idx="21">
                  <c:v>2.4617900000000001</c:v>
                </c:pt>
                <c:pt idx="22">
                  <c:v>2.49064</c:v>
                </c:pt>
                <c:pt idx="23">
                  <c:v>2.51823</c:v>
                </c:pt>
                <c:pt idx="24">
                  <c:v>2.5471899999999996</c:v>
                </c:pt>
                <c:pt idx="25">
                  <c:v>2.5756899999999998</c:v>
                </c:pt>
                <c:pt idx="26">
                  <c:v>2.6025</c:v>
                </c:pt>
                <c:pt idx="27">
                  <c:v>2.6276600000000001</c:v>
                </c:pt>
                <c:pt idx="28">
                  <c:v>2.6485300000000001</c:v>
                </c:pt>
                <c:pt idx="29">
                  <c:v>2.6648100000000001</c:v>
                </c:pt>
                <c:pt idx="30">
                  <c:v>2.6782400000000002</c:v>
                </c:pt>
                <c:pt idx="31">
                  <c:v>2.6876600000000002</c:v>
                </c:pt>
                <c:pt idx="32">
                  <c:v>2.6943800000000002</c:v>
                </c:pt>
                <c:pt idx="33">
                  <c:v>2.6995400000000003</c:v>
                </c:pt>
                <c:pt idx="34">
                  <c:v>2.70329</c:v>
                </c:pt>
                <c:pt idx="35">
                  <c:v>2.7051699999999999</c:v>
                </c:pt>
                <c:pt idx="36">
                  <c:v>2.7055699999999998</c:v>
                </c:pt>
                <c:pt idx="37">
                  <c:v>2.70221</c:v>
                </c:pt>
                <c:pt idx="38">
                  <c:v>2.6966700000000001</c:v>
                </c:pt>
                <c:pt idx="39">
                  <c:v>2.6880600000000001</c:v>
                </c:pt>
                <c:pt idx="40">
                  <c:v>2.67598</c:v>
                </c:pt>
                <c:pt idx="41">
                  <c:v>2.6610699999999996</c:v>
                </c:pt>
                <c:pt idx="42">
                  <c:v>2.6464100000000004</c:v>
                </c:pt>
                <c:pt idx="43">
                  <c:v>2.6302099999999999</c:v>
                </c:pt>
                <c:pt idx="44">
                  <c:v>2.6121499999999997</c:v>
                </c:pt>
                <c:pt idx="45">
                  <c:v>2.5957999999999997</c:v>
                </c:pt>
                <c:pt idx="46">
                  <c:v>2.5794600000000001</c:v>
                </c:pt>
                <c:pt idx="47">
                  <c:v>2.5628600000000001</c:v>
                </c:pt>
                <c:pt idx="48">
                  <c:v>2.5482700000000005</c:v>
                </c:pt>
                <c:pt idx="49">
                  <c:v>2.5345</c:v>
                </c:pt>
                <c:pt idx="50">
                  <c:v>2.5210400000000002</c:v>
                </c:pt>
                <c:pt idx="51">
                  <c:v>2.5088300000000001</c:v>
                </c:pt>
                <c:pt idx="52">
                  <c:v>2.4999599999999997</c:v>
                </c:pt>
                <c:pt idx="53">
                  <c:v>2.4946299999999999</c:v>
                </c:pt>
                <c:pt idx="54">
                  <c:v>2.4932300000000001</c:v>
                </c:pt>
                <c:pt idx="55">
                  <c:v>2.4890099999999999</c:v>
                </c:pt>
                <c:pt idx="56">
                  <c:v>2.49024</c:v>
                </c:pt>
                <c:pt idx="57">
                  <c:v>2.4940000000000002</c:v>
                </c:pt>
                <c:pt idx="58">
                  <c:v>2.4999199999999999</c:v>
                </c:pt>
                <c:pt idx="59">
                  <c:v>2.5135400000000003</c:v>
                </c:pt>
                <c:pt idx="60">
                  <c:v>2.5185200000000001</c:v>
                </c:pt>
                <c:pt idx="61">
                  <c:v>2.53559</c:v>
                </c:pt>
                <c:pt idx="62">
                  <c:v>2.5509500000000003</c:v>
                </c:pt>
                <c:pt idx="63">
                  <c:v>2.5609999999999999</c:v>
                </c:pt>
                <c:pt idx="64">
                  <c:v>2.5832899999999999</c:v>
                </c:pt>
                <c:pt idx="65">
                  <c:v>2.6196299999999999</c:v>
                </c:pt>
                <c:pt idx="66">
                  <c:v>2.6487300000000005</c:v>
                </c:pt>
                <c:pt idx="67">
                  <c:v>2.6807300000000001</c:v>
                </c:pt>
                <c:pt idx="68">
                  <c:v>2.71197</c:v>
                </c:pt>
                <c:pt idx="69">
                  <c:v>2.7437200000000002</c:v>
                </c:pt>
                <c:pt idx="70">
                  <c:v>2.7667000000000002</c:v>
                </c:pt>
                <c:pt idx="71">
                  <c:v>2.8029799999999998</c:v>
                </c:pt>
                <c:pt idx="72">
                  <c:v>2.8256700000000001</c:v>
                </c:pt>
                <c:pt idx="73">
                  <c:v>2.8585400000000001</c:v>
                </c:pt>
                <c:pt idx="74">
                  <c:v>2.8825499999999997</c:v>
                </c:pt>
                <c:pt idx="75">
                  <c:v>2.9068199999999997</c:v>
                </c:pt>
                <c:pt idx="76">
                  <c:v>2.9291200000000002</c:v>
                </c:pt>
                <c:pt idx="77">
                  <c:v>2.9475699999999998</c:v>
                </c:pt>
                <c:pt idx="78">
                  <c:v>2.9641899999999999</c:v>
                </c:pt>
                <c:pt idx="79">
                  <c:v>2.9756</c:v>
                </c:pt>
                <c:pt idx="80">
                  <c:v>2.9853499999999999</c:v>
                </c:pt>
                <c:pt idx="81">
                  <c:v>2.9922199999999997</c:v>
                </c:pt>
                <c:pt idx="82">
                  <c:v>2.9982700000000002</c:v>
                </c:pt>
                <c:pt idx="83">
                  <c:v>3.0020899999999999</c:v>
                </c:pt>
                <c:pt idx="84">
                  <c:v>3.0032300000000003</c:v>
                </c:pt>
                <c:pt idx="85">
                  <c:v>3.00197</c:v>
                </c:pt>
                <c:pt idx="86">
                  <c:v>2.9992999999999999</c:v>
                </c:pt>
                <c:pt idx="87">
                  <c:v>2.9904299999999999</c:v>
                </c:pt>
                <c:pt idx="88">
                  <c:v>2.9778900000000004</c:v>
                </c:pt>
                <c:pt idx="89">
                  <c:v>2.9574499999999997</c:v>
                </c:pt>
                <c:pt idx="90">
                  <c:v>2.9362500000000002</c:v>
                </c:pt>
                <c:pt idx="91">
                  <c:v>2.9152399999999998</c:v>
                </c:pt>
                <c:pt idx="92">
                  <c:v>2.8917599999999997</c:v>
                </c:pt>
                <c:pt idx="93">
                  <c:v>2.8678300000000001</c:v>
                </c:pt>
                <c:pt idx="94">
                  <c:v>2.8405300000000002</c:v>
                </c:pt>
                <c:pt idx="95">
                  <c:v>2.8123300000000002</c:v>
                </c:pt>
                <c:pt idx="96">
                  <c:v>2.78552</c:v>
                </c:pt>
                <c:pt idx="97">
                  <c:v>2.75901</c:v>
                </c:pt>
                <c:pt idx="98">
                  <c:v>2.7287299999999997</c:v>
                </c:pt>
                <c:pt idx="99">
                  <c:v>2.6978999999999997</c:v>
                </c:pt>
                <c:pt idx="100">
                  <c:v>2.6673599999999995</c:v>
                </c:pt>
                <c:pt idx="101">
                  <c:v>2.6404199999999998</c:v>
                </c:pt>
                <c:pt idx="102">
                  <c:v>2.6146200000000004</c:v>
                </c:pt>
                <c:pt idx="103">
                  <c:v>2.5892900000000001</c:v>
                </c:pt>
                <c:pt idx="104">
                  <c:v>2.56717</c:v>
                </c:pt>
                <c:pt idx="105">
                  <c:v>2.5446999999999997</c:v>
                </c:pt>
                <c:pt idx="106">
                  <c:v>2.5267299999999997</c:v>
                </c:pt>
                <c:pt idx="107">
                  <c:v>2.5123099999999998</c:v>
                </c:pt>
                <c:pt idx="108">
                  <c:v>2.4999400000000001</c:v>
                </c:pt>
                <c:pt idx="109">
                  <c:v>2.48793</c:v>
                </c:pt>
                <c:pt idx="110">
                  <c:v>2.4775200000000002</c:v>
                </c:pt>
                <c:pt idx="111">
                  <c:v>2.4694500000000001</c:v>
                </c:pt>
                <c:pt idx="112">
                  <c:v>2.4642599999999999</c:v>
                </c:pt>
                <c:pt idx="113">
                  <c:v>2.4577</c:v>
                </c:pt>
                <c:pt idx="114">
                  <c:v>2.4527299999999999</c:v>
                </c:pt>
                <c:pt idx="115">
                  <c:v>2.4494199999999999</c:v>
                </c:pt>
                <c:pt idx="116">
                  <c:v>2.4483199999999998</c:v>
                </c:pt>
                <c:pt idx="117">
                  <c:v>2.4485199999999998</c:v>
                </c:pt>
                <c:pt idx="118">
                  <c:v>2.4477899999999999</c:v>
                </c:pt>
                <c:pt idx="119">
                  <c:v>2.45242</c:v>
                </c:pt>
                <c:pt idx="120">
                  <c:v>2.4598100000000001</c:v>
                </c:pt>
                <c:pt idx="121">
                  <c:v>2.4693000000000001</c:v>
                </c:pt>
                <c:pt idx="122">
                  <c:v>2.4780199999999999</c:v>
                </c:pt>
                <c:pt idx="123">
                  <c:v>2.4860799999999998</c:v>
                </c:pt>
                <c:pt idx="124">
                  <c:v>2.4947699999999999</c:v>
                </c:pt>
                <c:pt idx="125">
                  <c:v>2.5025599999999999</c:v>
                </c:pt>
                <c:pt idx="126">
                  <c:v>2.5069399999999997</c:v>
                </c:pt>
                <c:pt idx="127">
                  <c:v>2.5121700000000002</c:v>
                </c:pt>
                <c:pt idx="128">
                  <c:v>2.5181500000000003</c:v>
                </c:pt>
                <c:pt idx="129">
                  <c:v>2.5254300000000001</c:v>
                </c:pt>
                <c:pt idx="130">
                  <c:v>2.53545</c:v>
                </c:pt>
                <c:pt idx="131">
                  <c:v>2.5417000000000001</c:v>
                </c:pt>
                <c:pt idx="132">
                  <c:v>2.5423299999999998</c:v>
                </c:pt>
                <c:pt idx="133">
                  <c:v>2.5419799999999997</c:v>
                </c:pt>
                <c:pt idx="134">
                  <c:v>2.54176</c:v>
                </c:pt>
                <c:pt idx="135">
                  <c:v>2.5399500000000002</c:v>
                </c:pt>
                <c:pt idx="136">
                  <c:v>2.5357800000000004</c:v>
                </c:pt>
                <c:pt idx="137">
                  <c:v>2.5331799999999998</c:v>
                </c:pt>
                <c:pt idx="138">
                  <c:v>2.53843</c:v>
                </c:pt>
                <c:pt idx="139">
                  <c:v>2.5502799999999999</c:v>
                </c:pt>
                <c:pt idx="140">
                  <c:v>2.5607099999999998</c:v>
                </c:pt>
                <c:pt idx="141">
                  <c:v>2.5654300000000001</c:v>
                </c:pt>
                <c:pt idx="142">
                  <c:v>2.5689000000000002</c:v>
                </c:pt>
                <c:pt idx="143">
                  <c:v>2.5821199999999997</c:v>
                </c:pt>
                <c:pt idx="144">
                  <c:v>2.5930900000000001</c:v>
                </c:pt>
                <c:pt idx="145">
                  <c:v>2.5991999999999997</c:v>
                </c:pt>
                <c:pt idx="146">
                  <c:v>2.5834899999999998</c:v>
                </c:pt>
                <c:pt idx="147">
                  <c:v>2.5286399999999998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65.784500000000008</c:v>
                </c:pt>
                <c:pt idx="1">
                  <c:v>64.830399999999997</c:v>
                </c:pt>
                <c:pt idx="2">
                  <c:v>63.905900000000003</c:v>
                </c:pt>
                <c:pt idx="3">
                  <c:v>62.954699999999995</c:v>
                </c:pt>
                <c:pt idx="4">
                  <c:v>61.945700000000002</c:v>
                </c:pt>
                <c:pt idx="5">
                  <c:v>60.8322</c:v>
                </c:pt>
                <c:pt idx="6">
                  <c:v>59.594800000000006</c:v>
                </c:pt>
                <c:pt idx="7">
                  <c:v>58.366399999999999</c:v>
                </c:pt>
                <c:pt idx="8">
                  <c:v>57.269099999999995</c:v>
                </c:pt>
                <c:pt idx="9">
                  <c:v>56.202700000000007</c:v>
                </c:pt>
                <c:pt idx="10">
                  <c:v>55.179299999999998</c:v>
                </c:pt>
                <c:pt idx="11">
                  <c:v>54.169900000000005</c:v>
                </c:pt>
                <c:pt idx="12">
                  <c:v>53.126399999999997</c:v>
                </c:pt>
                <c:pt idx="13">
                  <c:v>52.116199999999999</c:v>
                </c:pt>
                <c:pt idx="14">
                  <c:v>51.043300000000002</c:v>
                </c:pt>
                <c:pt idx="15">
                  <c:v>49.931199999999997</c:v>
                </c:pt>
                <c:pt idx="16">
                  <c:v>48.814300000000003</c:v>
                </c:pt>
                <c:pt idx="17">
                  <c:v>47.839199999999998</c:v>
                </c:pt>
                <c:pt idx="18">
                  <c:v>46.9587</c:v>
                </c:pt>
                <c:pt idx="19">
                  <c:v>46.1021</c:v>
                </c:pt>
                <c:pt idx="20">
                  <c:v>45.310699999999997</c:v>
                </c:pt>
                <c:pt idx="21">
                  <c:v>44.634500000000003</c:v>
                </c:pt>
                <c:pt idx="22">
                  <c:v>44.044899999999998</c:v>
                </c:pt>
                <c:pt idx="23">
                  <c:v>43.518900000000002</c:v>
                </c:pt>
                <c:pt idx="24">
                  <c:v>42.996200000000002</c:v>
                </c:pt>
                <c:pt idx="25">
                  <c:v>42.471899999999998</c:v>
                </c:pt>
                <c:pt idx="26">
                  <c:v>41.999299999999998</c:v>
                </c:pt>
                <c:pt idx="27">
                  <c:v>41.5655</c:v>
                </c:pt>
                <c:pt idx="28">
                  <c:v>41.202600000000004</c:v>
                </c:pt>
                <c:pt idx="29">
                  <c:v>40.899299999999997</c:v>
                </c:pt>
                <c:pt idx="30">
                  <c:v>40.616999999999997</c:v>
                </c:pt>
                <c:pt idx="31">
                  <c:v>40.394300000000001</c:v>
                </c:pt>
                <c:pt idx="32">
                  <c:v>40.199200000000005</c:v>
                </c:pt>
                <c:pt idx="33">
                  <c:v>40.060899999999997</c:v>
                </c:pt>
                <c:pt idx="34">
                  <c:v>39.962599999999995</c:v>
                </c:pt>
                <c:pt idx="35">
                  <c:v>39.9116</c:v>
                </c:pt>
                <c:pt idx="36">
                  <c:v>39.869399999999999</c:v>
                </c:pt>
                <c:pt idx="37">
                  <c:v>39.853899999999996</c:v>
                </c:pt>
                <c:pt idx="38">
                  <c:v>39.8643</c:v>
                </c:pt>
                <c:pt idx="39">
                  <c:v>39.920899999999996</c:v>
                </c:pt>
                <c:pt idx="40">
                  <c:v>40.042999999999999</c:v>
                </c:pt>
                <c:pt idx="41">
                  <c:v>40.236600000000003</c:v>
                </c:pt>
                <c:pt idx="42">
                  <c:v>40.342700000000001</c:v>
                </c:pt>
                <c:pt idx="43">
                  <c:v>40.411000000000001</c:v>
                </c:pt>
                <c:pt idx="44">
                  <c:v>40.500799999999998</c:v>
                </c:pt>
                <c:pt idx="45">
                  <c:v>40.553400000000003</c:v>
                </c:pt>
                <c:pt idx="46">
                  <c:v>40.571100000000001</c:v>
                </c:pt>
                <c:pt idx="47">
                  <c:v>40.585900000000002</c:v>
                </c:pt>
                <c:pt idx="48">
                  <c:v>40.577000000000005</c:v>
                </c:pt>
                <c:pt idx="49">
                  <c:v>40.609400000000001</c:v>
                </c:pt>
                <c:pt idx="50">
                  <c:v>40.754200000000004</c:v>
                </c:pt>
                <c:pt idx="51">
                  <c:v>40.896900000000002</c:v>
                </c:pt>
                <c:pt idx="52">
                  <c:v>41.0306</c:v>
                </c:pt>
                <c:pt idx="53">
                  <c:v>41.0749</c:v>
                </c:pt>
                <c:pt idx="54">
                  <c:v>40.9497</c:v>
                </c:pt>
                <c:pt idx="55">
                  <c:v>40.956699999999998</c:v>
                </c:pt>
                <c:pt idx="56">
                  <c:v>40.8964</c:v>
                </c:pt>
                <c:pt idx="57">
                  <c:v>40.776499999999999</c:v>
                </c:pt>
                <c:pt idx="58">
                  <c:v>40.528399999999998</c:v>
                </c:pt>
                <c:pt idx="59">
                  <c:v>40.133899999999997</c:v>
                </c:pt>
                <c:pt idx="60">
                  <c:v>39.926299999999998</c:v>
                </c:pt>
                <c:pt idx="61">
                  <c:v>39.552199999999999</c:v>
                </c:pt>
                <c:pt idx="62">
                  <c:v>39.2256</c:v>
                </c:pt>
                <c:pt idx="63">
                  <c:v>38.955300000000001</c:v>
                </c:pt>
                <c:pt idx="64">
                  <c:v>38.440000000000005</c:v>
                </c:pt>
                <c:pt idx="65">
                  <c:v>37.576500000000003</c:v>
                </c:pt>
                <c:pt idx="66">
                  <c:v>36.965599999999995</c:v>
                </c:pt>
                <c:pt idx="67">
                  <c:v>36.392799999999994</c:v>
                </c:pt>
                <c:pt idx="68">
                  <c:v>35.887700000000002</c:v>
                </c:pt>
                <c:pt idx="69">
                  <c:v>35.459299999999999</c:v>
                </c:pt>
                <c:pt idx="70">
                  <c:v>35.234999999999999</c:v>
                </c:pt>
                <c:pt idx="71">
                  <c:v>34.884700000000002</c:v>
                </c:pt>
                <c:pt idx="72">
                  <c:v>34.7468</c:v>
                </c:pt>
                <c:pt idx="73">
                  <c:v>34.479799999999997</c:v>
                </c:pt>
                <c:pt idx="74">
                  <c:v>34.268700000000003</c:v>
                </c:pt>
                <c:pt idx="75">
                  <c:v>34.009900000000002</c:v>
                </c:pt>
                <c:pt idx="76">
                  <c:v>33.7898</c:v>
                </c:pt>
                <c:pt idx="77">
                  <c:v>33.588000000000001</c:v>
                </c:pt>
                <c:pt idx="78">
                  <c:v>33.46</c:v>
                </c:pt>
                <c:pt idx="79">
                  <c:v>33.505099999999999</c:v>
                </c:pt>
                <c:pt idx="80">
                  <c:v>33.534599999999998</c:v>
                </c:pt>
                <c:pt idx="81">
                  <c:v>33.5792</c:v>
                </c:pt>
                <c:pt idx="82">
                  <c:v>33.661000000000001</c:v>
                </c:pt>
                <c:pt idx="83">
                  <c:v>33.802300000000002</c:v>
                </c:pt>
                <c:pt idx="84">
                  <c:v>33.911900000000003</c:v>
                </c:pt>
                <c:pt idx="85">
                  <c:v>34.035800000000002</c:v>
                </c:pt>
                <c:pt idx="86">
                  <c:v>34.148899999999998</c:v>
                </c:pt>
                <c:pt idx="87">
                  <c:v>34.271799999999999</c:v>
                </c:pt>
                <c:pt idx="88">
                  <c:v>34.427900000000001</c:v>
                </c:pt>
                <c:pt idx="89">
                  <c:v>34.698</c:v>
                </c:pt>
                <c:pt idx="90">
                  <c:v>34.999299999999998</c:v>
                </c:pt>
                <c:pt idx="91">
                  <c:v>35.330500000000001</c:v>
                </c:pt>
                <c:pt idx="92">
                  <c:v>35.731699999999996</c:v>
                </c:pt>
                <c:pt idx="93">
                  <c:v>36.135199999999998</c:v>
                </c:pt>
                <c:pt idx="94">
                  <c:v>36.551499999999997</c:v>
                </c:pt>
                <c:pt idx="95">
                  <c:v>36.9587</c:v>
                </c:pt>
                <c:pt idx="96">
                  <c:v>37.349299999999999</c:v>
                </c:pt>
                <c:pt idx="97">
                  <c:v>37.741599999999998</c:v>
                </c:pt>
                <c:pt idx="98">
                  <c:v>38.203800000000001</c:v>
                </c:pt>
                <c:pt idx="99">
                  <c:v>38.7134</c:v>
                </c:pt>
                <c:pt idx="100">
                  <c:v>39.301199999999994</c:v>
                </c:pt>
                <c:pt idx="101">
                  <c:v>39.889400000000002</c:v>
                </c:pt>
                <c:pt idx="102">
                  <c:v>40.456399999999995</c:v>
                </c:pt>
                <c:pt idx="103">
                  <c:v>40.996700000000004</c:v>
                </c:pt>
                <c:pt idx="104">
                  <c:v>41.3917</c:v>
                </c:pt>
                <c:pt idx="105">
                  <c:v>41.765600000000006</c:v>
                </c:pt>
                <c:pt idx="106">
                  <c:v>42.040700000000001</c:v>
                </c:pt>
                <c:pt idx="107">
                  <c:v>42.232100000000003</c:v>
                </c:pt>
                <c:pt idx="108">
                  <c:v>42.354399999999998</c:v>
                </c:pt>
                <c:pt idx="109">
                  <c:v>42.482199999999999</c:v>
                </c:pt>
                <c:pt idx="110">
                  <c:v>42.5428</c:v>
                </c:pt>
                <c:pt idx="111">
                  <c:v>42.517300000000006</c:v>
                </c:pt>
                <c:pt idx="112">
                  <c:v>42.411799999999999</c:v>
                </c:pt>
                <c:pt idx="113">
                  <c:v>42.314</c:v>
                </c:pt>
                <c:pt idx="114">
                  <c:v>42.126100000000001</c:v>
                </c:pt>
                <c:pt idx="115">
                  <c:v>41.925000000000004</c:v>
                </c:pt>
                <c:pt idx="116">
                  <c:v>41.685600000000001</c:v>
                </c:pt>
                <c:pt idx="117">
                  <c:v>41.413600000000002</c:v>
                </c:pt>
                <c:pt idx="118">
                  <c:v>41.154600000000002</c:v>
                </c:pt>
                <c:pt idx="119">
                  <c:v>40.9071</c:v>
                </c:pt>
                <c:pt idx="120">
                  <c:v>40.702500000000001</c:v>
                </c:pt>
                <c:pt idx="121">
                  <c:v>40.490400000000001</c:v>
                </c:pt>
                <c:pt idx="122">
                  <c:v>40.378300000000003</c:v>
                </c:pt>
                <c:pt idx="123">
                  <c:v>40.2361</c:v>
                </c:pt>
                <c:pt idx="124">
                  <c:v>40.038600000000002</c:v>
                </c:pt>
                <c:pt idx="125">
                  <c:v>39.842799999999997</c:v>
                </c:pt>
                <c:pt idx="126">
                  <c:v>39.684999999999995</c:v>
                </c:pt>
                <c:pt idx="127">
                  <c:v>39.544000000000004</c:v>
                </c:pt>
                <c:pt idx="128">
                  <c:v>39.4054</c:v>
                </c:pt>
                <c:pt idx="129">
                  <c:v>39.238900000000001</c:v>
                </c:pt>
                <c:pt idx="130">
                  <c:v>39.046999999999997</c:v>
                </c:pt>
                <c:pt idx="131">
                  <c:v>38.891100000000002</c:v>
                </c:pt>
                <c:pt idx="132">
                  <c:v>38.873799999999996</c:v>
                </c:pt>
                <c:pt idx="133">
                  <c:v>38.879000000000005</c:v>
                </c:pt>
                <c:pt idx="134">
                  <c:v>38.862099999999998</c:v>
                </c:pt>
                <c:pt idx="135">
                  <c:v>38.895899999999997</c:v>
                </c:pt>
                <c:pt idx="136">
                  <c:v>39.028100000000002</c:v>
                </c:pt>
                <c:pt idx="137">
                  <c:v>39.115100000000005</c:v>
                </c:pt>
                <c:pt idx="138">
                  <c:v>39.172200000000004</c:v>
                </c:pt>
                <c:pt idx="139">
                  <c:v>39.370399999999997</c:v>
                </c:pt>
                <c:pt idx="140">
                  <c:v>39.623000000000005</c:v>
                </c:pt>
                <c:pt idx="141">
                  <c:v>39.933600000000006</c:v>
                </c:pt>
                <c:pt idx="142">
                  <c:v>40.265499999999996</c:v>
                </c:pt>
                <c:pt idx="143">
                  <c:v>40.708199999999998</c:v>
                </c:pt>
                <c:pt idx="144">
                  <c:v>40.910800000000002</c:v>
                </c:pt>
                <c:pt idx="145">
                  <c:v>41.055399999999999</c:v>
                </c:pt>
                <c:pt idx="146">
                  <c:v>41.631299999999996</c:v>
                </c:pt>
                <c:pt idx="147">
                  <c:v>42.264000000000003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1.6071499999999999</c:v>
                </c:pt>
                <c:pt idx="1">
                  <c:v>1.64775</c:v>
                </c:pt>
                <c:pt idx="2">
                  <c:v>1.68801</c:v>
                </c:pt>
                <c:pt idx="3">
                  <c:v>1.72766</c:v>
                </c:pt>
                <c:pt idx="4">
                  <c:v>1.7677100000000001</c:v>
                </c:pt>
                <c:pt idx="5">
                  <c:v>1.80965</c:v>
                </c:pt>
                <c:pt idx="6">
                  <c:v>1.8545199999999999</c:v>
                </c:pt>
                <c:pt idx="7">
                  <c:v>1.89856</c:v>
                </c:pt>
                <c:pt idx="8">
                  <c:v>1.94123</c:v>
                </c:pt>
                <c:pt idx="9">
                  <c:v>1.9839100000000001</c:v>
                </c:pt>
                <c:pt idx="10">
                  <c:v>2.0267499999999998</c:v>
                </c:pt>
                <c:pt idx="11">
                  <c:v>2.0707900000000001</c:v>
                </c:pt>
                <c:pt idx="12">
                  <c:v>2.1160399999999999</c:v>
                </c:pt>
                <c:pt idx="13">
                  <c:v>2.1603300000000001</c:v>
                </c:pt>
                <c:pt idx="14">
                  <c:v>2.2047300000000001</c:v>
                </c:pt>
                <c:pt idx="15">
                  <c:v>2.24681</c:v>
                </c:pt>
                <c:pt idx="16">
                  <c:v>2.2880700000000003</c:v>
                </c:pt>
                <c:pt idx="17">
                  <c:v>2.32524</c:v>
                </c:pt>
                <c:pt idx="18">
                  <c:v>2.3630499999999999</c:v>
                </c:pt>
                <c:pt idx="19">
                  <c:v>2.3992100000000001</c:v>
                </c:pt>
                <c:pt idx="20">
                  <c:v>2.4311099999999999</c:v>
                </c:pt>
                <c:pt idx="21">
                  <c:v>2.4617900000000001</c:v>
                </c:pt>
                <c:pt idx="22">
                  <c:v>2.49064</c:v>
                </c:pt>
                <c:pt idx="23">
                  <c:v>2.51823</c:v>
                </c:pt>
                <c:pt idx="24">
                  <c:v>2.5471899999999996</c:v>
                </c:pt>
                <c:pt idx="25">
                  <c:v>2.5756899999999998</c:v>
                </c:pt>
                <c:pt idx="26">
                  <c:v>2.6025</c:v>
                </c:pt>
                <c:pt idx="27">
                  <c:v>2.6276600000000001</c:v>
                </c:pt>
                <c:pt idx="28">
                  <c:v>2.6485300000000001</c:v>
                </c:pt>
                <c:pt idx="29">
                  <c:v>2.6648100000000001</c:v>
                </c:pt>
                <c:pt idx="30">
                  <c:v>2.6782400000000002</c:v>
                </c:pt>
                <c:pt idx="31">
                  <c:v>2.6876600000000002</c:v>
                </c:pt>
                <c:pt idx="32">
                  <c:v>2.6943800000000002</c:v>
                </c:pt>
                <c:pt idx="33">
                  <c:v>2.6995400000000003</c:v>
                </c:pt>
                <c:pt idx="34">
                  <c:v>2.70329</c:v>
                </c:pt>
                <c:pt idx="35">
                  <c:v>2.7051699999999999</c:v>
                </c:pt>
                <c:pt idx="36">
                  <c:v>2.7055699999999998</c:v>
                </c:pt>
                <c:pt idx="37">
                  <c:v>2.70221</c:v>
                </c:pt>
                <c:pt idx="38">
                  <c:v>2.6966700000000001</c:v>
                </c:pt>
                <c:pt idx="39">
                  <c:v>2.6880600000000001</c:v>
                </c:pt>
                <c:pt idx="40">
                  <c:v>2.67598</c:v>
                </c:pt>
                <c:pt idx="41">
                  <c:v>2.6610699999999996</c:v>
                </c:pt>
                <c:pt idx="42">
                  <c:v>2.6464100000000004</c:v>
                </c:pt>
                <c:pt idx="43">
                  <c:v>2.6302099999999999</c:v>
                </c:pt>
                <c:pt idx="44">
                  <c:v>2.6121499999999997</c:v>
                </c:pt>
                <c:pt idx="45">
                  <c:v>2.5957999999999997</c:v>
                </c:pt>
                <c:pt idx="46">
                  <c:v>2.5794600000000001</c:v>
                </c:pt>
                <c:pt idx="47">
                  <c:v>2.5628600000000001</c:v>
                </c:pt>
                <c:pt idx="48">
                  <c:v>2.5482700000000005</c:v>
                </c:pt>
                <c:pt idx="49">
                  <c:v>2.5345</c:v>
                </c:pt>
                <c:pt idx="50">
                  <c:v>2.5210400000000002</c:v>
                </c:pt>
                <c:pt idx="51">
                  <c:v>2.5088300000000001</c:v>
                </c:pt>
                <c:pt idx="52">
                  <c:v>2.4999599999999997</c:v>
                </c:pt>
                <c:pt idx="53">
                  <c:v>2.4946299999999999</c:v>
                </c:pt>
                <c:pt idx="54">
                  <c:v>2.4932300000000001</c:v>
                </c:pt>
                <c:pt idx="55">
                  <c:v>2.4890099999999999</c:v>
                </c:pt>
                <c:pt idx="56">
                  <c:v>2.49024</c:v>
                </c:pt>
                <c:pt idx="57">
                  <c:v>2.4940000000000002</c:v>
                </c:pt>
                <c:pt idx="58">
                  <c:v>2.4999199999999999</c:v>
                </c:pt>
                <c:pt idx="59">
                  <c:v>2.5135400000000003</c:v>
                </c:pt>
                <c:pt idx="60">
                  <c:v>2.5185200000000001</c:v>
                </c:pt>
                <c:pt idx="61">
                  <c:v>2.53559</c:v>
                </c:pt>
                <c:pt idx="62">
                  <c:v>2.5509500000000003</c:v>
                </c:pt>
                <c:pt idx="63">
                  <c:v>2.5609999999999999</c:v>
                </c:pt>
                <c:pt idx="64">
                  <c:v>2.5832899999999999</c:v>
                </c:pt>
                <c:pt idx="65">
                  <c:v>2.6196299999999999</c:v>
                </c:pt>
                <c:pt idx="66">
                  <c:v>2.6487300000000005</c:v>
                </c:pt>
                <c:pt idx="67">
                  <c:v>2.6807300000000001</c:v>
                </c:pt>
                <c:pt idx="68">
                  <c:v>2.71197</c:v>
                </c:pt>
                <c:pt idx="69">
                  <c:v>2.7437200000000002</c:v>
                </c:pt>
                <c:pt idx="70">
                  <c:v>2.7667000000000002</c:v>
                </c:pt>
                <c:pt idx="71">
                  <c:v>2.8029799999999998</c:v>
                </c:pt>
                <c:pt idx="72">
                  <c:v>2.8256700000000001</c:v>
                </c:pt>
                <c:pt idx="73">
                  <c:v>2.8585400000000001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65.784500000000008</c:v>
                </c:pt>
                <c:pt idx="1">
                  <c:v>64.830399999999997</c:v>
                </c:pt>
                <c:pt idx="2">
                  <c:v>63.905900000000003</c:v>
                </c:pt>
                <c:pt idx="3">
                  <c:v>62.954699999999995</c:v>
                </c:pt>
                <c:pt idx="4">
                  <c:v>61.945700000000002</c:v>
                </c:pt>
                <c:pt idx="5">
                  <c:v>60.8322</c:v>
                </c:pt>
                <c:pt idx="6">
                  <c:v>59.594800000000006</c:v>
                </c:pt>
                <c:pt idx="7">
                  <c:v>58.366399999999999</c:v>
                </c:pt>
                <c:pt idx="8">
                  <c:v>57.269099999999995</c:v>
                </c:pt>
                <c:pt idx="9">
                  <c:v>56.202700000000007</c:v>
                </c:pt>
                <c:pt idx="10">
                  <c:v>55.179299999999998</c:v>
                </c:pt>
                <c:pt idx="11">
                  <c:v>54.169900000000005</c:v>
                </c:pt>
                <c:pt idx="12">
                  <c:v>53.126399999999997</c:v>
                </c:pt>
                <c:pt idx="13">
                  <c:v>52.116199999999999</c:v>
                </c:pt>
                <c:pt idx="14">
                  <c:v>51.043300000000002</c:v>
                </c:pt>
                <c:pt idx="15">
                  <c:v>49.931199999999997</c:v>
                </c:pt>
                <c:pt idx="16">
                  <c:v>48.814300000000003</c:v>
                </c:pt>
                <c:pt idx="17">
                  <c:v>47.839199999999998</c:v>
                </c:pt>
                <c:pt idx="18">
                  <c:v>46.9587</c:v>
                </c:pt>
                <c:pt idx="19">
                  <c:v>46.1021</c:v>
                </c:pt>
                <c:pt idx="20">
                  <c:v>45.310699999999997</c:v>
                </c:pt>
                <c:pt idx="21">
                  <c:v>44.634500000000003</c:v>
                </c:pt>
                <c:pt idx="22">
                  <c:v>44.044899999999998</c:v>
                </c:pt>
                <c:pt idx="23">
                  <c:v>43.518900000000002</c:v>
                </c:pt>
                <c:pt idx="24">
                  <c:v>42.996200000000002</c:v>
                </c:pt>
                <c:pt idx="25">
                  <c:v>42.471899999999998</c:v>
                </c:pt>
                <c:pt idx="26">
                  <c:v>41.999299999999998</c:v>
                </c:pt>
                <c:pt idx="27">
                  <c:v>41.5655</c:v>
                </c:pt>
                <c:pt idx="28">
                  <c:v>41.202600000000004</c:v>
                </c:pt>
                <c:pt idx="29">
                  <c:v>40.899299999999997</c:v>
                </c:pt>
                <c:pt idx="30">
                  <c:v>40.616999999999997</c:v>
                </c:pt>
                <c:pt idx="31">
                  <c:v>40.394300000000001</c:v>
                </c:pt>
                <c:pt idx="32">
                  <c:v>40.199200000000005</c:v>
                </c:pt>
                <c:pt idx="33">
                  <c:v>40.060899999999997</c:v>
                </c:pt>
                <c:pt idx="34">
                  <c:v>39.962599999999995</c:v>
                </c:pt>
                <c:pt idx="35">
                  <c:v>39.9116</c:v>
                </c:pt>
                <c:pt idx="36">
                  <c:v>39.869399999999999</c:v>
                </c:pt>
                <c:pt idx="37">
                  <c:v>39.853899999999996</c:v>
                </c:pt>
                <c:pt idx="38">
                  <c:v>39.8643</c:v>
                </c:pt>
                <c:pt idx="39">
                  <c:v>39.920899999999996</c:v>
                </c:pt>
                <c:pt idx="40">
                  <c:v>40.042999999999999</c:v>
                </c:pt>
                <c:pt idx="41">
                  <c:v>40.236600000000003</c:v>
                </c:pt>
                <c:pt idx="42">
                  <c:v>40.342700000000001</c:v>
                </c:pt>
                <c:pt idx="43">
                  <c:v>40.411000000000001</c:v>
                </c:pt>
                <c:pt idx="44">
                  <c:v>40.500799999999998</c:v>
                </c:pt>
                <c:pt idx="45">
                  <c:v>40.553400000000003</c:v>
                </c:pt>
                <c:pt idx="46">
                  <c:v>40.571100000000001</c:v>
                </c:pt>
                <c:pt idx="47">
                  <c:v>40.585900000000002</c:v>
                </c:pt>
                <c:pt idx="48">
                  <c:v>40.577000000000005</c:v>
                </c:pt>
                <c:pt idx="49">
                  <c:v>40.609400000000001</c:v>
                </c:pt>
                <c:pt idx="50">
                  <c:v>40.754200000000004</c:v>
                </c:pt>
                <c:pt idx="51">
                  <c:v>40.896900000000002</c:v>
                </c:pt>
                <c:pt idx="52">
                  <c:v>41.0306</c:v>
                </c:pt>
                <c:pt idx="53">
                  <c:v>41.0749</c:v>
                </c:pt>
                <c:pt idx="54">
                  <c:v>40.9497</c:v>
                </c:pt>
                <c:pt idx="55">
                  <c:v>40.956699999999998</c:v>
                </c:pt>
                <c:pt idx="56">
                  <c:v>40.8964</c:v>
                </c:pt>
                <c:pt idx="57">
                  <c:v>40.776499999999999</c:v>
                </c:pt>
                <c:pt idx="58">
                  <c:v>40.528399999999998</c:v>
                </c:pt>
                <c:pt idx="59">
                  <c:v>40.133899999999997</c:v>
                </c:pt>
                <c:pt idx="60">
                  <c:v>39.926299999999998</c:v>
                </c:pt>
                <c:pt idx="61">
                  <c:v>39.552199999999999</c:v>
                </c:pt>
                <c:pt idx="62">
                  <c:v>39.2256</c:v>
                </c:pt>
                <c:pt idx="63">
                  <c:v>38.955300000000001</c:v>
                </c:pt>
                <c:pt idx="64">
                  <c:v>38.440000000000005</c:v>
                </c:pt>
                <c:pt idx="65">
                  <c:v>37.576500000000003</c:v>
                </c:pt>
                <c:pt idx="66">
                  <c:v>36.965599999999995</c:v>
                </c:pt>
                <c:pt idx="67">
                  <c:v>36.392799999999994</c:v>
                </c:pt>
                <c:pt idx="68">
                  <c:v>35.887700000000002</c:v>
                </c:pt>
                <c:pt idx="69">
                  <c:v>35.459299999999999</c:v>
                </c:pt>
                <c:pt idx="70">
                  <c:v>35.234999999999999</c:v>
                </c:pt>
                <c:pt idx="71">
                  <c:v>34.884700000000002</c:v>
                </c:pt>
                <c:pt idx="72">
                  <c:v>34.7468</c:v>
                </c:pt>
                <c:pt idx="73">
                  <c:v>34.479799999999997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2.8585400000000001</c:v>
                </c:pt>
                <c:pt idx="1">
                  <c:v>2.8825499999999997</c:v>
                </c:pt>
                <c:pt idx="2">
                  <c:v>2.9068199999999997</c:v>
                </c:pt>
                <c:pt idx="3">
                  <c:v>2.9291200000000002</c:v>
                </c:pt>
                <c:pt idx="4">
                  <c:v>2.9475699999999998</c:v>
                </c:pt>
                <c:pt idx="5">
                  <c:v>2.9641899999999999</c:v>
                </c:pt>
                <c:pt idx="6">
                  <c:v>2.9756</c:v>
                </c:pt>
                <c:pt idx="7">
                  <c:v>2.9853499999999999</c:v>
                </c:pt>
                <c:pt idx="8">
                  <c:v>2.9922199999999997</c:v>
                </c:pt>
                <c:pt idx="9">
                  <c:v>2.9982700000000002</c:v>
                </c:pt>
                <c:pt idx="10">
                  <c:v>3.0020899999999999</c:v>
                </c:pt>
                <c:pt idx="11">
                  <c:v>3.0032300000000003</c:v>
                </c:pt>
                <c:pt idx="12">
                  <c:v>3.00197</c:v>
                </c:pt>
                <c:pt idx="13">
                  <c:v>2.9992999999999999</c:v>
                </c:pt>
                <c:pt idx="14">
                  <c:v>2.9904299999999999</c:v>
                </c:pt>
                <c:pt idx="15">
                  <c:v>2.9778900000000004</c:v>
                </c:pt>
                <c:pt idx="16">
                  <c:v>2.9574499999999997</c:v>
                </c:pt>
                <c:pt idx="17">
                  <c:v>2.9362500000000002</c:v>
                </c:pt>
                <c:pt idx="18">
                  <c:v>2.9152399999999998</c:v>
                </c:pt>
                <c:pt idx="19">
                  <c:v>2.8917599999999997</c:v>
                </c:pt>
                <c:pt idx="20">
                  <c:v>2.8678300000000001</c:v>
                </c:pt>
                <c:pt idx="21">
                  <c:v>2.8405300000000002</c:v>
                </c:pt>
                <c:pt idx="22">
                  <c:v>2.8123300000000002</c:v>
                </c:pt>
                <c:pt idx="23">
                  <c:v>2.78552</c:v>
                </c:pt>
                <c:pt idx="24">
                  <c:v>2.75901</c:v>
                </c:pt>
                <c:pt idx="25">
                  <c:v>2.7287299999999997</c:v>
                </c:pt>
                <c:pt idx="26">
                  <c:v>2.6978999999999997</c:v>
                </c:pt>
                <c:pt idx="27">
                  <c:v>2.6673599999999995</c:v>
                </c:pt>
                <c:pt idx="28">
                  <c:v>2.6404199999999998</c:v>
                </c:pt>
                <c:pt idx="29">
                  <c:v>2.6146200000000004</c:v>
                </c:pt>
                <c:pt idx="30">
                  <c:v>2.5892900000000001</c:v>
                </c:pt>
                <c:pt idx="31">
                  <c:v>2.56717</c:v>
                </c:pt>
                <c:pt idx="32">
                  <c:v>2.5446999999999997</c:v>
                </c:pt>
                <c:pt idx="33">
                  <c:v>2.5267299999999997</c:v>
                </c:pt>
                <c:pt idx="34">
                  <c:v>2.5123099999999998</c:v>
                </c:pt>
                <c:pt idx="35">
                  <c:v>2.4999400000000001</c:v>
                </c:pt>
                <c:pt idx="36">
                  <c:v>2.48793</c:v>
                </c:pt>
                <c:pt idx="37">
                  <c:v>2.4775200000000002</c:v>
                </c:pt>
                <c:pt idx="38">
                  <c:v>2.4694500000000001</c:v>
                </c:pt>
                <c:pt idx="39">
                  <c:v>2.4642599999999999</c:v>
                </c:pt>
                <c:pt idx="40">
                  <c:v>2.4577</c:v>
                </c:pt>
                <c:pt idx="41">
                  <c:v>2.4527299999999999</c:v>
                </c:pt>
                <c:pt idx="42">
                  <c:v>2.4494199999999999</c:v>
                </c:pt>
                <c:pt idx="43">
                  <c:v>2.4483199999999998</c:v>
                </c:pt>
                <c:pt idx="44">
                  <c:v>2.4485199999999998</c:v>
                </c:pt>
                <c:pt idx="45">
                  <c:v>2.4477899999999999</c:v>
                </c:pt>
                <c:pt idx="46">
                  <c:v>2.45242</c:v>
                </c:pt>
                <c:pt idx="47">
                  <c:v>2.4598100000000001</c:v>
                </c:pt>
                <c:pt idx="48">
                  <c:v>2.4693000000000001</c:v>
                </c:pt>
                <c:pt idx="49">
                  <c:v>2.4780199999999999</c:v>
                </c:pt>
                <c:pt idx="50">
                  <c:v>2.4860799999999998</c:v>
                </c:pt>
                <c:pt idx="51">
                  <c:v>2.4947699999999999</c:v>
                </c:pt>
                <c:pt idx="52">
                  <c:v>2.5025599999999999</c:v>
                </c:pt>
                <c:pt idx="53">
                  <c:v>2.5069399999999997</c:v>
                </c:pt>
                <c:pt idx="54">
                  <c:v>2.5121700000000002</c:v>
                </c:pt>
                <c:pt idx="55">
                  <c:v>2.5181500000000003</c:v>
                </c:pt>
                <c:pt idx="56">
                  <c:v>2.5254300000000001</c:v>
                </c:pt>
                <c:pt idx="57">
                  <c:v>2.53545</c:v>
                </c:pt>
                <c:pt idx="58">
                  <c:v>2.5417000000000001</c:v>
                </c:pt>
                <c:pt idx="59">
                  <c:v>2.5423299999999998</c:v>
                </c:pt>
                <c:pt idx="60">
                  <c:v>2.5419799999999997</c:v>
                </c:pt>
                <c:pt idx="61">
                  <c:v>2.54176</c:v>
                </c:pt>
                <c:pt idx="62">
                  <c:v>2.5399500000000002</c:v>
                </c:pt>
                <c:pt idx="63">
                  <c:v>2.5357800000000004</c:v>
                </c:pt>
                <c:pt idx="64">
                  <c:v>2.5331799999999998</c:v>
                </c:pt>
                <c:pt idx="65">
                  <c:v>2.53843</c:v>
                </c:pt>
                <c:pt idx="66">
                  <c:v>2.5502799999999999</c:v>
                </c:pt>
                <c:pt idx="67">
                  <c:v>2.5607099999999998</c:v>
                </c:pt>
                <c:pt idx="68">
                  <c:v>2.5654300000000001</c:v>
                </c:pt>
                <c:pt idx="69">
                  <c:v>2.5689000000000002</c:v>
                </c:pt>
                <c:pt idx="70">
                  <c:v>2.5821199999999997</c:v>
                </c:pt>
                <c:pt idx="71">
                  <c:v>2.5930900000000001</c:v>
                </c:pt>
                <c:pt idx="72">
                  <c:v>2.5991999999999997</c:v>
                </c:pt>
                <c:pt idx="73">
                  <c:v>2.5834899999999998</c:v>
                </c:pt>
                <c:pt idx="74">
                  <c:v>2.5286399999999998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34.479799999999997</c:v>
                </c:pt>
                <c:pt idx="1">
                  <c:v>34.268700000000003</c:v>
                </c:pt>
                <c:pt idx="2">
                  <c:v>34.009900000000002</c:v>
                </c:pt>
                <c:pt idx="3">
                  <c:v>33.7898</c:v>
                </c:pt>
                <c:pt idx="4">
                  <c:v>33.588000000000001</c:v>
                </c:pt>
                <c:pt idx="5">
                  <c:v>33.46</c:v>
                </c:pt>
                <c:pt idx="6">
                  <c:v>33.505099999999999</c:v>
                </c:pt>
                <c:pt idx="7">
                  <c:v>33.534599999999998</c:v>
                </c:pt>
                <c:pt idx="8">
                  <c:v>33.5792</c:v>
                </c:pt>
                <c:pt idx="9">
                  <c:v>33.661000000000001</c:v>
                </c:pt>
                <c:pt idx="10">
                  <c:v>33.802300000000002</c:v>
                </c:pt>
                <c:pt idx="11">
                  <c:v>33.911900000000003</c:v>
                </c:pt>
                <c:pt idx="12">
                  <c:v>34.035800000000002</c:v>
                </c:pt>
                <c:pt idx="13">
                  <c:v>34.148899999999998</c:v>
                </c:pt>
                <c:pt idx="14">
                  <c:v>34.271799999999999</c:v>
                </c:pt>
                <c:pt idx="15">
                  <c:v>34.427900000000001</c:v>
                </c:pt>
                <c:pt idx="16">
                  <c:v>34.698</c:v>
                </c:pt>
                <c:pt idx="17">
                  <c:v>34.999299999999998</c:v>
                </c:pt>
                <c:pt idx="18">
                  <c:v>35.330500000000001</c:v>
                </c:pt>
                <c:pt idx="19">
                  <c:v>35.731699999999996</c:v>
                </c:pt>
                <c:pt idx="20">
                  <c:v>36.135199999999998</c:v>
                </c:pt>
                <c:pt idx="21">
                  <c:v>36.551499999999997</c:v>
                </c:pt>
                <c:pt idx="22">
                  <c:v>36.9587</c:v>
                </c:pt>
                <c:pt idx="23">
                  <c:v>37.349299999999999</c:v>
                </c:pt>
                <c:pt idx="24">
                  <c:v>37.741599999999998</c:v>
                </c:pt>
                <c:pt idx="25">
                  <c:v>38.203800000000001</c:v>
                </c:pt>
                <c:pt idx="26">
                  <c:v>38.7134</c:v>
                </c:pt>
                <c:pt idx="27">
                  <c:v>39.301199999999994</c:v>
                </c:pt>
                <c:pt idx="28">
                  <c:v>39.889400000000002</c:v>
                </c:pt>
                <c:pt idx="29">
                  <c:v>40.456399999999995</c:v>
                </c:pt>
                <c:pt idx="30">
                  <c:v>40.996700000000004</c:v>
                </c:pt>
                <c:pt idx="31">
                  <c:v>41.3917</c:v>
                </c:pt>
                <c:pt idx="32">
                  <c:v>41.765600000000006</c:v>
                </c:pt>
                <c:pt idx="33">
                  <c:v>42.040700000000001</c:v>
                </c:pt>
                <c:pt idx="34">
                  <c:v>42.232100000000003</c:v>
                </c:pt>
                <c:pt idx="35">
                  <c:v>42.354399999999998</c:v>
                </c:pt>
                <c:pt idx="36">
                  <c:v>42.482199999999999</c:v>
                </c:pt>
                <c:pt idx="37">
                  <c:v>42.5428</c:v>
                </c:pt>
                <c:pt idx="38">
                  <c:v>42.517300000000006</c:v>
                </c:pt>
                <c:pt idx="39">
                  <c:v>42.411799999999999</c:v>
                </c:pt>
                <c:pt idx="40">
                  <c:v>42.314</c:v>
                </c:pt>
                <c:pt idx="41">
                  <c:v>42.126100000000001</c:v>
                </c:pt>
                <c:pt idx="42">
                  <c:v>41.925000000000004</c:v>
                </c:pt>
                <c:pt idx="43">
                  <c:v>41.685600000000001</c:v>
                </c:pt>
                <c:pt idx="44">
                  <c:v>41.413600000000002</c:v>
                </c:pt>
                <c:pt idx="45">
                  <c:v>41.154600000000002</c:v>
                </c:pt>
                <c:pt idx="46">
                  <c:v>40.9071</c:v>
                </c:pt>
                <c:pt idx="47">
                  <c:v>40.702500000000001</c:v>
                </c:pt>
                <c:pt idx="48">
                  <c:v>40.490400000000001</c:v>
                </c:pt>
                <c:pt idx="49">
                  <c:v>40.378300000000003</c:v>
                </c:pt>
                <c:pt idx="50">
                  <c:v>40.2361</c:v>
                </c:pt>
                <c:pt idx="51">
                  <c:v>40.038600000000002</c:v>
                </c:pt>
                <c:pt idx="52">
                  <c:v>39.842799999999997</c:v>
                </c:pt>
                <c:pt idx="53">
                  <c:v>39.684999999999995</c:v>
                </c:pt>
                <c:pt idx="54">
                  <c:v>39.544000000000004</c:v>
                </c:pt>
                <c:pt idx="55">
                  <c:v>39.4054</c:v>
                </c:pt>
                <c:pt idx="56">
                  <c:v>39.238900000000001</c:v>
                </c:pt>
                <c:pt idx="57">
                  <c:v>39.046999999999997</c:v>
                </c:pt>
                <c:pt idx="58">
                  <c:v>38.891100000000002</c:v>
                </c:pt>
                <c:pt idx="59">
                  <c:v>38.873799999999996</c:v>
                </c:pt>
                <c:pt idx="60">
                  <c:v>38.879000000000005</c:v>
                </c:pt>
                <c:pt idx="61">
                  <c:v>38.862099999999998</c:v>
                </c:pt>
                <c:pt idx="62">
                  <c:v>38.895899999999997</c:v>
                </c:pt>
                <c:pt idx="63">
                  <c:v>39.028100000000002</c:v>
                </c:pt>
                <c:pt idx="64">
                  <c:v>39.115100000000005</c:v>
                </c:pt>
                <c:pt idx="65">
                  <c:v>39.172200000000004</c:v>
                </c:pt>
                <c:pt idx="66">
                  <c:v>39.370399999999997</c:v>
                </c:pt>
                <c:pt idx="67">
                  <c:v>39.623000000000005</c:v>
                </c:pt>
                <c:pt idx="68">
                  <c:v>39.933600000000006</c:v>
                </c:pt>
                <c:pt idx="69">
                  <c:v>40.265499999999996</c:v>
                </c:pt>
                <c:pt idx="70">
                  <c:v>40.708199999999998</c:v>
                </c:pt>
                <c:pt idx="71">
                  <c:v>40.910800000000002</c:v>
                </c:pt>
                <c:pt idx="72">
                  <c:v>41.055399999999999</c:v>
                </c:pt>
                <c:pt idx="73">
                  <c:v>41.631299999999996</c:v>
                </c:pt>
                <c:pt idx="74">
                  <c:v>42.264000000000003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2.4475032432432431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44.275967567567555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2.6608567567567567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38.627090540540557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2.6608567567567567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38.627090540540557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0.20143395198261346</c:v>
                </c:pt>
                <c:pt idx="1">
                  <c:v>0.30499672633323538</c:v>
                </c:pt>
                <c:pt idx="2">
                  <c:v>0.49356932168415119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0.40837800000000002</c:v>
                </c:pt>
                <c:pt idx="2">
                  <c:v>0.81258799999999998</c:v>
                </c:pt>
                <c:pt idx="3">
                  <c:v>1.2173799999999999</c:v>
                </c:pt>
                <c:pt idx="4">
                  <c:v>1.62707</c:v>
                </c:pt>
                <c:pt idx="5">
                  <c:v>2.02834</c:v>
                </c:pt>
                <c:pt idx="6">
                  <c:v>2.4379599999999999</c:v>
                </c:pt>
                <c:pt idx="7">
                  <c:v>2.8439800000000002</c:v>
                </c:pt>
                <c:pt idx="8">
                  <c:v>3.2520600000000002</c:v>
                </c:pt>
                <c:pt idx="9">
                  <c:v>3.6582599999999998</c:v>
                </c:pt>
                <c:pt idx="10">
                  <c:v>4.06358</c:v>
                </c:pt>
                <c:pt idx="11">
                  <c:v>4.4658699999999998</c:v>
                </c:pt>
                <c:pt idx="12">
                  <c:v>4.8743499999999997</c:v>
                </c:pt>
                <c:pt idx="13">
                  <c:v>5.2773199999999996</c:v>
                </c:pt>
                <c:pt idx="14">
                  <c:v>5.68804</c:v>
                </c:pt>
                <c:pt idx="15">
                  <c:v>6.0945499999999999</c:v>
                </c:pt>
                <c:pt idx="16">
                  <c:v>6.49831</c:v>
                </c:pt>
                <c:pt idx="17">
                  <c:v>6.9035000000000002</c:v>
                </c:pt>
                <c:pt idx="18">
                  <c:v>7.31297</c:v>
                </c:pt>
                <c:pt idx="19">
                  <c:v>7.7200300000000004</c:v>
                </c:pt>
                <c:pt idx="20">
                  <c:v>8.1242000000000001</c:v>
                </c:pt>
                <c:pt idx="21">
                  <c:v>8.5300600000000006</c:v>
                </c:pt>
                <c:pt idx="22">
                  <c:v>8.9361099999999993</c:v>
                </c:pt>
                <c:pt idx="23">
                  <c:v>9.3447899999999997</c:v>
                </c:pt>
                <c:pt idx="24">
                  <c:v>9.7494899999999998</c:v>
                </c:pt>
                <c:pt idx="25">
                  <c:v>10.158200000000001</c:v>
                </c:pt>
                <c:pt idx="26">
                  <c:v>10.5623</c:v>
                </c:pt>
                <c:pt idx="27">
                  <c:v>10.9694</c:v>
                </c:pt>
                <c:pt idx="28">
                  <c:v>11.3748</c:v>
                </c:pt>
                <c:pt idx="29">
                  <c:v>11.7836</c:v>
                </c:pt>
                <c:pt idx="30">
                  <c:v>12.1899</c:v>
                </c:pt>
                <c:pt idx="31">
                  <c:v>12.5921</c:v>
                </c:pt>
                <c:pt idx="32">
                  <c:v>12.998200000000001</c:v>
                </c:pt>
                <c:pt idx="33">
                  <c:v>13.404999999999999</c:v>
                </c:pt>
                <c:pt idx="34">
                  <c:v>13.8141</c:v>
                </c:pt>
                <c:pt idx="35">
                  <c:v>14.2197</c:v>
                </c:pt>
                <c:pt idx="36">
                  <c:v>14.627000000000001</c:v>
                </c:pt>
                <c:pt idx="37">
                  <c:v>15.0351</c:v>
                </c:pt>
                <c:pt idx="38">
                  <c:v>15.4404</c:v>
                </c:pt>
                <c:pt idx="39">
                  <c:v>15.8466</c:v>
                </c:pt>
                <c:pt idx="40">
                  <c:v>16.253</c:v>
                </c:pt>
                <c:pt idx="41">
                  <c:v>16.657800000000002</c:v>
                </c:pt>
                <c:pt idx="42">
                  <c:v>17.061800000000002</c:v>
                </c:pt>
                <c:pt idx="43">
                  <c:v>17.466799999999999</c:v>
                </c:pt>
                <c:pt idx="44">
                  <c:v>17.876100000000001</c:v>
                </c:pt>
                <c:pt idx="45">
                  <c:v>18.281600000000001</c:v>
                </c:pt>
                <c:pt idx="46">
                  <c:v>18.6875</c:v>
                </c:pt>
                <c:pt idx="47">
                  <c:v>19.093699999999998</c:v>
                </c:pt>
                <c:pt idx="48">
                  <c:v>19.501999999999999</c:v>
                </c:pt>
                <c:pt idx="49">
                  <c:v>19.9068</c:v>
                </c:pt>
                <c:pt idx="50">
                  <c:v>20.313500000000001</c:v>
                </c:pt>
                <c:pt idx="51">
                  <c:v>20.719200000000001</c:v>
                </c:pt>
                <c:pt idx="52">
                  <c:v>21.123999999999999</c:v>
                </c:pt>
                <c:pt idx="53">
                  <c:v>21.531400000000001</c:v>
                </c:pt>
                <c:pt idx="54">
                  <c:v>21.940300000000001</c:v>
                </c:pt>
                <c:pt idx="55">
                  <c:v>22.342300000000002</c:v>
                </c:pt>
                <c:pt idx="56">
                  <c:v>22.750399999999999</c:v>
                </c:pt>
                <c:pt idx="57">
                  <c:v>23.153199999999998</c:v>
                </c:pt>
                <c:pt idx="58">
                  <c:v>23.561499999999999</c:v>
                </c:pt>
                <c:pt idx="59">
                  <c:v>23.9696</c:v>
                </c:pt>
                <c:pt idx="60">
                  <c:v>24.375900000000001</c:v>
                </c:pt>
                <c:pt idx="61">
                  <c:v>24.7836</c:v>
                </c:pt>
                <c:pt idx="62">
                  <c:v>25.187799999999999</c:v>
                </c:pt>
                <c:pt idx="63">
                  <c:v>25.592099999999999</c:v>
                </c:pt>
                <c:pt idx="64">
                  <c:v>25.9986</c:v>
                </c:pt>
                <c:pt idx="65">
                  <c:v>26.407900000000001</c:v>
                </c:pt>
                <c:pt idx="66">
                  <c:v>26.814499999999999</c:v>
                </c:pt>
                <c:pt idx="67">
                  <c:v>27.218599999999999</c:v>
                </c:pt>
                <c:pt idx="68">
                  <c:v>27.6249</c:v>
                </c:pt>
                <c:pt idx="69">
                  <c:v>28.0318</c:v>
                </c:pt>
                <c:pt idx="70">
                  <c:v>28.4358</c:v>
                </c:pt>
                <c:pt idx="71">
                  <c:v>28.845300000000002</c:v>
                </c:pt>
                <c:pt idx="72">
                  <c:v>29.250299999999999</c:v>
                </c:pt>
                <c:pt idx="73">
                  <c:v>29.6585</c:v>
                </c:pt>
                <c:pt idx="74">
                  <c:v>30.063700000000001</c:v>
                </c:pt>
                <c:pt idx="75">
                  <c:v>30.530100000000001</c:v>
                </c:pt>
                <c:pt idx="76">
                  <c:v>30.922000000000001</c:v>
                </c:pt>
                <c:pt idx="77">
                  <c:v>31.3292</c:v>
                </c:pt>
                <c:pt idx="78">
                  <c:v>31.733699999999999</c:v>
                </c:pt>
                <c:pt idx="79">
                  <c:v>32.138599999999997</c:v>
                </c:pt>
                <c:pt idx="80">
                  <c:v>32.5471</c:v>
                </c:pt>
                <c:pt idx="81">
                  <c:v>32.9544</c:v>
                </c:pt>
                <c:pt idx="82">
                  <c:v>33.3596</c:v>
                </c:pt>
                <c:pt idx="83">
                  <c:v>33.763199999999998</c:v>
                </c:pt>
                <c:pt idx="84">
                  <c:v>34.170900000000003</c:v>
                </c:pt>
                <c:pt idx="85">
                  <c:v>34.581299999999999</c:v>
                </c:pt>
                <c:pt idx="86">
                  <c:v>34.985900000000001</c:v>
                </c:pt>
                <c:pt idx="87">
                  <c:v>35.390700000000002</c:v>
                </c:pt>
                <c:pt idx="88">
                  <c:v>35.795200000000001</c:v>
                </c:pt>
                <c:pt idx="89">
                  <c:v>36.201599999999999</c:v>
                </c:pt>
                <c:pt idx="90">
                  <c:v>36.608499999999999</c:v>
                </c:pt>
                <c:pt idx="91">
                  <c:v>37.015900000000002</c:v>
                </c:pt>
                <c:pt idx="92">
                  <c:v>37.4221</c:v>
                </c:pt>
                <c:pt idx="93">
                  <c:v>37.8279</c:v>
                </c:pt>
                <c:pt idx="94">
                  <c:v>38.2333</c:v>
                </c:pt>
                <c:pt idx="95">
                  <c:v>38.640700000000002</c:v>
                </c:pt>
                <c:pt idx="96">
                  <c:v>39.049500000000002</c:v>
                </c:pt>
                <c:pt idx="97">
                  <c:v>39.453299999999999</c:v>
                </c:pt>
                <c:pt idx="98">
                  <c:v>39.8581</c:v>
                </c:pt>
                <c:pt idx="99">
                  <c:v>40.264400000000002</c:v>
                </c:pt>
                <c:pt idx="100">
                  <c:v>40.67</c:v>
                </c:pt>
                <c:pt idx="101">
                  <c:v>41.080300000000001</c:v>
                </c:pt>
                <c:pt idx="102">
                  <c:v>41.484400000000001</c:v>
                </c:pt>
                <c:pt idx="103">
                  <c:v>41.890599999999999</c:v>
                </c:pt>
                <c:pt idx="104">
                  <c:v>42.296700000000001</c:v>
                </c:pt>
                <c:pt idx="105">
                  <c:v>42.702800000000003</c:v>
                </c:pt>
                <c:pt idx="106">
                  <c:v>43.107900000000001</c:v>
                </c:pt>
                <c:pt idx="107">
                  <c:v>43.515700000000002</c:v>
                </c:pt>
                <c:pt idx="108">
                  <c:v>43.919800000000002</c:v>
                </c:pt>
                <c:pt idx="109">
                  <c:v>44.327199999999998</c:v>
                </c:pt>
                <c:pt idx="110">
                  <c:v>44.733499999999999</c:v>
                </c:pt>
                <c:pt idx="111">
                  <c:v>45.143500000000003</c:v>
                </c:pt>
                <c:pt idx="112">
                  <c:v>45.549700000000001</c:v>
                </c:pt>
                <c:pt idx="113">
                  <c:v>45.954000000000001</c:v>
                </c:pt>
                <c:pt idx="114">
                  <c:v>46.3583</c:v>
                </c:pt>
                <c:pt idx="115">
                  <c:v>46.765999999999998</c:v>
                </c:pt>
                <c:pt idx="116">
                  <c:v>47.174799999999998</c:v>
                </c:pt>
                <c:pt idx="117">
                  <c:v>47.581899999999997</c:v>
                </c:pt>
                <c:pt idx="118">
                  <c:v>47.984999999999999</c:v>
                </c:pt>
                <c:pt idx="119">
                  <c:v>48.387</c:v>
                </c:pt>
                <c:pt idx="120">
                  <c:v>48.796199999999999</c:v>
                </c:pt>
                <c:pt idx="121">
                  <c:v>49.2042</c:v>
                </c:pt>
                <c:pt idx="122">
                  <c:v>49.610900000000001</c:v>
                </c:pt>
                <c:pt idx="123">
                  <c:v>50.015300000000003</c:v>
                </c:pt>
                <c:pt idx="124">
                  <c:v>50.421399999999998</c:v>
                </c:pt>
                <c:pt idx="125">
                  <c:v>50.828099999999999</c:v>
                </c:pt>
                <c:pt idx="126">
                  <c:v>51.233400000000003</c:v>
                </c:pt>
                <c:pt idx="127">
                  <c:v>51.639099999999999</c:v>
                </c:pt>
                <c:pt idx="128">
                  <c:v>52.048699999999997</c:v>
                </c:pt>
                <c:pt idx="129">
                  <c:v>52.453600000000002</c:v>
                </c:pt>
                <c:pt idx="130">
                  <c:v>52.860700000000001</c:v>
                </c:pt>
                <c:pt idx="131">
                  <c:v>53.266800000000003</c:v>
                </c:pt>
                <c:pt idx="132">
                  <c:v>53.673299999999998</c:v>
                </c:pt>
                <c:pt idx="133">
                  <c:v>54.083500000000001</c:v>
                </c:pt>
                <c:pt idx="134">
                  <c:v>54.485199999999999</c:v>
                </c:pt>
                <c:pt idx="135">
                  <c:v>54.894799999999996</c:v>
                </c:pt>
                <c:pt idx="136">
                  <c:v>55.2971</c:v>
                </c:pt>
                <c:pt idx="137">
                  <c:v>55.7029</c:v>
                </c:pt>
                <c:pt idx="138">
                  <c:v>56.108800000000002</c:v>
                </c:pt>
                <c:pt idx="139">
                  <c:v>56.516300000000001</c:v>
                </c:pt>
                <c:pt idx="140">
                  <c:v>56.927</c:v>
                </c:pt>
                <c:pt idx="141">
                  <c:v>57.331699999999998</c:v>
                </c:pt>
                <c:pt idx="142">
                  <c:v>57.735100000000003</c:v>
                </c:pt>
                <c:pt idx="143">
                  <c:v>58.142200000000003</c:v>
                </c:pt>
                <c:pt idx="144">
                  <c:v>58.547400000000003</c:v>
                </c:pt>
                <c:pt idx="145">
                  <c:v>58.955300000000001</c:v>
                </c:pt>
                <c:pt idx="146">
                  <c:v>59.361199999999997</c:v>
                </c:pt>
                <c:pt idx="147">
                  <c:v>59.763599999999997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1.6071499999999999</c:v>
                </c:pt>
                <c:pt idx="1">
                  <c:v>1.64775</c:v>
                </c:pt>
                <c:pt idx="2">
                  <c:v>1.68801</c:v>
                </c:pt>
                <c:pt idx="3">
                  <c:v>1.72766</c:v>
                </c:pt>
                <c:pt idx="4">
                  <c:v>1.7677100000000001</c:v>
                </c:pt>
                <c:pt idx="5">
                  <c:v>1.80965</c:v>
                </c:pt>
                <c:pt idx="6">
                  <c:v>1.8545199999999999</c:v>
                </c:pt>
                <c:pt idx="7">
                  <c:v>1.89856</c:v>
                </c:pt>
                <c:pt idx="8">
                  <c:v>1.94123</c:v>
                </c:pt>
                <c:pt idx="9">
                  <c:v>1.9839100000000001</c:v>
                </c:pt>
                <c:pt idx="10">
                  <c:v>2.0267499999999998</c:v>
                </c:pt>
                <c:pt idx="11">
                  <c:v>2.0707900000000001</c:v>
                </c:pt>
                <c:pt idx="12">
                  <c:v>2.1160399999999999</c:v>
                </c:pt>
                <c:pt idx="13">
                  <c:v>2.1603300000000001</c:v>
                </c:pt>
                <c:pt idx="14">
                  <c:v>2.2047300000000001</c:v>
                </c:pt>
                <c:pt idx="15">
                  <c:v>2.24681</c:v>
                </c:pt>
                <c:pt idx="16">
                  <c:v>2.2880700000000003</c:v>
                </c:pt>
                <c:pt idx="17">
                  <c:v>2.32524</c:v>
                </c:pt>
                <c:pt idx="18">
                  <c:v>2.3630499999999999</c:v>
                </c:pt>
                <c:pt idx="19">
                  <c:v>2.3992100000000001</c:v>
                </c:pt>
                <c:pt idx="20">
                  <c:v>2.4311099999999999</c:v>
                </c:pt>
                <c:pt idx="21">
                  <c:v>2.4617900000000001</c:v>
                </c:pt>
                <c:pt idx="22">
                  <c:v>2.49064</c:v>
                </c:pt>
                <c:pt idx="23">
                  <c:v>2.51823</c:v>
                </c:pt>
                <c:pt idx="24">
                  <c:v>2.5471899999999996</c:v>
                </c:pt>
                <c:pt idx="25">
                  <c:v>2.5756899999999998</c:v>
                </c:pt>
                <c:pt idx="26">
                  <c:v>2.6025</c:v>
                </c:pt>
                <c:pt idx="27">
                  <c:v>2.6276600000000001</c:v>
                </c:pt>
                <c:pt idx="28">
                  <c:v>2.6485300000000001</c:v>
                </c:pt>
                <c:pt idx="29">
                  <c:v>2.6648100000000001</c:v>
                </c:pt>
                <c:pt idx="30">
                  <c:v>2.6782400000000002</c:v>
                </c:pt>
                <c:pt idx="31">
                  <c:v>2.6876600000000002</c:v>
                </c:pt>
                <c:pt idx="32">
                  <c:v>2.6943800000000002</c:v>
                </c:pt>
                <c:pt idx="33">
                  <c:v>2.6995400000000003</c:v>
                </c:pt>
                <c:pt idx="34">
                  <c:v>2.70329</c:v>
                </c:pt>
                <c:pt idx="35">
                  <c:v>2.7051699999999999</c:v>
                </c:pt>
                <c:pt idx="36">
                  <c:v>2.7055699999999998</c:v>
                </c:pt>
                <c:pt idx="37">
                  <c:v>2.70221</c:v>
                </c:pt>
                <c:pt idx="38">
                  <c:v>2.6966700000000001</c:v>
                </c:pt>
                <c:pt idx="39">
                  <c:v>2.6880600000000001</c:v>
                </c:pt>
                <c:pt idx="40">
                  <c:v>2.67598</c:v>
                </c:pt>
                <c:pt idx="41">
                  <c:v>2.6610699999999996</c:v>
                </c:pt>
                <c:pt idx="42">
                  <c:v>2.6464100000000004</c:v>
                </c:pt>
                <c:pt idx="43">
                  <c:v>2.6302099999999999</c:v>
                </c:pt>
                <c:pt idx="44">
                  <c:v>2.6121499999999997</c:v>
                </c:pt>
                <c:pt idx="45">
                  <c:v>2.5957999999999997</c:v>
                </c:pt>
                <c:pt idx="46">
                  <c:v>2.5794600000000001</c:v>
                </c:pt>
                <c:pt idx="47">
                  <c:v>2.5628600000000001</c:v>
                </c:pt>
                <c:pt idx="48">
                  <c:v>2.5482700000000005</c:v>
                </c:pt>
                <c:pt idx="49">
                  <c:v>2.5345</c:v>
                </c:pt>
                <c:pt idx="50">
                  <c:v>2.5210400000000002</c:v>
                </c:pt>
                <c:pt idx="51">
                  <c:v>2.5088300000000001</c:v>
                </c:pt>
                <c:pt idx="52">
                  <c:v>2.4999599999999997</c:v>
                </c:pt>
                <c:pt idx="53">
                  <c:v>2.4946299999999999</c:v>
                </c:pt>
                <c:pt idx="54">
                  <c:v>2.4932300000000001</c:v>
                </c:pt>
                <c:pt idx="55">
                  <c:v>2.4890099999999999</c:v>
                </c:pt>
                <c:pt idx="56">
                  <c:v>2.49024</c:v>
                </c:pt>
                <c:pt idx="57">
                  <c:v>2.4940000000000002</c:v>
                </c:pt>
                <c:pt idx="58">
                  <c:v>2.4999199999999999</c:v>
                </c:pt>
                <c:pt idx="59">
                  <c:v>2.5135400000000003</c:v>
                </c:pt>
                <c:pt idx="60">
                  <c:v>2.5185200000000001</c:v>
                </c:pt>
                <c:pt idx="61">
                  <c:v>2.53559</c:v>
                </c:pt>
                <c:pt idx="62">
                  <c:v>2.5509500000000003</c:v>
                </c:pt>
                <c:pt idx="63">
                  <c:v>2.5609999999999999</c:v>
                </c:pt>
                <c:pt idx="64">
                  <c:v>2.5832899999999999</c:v>
                </c:pt>
                <c:pt idx="65">
                  <c:v>2.6196299999999999</c:v>
                </c:pt>
                <c:pt idx="66">
                  <c:v>2.6487300000000005</c:v>
                </c:pt>
                <c:pt idx="67">
                  <c:v>2.6807300000000001</c:v>
                </c:pt>
                <c:pt idx="68">
                  <c:v>2.71197</c:v>
                </c:pt>
                <c:pt idx="69">
                  <c:v>2.7437200000000002</c:v>
                </c:pt>
                <c:pt idx="70">
                  <c:v>2.7667000000000002</c:v>
                </c:pt>
                <c:pt idx="71">
                  <c:v>2.8029799999999998</c:v>
                </c:pt>
                <c:pt idx="72">
                  <c:v>2.8256700000000001</c:v>
                </c:pt>
                <c:pt idx="73">
                  <c:v>2.8585400000000001</c:v>
                </c:pt>
                <c:pt idx="74">
                  <c:v>2.8825499999999997</c:v>
                </c:pt>
                <c:pt idx="75">
                  <c:v>2.9068199999999997</c:v>
                </c:pt>
                <c:pt idx="76">
                  <c:v>2.9291200000000002</c:v>
                </c:pt>
                <c:pt idx="77">
                  <c:v>2.9475699999999998</c:v>
                </c:pt>
                <c:pt idx="78">
                  <c:v>2.9641899999999999</c:v>
                </c:pt>
                <c:pt idx="79">
                  <c:v>2.9756</c:v>
                </c:pt>
                <c:pt idx="80">
                  <c:v>2.9853499999999999</c:v>
                </c:pt>
                <c:pt idx="81">
                  <c:v>2.9922199999999997</c:v>
                </c:pt>
                <c:pt idx="82">
                  <c:v>2.9982700000000002</c:v>
                </c:pt>
                <c:pt idx="83">
                  <c:v>3.0020899999999999</c:v>
                </c:pt>
                <c:pt idx="84">
                  <c:v>3.0032300000000003</c:v>
                </c:pt>
                <c:pt idx="85">
                  <c:v>3.00197</c:v>
                </c:pt>
                <c:pt idx="86">
                  <c:v>2.9992999999999999</c:v>
                </c:pt>
                <c:pt idx="87">
                  <c:v>2.9904299999999999</c:v>
                </c:pt>
                <c:pt idx="88">
                  <c:v>2.9778900000000004</c:v>
                </c:pt>
                <c:pt idx="89">
                  <c:v>2.9574499999999997</c:v>
                </c:pt>
                <c:pt idx="90">
                  <c:v>2.9362500000000002</c:v>
                </c:pt>
                <c:pt idx="91">
                  <c:v>2.9152399999999998</c:v>
                </c:pt>
                <c:pt idx="92">
                  <c:v>2.8917599999999997</c:v>
                </c:pt>
                <c:pt idx="93">
                  <c:v>2.8678300000000001</c:v>
                </c:pt>
                <c:pt idx="94">
                  <c:v>2.8405300000000002</c:v>
                </c:pt>
                <c:pt idx="95">
                  <c:v>2.8123300000000002</c:v>
                </c:pt>
                <c:pt idx="96">
                  <c:v>2.78552</c:v>
                </c:pt>
                <c:pt idx="97">
                  <c:v>2.75901</c:v>
                </c:pt>
                <c:pt idx="98">
                  <c:v>2.7287299999999997</c:v>
                </c:pt>
                <c:pt idx="99">
                  <c:v>2.6978999999999997</c:v>
                </c:pt>
                <c:pt idx="100">
                  <c:v>2.6673599999999995</c:v>
                </c:pt>
                <c:pt idx="101">
                  <c:v>2.6404199999999998</c:v>
                </c:pt>
                <c:pt idx="102">
                  <c:v>2.6146200000000004</c:v>
                </c:pt>
                <c:pt idx="103">
                  <c:v>2.5892900000000001</c:v>
                </c:pt>
                <c:pt idx="104">
                  <c:v>2.56717</c:v>
                </c:pt>
                <c:pt idx="105">
                  <c:v>2.5446999999999997</c:v>
                </c:pt>
                <c:pt idx="106">
                  <c:v>2.5267299999999997</c:v>
                </c:pt>
                <c:pt idx="107">
                  <c:v>2.5123099999999998</c:v>
                </c:pt>
                <c:pt idx="108">
                  <c:v>2.4999400000000001</c:v>
                </c:pt>
                <c:pt idx="109">
                  <c:v>2.48793</c:v>
                </c:pt>
                <c:pt idx="110">
                  <c:v>2.4775200000000002</c:v>
                </c:pt>
                <c:pt idx="111">
                  <c:v>2.4694500000000001</c:v>
                </c:pt>
                <c:pt idx="112">
                  <c:v>2.4642599999999999</c:v>
                </c:pt>
                <c:pt idx="113">
                  <c:v>2.4577</c:v>
                </c:pt>
                <c:pt idx="114">
                  <c:v>2.4527299999999999</c:v>
                </c:pt>
                <c:pt idx="115">
                  <c:v>2.4494199999999999</c:v>
                </c:pt>
                <c:pt idx="116">
                  <c:v>2.4483199999999998</c:v>
                </c:pt>
                <c:pt idx="117">
                  <c:v>2.4485199999999998</c:v>
                </c:pt>
                <c:pt idx="118">
                  <c:v>2.4477899999999999</c:v>
                </c:pt>
                <c:pt idx="119">
                  <c:v>2.45242</c:v>
                </c:pt>
                <c:pt idx="120">
                  <c:v>2.4598100000000001</c:v>
                </c:pt>
                <c:pt idx="121">
                  <c:v>2.4693000000000001</c:v>
                </c:pt>
                <c:pt idx="122">
                  <c:v>2.4780199999999999</c:v>
                </c:pt>
                <c:pt idx="123">
                  <c:v>2.4860799999999998</c:v>
                </c:pt>
                <c:pt idx="124">
                  <c:v>2.4947699999999999</c:v>
                </c:pt>
                <c:pt idx="125">
                  <c:v>2.5025599999999999</c:v>
                </c:pt>
                <c:pt idx="126">
                  <c:v>2.5069399999999997</c:v>
                </c:pt>
                <c:pt idx="127">
                  <c:v>2.5121700000000002</c:v>
                </c:pt>
                <c:pt idx="128">
                  <c:v>2.5181500000000003</c:v>
                </c:pt>
                <c:pt idx="129">
                  <c:v>2.5254300000000001</c:v>
                </c:pt>
                <c:pt idx="130">
                  <c:v>2.53545</c:v>
                </c:pt>
                <c:pt idx="131">
                  <c:v>2.5417000000000001</c:v>
                </c:pt>
                <c:pt idx="132">
                  <c:v>2.5423299999999998</c:v>
                </c:pt>
                <c:pt idx="133">
                  <c:v>2.5419799999999997</c:v>
                </c:pt>
                <c:pt idx="134">
                  <c:v>2.54176</c:v>
                </c:pt>
                <c:pt idx="135">
                  <c:v>2.5399500000000002</c:v>
                </c:pt>
                <c:pt idx="136">
                  <c:v>2.5357800000000004</c:v>
                </c:pt>
                <c:pt idx="137">
                  <c:v>2.5331799999999998</c:v>
                </c:pt>
                <c:pt idx="138">
                  <c:v>2.53843</c:v>
                </c:pt>
                <c:pt idx="139">
                  <c:v>2.5502799999999999</c:v>
                </c:pt>
                <c:pt idx="140">
                  <c:v>2.5607099999999998</c:v>
                </c:pt>
                <c:pt idx="141">
                  <c:v>2.5654300000000001</c:v>
                </c:pt>
                <c:pt idx="142">
                  <c:v>2.5689000000000002</c:v>
                </c:pt>
                <c:pt idx="143">
                  <c:v>2.5821199999999997</c:v>
                </c:pt>
                <c:pt idx="144">
                  <c:v>2.5930900000000001</c:v>
                </c:pt>
                <c:pt idx="145">
                  <c:v>2.5991999999999997</c:v>
                </c:pt>
                <c:pt idx="146">
                  <c:v>2.5834899999999998</c:v>
                </c:pt>
                <c:pt idx="147">
                  <c:v>2.5286399999999998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0.40837800000000002</c:v>
                </c:pt>
                <c:pt idx="2">
                  <c:v>0.81258799999999998</c:v>
                </c:pt>
                <c:pt idx="3">
                  <c:v>1.2173799999999999</c:v>
                </c:pt>
                <c:pt idx="4">
                  <c:v>1.62707</c:v>
                </c:pt>
                <c:pt idx="5">
                  <c:v>2.02834</c:v>
                </c:pt>
                <c:pt idx="6">
                  <c:v>2.4379599999999999</c:v>
                </c:pt>
                <c:pt idx="7">
                  <c:v>2.8439800000000002</c:v>
                </c:pt>
                <c:pt idx="8">
                  <c:v>3.2520600000000002</c:v>
                </c:pt>
                <c:pt idx="9">
                  <c:v>3.6582599999999998</c:v>
                </c:pt>
                <c:pt idx="10">
                  <c:v>4.06358</c:v>
                </c:pt>
                <c:pt idx="11">
                  <c:v>4.4658699999999998</c:v>
                </c:pt>
                <c:pt idx="12">
                  <c:v>4.8743499999999997</c:v>
                </c:pt>
                <c:pt idx="13">
                  <c:v>5.2773199999999996</c:v>
                </c:pt>
                <c:pt idx="14">
                  <c:v>5.68804</c:v>
                </c:pt>
                <c:pt idx="15">
                  <c:v>6.0945499999999999</c:v>
                </c:pt>
                <c:pt idx="16">
                  <c:v>6.49831</c:v>
                </c:pt>
                <c:pt idx="17">
                  <c:v>6.9035000000000002</c:v>
                </c:pt>
                <c:pt idx="18">
                  <c:v>7.31297</c:v>
                </c:pt>
                <c:pt idx="19">
                  <c:v>7.7200300000000004</c:v>
                </c:pt>
                <c:pt idx="20">
                  <c:v>8.1242000000000001</c:v>
                </c:pt>
                <c:pt idx="21">
                  <c:v>8.5300600000000006</c:v>
                </c:pt>
                <c:pt idx="22">
                  <c:v>8.9361099999999993</c:v>
                </c:pt>
                <c:pt idx="23">
                  <c:v>9.3447899999999997</c:v>
                </c:pt>
                <c:pt idx="24">
                  <c:v>9.7494899999999998</c:v>
                </c:pt>
                <c:pt idx="25">
                  <c:v>10.158200000000001</c:v>
                </c:pt>
                <c:pt idx="26">
                  <c:v>10.5623</c:v>
                </c:pt>
                <c:pt idx="27">
                  <c:v>10.9694</c:v>
                </c:pt>
                <c:pt idx="28">
                  <c:v>11.3748</c:v>
                </c:pt>
                <c:pt idx="29">
                  <c:v>11.7836</c:v>
                </c:pt>
                <c:pt idx="30">
                  <c:v>12.1899</c:v>
                </c:pt>
                <c:pt idx="31">
                  <c:v>12.5921</c:v>
                </c:pt>
                <c:pt idx="32">
                  <c:v>12.998200000000001</c:v>
                </c:pt>
                <c:pt idx="33">
                  <c:v>13.404999999999999</c:v>
                </c:pt>
                <c:pt idx="34">
                  <c:v>13.8141</c:v>
                </c:pt>
                <c:pt idx="35">
                  <c:v>14.2197</c:v>
                </c:pt>
                <c:pt idx="36">
                  <c:v>14.627000000000001</c:v>
                </c:pt>
                <c:pt idx="37">
                  <c:v>15.0351</c:v>
                </c:pt>
                <c:pt idx="38">
                  <c:v>15.4404</c:v>
                </c:pt>
                <c:pt idx="39">
                  <c:v>15.8466</c:v>
                </c:pt>
                <c:pt idx="40">
                  <c:v>16.253</c:v>
                </c:pt>
                <c:pt idx="41">
                  <c:v>16.657800000000002</c:v>
                </c:pt>
                <c:pt idx="42">
                  <c:v>17.061800000000002</c:v>
                </c:pt>
                <c:pt idx="43">
                  <c:v>17.466799999999999</c:v>
                </c:pt>
                <c:pt idx="44">
                  <c:v>17.876100000000001</c:v>
                </c:pt>
                <c:pt idx="45">
                  <c:v>18.281600000000001</c:v>
                </c:pt>
                <c:pt idx="46">
                  <c:v>18.6875</c:v>
                </c:pt>
                <c:pt idx="47">
                  <c:v>19.093699999999998</c:v>
                </c:pt>
                <c:pt idx="48">
                  <c:v>19.501999999999999</c:v>
                </c:pt>
                <c:pt idx="49">
                  <c:v>19.9068</c:v>
                </c:pt>
                <c:pt idx="50">
                  <c:v>20.313500000000001</c:v>
                </c:pt>
                <c:pt idx="51">
                  <c:v>20.719200000000001</c:v>
                </c:pt>
                <c:pt idx="52">
                  <c:v>21.123999999999999</c:v>
                </c:pt>
                <c:pt idx="53">
                  <c:v>21.531400000000001</c:v>
                </c:pt>
                <c:pt idx="54">
                  <c:v>21.940300000000001</c:v>
                </c:pt>
                <c:pt idx="55">
                  <c:v>22.342300000000002</c:v>
                </c:pt>
                <c:pt idx="56">
                  <c:v>22.750399999999999</c:v>
                </c:pt>
                <c:pt idx="57">
                  <c:v>23.153199999999998</c:v>
                </c:pt>
                <c:pt idx="58">
                  <c:v>23.561499999999999</c:v>
                </c:pt>
                <c:pt idx="59">
                  <c:v>23.9696</c:v>
                </c:pt>
                <c:pt idx="60">
                  <c:v>24.375900000000001</c:v>
                </c:pt>
                <c:pt idx="61">
                  <c:v>24.7836</c:v>
                </c:pt>
                <c:pt idx="62">
                  <c:v>25.187799999999999</c:v>
                </c:pt>
                <c:pt idx="63">
                  <c:v>25.592099999999999</c:v>
                </c:pt>
                <c:pt idx="64">
                  <c:v>25.9986</c:v>
                </c:pt>
                <c:pt idx="65">
                  <c:v>26.407900000000001</c:v>
                </c:pt>
                <c:pt idx="66">
                  <c:v>26.814499999999999</c:v>
                </c:pt>
                <c:pt idx="67">
                  <c:v>27.218599999999999</c:v>
                </c:pt>
                <c:pt idx="68">
                  <c:v>27.6249</c:v>
                </c:pt>
                <c:pt idx="69">
                  <c:v>28.0318</c:v>
                </c:pt>
                <c:pt idx="70">
                  <c:v>28.4358</c:v>
                </c:pt>
                <c:pt idx="71">
                  <c:v>28.845300000000002</c:v>
                </c:pt>
                <c:pt idx="72">
                  <c:v>29.250299999999999</c:v>
                </c:pt>
                <c:pt idx="73">
                  <c:v>29.6585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1.6071499999999999</c:v>
                </c:pt>
                <c:pt idx="1">
                  <c:v>1.64775</c:v>
                </c:pt>
                <c:pt idx="2">
                  <c:v>1.68801</c:v>
                </c:pt>
                <c:pt idx="3">
                  <c:v>1.72766</c:v>
                </c:pt>
                <c:pt idx="4">
                  <c:v>1.7677100000000001</c:v>
                </c:pt>
                <c:pt idx="5">
                  <c:v>1.80965</c:v>
                </c:pt>
                <c:pt idx="6">
                  <c:v>1.8545199999999999</c:v>
                </c:pt>
                <c:pt idx="7">
                  <c:v>1.89856</c:v>
                </c:pt>
                <c:pt idx="8">
                  <c:v>1.94123</c:v>
                </c:pt>
                <c:pt idx="9">
                  <c:v>1.9839100000000001</c:v>
                </c:pt>
                <c:pt idx="10">
                  <c:v>2.0267499999999998</c:v>
                </c:pt>
                <c:pt idx="11">
                  <c:v>2.0707900000000001</c:v>
                </c:pt>
                <c:pt idx="12">
                  <c:v>2.1160399999999999</c:v>
                </c:pt>
                <c:pt idx="13">
                  <c:v>2.1603300000000001</c:v>
                </c:pt>
                <c:pt idx="14">
                  <c:v>2.2047300000000001</c:v>
                </c:pt>
                <c:pt idx="15">
                  <c:v>2.24681</c:v>
                </c:pt>
                <c:pt idx="16">
                  <c:v>2.2880700000000003</c:v>
                </c:pt>
                <c:pt idx="17">
                  <c:v>2.32524</c:v>
                </c:pt>
                <c:pt idx="18">
                  <c:v>2.3630499999999999</c:v>
                </c:pt>
                <c:pt idx="19">
                  <c:v>2.3992100000000001</c:v>
                </c:pt>
                <c:pt idx="20">
                  <c:v>2.4311099999999999</c:v>
                </c:pt>
                <c:pt idx="21">
                  <c:v>2.4617900000000001</c:v>
                </c:pt>
                <c:pt idx="22">
                  <c:v>2.49064</c:v>
                </c:pt>
                <c:pt idx="23">
                  <c:v>2.51823</c:v>
                </c:pt>
                <c:pt idx="24">
                  <c:v>2.5471899999999996</c:v>
                </c:pt>
                <c:pt idx="25">
                  <c:v>2.5756899999999998</c:v>
                </c:pt>
                <c:pt idx="26">
                  <c:v>2.6025</c:v>
                </c:pt>
                <c:pt idx="27">
                  <c:v>2.6276600000000001</c:v>
                </c:pt>
                <c:pt idx="28">
                  <c:v>2.6485300000000001</c:v>
                </c:pt>
                <c:pt idx="29">
                  <c:v>2.6648100000000001</c:v>
                </c:pt>
                <c:pt idx="30">
                  <c:v>2.6782400000000002</c:v>
                </c:pt>
                <c:pt idx="31">
                  <c:v>2.6876600000000002</c:v>
                </c:pt>
                <c:pt idx="32">
                  <c:v>2.6943800000000002</c:v>
                </c:pt>
                <c:pt idx="33">
                  <c:v>2.6995400000000003</c:v>
                </c:pt>
                <c:pt idx="34">
                  <c:v>2.70329</c:v>
                </c:pt>
                <c:pt idx="35">
                  <c:v>2.7051699999999999</c:v>
                </c:pt>
                <c:pt idx="36">
                  <c:v>2.7055699999999998</c:v>
                </c:pt>
                <c:pt idx="37">
                  <c:v>2.70221</c:v>
                </c:pt>
                <c:pt idx="38">
                  <c:v>2.6966700000000001</c:v>
                </c:pt>
                <c:pt idx="39">
                  <c:v>2.6880600000000001</c:v>
                </c:pt>
                <c:pt idx="40">
                  <c:v>2.67598</c:v>
                </c:pt>
                <c:pt idx="41">
                  <c:v>2.6610699999999996</c:v>
                </c:pt>
                <c:pt idx="42">
                  <c:v>2.6464100000000004</c:v>
                </c:pt>
                <c:pt idx="43">
                  <c:v>2.6302099999999999</c:v>
                </c:pt>
                <c:pt idx="44">
                  <c:v>2.6121499999999997</c:v>
                </c:pt>
                <c:pt idx="45">
                  <c:v>2.5957999999999997</c:v>
                </c:pt>
                <c:pt idx="46">
                  <c:v>2.5794600000000001</c:v>
                </c:pt>
                <c:pt idx="47">
                  <c:v>2.5628600000000001</c:v>
                </c:pt>
                <c:pt idx="48">
                  <c:v>2.5482700000000005</c:v>
                </c:pt>
                <c:pt idx="49">
                  <c:v>2.5345</c:v>
                </c:pt>
                <c:pt idx="50">
                  <c:v>2.5210400000000002</c:v>
                </c:pt>
                <c:pt idx="51">
                  <c:v>2.5088300000000001</c:v>
                </c:pt>
                <c:pt idx="52">
                  <c:v>2.4999599999999997</c:v>
                </c:pt>
                <c:pt idx="53">
                  <c:v>2.4946299999999999</c:v>
                </c:pt>
                <c:pt idx="54">
                  <c:v>2.4932300000000001</c:v>
                </c:pt>
                <c:pt idx="55">
                  <c:v>2.4890099999999999</c:v>
                </c:pt>
                <c:pt idx="56">
                  <c:v>2.49024</c:v>
                </c:pt>
                <c:pt idx="57">
                  <c:v>2.4940000000000002</c:v>
                </c:pt>
                <c:pt idx="58">
                  <c:v>2.4999199999999999</c:v>
                </c:pt>
                <c:pt idx="59">
                  <c:v>2.5135400000000003</c:v>
                </c:pt>
                <c:pt idx="60">
                  <c:v>2.5185200000000001</c:v>
                </c:pt>
                <c:pt idx="61">
                  <c:v>2.53559</c:v>
                </c:pt>
                <c:pt idx="62">
                  <c:v>2.5509500000000003</c:v>
                </c:pt>
                <c:pt idx="63">
                  <c:v>2.5609999999999999</c:v>
                </c:pt>
                <c:pt idx="64">
                  <c:v>2.5832899999999999</c:v>
                </c:pt>
                <c:pt idx="65">
                  <c:v>2.6196299999999999</c:v>
                </c:pt>
                <c:pt idx="66">
                  <c:v>2.6487300000000005</c:v>
                </c:pt>
                <c:pt idx="67">
                  <c:v>2.6807300000000001</c:v>
                </c:pt>
                <c:pt idx="68">
                  <c:v>2.71197</c:v>
                </c:pt>
                <c:pt idx="69">
                  <c:v>2.7437200000000002</c:v>
                </c:pt>
                <c:pt idx="70">
                  <c:v>2.7667000000000002</c:v>
                </c:pt>
                <c:pt idx="71">
                  <c:v>2.8029799999999998</c:v>
                </c:pt>
                <c:pt idx="72">
                  <c:v>2.8256700000000001</c:v>
                </c:pt>
                <c:pt idx="73">
                  <c:v>2.8585400000000001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29.6585</c:v>
                </c:pt>
                <c:pt idx="1">
                  <c:v>30.063700000000001</c:v>
                </c:pt>
                <c:pt idx="2">
                  <c:v>30.530100000000001</c:v>
                </c:pt>
                <c:pt idx="3">
                  <c:v>30.922000000000001</c:v>
                </c:pt>
                <c:pt idx="4">
                  <c:v>31.3292</c:v>
                </c:pt>
                <c:pt idx="5">
                  <c:v>31.733699999999999</c:v>
                </c:pt>
                <c:pt idx="6">
                  <c:v>32.138599999999997</c:v>
                </c:pt>
                <c:pt idx="7">
                  <c:v>32.5471</c:v>
                </c:pt>
                <c:pt idx="8">
                  <c:v>32.9544</c:v>
                </c:pt>
                <c:pt idx="9">
                  <c:v>33.3596</c:v>
                </c:pt>
                <c:pt idx="10">
                  <c:v>33.763199999999998</c:v>
                </c:pt>
                <c:pt idx="11">
                  <c:v>34.170900000000003</c:v>
                </c:pt>
                <c:pt idx="12">
                  <c:v>34.581299999999999</c:v>
                </c:pt>
                <c:pt idx="13">
                  <c:v>34.985900000000001</c:v>
                </c:pt>
                <c:pt idx="14">
                  <c:v>35.390700000000002</c:v>
                </c:pt>
                <c:pt idx="15">
                  <c:v>35.795200000000001</c:v>
                </c:pt>
                <c:pt idx="16">
                  <c:v>36.201599999999999</c:v>
                </c:pt>
                <c:pt idx="17">
                  <c:v>36.608499999999999</c:v>
                </c:pt>
                <c:pt idx="18">
                  <c:v>37.015900000000002</c:v>
                </c:pt>
                <c:pt idx="19">
                  <c:v>37.4221</c:v>
                </c:pt>
                <c:pt idx="20">
                  <c:v>37.8279</c:v>
                </c:pt>
                <c:pt idx="21">
                  <c:v>38.2333</c:v>
                </c:pt>
                <c:pt idx="22">
                  <c:v>38.640700000000002</c:v>
                </c:pt>
                <c:pt idx="23">
                  <c:v>39.049500000000002</c:v>
                </c:pt>
                <c:pt idx="24">
                  <c:v>39.453299999999999</c:v>
                </c:pt>
                <c:pt idx="25">
                  <c:v>39.8581</c:v>
                </c:pt>
                <c:pt idx="26">
                  <c:v>40.264400000000002</c:v>
                </c:pt>
                <c:pt idx="27">
                  <c:v>40.67</c:v>
                </c:pt>
                <c:pt idx="28">
                  <c:v>41.080300000000001</c:v>
                </c:pt>
                <c:pt idx="29">
                  <c:v>41.484400000000001</c:v>
                </c:pt>
                <c:pt idx="30">
                  <c:v>41.890599999999999</c:v>
                </c:pt>
                <c:pt idx="31">
                  <c:v>42.296700000000001</c:v>
                </c:pt>
                <c:pt idx="32">
                  <c:v>42.702800000000003</c:v>
                </c:pt>
                <c:pt idx="33">
                  <c:v>43.107900000000001</c:v>
                </c:pt>
                <c:pt idx="34">
                  <c:v>43.515700000000002</c:v>
                </c:pt>
                <c:pt idx="35">
                  <c:v>43.919800000000002</c:v>
                </c:pt>
                <c:pt idx="36">
                  <c:v>44.327199999999998</c:v>
                </c:pt>
                <c:pt idx="37">
                  <c:v>44.733499999999999</c:v>
                </c:pt>
                <c:pt idx="38">
                  <c:v>45.143500000000003</c:v>
                </c:pt>
                <c:pt idx="39">
                  <c:v>45.549700000000001</c:v>
                </c:pt>
                <c:pt idx="40">
                  <c:v>45.954000000000001</c:v>
                </c:pt>
                <c:pt idx="41">
                  <c:v>46.3583</c:v>
                </c:pt>
                <c:pt idx="42">
                  <c:v>46.765999999999998</c:v>
                </c:pt>
                <c:pt idx="43">
                  <c:v>47.174799999999998</c:v>
                </c:pt>
                <c:pt idx="44">
                  <c:v>47.581899999999997</c:v>
                </c:pt>
                <c:pt idx="45">
                  <c:v>47.984999999999999</c:v>
                </c:pt>
                <c:pt idx="46">
                  <c:v>48.387</c:v>
                </c:pt>
                <c:pt idx="47">
                  <c:v>48.796199999999999</c:v>
                </c:pt>
                <c:pt idx="48">
                  <c:v>49.2042</c:v>
                </c:pt>
                <c:pt idx="49">
                  <c:v>49.610900000000001</c:v>
                </c:pt>
                <c:pt idx="50">
                  <c:v>50.015300000000003</c:v>
                </c:pt>
                <c:pt idx="51">
                  <c:v>50.421399999999998</c:v>
                </c:pt>
                <c:pt idx="52">
                  <c:v>50.828099999999999</c:v>
                </c:pt>
                <c:pt idx="53">
                  <c:v>51.233400000000003</c:v>
                </c:pt>
                <c:pt idx="54">
                  <c:v>51.639099999999999</c:v>
                </c:pt>
                <c:pt idx="55">
                  <c:v>52.048699999999997</c:v>
                </c:pt>
                <c:pt idx="56">
                  <c:v>52.453600000000002</c:v>
                </c:pt>
                <c:pt idx="57">
                  <c:v>52.860700000000001</c:v>
                </c:pt>
                <c:pt idx="58">
                  <c:v>53.266800000000003</c:v>
                </c:pt>
                <c:pt idx="59">
                  <c:v>53.673299999999998</c:v>
                </c:pt>
                <c:pt idx="60">
                  <c:v>54.083500000000001</c:v>
                </c:pt>
                <c:pt idx="61">
                  <c:v>54.485199999999999</c:v>
                </c:pt>
                <c:pt idx="62">
                  <c:v>54.894799999999996</c:v>
                </c:pt>
                <c:pt idx="63">
                  <c:v>55.2971</c:v>
                </c:pt>
                <c:pt idx="64">
                  <c:v>55.7029</c:v>
                </c:pt>
                <c:pt idx="65">
                  <c:v>56.108800000000002</c:v>
                </c:pt>
                <c:pt idx="66">
                  <c:v>56.516300000000001</c:v>
                </c:pt>
                <c:pt idx="67">
                  <c:v>56.927</c:v>
                </c:pt>
                <c:pt idx="68">
                  <c:v>57.331699999999998</c:v>
                </c:pt>
                <c:pt idx="69">
                  <c:v>57.735100000000003</c:v>
                </c:pt>
                <c:pt idx="70">
                  <c:v>58.142200000000003</c:v>
                </c:pt>
                <c:pt idx="71">
                  <c:v>58.547400000000003</c:v>
                </c:pt>
                <c:pt idx="72">
                  <c:v>58.955300000000001</c:v>
                </c:pt>
                <c:pt idx="73">
                  <c:v>59.361199999999997</c:v>
                </c:pt>
                <c:pt idx="74">
                  <c:v>59.763599999999997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2.8585400000000001</c:v>
                </c:pt>
                <c:pt idx="1">
                  <c:v>2.8825499999999997</c:v>
                </c:pt>
                <c:pt idx="2">
                  <c:v>2.9068199999999997</c:v>
                </c:pt>
                <c:pt idx="3">
                  <c:v>2.9291200000000002</c:v>
                </c:pt>
                <c:pt idx="4">
                  <c:v>2.9475699999999998</c:v>
                </c:pt>
                <c:pt idx="5">
                  <c:v>2.9641899999999999</c:v>
                </c:pt>
                <c:pt idx="6">
                  <c:v>2.9756</c:v>
                </c:pt>
                <c:pt idx="7">
                  <c:v>2.9853499999999999</c:v>
                </c:pt>
                <c:pt idx="8">
                  <c:v>2.9922199999999997</c:v>
                </c:pt>
                <c:pt idx="9">
                  <c:v>2.9982700000000002</c:v>
                </c:pt>
                <c:pt idx="10">
                  <c:v>3.0020899999999999</c:v>
                </c:pt>
                <c:pt idx="11">
                  <c:v>3.0032300000000003</c:v>
                </c:pt>
                <c:pt idx="12">
                  <c:v>3.00197</c:v>
                </c:pt>
                <c:pt idx="13">
                  <c:v>2.9992999999999999</c:v>
                </c:pt>
                <c:pt idx="14">
                  <c:v>2.9904299999999999</c:v>
                </c:pt>
                <c:pt idx="15">
                  <c:v>2.9778900000000004</c:v>
                </c:pt>
                <c:pt idx="16">
                  <c:v>2.9574499999999997</c:v>
                </c:pt>
                <c:pt idx="17">
                  <c:v>2.9362500000000002</c:v>
                </c:pt>
                <c:pt idx="18">
                  <c:v>2.9152399999999998</c:v>
                </c:pt>
                <c:pt idx="19">
                  <c:v>2.8917599999999997</c:v>
                </c:pt>
                <c:pt idx="20">
                  <c:v>2.8678300000000001</c:v>
                </c:pt>
                <c:pt idx="21">
                  <c:v>2.8405300000000002</c:v>
                </c:pt>
                <c:pt idx="22">
                  <c:v>2.8123300000000002</c:v>
                </c:pt>
                <c:pt idx="23">
                  <c:v>2.78552</c:v>
                </c:pt>
                <c:pt idx="24">
                  <c:v>2.75901</c:v>
                </c:pt>
                <c:pt idx="25">
                  <c:v>2.7287299999999997</c:v>
                </c:pt>
                <c:pt idx="26">
                  <c:v>2.6978999999999997</c:v>
                </c:pt>
                <c:pt idx="27">
                  <c:v>2.6673599999999995</c:v>
                </c:pt>
                <c:pt idx="28">
                  <c:v>2.6404199999999998</c:v>
                </c:pt>
                <c:pt idx="29">
                  <c:v>2.6146200000000004</c:v>
                </c:pt>
                <c:pt idx="30">
                  <c:v>2.5892900000000001</c:v>
                </c:pt>
                <c:pt idx="31">
                  <c:v>2.56717</c:v>
                </c:pt>
                <c:pt idx="32">
                  <c:v>2.5446999999999997</c:v>
                </c:pt>
                <c:pt idx="33">
                  <c:v>2.5267299999999997</c:v>
                </c:pt>
                <c:pt idx="34">
                  <c:v>2.5123099999999998</c:v>
                </c:pt>
                <c:pt idx="35">
                  <c:v>2.4999400000000001</c:v>
                </c:pt>
                <c:pt idx="36">
                  <c:v>2.48793</c:v>
                </c:pt>
                <c:pt idx="37">
                  <c:v>2.4775200000000002</c:v>
                </c:pt>
                <c:pt idx="38">
                  <c:v>2.4694500000000001</c:v>
                </c:pt>
                <c:pt idx="39">
                  <c:v>2.4642599999999999</c:v>
                </c:pt>
                <c:pt idx="40">
                  <c:v>2.4577</c:v>
                </c:pt>
                <c:pt idx="41">
                  <c:v>2.4527299999999999</c:v>
                </c:pt>
                <c:pt idx="42">
                  <c:v>2.4494199999999999</c:v>
                </c:pt>
                <c:pt idx="43">
                  <c:v>2.4483199999999998</c:v>
                </c:pt>
                <c:pt idx="44">
                  <c:v>2.4485199999999998</c:v>
                </c:pt>
                <c:pt idx="45">
                  <c:v>2.4477899999999999</c:v>
                </c:pt>
                <c:pt idx="46">
                  <c:v>2.45242</c:v>
                </c:pt>
                <c:pt idx="47">
                  <c:v>2.4598100000000001</c:v>
                </c:pt>
                <c:pt idx="48">
                  <c:v>2.4693000000000001</c:v>
                </c:pt>
                <c:pt idx="49">
                  <c:v>2.4780199999999999</c:v>
                </c:pt>
                <c:pt idx="50">
                  <c:v>2.4860799999999998</c:v>
                </c:pt>
                <c:pt idx="51">
                  <c:v>2.4947699999999999</c:v>
                </c:pt>
                <c:pt idx="52">
                  <c:v>2.5025599999999999</c:v>
                </c:pt>
                <c:pt idx="53">
                  <c:v>2.5069399999999997</c:v>
                </c:pt>
                <c:pt idx="54">
                  <c:v>2.5121700000000002</c:v>
                </c:pt>
                <c:pt idx="55">
                  <c:v>2.5181500000000003</c:v>
                </c:pt>
                <c:pt idx="56">
                  <c:v>2.5254300000000001</c:v>
                </c:pt>
                <c:pt idx="57">
                  <c:v>2.53545</c:v>
                </c:pt>
                <c:pt idx="58">
                  <c:v>2.5417000000000001</c:v>
                </c:pt>
                <c:pt idx="59">
                  <c:v>2.5423299999999998</c:v>
                </c:pt>
                <c:pt idx="60">
                  <c:v>2.5419799999999997</c:v>
                </c:pt>
                <c:pt idx="61">
                  <c:v>2.54176</c:v>
                </c:pt>
                <c:pt idx="62">
                  <c:v>2.5399500000000002</c:v>
                </c:pt>
                <c:pt idx="63">
                  <c:v>2.5357800000000004</c:v>
                </c:pt>
                <c:pt idx="64">
                  <c:v>2.5331799999999998</c:v>
                </c:pt>
                <c:pt idx="65">
                  <c:v>2.53843</c:v>
                </c:pt>
                <c:pt idx="66">
                  <c:v>2.5502799999999999</c:v>
                </c:pt>
                <c:pt idx="67">
                  <c:v>2.5607099999999998</c:v>
                </c:pt>
                <c:pt idx="68">
                  <c:v>2.5654300000000001</c:v>
                </c:pt>
                <c:pt idx="69">
                  <c:v>2.5689000000000002</c:v>
                </c:pt>
                <c:pt idx="70">
                  <c:v>2.5821199999999997</c:v>
                </c:pt>
                <c:pt idx="71">
                  <c:v>2.5930900000000001</c:v>
                </c:pt>
                <c:pt idx="72">
                  <c:v>2.5991999999999997</c:v>
                </c:pt>
                <c:pt idx="73">
                  <c:v>2.5834899999999998</c:v>
                </c:pt>
                <c:pt idx="74">
                  <c:v>2.5286399999999998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14.940899999999999</c:v>
                </c:pt>
                <c:pt idx="1">
                  <c:v>44.822699999999998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2.4475032432432431</c:v>
                </c:pt>
                <c:pt idx="1">
                  <c:v>2.6608567567567567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0.40837800000000002</c:v>
                </c:pt>
                <c:pt idx="2">
                  <c:v>0.81258799999999998</c:v>
                </c:pt>
                <c:pt idx="3">
                  <c:v>1.2173799999999999</c:v>
                </c:pt>
                <c:pt idx="4">
                  <c:v>1.62707</c:v>
                </c:pt>
                <c:pt idx="5">
                  <c:v>2.02834</c:v>
                </c:pt>
                <c:pt idx="6">
                  <c:v>2.4379599999999999</c:v>
                </c:pt>
                <c:pt idx="7">
                  <c:v>2.8439800000000002</c:v>
                </c:pt>
                <c:pt idx="8">
                  <c:v>3.2520600000000002</c:v>
                </c:pt>
                <c:pt idx="9">
                  <c:v>3.6582599999999998</c:v>
                </c:pt>
                <c:pt idx="10">
                  <c:v>4.06358</c:v>
                </c:pt>
                <c:pt idx="11">
                  <c:v>4.4658699999999998</c:v>
                </c:pt>
                <c:pt idx="12">
                  <c:v>4.8743499999999997</c:v>
                </c:pt>
                <c:pt idx="13">
                  <c:v>5.2773199999999996</c:v>
                </c:pt>
                <c:pt idx="14">
                  <c:v>5.68804</c:v>
                </c:pt>
                <c:pt idx="15">
                  <c:v>6.0945499999999999</c:v>
                </c:pt>
                <c:pt idx="16">
                  <c:v>6.49831</c:v>
                </c:pt>
                <c:pt idx="17">
                  <c:v>6.9035000000000002</c:v>
                </c:pt>
                <c:pt idx="18">
                  <c:v>7.31297</c:v>
                </c:pt>
                <c:pt idx="19">
                  <c:v>7.7200300000000004</c:v>
                </c:pt>
                <c:pt idx="20">
                  <c:v>8.1242000000000001</c:v>
                </c:pt>
                <c:pt idx="21">
                  <c:v>8.5300600000000006</c:v>
                </c:pt>
                <c:pt idx="22">
                  <c:v>8.9361099999999993</c:v>
                </c:pt>
                <c:pt idx="23">
                  <c:v>9.3447899999999997</c:v>
                </c:pt>
                <c:pt idx="24">
                  <c:v>9.7494899999999998</c:v>
                </c:pt>
                <c:pt idx="25">
                  <c:v>10.158200000000001</c:v>
                </c:pt>
                <c:pt idx="26">
                  <c:v>10.5623</c:v>
                </c:pt>
                <c:pt idx="27">
                  <c:v>10.9694</c:v>
                </c:pt>
                <c:pt idx="28">
                  <c:v>11.3748</c:v>
                </c:pt>
                <c:pt idx="29">
                  <c:v>11.7836</c:v>
                </c:pt>
                <c:pt idx="30">
                  <c:v>12.1899</c:v>
                </c:pt>
                <c:pt idx="31">
                  <c:v>12.5921</c:v>
                </c:pt>
                <c:pt idx="32">
                  <c:v>12.998200000000001</c:v>
                </c:pt>
                <c:pt idx="33">
                  <c:v>13.404999999999999</c:v>
                </c:pt>
                <c:pt idx="34">
                  <c:v>13.8141</c:v>
                </c:pt>
                <c:pt idx="35">
                  <c:v>14.2197</c:v>
                </c:pt>
                <c:pt idx="36">
                  <c:v>14.627000000000001</c:v>
                </c:pt>
                <c:pt idx="37">
                  <c:v>15.0351</c:v>
                </c:pt>
                <c:pt idx="38">
                  <c:v>15.4404</c:v>
                </c:pt>
                <c:pt idx="39">
                  <c:v>15.8466</c:v>
                </c:pt>
                <c:pt idx="40">
                  <c:v>16.253</c:v>
                </c:pt>
                <c:pt idx="41">
                  <c:v>16.657800000000002</c:v>
                </c:pt>
                <c:pt idx="42">
                  <c:v>17.061800000000002</c:v>
                </c:pt>
                <c:pt idx="43">
                  <c:v>17.466799999999999</c:v>
                </c:pt>
                <c:pt idx="44">
                  <c:v>17.876100000000001</c:v>
                </c:pt>
                <c:pt idx="45">
                  <c:v>18.281600000000001</c:v>
                </c:pt>
                <c:pt idx="46">
                  <c:v>18.6875</c:v>
                </c:pt>
                <c:pt idx="47">
                  <c:v>19.093699999999998</c:v>
                </c:pt>
                <c:pt idx="48">
                  <c:v>19.501999999999999</c:v>
                </c:pt>
                <c:pt idx="49">
                  <c:v>19.9068</c:v>
                </c:pt>
                <c:pt idx="50">
                  <c:v>20.313500000000001</c:v>
                </c:pt>
                <c:pt idx="51">
                  <c:v>20.719200000000001</c:v>
                </c:pt>
                <c:pt idx="52">
                  <c:v>21.123999999999999</c:v>
                </c:pt>
                <c:pt idx="53">
                  <c:v>21.531400000000001</c:v>
                </c:pt>
                <c:pt idx="54">
                  <c:v>21.940300000000001</c:v>
                </c:pt>
                <c:pt idx="55">
                  <c:v>22.342300000000002</c:v>
                </c:pt>
                <c:pt idx="56">
                  <c:v>22.750399999999999</c:v>
                </c:pt>
                <c:pt idx="57">
                  <c:v>23.153199999999998</c:v>
                </c:pt>
                <c:pt idx="58">
                  <c:v>23.561499999999999</c:v>
                </c:pt>
                <c:pt idx="59">
                  <c:v>23.9696</c:v>
                </c:pt>
                <c:pt idx="60">
                  <c:v>24.375900000000001</c:v>
                </c:pt>
                <c:pt idx="61">
                  <c:v>24.7836</c:v>
                </c:pt>
                <c:pt idx="62">
                  <c:v>25.187799999999999</c:v>
                </c:pt>
                <c:pt idx="63">
                  <c:v>25.592099999999999</c:v>
                </c:pt>
                <c:pt idx="64">
                  <c:v>25.9986</c:v>
                </c:pt>
                <c:pt idx="65">
                  <c:v>26.407900000000001</c:v>
                </c:pt>
                <c:pt idx="66">
                  <c:v>26.814499999999999</c:v>
                </c:pt>
                <c:pt idx="67">
                  <c:v>27.218599999999999</c:v>
                </c:pt>
                <c:pt idx="68">
                  <c:v>27.6249</c:v>
                </c:pt>
                <c:pt idx="69">
                  <c:v>28.0318</c:v>
                </c:pt>
                <c:pt idx="70">
                  <c:v>28.4358</c:v>
                </c:pt>
                <c:pt idx="71">
                  <c:v>28.845300000000002</c:v>
                </c:pt>
                <c:pt idx="72">
                  <c:v>29.250299999999999</c:v>
                </c:pt>
                <c:pt idx="73">
                  <c:v>29.6585</c:v>
                </c:pt>
                <c:pt idx="74">
                  <c:v>30.063700000000001</c:v>
                </c:pt>
                <c:pt idx="75">
                  <c:v>30.530100000000001</c:v>
                </c:pt>
                <c:pt idx="76">
                  <c:v>30.922000000000001</c:v>
                </c:pt>
                <c:pt idx="77">
                  <c:v>31.3292</c:v>
                </c:pt>
                <c:pt idx="78">
                  <c:v>31.733699999999999</c:v>
                </c:pt>
                <c:pt idx="79">
                  <c:v>32.138599999999997</c:v>
                </c:pt>
                <c:pt idx="80">
                  <c:v>32.5471</c:v>
                </c:pt>
                <c:pt idx="81">
                  <c:v>32.9544</c:v>
                </c:pt>
                <c:pt idx="82">
                  <c:v>33.3596</c:v>
                </c:pt>
                <c:pt idx="83">
                  <c:v>33.763199999999998</c:v>
                </c:pt>
                <c:pt idx="84">
                  <c:v>34.170900000000003</c:v>
                </c:pt>
                <c:pt idx="85">
                  <c:v>34.581299999999999</c:v>
                </c:pt>
                <c:pt idx="86">
                  <c:v>34.985900000000001</c:v>
                </c:pt>
                <c:pt idx="87">
                  <c:v>35.390700000000002</c:v>
                </c:pt>
                <c:pt idx="88">
                  <c:v>35.795200000000001</c:v>
                </c:pt>
                <c:pt idx="89">
                  <c:v>36.201599999999999</c:v>
                </c:pt>
                <c:pt idx="90">
                  <c:v>36.608499999999999</c:v>
                </c:pt>
                <c:pt idx="91">
                  <c:v>37.015900000000002</c:v>
                </c:pt>
                <c:pt idx="92">
                  <c:v>37.4221</c:v>
                </c:pt>
                <c:pt idx="93">
                  <c:v>37.8279</c:v>
                </c:pt>
                <c:pt idx="94">
                  <c:v>38.2333</c:v>
                </c:pt>
                <c:pt idx="95">
                  <c:v>38.640700000000002</c:v>
                </c:pt>
                <c:pt idx="96">
                  <c:v>39.049500000000002</c:v>
                </c:pt>
                <c:pt idx="97">
                  <c:v>39.453299999999999</c:v>
                </c:pt>
                <c:pt idx="98">
                  <c:v>39.8581</c:v>
                </c:pt>
                <c:pt idx="99">
                  <c:v>40.264400000000002</c:v>
                </c:pt>
                <c:pt idx="100">
                  <c:v>40.67</c:v>
                </c:pt>
                <c:pt idx="101">
                  <c:v>41.080300000000001</c:v>
                </c:pt>
                <c:pt idx="102">
                  <c:v>41.484400000000001</c:v>
                </c:pt>
                <c:pt idx="103">
                  <c:v>41.890599999999999</c:v>
                </c:pt>
                <c:pt idx="104">
                  <c:v>42.296700000000001</c:v>
                </c:pt>
                <c:pt idx="105">
                  <c:v>42.702800000000003</c:v>
                </c:pt>
                <c:pt idx="106">
                  <c:v>43.107900000000001</c:v>
                </c:pt>
                <c:pt idx="107">
                  <c:v>43.515700000000002</c:v>
                </c:pt>
                <c:pt idx="108">
                  <c:v>43.919800000000002</c:v>
                </c:pt>
                <c:pt idx="109">
                  <c:v>44.327199999999998</c:v>
                </c:pt>
                <c:pt idx="110">
                  <c:v>44.733499999999999</c:v>
                </c:pt>
                <c:pt idx="111">
                  <c:v>45.143500000000003</c:v>
                </c:pt>
                <c:pt idx="112">
                  <c:v>45.549700000000001</c:v>
                </c:pt>
                <c:pt idx="113">
                  <c:v>45.954000000000001</c:v>
                </c:pt>
                <c:pt idx="114">
                  <c:v>46.3583</c:v>
                </c:pt>
                <c:pt idx="115">
                  <c:v>46.765999999999998</c:v>
                </c:pt>
                <c:pt idx="116">
                  <c:v>47.174799999999998</c:v>
                </c:pt>
                <c:pt idx="117">
                  <c:v>47.581899999999997</c:v>
                </c:pt>
                <c:pt idx="118">
                  <c:v>47.984999999999999</c:v>
                </c:pt>
                <c:pt idx="119">
                  <c:v>48.387</c:v>
                </c:pt>
                <c:pt idx="120">
                  <c:v>48.796199999999999</c:v>
                </c:pt>
                <c:pt idx="121">
                  <c:v>49.2042</c:v>
                </c:pt>
                <c:pt idx="122">
                  <c:v>49.610900000000001</c:v>
                </c:pt>
                <c:pt idx="123">
                  <c:v>50.015300000000003</c:v>
                </c:pt>
                <c:pt idx="124">
                  <c:v>50.421399999999998</c:v>
                </c:pt>
                <c:pt idx="125">
                  <c:v>50.828099999999999</c:v>
                </c:pt>
                <c:pt idx="126">
                  <c:v>51.233400000000003</c:v>
                </c:pt>
                <c:pt idx="127">
                  <c:v>51.639099999999999</c:v>
                </c:pt>
                <c:pt idx="128">
                  <c:v>52.048699999999997</c:v>
                </c:pt>
                <c:pt idx="129">
                  <c:v>52.453600000000002</c:v>
                </c:pt>
                <c:pt idx="130">
                  <c:v>52.860700000000001</c:v>
                </c:pt>
                <c:pt idx="131">
                  <c:v>53.266800000000003</c:v>
                </c:pt>
                <c:pt idx="132">
                  <c:v>53.673299999999998</c:v>
                </c:pt>
                <c:pt idx="133">
                  <c:v>54.083500000000001</c:v>
                </c:pt>
                <c:pt idx="134">
                  <c:v>54.485199999999999</c:v>
                </c:pt>
                <c:pt idx="135">
                  <c:v>54.894799999999996</c:v>
                </c:pt>
                <c:pt idx="136">
                  <c:v>55.2971</c:v>
                </c:pt>
                <c:pt idx="137">
                  <c:v>55.7029</c:v>
                </c:pt>
                <c:pt idx="138">
                  <c:v>56.108800000000002</c:v>
                </c:pt>
                <c:pt idx="139">
                  <c:v>56.516300000000001</c:v>
                </c:pt>
                <c:pt idx="140">
                  <c:v>56.927</c:v>
                </c:pt>
                <c:pt idx="141">
                  <c:v>57.331699999999998</c:v>
                </c:pt>
                <c:pt idx="142">
                  <c:v>57.735100000000003</c:v>
                </c:pt>
                <c:pt idx="143">
                  <c:v>58.142200000000003</c:v>
                </c:pt>
                <c:pt idx="144">
                  <c:v>58.547400000000003</c:v>
                </c:pt>
                <c:pt idx="145">
                  <c:v>58.955300000000001</c:v>
                </c:pt>
                <c:pt idx="146">
                  <c:v>59.361199999999997</c:v>
                </c:pt>
                <c:pt idx="147">
                  <c:v>59.763599999999997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65.784500000000008</c:v>
                </c:pt>
                <c:pt idx="1">
                  <c:v>64.830399999999997</c:v>
                </c:pt>
                <c:pt idx="2">
                  <c:v>63.905900000000003</c:v>
                </c:pt>
                <c:pt idx="3">
                  <c:v>62.954699999999995</c:v>
                </c:pt>
                <c:pt idx="4">
                  <c:v>61.945700000000002</c:v>
                </c:pt>
                <c:pt idx="5">
                  <c:v>60.8322</c:v>
                </c:pt>
                <c:pt idx="6">
                  <c:v>59.594800000000006</c:v>
                </c:pt>
                <c:pt idx="7">
                  <c:v>58.366399999999999</c:v>
                </c:pt>
                <c:pt idx="8">
                  <c:v>57.269099999999995</c:v>
                </c:pt>
                <c:pt idx="9">
                  <c:v>56.202700000000007</c:v>
                </c:pt>
                <c:pt idx="10">
                  <c:v>55.179299999999998</c:v>
                </c:pt>
                <c:pt idx="11">
                  <c:v>54.169900000000005</c:v>
                </c:pt>
                <c:pt idx="12">
                  <c:v>53.126399999999997</c:v>
                </c:pt>
                <c:pt idx="13">
                  <c:v>52.116199999999999</c:v>
                </c:pt>
                <c:pt idx="14">
                  <c:v>51.043300000000002</c:v>
                </c:pt>
                <c:pt idx="15">
                  <c:v>49.931199999999997</c:v>
                </c:pt>
                <c:pt idx="16">
                  <c:v>48.814300000000003</c:v>
                </c:pt>
                <c:pt idx="17">
                  <c:v>47.839199999999998</c:v>
                </c:pt>
                <c:pt idx="18">
                  <c:v>46.9587</c:v>
                </c:pt>
                <c:pt idx="19">
                  <c:v>46.1021</c:v>
                </c:pt>
                <c:pt idx="20">
                  <c:v>45.310699999999997</c:v>
                </c:pt>
                <c:pt idx="21">
                  <c:v>44.634500000000003</c:v>
                </c:pt>
                <c:pt idx="22">
                  <c:v>44.044899999999998</c:v>
                </c:pt>
                <c:pt idx="23">
                  <c:v>43.518900000000002</c:v>
                </c:pt>
                <c:pt idx="24">
                  <c:v>42.996200000000002</c:v>
                </c:pt>
                <c:pt idx="25">
                  <c:v>42.471899999999998</c:v>
                </c:pt>
                <c:pt idx="26">
                  <c:v>41.999299999999998</c:v>
                </c:pt>
                <c:pt idx="27">
                  <c:v>41.5655</c:v>
                </c:pt>
                <c:pt idx="28">
                  <c:v>41.202600000000004</c:v>
                </c:pt>
                <c:pt idx="29">
                  <c:v>40.899299999999997</c:v>
                </c:pt>
                <c:pt idx="30">
                  <c:v>40.616999999999997</c:v>
                </c:pt>
                <c:pt idx="31">
                  <c:v>40.394300000000001</c:v>
                </c:pt>
                <c:pt idx="32">
                  <c:v>40.199200000000005</c:v>
                </c:pt>
                <c:pt idx="33">
                  <c:v>40.060899999999997</c:v>
                </c:pt>
                <c:pt idx="34">
                  <c:v>39.962599999999995</c:v>
                </c:pt>
                <c:pt idx="35">
                  <c:v>39.9116</c:v>
                </c:pt>
                <c:pt idx="36">
                  <c:v>39.869399999999999</c:v>
                </c:pt>
                <c:pt idx="37">
                  <c:v>39.853899999999996</c:v>
                </c:pt>
                <c:pt idx="38">
                  <c:v>39.8643</c:v>
                </c:pt>
                <c:pt idx="39">
                  <c:v>39.920899999999996</c:v>
                </c:pt>
                <c:pt idx="40">
                  <c:v>40.042999999999999</c:v>
                </c:pt>
                <c:pt idx="41">
                  <c:v>40.236600000000003</c:v>
                </c:pt>
                <c:pt idx="42">
                  <c:v>40.342700000000001</c:v>
                </c:pt>
                <c:pt idx="43">
                  <c:v>40.411000000000001</c:v>
                </c:pt>
                <c:pt idx="44">
                  <c:v>40.500799999999998</c:v>
                </c:pt>
                <c:pt idx="45">
                  <c:v>40.553400000000003</c:v>
                </c:pt>
                <c:pt idx="46">
                  <c:v>40.571100000000001</c:v>
                </c:pt>
                <c:pt idx="47">
                  <c:v>40.585900000000002</c:v>
                </c:pt>
                <c:pt idx="48">
                  <c:v>40.577000000000005</c:v>
                </c:pt>
                <c:pt idx="49">
                  <c:v>40.609400000000001</c:v>
                </c:pt>
                <c:pt idx="50">
                  <c:v>40.754200000000004</c:v>
                </c:pt>
                <c:pt idx="51">
                  <c:v>40.896900000000002</c:v>
                </c:pt>
                <c:pt idx="52">
                  <c:v>41.0306</c:v>
                </c:pt>
                <c:pt idx="53">
                  <c:v>41.0749</c:v>
                </c:pt>
                <c:pt idx="54">
                  <c:v>40.9497</c:v>
                </c:pt>
                <c:pt idx="55">
                  <c:v>40.956699999999998</c:v>
                </c:pt>
                <c:pt idx="56">
                  <c:v>40.8964</c:v>
                </c:pt>
                <c:pt idx="57">
                  <c:v>40.776499999999999</c:v>
                </c:pt>
                <c:pt idx="58">
                  <c:v>40.528399999999998</c:v>
                </c:pt>
                <c:pt idx="59">
                  <c:v>40.133899999999997</c:v>
                </c:pt>
                <c:pt idx="60">
                  <c:v>39.926299999999998</c:v>
                </c:pt>
                <c:pt idx="61">
                  <c:v>39.552199999999999</c:v>
                </c:pt>
                <c:pt idx="62">
                  <c:v>39.2256</c:v>
                </c:pt>
                <c:pt idx="63">
                  <c:v>38.955300000000001</c:v>
                </c:pt>
                <c:pt idx="64">
                  <c:v>38.440000000000005</c:v>
                </c:pt>
                <c:pt idx="65">
                  <c:v>37.576500000000003</c:v>
                </c:pt>
                <c:pt idx="66">
                  <c:v>36.965599999999995</c:v>
                </c:pt>
                <c:pt idx="67">
                  <c:v>36.392799999999994</c:v>
                </c:pt>
                <c:pt idx="68">
                  <c:v>35.887700000000002</c:v>
                </c:pt>
                <c:pt idx="69">
                  <c:v>35.459299999999999</c:v>
                </c:pt>
                <c:pt idx="70">
                  <c:v>35.234999999999999</c:v>
                </c:pt>
                <c:pt idx="71">
                  <c:v>34.884700000000002</c:v>
                </c:pt>
                <c:pt idx="72">
                  <c:v>34.7468</c:v>
                </c:pt>
                <c:pt idx="73">
                  <c:v>34.479799999999997</c:v>
                </c:pt>
                <c:pt idx="74">
                  <c:v>34.268700000000003</c:v>
                </c:pt>
                <c:pt idx="75">
                  <c:v>34.009900000000002</c:v>
                </c:pt>
                <c:pt idx="76">
                  <c:v>33.7898</c:v>
                </c:pt>
                <c:pt idx="77">
                  <c:v>33.588000000000001</c:v>
                </c:pt>
                <c:pt idx="78">
                  <c:v>33.46</c:v>
                </c:pt>
                <c:pt idx="79">
                  <c:v>33.505099999999999</c:v>
                </c:pt>
                <c:pt idx="80">
                  <c:v>33.534599999999998</c:v>
                </c:pt>
                <c:pt idx="81">
                  <c:v>33.5792</c:v>
                </c:pt>
                <c:pt idx="82">
                  <c:v>33.661000000000001</c:v>
                </c:pt>
                <c:pt idx="83">
                  <c:v>33.802300000000002</c:v>
                </c:pt>
                <c:pt idx="84">
                  <c:v>33.911900000000003</c:v>
                </c:pt>
                <c:pt idx="85">
                  <c:v>34.035800000000002</c:v>
                </c:pt>
                <c:pt idx="86">
                  <c:v>34.148899999999998</c:v>
                </c:pt>
                <c:pt idx="87">
                  <c:v>34.271799999999999</c:v>
                </c:pt>
                <c:pt idx="88">
                  <c:v>34.427900000000001</c:v>
                </c:pt>
                <c:pt idx="89">
                  <c:v>34.698</c:v>
                </c:pt>
                <c:pt idx="90">
                  <c:v>34.999299999999998</c:v>
                </c:pt>
                <c:pt idx="91">
                  <c:v>35.330500000000001</c:v>
                </c:pt>
                <c:pt idx="92">
                  <c:v>35.731699999999996</c:v>
                </c:pt>
                <c:pt idx="93">
                  <c:v>36.135199999999998</c:v>
                </c:pt>
                <c:pt idx="94">
                  <c:v>36.551499999999997</c:v>
                </c:pt>
                <c:pt idx="95">
                  <c:v>36.9587</c:v>
                </c:pt>
                <c:pt idx="96">
                  <c:v>37.349299999999999</c:v>
                </c:pt>
                <c:pt idx="97">
                  <c:v>37.741599999999998</c:v>
                </c:pt>
                <c:pt idx="98">
                  <c:v>38.203800000000001</c:v>
                </c:pt>
                <c:pt idx="99">
                  <c:v>38.7134</c:v>
                </c:pt>
                <c:pt idx="100">
                  <c:v>39.301199999999994</c:v>
                </c:pt>
                <c:pt idx="101">
                  <c:v>39.889400000000002</c:v>
                </c:pt>
                <c:pt idx="102">
                  <c:v>40.456399999999995</c:v>
                </c:pt>
                <c:pt idx="103">
                  <c:v>40.996700000000004</c:v>
                </c:pt>
                <c:pt idx="104">
                  <c:v>41.3917</c:v>
                </c:pt>
                <c:pt idx="105">
                  <c:v>41.765600000000006</c:v>
                </c:pt>
                <c:pt idx="106">
                  <c:v>42.040700000000001</c:v>
                </c:pt>
                <c:pt idx="107">
                  <c:v>42.232100000000003</c:v>
                </c:pt>
                <c:pt idx="108">
                  <c:v>42.354399999999998</c:v>
                </c:pt>
                <c:pt idx="109">
                  <c:v>42.482199999999999</c:v>
                </c:pt>
                <c:pt idx="110">
                  <c:v>42.5428</c:v>
                </c:pt>
                <c:pt idx="111">
                  <c:v>42.517300000000006</c:v>
                </c:pt>
                <c:pt idx="112">
                  <c:v>42.411799999999999</c:v>
                </c:pt>
                <c:pt idx="113">
                  <c:v>42.314</c:v>
                </c:pt>
                <c:pt idx="114">
                  <c:v>42.126100000000001</c:v>
                </c:pt>
                <c:pt idx="115">
                  <c:v>41.925000000000004</c:v>
                </c:pt>
                <c:pt idx="116">
                  <c:v>41.685600000000001</c:v>
                </c:pt>
                <c:pt idx="117">
                  <c:v>41.413600000000002</c:v>
                </c:pt>
                <c:pt idx="118">
                  <c:v>41.154600000000002</c:v>
                </c:pt>
                <c:pt idx="119">
                  <c:v>40.9071</c:v>
                </c:pt>
                <c:pt idx="120">
                  <c:v>40.702500000000001</c:v>
                </c:pt>
                <c:pt idx="121">
                  <c:v>40.490400000000001</c:v>
                </c:pt>
                <c:pt idx="122">
                  <c:v>40.378300000000003</c:v>
                </c:pt>
                <c:pt idx="123">
                  <c:v>40.2361</c:v>
                </c:pt>
                <c:pt idx="124">
                  <c:v>40.038600000000002</c:v>
                </c:pt>
                <c:pt idx="125">
                  <c:v>39.842799999999997</c:v>
                </c:pt>
                <c:pt idx="126">
                  <c:v>39.684999999999995</c:v>
                </c:pt>
                <c:pt idx="127">
                  <c:v>39.544000000000004</c:v>
                </c:pt>
                <c:pt idx="128">
                  <c:v>39.4054</c:v>
                </c:pt>
                <c:pt idx="129">
                  <c:v>39.238900000000001</c:v>
                </c:pt>
                <c:pt idx="130">
                  <c:v>39.046999999999997</c:v>
                </c:pt>
                <c:pt idx="131">
                  <c:v>38.891100000000002</c:v>
                </c:pt>
                <c:pt idx="132">
                  <c:v>38.873799999999996</c:v>
                </c:pt>
                <c:pt idx="133">
                  <c:v>38.879000000000005</c:v>
                </c:pt>
                <c:pt idx="134">
                  <c:v>38.862099999999998</c:v>
                </c:pt>
                <c:pt idx="135">
                  <c:v>38.895899999999997</c:v>
                </c:pt>
                <c:pt idx="136">
                  <c:v>39.028100000000002</c:v>
                </c:pt>
                <c:pt idx="137">
                  <c:v>39.115100000000005</c:v>
                </c:pt>
                <c:pt idx="138">
                  <c:v>39.172200000000004</c:v>
                </c:pt>
                <c:pt idx="139">
                  <c:v>39.370399999999997</c:v>
                </c:pt>
                <c:pt idx="140">
                  <c:v>39.623000000000005</c:v>
                </c:pt>
                <c:pt idx="141">
                  <c:v>39.933600000000006</c:v>
                </c:pt>
                <c:pt idx="142">
                  <c:v>40.265499999999996</c:v>
                </c:pt>
                <c:pt idx="143">
                  <c:v>40.708199999999998</c:v>
                </c:pt>
                <c:pt idx="144">
                  <c:v>40.910800000000002</c:v>
                </c:pt>
                <c:pt idx="145">
                  <c:v>41.055399999999999</c:v>
                </c:pt>
                <c:pt idx="146">
                  <c:v>41.631299999999996</c:v>
                </c:pt>
                <c:pt idx="147">
                  <c:v>42.264000000000003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0.40837800000000002</c:v>
                </c:pt>
                <c:pt idx="2">
                  <c:v>0.81258799999999998</c:v>
                </c:pt>
                <c:pt idx="3">
                  <c:v>1.2173799999999999</c:v>
                </c:pt>
                <c:pt idx="4">
                  <c:v>1.62707</c:v>
                </c:pt>
                <c:pt idx="5">
                  <c:v>2.02834</c:v>
                </c:pt>
                <c:pt idx="6">
                  <c:v>2.4379599999999999</c:v>
                </c:pt>
                <c:pt idx="7">
                  <c:v>2.8439800000000002</c:v>
                </c:pt>
                <c:pt idx="8">
                  <c:v>3.2520600000000002</c:v>
                </c:pt>
                <c:pt idx="9">
                  <c:v>3.6582599999999998</c:v>
                </c:pt>
                <c:pt idx="10">
                  <c:v>4.06358</c:v>
                </c:pt>
                <c:pt idx="11">
                  <c:v>4.4658699999999998</c:v>
                </c:pt>
                <c:pt idx="12">
                  <c:v>4.8743499999999997</c:v>
                </c:pt>
                <c:pt idx="13">
                  <c:v>5.2773199999999996</c:v>
                </c:pt>
                <c:pt idx="14">
                  <c:v>5.68804</c:v>
                </c:pt>
                <c:pt idx="15">
                  <c:v>6.0945499999999999</c:v>
                </c:pt>
                <c:pt idx="16">
                  <c:v>6.49831</c:v>
                </c:pt>
                <c:pt idx="17">
                  <c:v>6.9035000000000002</c:v>
                </c:pt>
                <c:pt idx="18">
                  <c:v>7.31297</c:v>
                </c:pt>
                <c:pt idx="19">
                  <c:v>7.7200300000000004</c:v>
                </c:pt>
                <c:pt idx="20">
                  <c:v>8.1242000000000001</c:v>
                </c:pt>
                <c:pt idx="21">
                  <c:v>8.5300600000000006</c:v>
                </c:pt>
                <c:pt idx="22">
                  <c:v>8.9361099999999993</c:v>
                </c:pt>
                <c:pt idx="23">
                  <c:v>9.3447899999999997</c:v>
                </c:pt>
                <c:pt idx="24">
                  <c:v>9.7494899999999998</c:v>
                </c:pt>
                <c:pt idx="25">
                  <c:v>10.158200000000001</c:v>
                </c:pt>
                <c:pt idx="26">
                  <c:v>10.5623</c:v>
                </c:pt>
                <c:pt idx="27">
                  <c:v>10.9694</c:v>
                </c:pt>
                <c:pt idx="28">
                  <c:v>11.3748</c:v>
                </c:pt>
                <c:pt idx="29">
                  <c:v>11.7836</c:v>
                </c:pt>
                <c:pt idx="30">
                  <c:v>12.1899</c:v>
                </c:pt>
                <c:pt idx="31">
                  <c:v>12.5921</c:v>
                </c:pt>
                <c:pt idx="32">
                  <c:v>12.998200000000001</c:v>
                </c:pt>
                <c:pt idx="33">
                  <c:v>13.404999999999999</c:v>
                </c:pt>
                <c:pt idx="34">
                  <c:v>13.8141</c:v>
                </c:pt>
                <c:pt idx="35">
                  <c:v>14.2197</c:v>
                </c:pt>
                <c:pt idx="36">
                  <c:v>14.627000000000001</c:v>
                </c:pt>
                <c:pt idx="37">
                  <c:v>15.0351</c:v>
                </c:pt>
                <c:pt idx="38">
                  <c:v>15.4404</c:v>
                </c:pt>
                <c:pt idx="39">
                  <c:v>15.8466</c:v>
                </c:pt>
                <c:pt idx="40">
                  <c:v>16.253</c:v>
                </c:pt>
                <c:pt idx="41">
                  <c:v>16.657800000000002</c:v>
                </c:pt>
                <c:pt idx="42">
                  <c:v>17.061800000000002</c:v>
                </c:pt>
                <c:pt idx="43">
                  <c:v>17.466799999999999</c:v>
                </c:pt>
                <c:pt idx="44">
                  <c:v>17.876100000000001</c:v>
                </c:pt>
                <c:pt idx="45">
                  <c:v>18.281600000000001</c:v>
                </c:pt>
                <c:pt idx="46">
                  <c:v>18.6875</c:v>
                </c:pt>
                <c:pt idx="47">
                  <c:v>19.093699999999998</c:v>
                </c:pt>
                <c:pt idx="48">
                  <c:v>19.501999999999999</c:v>
                </c:pt>
                <c:pt idx="49">
                  <c:v>19.9068</c:v>
                </c:pt>
                <c:pt idx="50">
                  <c:v>20.313500000000001</c:v>
                </c:pt>
                <c:pt idx="51">
                  <c:v>20.719200000000001</c:v>
                </c:pt>
                <c:pt idx="52">
                  <c:v>21.123999999999999</c:v>
                </c:pt>
                <c:pt idx="53">
                  <c:v>21.531400000000001</c:v>
                </c:pt>
                <c:pt idx="54">
                  <c:v>21.940300000000001</c:v>
                </c:pt>
                <c:pt idx="55">
                  <c:v>22.342300000000002</c:v>
                </c:pt>
                <c:pt idx="56">
                  <c:v>22.750399999999999</c:v>
                </c:pt>
                <c:pt idx="57">
                  <c:v>23.153199999999998</c:v>
                </c:pt>
                <c:pt idx="58">
                  <c:v>23.561499999999999</c:v>
                </c:pt>
                <c:pt idx="59">
                  <c:v>23.9696</c:v>
                </c:pt>
                <c:pt idx="60">
                  <c:v>24.375900000000001</c:v>
                </c:pt>
                <c:pt idx="61">
                  <c:v>24.7836</c:v>
                </c:pt>
                <c:pt idx="62">
                  <c:v>25.187799999999999</c:v>
                </c:pt>
                <c:pt idx="63">
                  <c:v>25.592099999999999</c:v>
                </c:pt>
                <c:pt idx="64">
                  <c:v>25.9986</c:v>
                </c:pt>
                <c:pt idx="65">
                  <c:v>26.407900000000001</c:v>
                </c:pt>
                <c:pt idx="66">
                  <c:v>26.814499999999999</c:v>
                </c:pt>
                <c:pt idx="67">
                  <c:v>27.218599999999999</c:v>
                </c:pt>
                <c:pt idx="68">
                  <c:v>27.6249</c:v>
                </c:pt>
                <c:pt idx="69">
                  <c:v>28.0318</c:v>
                </c:pt>
                <c:pt idx="70">
                  <c:v>28.4358</c:v>
                </c:pt>
                <c:pt idx="71">
                  <c:v>28.845300000000002</c:v>
                </c:pt>
                <c:pt idx="72">
                  <c:v>29.250299999999999</c:v>
                </c:pt>
                <c:pt idx="73">
                  <c:v>29.6585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65.784500000000008</c:v>
                </c:pt>
                <c:pt idx="1">
                  <c:v>64.830399999999997</c:v>
                </c:pt>
                <c:pt idx="2">
                  <c:v>63.905900000000003</c:v>
                </c:pt>
                <c:pt idx="3">
                  <c:v>62.954699999999995</c:v>
                </c:pt>
                <c:pt idx="4">
                  <c:v>61.945700000000002</c:v>
                </c:pt>
                <c:pt idx="5">
                  <c:v>60.8322</c:v>
                </c:pt>
                <c:pt idx="6">
                  <c:v>59.594800000000006</c:v>
                </c:pt>
                <c:pt idx="7">
                  <c:v>58.366399999999999</c:v>
                </c:pt>
                <c:pt idx="8">
                  <c:v>57.269099999999995</c:v>
                </c:pt>
                <c:pt idx="9">
                  <c:v>56.202700000000007</c:v>
                </c:pt>
                <c:pt idx="10">
                  <c:v>55.179299999999998</c:v>
                </c:pt>
                <c:pt idx="11">
                  <c:v>54.169900000000005</c:v>
                </c:pt>
                <c:pt idx="12">
                  <c:v>53.126399999999997</c:v>
                </c:pt>
                <c:pt idx="13">
                  <c:v>52.116199999999999</c:v>
                </c:pt>
                <c:pt idx="14">
                  <c:v>51.043300000000002</c:v>
                </c:pt>
                <c:pt idx="15">
                  <c:v>49.931199999999997</c:v>
                </c:pt>
                <c:pt idx="16">
                  <c:v>48.814300000000003</c:v>
                </c:pt>
                <c:pt idx="17">
                  <c:v>47.839199999999998</c:v>
                </c:pt>
                <c:pt idx="18">
                  <c:v>46.9587</c:v>
                </c:pt>
                <c:pt idx="19">
                  <c:v>46.1021</c:v>
                </c:pt>
                <c:pt idx="20">
                  <c:v>45.310699999999997</c:v>
                </c:pt>
                <c:pt idx="21">
                  <c:v>44.634500000000003</c:v>
                </c:pt>
                <c:pt idx="22">
                  <c:v>44.044899999999998</c:v>
                </c:pt>
                <c:pt idx="23">
                  <c:v>43.518900000000002</c:v>
                </c:pt>
                <c:pt idx="24">
                  <c:v>42.996200000000002</c:v>
                </c:pt>
                <c:pt idx="25">
                  <c:v>42.471899999999998</c:v>
                </c:pt>
                <c:pt idx="26">
                  <c:v>41.999299999999998</c:v>
                </c:pt>
                <c:pt idx="27">
                  <c:v>41.5655</c:v>
                </c:pt>
                <c:pt idx="28">
                  <c:v>41.202600000000004</c:v>
                </c:pt>
                <c:pt idx="29">
                  <c:v>40.899299999999997</c:v>
                </c:pt>
                <c:pt idx="30">
                  <c:v>40.616999999999997</c:v>
                </c:pt>
                <c:pt idx="31">
                  <c:v>40.394300000000001</c:v>
                </c:pt>
                <c:pt idx="32">
                  <c:v>40.199200000000005</c:v>
                </c:pt>
                <c:pt idx="33">
                  <c:v>40.060899999999997</c:v>
                </c:pt>
                <c:pt idx="34">
                  <c:v>39.962599999999995</c:v>
                </c:pt>
                <c:pt idx="35">
                  <c:v>39.9116</c:v>
                </c:pt>
                <c:pt idx="36">
                  <c:v>39.869399999999999</c:v>
                </c:pt>
                <c:pt idx="37">
                  <c:v>39.853899999999996</c:v>
                </c:pt>
                <c:pt idx="38">
                  <c:v>39.8643</c:v>
                </c:pt>
                <c:pt idx="39">
                  <c:v>39.920899999999996</c:v>
                </c:pt>
                <c:pt idx="40">
                  <c:v>40.042999999999999</c:v>
                </c:pt>
                <c:pt idx="41">
                  <c:v>40.236600000000003</c:v>
                </c:pt>
                <c:pt idx="42">
                  <c:v>40.342700000000001</c:v>
                </c:pt>
                <c:pt idx="43">
                  <c:v>40.411000000000001</c:v>
                </c:pt>
                <c:pt idx="44">
                  <c:v>40.500799999999998</c:v>
                </c:pt>
                <c:pt idx="45">
                  <c:v>40.553400000000003</c:v>
                </c:pt>
                <c:pt idx="46">
                  <c:v>40.571100000000001</c:v>
                </c:pt>
                <c:pt idx="47">
                  <c:v>40.585900000000002</c:v>
                </c:pt>
                <c:pt idx="48">
                  <c:v>40.577000000000005</c:v>
                </c:pt>
                <c:pt idx="49">
                  <c:v>40.609400000000001</c:v>
                </c:pt>
                <c:pt idx="50">
                  <c:v>40.754200000000004</c:v>
                </c:pt>
                <c:pt idx="51">
                  <c:v>40.896900000000002</c:v>
                </c:pt>
                <c:pt idx="52">
                  <c:v>41.0306</c:v>
                </c:pt>
                <c:pt idx="53">
                  <c:v>41.0749</c:v>
                </c:pt>
                <c:pt idx="54">
                  <c:v>40.9497</c:v>
                </c:pt>
                <c:pt idx="55">
                  <c:v>40.956699999999998</c:v>
                </c:pt>
                <c:pt idx="56">
                  <c:v>40.8964</c:v>
                </c:pt>
                <c:pt idx="57">
                  <c:v>40.776499999999999</c:v>
                </c:pt>
                <c:pt idx="58">
                  <c:v>40.528399999999998</c:v>
                </c:pt>
                <c:pt idx="59">
                  <c:v>40.133899999999997</c:v>
                </c:pt>
                <c:pt idx="60">
                  <c:v>39.926299999999998</c:v>
                </c:pt>
                <c:pt idx="61">
                  <c:v>39.552199999999999</c:v>
                </c:pt>
                <c:pt idx="62">
                  <c:v>39.2256</c:v>
                </c:pt>
                <c:pt idx="63">
                  <c:v>38.955300000000001</c:v>
                </c:pt>
                <c:pt idx="64">
                  <c:v>38.440000000000005</c:v>
                </c:pt>
                <c:pt idx="65">
                  <c:v>37.576500000000003</c:v>
                </c:pt>
                <c:pt idx="66">
                  <c:v>36.965599999999995</c:v>
                </c:pt>
                <c:pt idx="67">
                  <c:v>36.392799999999994</c:v>
                </c:pt>
                <c:pt idx="68">
                  <c:v>35.887700000000002</c:v>
                </c:pt>
                <c:pt idx="69">
                  <c:v>35.459299999999999</c:v>
                </c:pt>
                <c:pt idx="70">
                  <c:v>35.234999999999999</c:v>
                </c:pt>
                <c:pt idx="71">
                  <c:v>34.884700000000002</c:v>
                </c:pt>
                <c:pt idx="72">
                  <c:v>34.7468</c:v>
                </c:pt>
                <c:pt idx="73">
                  <c:v>34.479799999999997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29.6585</c:v>
                </c:pt>
                <c:pt idx="1">
                  <c:v>30.063700000000001</c:v>
                </c:pt>
                <c:pt idx="2">
                  <c:v>30.530100000000001</c:v>
                </c:pt>
                <c:pt idx="3">
                  <c:v>30.922000000000001</c:v>
                </c:pt>
                <c:pt idx="4">
                  <c:v>31.3292</c:v>
                </c:pt>
                <c:pt idx="5">
                  <c:v>31.733699999999999</c:v>
                </c:pt>
                <c:pt idx="6">
                  <c:v>32.138599999999997</c:v>
                </c:pt>
                <c:pt idx="7">
                  <c:v>32.5471</c:v>
                </c:pt>
                <c:pt idx="8">
                  <c:v>32.9544</c:v>
                </c:pt>
                <c:pt idx="9">
                  <c:v>33.3596</c:v>
                </c:pt>
                <c:pt idx="10">
                  <c:v>33.763199999999998</c:v>
                </c:pt>
                <c:pt idx="11">
                  <c:v>34.170900000000003</c:v>
                </c:pt>
                <c:pt idx="12">
                  <c:v>34.581299999999999</c:v>
                </c:pt>
                <c:pt idx="13">
                  <c:v>34.985900000000001</c:v>
                </c:pt>
                <c:pt idx="14">
                  <c:v>35.390700000000002</c:v>
                </c:pt>
                <c:pt idx="15">
                  <c:v>35.795200000000001</c:v>
                </c:pt>
                <c:pt idx="16">
                  <c:v>36.201599999999999</c:v>
                </c:pt>
                <c:pt idx="17">
                  <c:v>36.608499999999999</c:v>
                </c:pt>
                <c:pt idx="18">
                  <c:v>37.015900000000002</c:v>
                </c:pt>
                <c:pt idx="19">
                  <c:v>37.4221</c:v>
                </c:pt>
                <c:pt idx="20">
                  <c:v>37.8279</c:v>
                </c:pt>
                <c:pt idx="21">
                  <c:v>38.2333</c:v>
                </c:pt>
                <c:pt idx="22">
                  <c:v>38.640700000000002</c:v>
                </c:pt>
                <c:pt idx="23">
                  <c:v>39.049500000000002</c:v>
                </c:pt>
                <c:pt idx="24">
                  <c:v>39.453299999999999</c:v>
                </c:pt>
                <c:pt idx="25">
                  <c:v>39.8581</c:v>
                </c:pt>
                <c:pt idx="26">
                  <c:v>40.264400000000002</c:v>
                </c:pt>
                <c:pt idx="27">
                  <c:v>40.67</c:v>
                </c:pt>
                <c:pt idx="28">
                  <c:v>41.080300000000001</c:v>
                </c:pt>
                <c:pt idx="29">
                  <c:v>41.484400000000001</c:v>
                </c:pt>
                <c:pt idx="30">
                  <c:v>41.890599999999999</c:v>
                </c:pt>
                <c:pt idx="31">
                  <c:v>42.296700000000001</c:v>
                </c:pt>
                <c:pt idx="32">
                  <c:v>42.702800000000003</c:v>
                </c:pt>
                <c:pt idx="33">
                  <c:v>43.107900000000001</c:v>
                </c:pt>
                <c:pt idx="34">
                  <c:v>43.515700000000002</c:v>
                </c:pt>
                <c:pt idx="35">
                  <c:v>43.919800000000002</c:v>
                </c:pt>
                <c:pt idx="36">
                  <c:v>44.327199999999998</c:v>
                </c:pt>
                <c:pt idx="37">
                  <c:v>44.733499999999999</c:v>
                </c:pt>
                <c:pt idx="38">
                  <c:v>45.143500000000003</c:v>
                </c:pt>
                <c:pt idx="39">
                  <c:v>45.549700000000001</c:v>
                </c:pt>
                <c:pt idx="40">
                  <c:v>45.954000000000001</c:v>
                </c:pt>
                <c:pt idx="41">
                  <c:v>46.3583</c:v>
                </c:pt>
                <c:pt idx="42">
                  <c:v>46.765999999999998</c:v>
                </c:pt>
                <c:pt idx="43">
                  <c:v>47.174799999999998</c:v>
                </c:pt>
                <c:pt idx="44">
                  <c:v>47.581899999999997</c:v>
                </c:pt>
                <c:pt idx="45">
                  <c:v>47.984999999999999</c:v>
                </c:pt>
                <c:pt idx="46">
                  <c:v>48.387</c:v>
                </c:pt>
                <c:pt idx="47">
                  <c:v>48.796199999999999</c:v>
                </c:pt>
                <c:pt idx="48">
                  <c:v>49.2042</c:v>
                </c:pt>
                <c:pt idx="49">
                  <c:v>49.610900000000001</c:v>
                </c:pt>
                <c:pt idx="50">
                  <c:v>50.015300000000003</c:v>
                </c:pt>
                <c:pt idx="51">
                  <c:v>50.421399999999998</c:v>
                </c:pt>
                <c:pt idx="52">
                  <c:v>50.828099999999999</c:v>
                </c:pt>
                <c:pt idx="53">
                  <c:v>51.233400000000003</c:v>
                </c:pt>
                <c:pt idx="54">
                  <c:v>51.639099999999999</c:v>
                </c:pt>
                <c:pt idx="55">
                  <c:v>52.048699999999997</c:v>
                </c:pt>
                <c:pt idx="56">
                  <c:v>52.453600000000002</c:v>
                </c:pt>
                <c:pt idx="57">
                  <c:v>52.860700000000001</c:v>
                </c:pt>
                <c:pt idx="58">
                  <c:v>53.266800000000003</c:v>
                </c:pt>
                <c:pt idx="59">
                  <c:v>53.673299999999998</c:v>
                </c:pt>
                <c:pt idx="60">
                  <c:v>54.083500000000001</c:v>
                </c:pt>
                <c:pt idx="61">
                  <c:v>54.485199999999999</c:v>
                </c:pt>
                <c:pt idx="62">
                  <c:v>54.894799999999996</c:v>
                </c:pt>
                <c:pt idx="63">
                  <c:v>55.2971</c:v>
                </c:pt>
                <c:pt idx="64">
                  <c:v>55.7029</c:v>
                </c:pt>
                <c:pt idx="65">
                  <c:v>56.108800000000002</c:v>
                </c:pt>
                <c:pt idx="66">
                  <c:v>56.516300000000001</c:v>
                </c:pt>
                <c:pt idx="67">
                  <c:v>56.927</c:v>
                </c:pt>
                <c:pt idx="68">
                  <c:v>57.331699999999998</c:v>
                </c:pt>
                <c:pt idx="69">
                  <c:v>57.735100000000003</c:v>
                </c:pt>
                <c:pt idx="70">
                  <c:v>58.142200000000003</c:v>
                </c:pt>
                <c:pt idx="71">
                  <c:v>58.547400000000003</c:v>
                </c:pt>
                <c:pt idx="72">
                  <c:v>58.955300000000001</c:v>
                </c:pt>
                <c:pt idx="73">
                  <c:v>59.361199999999997</c:v>
                </c:pt>
                <c:pt idx="74">
                  <c:v>59.763599999999997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34.479799999999997</c:v>
                </c:pt>
                <c:pt idx="1">
                  <c:v>34.268700000000003</c:v>
                </c:pt>
                <c:pt idx="2">
                  <c:v>34.009900000000002</c:v>
                </c:pt>
                <c:pt idx="3">
                  <c:v>33.7898</c:v>
                </c:pt>
                <c:pt idx="4">
                  <c:v>33.588000000000001</c:v>
                </c:pt>
                <c:pt idx="5">
                  <c:v>33.46</c:v>
                </c:pt>
                <c:pt idx="6">
                  <c:v>33.505099999999999</c:v>
                </c:pt>
                <c:pt idx="7">
                  <c:v>33.534599999999998</c:v>
                </c:pt>
                <c:pt idx="8">
                  <c:v>33.5792</c:v>
                </c:pt>
                <c:pt idx="9">
                  <c:v>33.661000000000001</c:v>
                </c:pt>
                <c:pt idx="10">
                  <c:v>33.802300000000002</c:v>
                </c:pt>
                <c:pt idx="11">
                  <c:v>33.911900000000003</c:v>
                </c:pt>
                <c:pt idx="12">
                  <c:v>34.035800000000002</c:v>
                </c:pt>
                <c:pt idx="13">
                  <c:v>34.148899999999998</c:v>
                </c:pt>
                <c:pt idx="14">
                  <c:v>34.271799999999999</c:v>
                </c:pt>
                <c:pt idx="15">
                  <c:v>34.427900000000001</c:v>
                </c:pt>
                <c:pt idx="16">
                  <c:v>34.698</c:v>
                </c:pt>
                <c:pt idx="17">
                  <c:v>34.999299999999998</c:v>
                </c:pt>
                <c:pt idx="18">
                  <c:v>35.330500000000001</c:v>
                </c:pt>
                <c:pt idx="19">
                  <c:v>35.731699999999996</c:v>
                </c:pt>
                <c:pt idx="20">
                  <c:v>36.135199999999998</c:v>
                </c:pt>
                <c:pt idx="21">
                  <c:v>36.551499999999997</c:v>
                </c:pt>
                <c:pt idx="22">
                  <c:v>36.9587</c:v>
                </c:pt>
                <c:pt idx="23">
                  <c:v>37.349299999999999</c:v>
                </c:pt>
                <c:pt idx="24">
                  <c:v>37.741599999999998</c:v>
                </c:pt>
                <c:pt idx="25">
                  <c:v>38.203800000000001</c:v>
                </c:pt>
                <c:pt idx="26">
                  <c:v>38.7134</c:v>
                </c:pt>
                <c:pt idx="27">
                  <c:v>39.301199999999994</c:v>
                </c:pt>
                <c:pt idx="28">
                  <c:v>39.889400000000002</c:v>
                </c:pt>
                <c:pt idx="29">
                  <c:v>40.456399999999995</c:v>
                </c:pt>
                <c:pt idx="30">
                  <c:v>40.996700000000004</c:v>
                </c:pt>
                <c:pt idx="31">
                  <c:v>41.3917</c:v>
                </c:pt>
                <c:pt idx="32">
                  <c:v>41.765600000000006</c:v>
                </c:pt>
                <c:pt idx="33">
                  <c:v>42.040700000000001</c:v>
                </c:pt>
                <c:pt idx="34">
                  <c:v>42.232100000000003</c:v>
                </c:pt>
                <c:pt idx="35">
                  <c:v>42.354399999999998</c:v>
                </c:pt>
                <c:pt idx="36">
                  <c:v>42.482199999999999</c:v>
                </c:pt>
                <c:pt idx="37">
                  <c:v>42.5428</c:v>
                </c:pt>
                <c:pt idx="38">
                  <c:v>42.517300000000006</c:v>
                </c:pt>
                <c:pt idx="39">
                  <c:v>42.411799999999999</c:v>
                </c:pt>
                <c:pt idx="40">
                  <c:v>42.314</c:v>
                </c:pt>
                <c:pt idx="41">
                  <c:v>42.126100000000001</c:v>
                </c:pt>
                <c:pt idx="42">
                  <c:v>41.925000000000004</c:v>
                </c:pt>
                <c:pt idx="43">
                  <c:v>41.685600000000001</c:v>
                </c:pt>
                <c:pt idx="44">
                  <c:v>41.413600000000002</c:v>
                </c:pt>
                <c:pt idx="45">
                  <c:v>41.154600000000002</c:v>
                </c:pt>
                <c:pt idx="46">
                  <c:v>40.9071</c:v>
                </c:pt>
                <c:pt idx="47">
                  <c:v>40.702500000000001</c:v>
                </c:pt>
                <c:pt idx="48">
                  <c:v>40.490400000000001</c:v>
                </c:pt>
                <c:pt idx="49">
                  <c:v>40.378300000000003</c:v>
                </c:pt>
                <c:pt idx="50">
                  <c:v>40.2361</c:v>
                </c:pt>
                <c:pt idx="51">
                  <c:v>40.038600000000002</c:v>
                </c:pt>
                <c:pt idx="52">
                  <c:v>39.842799999999997</c:v>
                </c:pt>
                <c:pt idx="53">
                  <c:v>39.684999999999995</c:v>
                </c:pt>
                <c:pt idx="54">
                  <c:v>39.544000000000004</c:v>
                </c:pt>
                <c:pt idx="55">
                  <c:v>39.4054</c:v>
                </c:pt>
                <c:pt idx="56">
                  <c:v>39.238900000000001</c:v>
                </c:pt>
                <c:pt idx="57">
                  <c:v>39.046999999999997</c:v>
                </c:pt>
                <c:pt idx="58">
                  <c:v>38.891100000000002</c:v>
                </c:pt>
                <c:pt idx="59">
                  <c:v>38.873799999999996</c:v>
                </c:pt>
                <c:pt idx="60">
                  <c:v>38.879000000000005</c:v>
                </c:pt>
                <c:pt idx="61">
                  <c:v>38.862099999999998</c:v>
                </c:pt>
                <c:pt idx="62">
                  <c:v>38.895899999999997</c:v>
                </c:pt>
                <c:pt idx="63">
                  <c:v>39.028100000000002</c:v>
                </c:pt>
                <c:pt idx="64">
                  <c:v>39.115100000000005</c:v>
                </c:pt>
                <c:pt idx="65">
                  <c:v>39.172200000000004</c:v>
                </c:pt>
                <c:pt idx="66">
                  <c:v>39.370399999999997</c:v>
                </c:pt>
                <c:pt idx="67">
                  <c:v>39.623000000000005</c:v>
                </c:pt>
                <c:pt idx="68">
                  <c:v>39.933600000000006</c:v>
                </c:pt>
                <c:pt idx="69">
                  <c:v>40.265499999999996</c:v>
                </c:pt>
                <c:pt idx="70">
                  <c:v>40.708199999999998</c:v>
                </c:pt>
                <c:pt idx="71">
                  <c:v>40.910800000000002</c:v>
                </c:pt>
                <c:pt idx="72">
                  <c:v>41.055399999999999</c:v>
                </c:pt>
                <c:pt idx="73">
                  <c:v>41.631299999999996</c:v>
                </c:pt>
                <c:pt idx="74">
                  <c:v>42.264000000000003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14.940899999999999</c:v>
                </c:pt>
                <c:pt idx="1">
                  <c:v>44.822699999999998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44.275967567567555</c:v>
                </c:pt>
                <c:pt idx="1">
                  <c:v>38.627090540540557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31.8416</c:v>
                </c:pt>
                <c:pt idx="1">
                  <c:v>33.194000000000003</c:v>
                </c:pt>
                <c:pt idx="2">
                  <c:v>37.060400000000001</c:v>
                </c:pt>
                <c:pt idx="3">
                  <c:v>33.563499999999998</c:v>
                </c:pt>
                <c:pt idx="4">
                  <c:v>70.188800000000001</c:v>
                </c:pt>
                <c:pt idx="5">
                  <c:v>80.238</c:v>
                </c:pt>
                <c:pt idx="6">
                  <c:v>12.708500000000001</c:v>
                </c:pt>
                <c:pt idx="7">
                  <c:v>75.033600000000007</c:v>
                </c:pt>
                <c:pt idx="8">
                  <c:v>10.805</c:v>
                </c:pt>
                <c:pt idx="9">
                  <c:v>17.975300000000001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37.694800000000001</c:v>
                </c:pt>
                <c:pt idx="1">
                  <c:v>32.061799999999998</c:v>
                </c:pt>
                <c:pt idx="2">
                  <c:v>28.9329</c:v>
                </c:pt>
                <c:pt idx="3">
                  <c:v>32.896000000000001</c:v>
                </c:pt>
                <c:pt idx="4">
                  <c:v>64.566299999999998</c:v>
                </c:pt>
                <c:pt idx="5">
                  <c:v>79.978399999999993</c:v>
                </c:pt>
                <c:pt idx="6">
                  <c:v>14.005000000000001</c:v>
                </c:pt>
                <c:pt idx="7">
                  <c:v>70.762200000000007</c:v>
                </c:pt>
                <c:pt idx="8">
                  <c:v>11.8291</c:v>
                </c:pt>
                <c:pt idx="9">
                  <c:v>31.905100000000001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0.5520977586354775</c:v>
                </c:pt>
                <c:pt idx="1">
                  <c:v>0.31447139356821796</c:v>
                </c:pt>
                <c:pt idx="2">
                  <c:v>0.13343084779630449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3676</c:v>
                </c:pt>
                <c:pt idx="7">
                  <c:v>0</c:v>
                </c:pt>
                <c:pt idx="8">
                  <c:v>3689</c:v>
                </c:pt>
                <c:pt idx="9">
                  <c:v>0</c:v>
                </c:pt>
                <c:pt idx="10">
                  <c:v>0</c:v>
                </c:pt>
                <c:pt idx="11">
                  <c:v>6806</c:v>
                </c:pt>
                <c:pt idx="12">
                  <c:v>0</c:v>
                </c:pt>
                <c:pt idx="13">
                  <c:v>13839</c:v>
                </c:pt>
                <c:pt idx="14">
                  <c:v>0</c:v>
                </c:pt>
                <c:pt idx="15">
                  <c:v>0</c:v>
                </c:pt>
                <c:pt idx="16">
                  <c:v>21926</c:v>
                </c:pt>
                <c:pt idx="17">
                  <c:v>0</c:v>
                </c:pt>
                <c:pt idx="18">
                  <c:v>0</c:v>
                </c:pt>
                <c:pt idx="19">
                  <c:v>32377</c:v>
                </c:pt>
                <c:pt idx="20">
                  <c:v>0</c:v>
                </c:pt>
                <c:pt idx="21">
                  <c:v>44459</c:v>
                </c:pt>
                <c:pt idx="22">
                  <c:v>0</c:v>
                </c:pt>
                <c:pt idx="23">
                  <c:v>0</c:v>
                </c:pt>
                <c:pt idx="24">
                  <c:v>57585</c:v>
                </c:pt>
                <c:pt idx="25">
                  <c:v>0</c:v>
                </c:pt>
                <c:pt idx="26">
                  <c:v>59550</c:v>
                </c:pt>
                <c:pt idx="27">
                  <c:v>0</c:v>
                </c:pt>
                <c:pt idx="28">
                  <c:v>0</c:v>
                </c:pt>
                <c:pt idx="29">
                  <c:v>61247</c:v>
                </c:pt>
                <c:pt idx="30">
                  <c:v>0</c:v>
                </c:pt>
                <c:pt idx="31">
                  <c:v>69365</c:v>
                </c:pt>
                <c:pt idx="32">
                  <c:v>0</c:v>
                </c:pt>
                <c:pt idx="33">
                  <c:v>0</c:v>
                </c:pt>
                <c:pt idx="34">
                  <c:v>67525</c:v>
                </c:pt>
                <c:pt idx="35">
                  <c:v>0</c:v>
                </c:pt>
                <c:pt idx="36">
                  <c:v>0</c:v>
                </c:pt>
                <c:pt idx="37">
                  <c:v>70803</c:v>
                </c:pt>
                <c:pt idx="38">
                  <c:v>0</c:v>
                </c:pt>
                <c:pt idx="39">
                  <c:v>75484</c:v>
                </c:pt>
                <c:pt idx="40">
                  <c:v>0</c:v>
                </c:pt>
                <c:pt idx="41">
                  <c:v>0</c:v>
                </c:pt>
                <c:pt idx="42">
                  <c:v>75111</c:v>
                </c:pt>
                <c:pt idx="43">
                  <c:v>0</c:v>
                </c:pt>
                <c:pt idx="44">
                  <c:v>75341</c:v>
                </c:pt>
                <c:pt idx="45">
                  <c:v>0</c:v>
                </c:pt>
                <c:pt idx="46">
                  <c:v>0</c:v>
                </c:pt>
                <c:pt idx="47">
                  <c:v>74503</c:v>
                </c:pt>
                <c:pt idx="48">
                  <c:v>0</c:v>
                </c:pt>
                <c:pt idx="49">
                  <c:v>79476</c:v>
                </c:pt>
                <c:pt idx="50">
                  <c:v>0</c:v>
                </c:pt>
                <c:pt idx="51">
                  <c:v>0</c:v>
                </c:pt>
                <c:pt idx="52">
                  <c:v>85636</c:v>
                </c:pt>
                <c:pt idx="53">
                  <c:v>0</c:v>
                </c:pt>
                <c:pt idx="54">
                  <c:v>0</c:v>
                </c:pt>
                <c:pt idx="55">
                  <c:v>91293</c:v>
                </c:pt>
                <c:pt idx="56">
                  <c:v>0</c:v>
                </c:pt>
                <c:pt idx="57">
                  <c:v>82935</c:v>
                </c:pt>
                <c:pt idx="58">
                  <c:v>0</c:v>
                </c:pt>
                <c:pt idx="59">
                  <c:v>0</c:v>
                </c:pt>
                <c:pt idx="60">
                  <c:v>74531</c:v>
                </c:pt>
                <c:pt idx="61">
                  <c:v>0</c:v>
                </c:pt>
                <c:pt idx="62">
                  <c:v>65670</c:v>
                </c:pt>
                <c:pt idx="63">
                  <c:v>0</c:v>
                </c:pt>
                <c:pt idx="64">
                  <c:v>0</c:v>
                </c:pt>
                <c:pt idx="65">
                  <c:v>67552</c:v>
                </c:pt>
                <c:pt idx="66">
                  <c:v>0</c:v>
                </c:pt>
                <c:pt idx="67">
                  <c:v>62112</c:v>
                </c:pt>
                <c:pt idx="68">
                  <c:v>0</c:v>
                </c:pt>
                <c:pt idx="69">
                  <c:v>0</c:v>
                </c:pt>
                <c:pt idx="70">
                  <c:v>61254</c:v>
                </c:pt>
                <c:pt idx="71">
                  <c:v>0</c:v>
                </c:pt>
                <c:pt idx="72">
                  <c:v>0</c:v>
                </c:pt>
                <c:pt idx="73">
                  <c:v>56603</c:v>
                </c:pt>
                <c:pt idx="74">
                  <c:v>0</c:v>
                </c:pt>
                <c:pt idx="75">
                  <c:v>52726</c:v>
                </c:pt>
                <c:pt idx="76">
                  <c:v>0</c:v>
                </c:pt>
                <c:pt idx="77">
                  <c:v>0</c:v>
                </c:pt>
                <c:pt idx="78">
                  <c:v>40501</c:v>
                </c:pt>
                <c:pt idx="79">
                  <c:v>0</c:v>
                </c:pt>
                <c:pt idx="80">
                  <c:v>35536</c:v>
                </c:pt>
                <c:pt idx="81">
                  <c:v>0</c:v>
                </c:pt>
                <c:pt idx="82">
                  <c:v>0</c:v>
                </c:pt>
                <c:pt idx="83">
                  <c:v>31043</c:v>
                </c:pt>
                <c:pt idx="84">
                  <c:v>0</c:v>
                </c:pt>
                <c:pt idx="85">
                  <c:v>0</c:v>
                </c:pt>
                <c:pt idx="86">
                  <c:v>28100</c:v>
                </c:pt>
                <c:pt idx="87">
                  <c:v>0</c:v>
                </c:pt>
                <c:pt idx="88">
                  <c:v>23995</c:v>
                </c:pt>
                <c:pt idx="89">
                  <c:v>0</c:v>
                </c:pt>
                <c:pt idx="90">
                  <c:v>0</c:v>
                </c:pt>
                <c:pt idx="91">
                  <c:v>21116</c:v>
                </c:pt>
                <c:pt idx="92">
                  <c:v>0</c:v>
                </c:pt>
                <c:pt idx="93">
                  <c:v>18895</c:v>
                </c:pt>
                <c:pt idx="94">
                  <c:v>0</c:v>
                </c:pt>
                <c:pt idx="95">
                  <c:v>0</c:v>
                </c:pt>
                <c:pt idx="96">
                  <c:v>15864</c:v>
                </c:pt>
                <c:pt idx="97">
                  <c:v>0</c:v>
                </c:pt>
                <c:pt idx="98">
                  <c:v>16928</c:v>
                </c:pt>
                <c:pt idx="99">
                  <c:v>0</c:v>
                </c:pt>
                <c:pt idx="100">
                  <c:v>0</c:v>
                </c:pt>
                <c:pt idx="101">
                  <c:v>14658</c:v>
                </c:pt>
                <c:pt idx="102">
                  <c:v>0</c:v>
                </c:pt>
                <c:pt idx="103">
                  <c:v>0</c:v>
                </c:pt>
                <c:pt idx="104">
                  <c:v>11510</c:v>
                </c:pt>
                <c:pt idx="105">
                  <c:v>0</c:v>
                </c:pt>
                <c:pt idx="106">
                  <c:v>10630</c:v>
                </c:pt>
                <c:pt idx="107">
                  <c:v>0</c:v>
                </c:pt>
                <c:pt idx="108">
                  <c:v>0</c:v>
                </c:pt>
                <c:pt idx="109">
                  <c:v>9051</c:v>
                </c:pt>
                <c:pt idx="110">
                  <c:v>0</c:v>
                </c:pt>
                <c:pt idx="111">
                  <c:v>10987</c:v>
                </c:pt>
                <c:pt idx="112">
                  <c:v>0</c:v>
                </c:pt>
                <c:pt idx="113">
                  <c:v>0</c:v>
                </c:pt>
                <c:pt idx="114">
                  <c:v>10672</c:v>
                </c:pt>
                <c:pt idx="115">
                  <c:v>0</c:v>
                </c:pt>
                <c:pt idx="116">
                  <c:v>10572</c:v>
                </c:pt>
                <c:pt idx="117">
                  <c:v>0</c:v>
                </c:pt>
                <c:pt idx="118">
                  <c:v>0</c:v>
                </c:pt>
                <c:pt idx="119">
                  <c:v>9597</c:v>
                </c:pt>
                <c:pt idx="120">
                  <c:v>0</c:v>
                </c:pt>
                <c:pt idx="121">
                  <c:v>0</c:v>
                </c:pt>
                <c:pt idx="122">
                  <c:v>8422</c:v>
                </c:pt>
                <c:pt idx="123">
                  <c:v>0</c:v>
                </c:pt>
                <c:pt idx="124">
                  <c:v>9199</c:v>
                </c:pt>
                <c:pt idx="125">
                  <c:v>0</c:v>
                </c:pt>
                <c:pt idx="126">
                  <c:v>0</c:v>
                </c:pt>
                <c:pt idx="127">
                  <c:v>7896</c:v>
                </c:pt>
                <c:pt idx="128">
                  <c:v>0</c:v>
                </c:pt>
                <c:pt idx="129">
                  <c:v>7540</c:v>
                </c:pt>
                <c:pt idx="130">
                  <c:v>0</c:v>
                </c:pt>
                <c:pt idx="131">
                  <c:v>0</c:v>
                </c:pt>
                <c:pt idx="132">
                  <c:v>9662</c:v>
                </c:pt>
                <c:pt idx="133">
                  <c:v>0</c:v>
                </c:pt>
                <c:pt idx="134">
                  <c:v>7127</c:v>
                </c:pt>
                <c:pt idx="135">
                  <c:v>0</c:v>
                </c:pt>
                <c:pt idx="136">
                  <c:v>0</c:v>
                </c:pt>
                <c:pt idx="137">
                  <c:v>8135</c:v>
                </c:pt>
                <c:pt idx="138">
                  <c:v>0</c:v>
                </c:pt>
                <c:pt idx="139">
                  <c:v>0</c:v>
                </c:pt>
                <c:pt idx="140">
                  <c:v>7689</c:v>
                </c:pt>
                <c:pt idx="141">
                  <c:v>0</c:v>
                </c:pt>
                <c:pt idx="142">
                  <c:v>8799</c:v>
                </c:pt>
                <c:pt idx="143">
                  <c:v>0</c:v>
                </c:pt>
                <c:pt idx="144">
                  <c:v>0</c:v>
                </c:pt>
                <c:pt idx="145">
                  <c:v>7669</c:v>
                </c:pt>
                <c:pt idx="146">
                  <c:v>0</c:v>
                </c:pt>
                <c:pt idx="147">
                  <c:v>4660</c:v>
                </c:pt>
                <c:pt idx="148">
                  <c:v>0</c:v>
                </c:pt>
                <c:pt idx="149">
                  <c:v>0</c:v>
                </c:pt>
                <c:pt idx="150">
                  <c:v>4416</c:v>
                </c:pt>
                <c:pt idx="151">
                  <c:v>0</c:v>
                </c:pt>
                <c:pt idx="152">
                  <c:v>3059</c:v>
                </c:pt>
                <c:pt idx="153">
                  <c:v>0</c:v>
                </c:pt>
                <c:pt idx="154">
                  <c:v>0</c:v>
                </c:pt>
                <c:pt idx="155">
                  <c:v>2138</c:v>
                </c:pt>
                <c:pt idx="156">
                  <c:v>0</c:v>
                </c:pt>
                <c:pt idx="157">
                  <c:v>0</c:v>
                </c:pt>
                <c:pt idx="158">
                  <c:v>1771</c:v>
                </c:pt>
                <c:pt idx="159">
                  <c:v>0</c:v>
                </c:pt>
                <c:pt idx="160">
                  <c:v>1224</c:v>
                </c:pt>
                <c:pt idx="161">
                  <c:v>0</c:v>
                </c:pt>
                <c:pt idx="162">
                  <c:v>0</c:v>
                </c:pt>
                <c:pt idx="163">
                  <c:v>831</c:v>
                </c:pt>
                <c:pt idx="164">
                  <c:v>0</c:v>
                </c:pt>
                <c:pt idx="165">
                  <c:v>200</c:v>
                </c:pt>
                <c:pt idx="166">
                  <c:v>0</c:v>
                </c:pt>
                <c:pt idx="167">
                  <c:v>0</c:v>
                </c:pt>
                <c:pt idx="168">
                  <c:v>125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4868</c:v>
                </c:pt>
                <c:pt idx="7">
                  <c:v>0</c:v>
                </c:pt>
                <c:pt idx="8">
                  <c:v>6684</c:v>
                </c:pt>
                <c:pt idx="9">
                  <c:v>0</c:v>
                </c:pt>
                <c:pt idx="10">
                  <c:v>0</c:v>
                </c:pt>
                <c:pt idx="11">
                  <c:v>11796</c:v>
                </c:pt>
                <c:pt idx="12">
                  <c:v>0</c:v>
                </c:pt>
                <c:pt idx="13">
                  <c:v>12029</c:v>
                </c:pt>
                <c:pt idx="14">
                  <c:v>0</c:v>
                </c:pt>
                <c:pt idx="15">
                  <c:v>0</c:v>
                </c:pt>
                <c:pt idx="16">
                  <c:v>13985</c:v>
                </c:pt>
                <c:pt idx="17">
                  <c:v>0</c:v>
                </c:pt>
                <c:pt idx="18">
                  <c:v>0</c:v>
                </c:pt>
                <c:pt idx="19">
                  <c:v>20288</c:v>
                </c:pt>
                <c:pt idx="20">
                  <c:v>0</c:v>
                </c:pt>
                <c:pt idx="21">
                  <c:v>50489</c:v>
                </c:pt>
                <c:pt idx="22">
                  <c:v>0</c:v>
                </c:pt>
                <c:pt idx="23">
                  <c:v>0</c:v>
                </c:pt>
                <c:pt idx="24">
                  <c:v>61245</c:v>
                </c:pt>
                <c:pt idx="25">
                  <c:v>0</c:v>
                </c:pt>
                <c:pt idx="26">
                  <c:v>66542</c:v>
                </c:pt>
                <c:pt idx="27">
                  <c:v>0</c:v>
                </c:pt>
                <c:pt idx="28">
                  <c:v>0</c:v>
                </c:pt>
                <c:pt idx="29">
                  <c:v>48511</c:v>
                </c:pt>
                <c:pt idx="30">
                  <c:v>0</c:v>
                </c:pt>
                <c:pt idx="31">
                  <c:v>59272</c:v>
                </c:pt>
                <c:pt idx="32">
                  <c:v>0</c:v>
                </c:pt>
                <c:pt idx="33">
                  <c:v>0</c:v>
                </c:pt>
                <c:pt idx="34">
                  <c:v>61154</c:v>
                </c:pt>
                <c:pt idx="35">
                  <c:v>0</c:v>
                </c:pt>
                <c:pt idx="36">
                  <c:v>0</c:v>
                </c:pt>
                <c:pt idx="37">
                  <c:v>61122</c:v>
                </c:pt>
                <c:pt idx="38">
                  <c:v>0</c:v>
                </c:pt>
                <c:pt idx="39">
                  <c:v>59973</c:v>
                </c:pt>
                <c:pt idx="40">
                  <c:v>0</c:v>
                </c:pt>
                <c:pt idx="41">
                  <c:v>0</c:v>
                </c:pt>
                <c:pt idx="42">
                  <c:v>64822</c:v>
                </c:pt>
                <c:pt idx="43">
                  <c:v>0</c:v>
                </c:pt>
                <c:pt idx="44">
                  <c:v>64285</c:v>
                </c:pt>
                <c:pt idx="45">
                  <c:v>0</c:v>
                </c:pt>
                <c:pt idx="46">
                  <c:v>0</c:v>
                </c:pt>
                <c:pt idx="47">
                  <c:v>64296</c:v>
                </c:pt>
                <c:pt idx="48">
                  <c:v>0</c:v>
                </c:pt>
                <c:pt idx="49">
                  <c:v>61787</c:v>
                </c:pt>
                <c:pt idx="50">
                  <c:v>0</c:v>
                </c:pt>
                <c:pt idx="51">
                  <c:v>0</c:v>
                </c:pt>
                <c:pt idx="52">
                  <c:v>69073</c:v>
                </c:pt>
                <c:pt idx="53">
                  <c:v>0</c:v>
                </c:pt>
                <c:pt idx="54">
                  <c:v>0</c:v>
                </c:pt>
                <c:pt idx="55">
                  <c:v>73518</c:v>
                </c:pt>
                <c:pt idx="56">
                  <c:v>0</c:v>
                </c:pt>
                <c:pt idx="57">
                  <c:v>77502</c:v>
                </c:pt>
                <c:pt idx="58">
                  <c:v>0</c:v>
                </c:pt>
                <c:pt idx="59">
                  <c:v>0</c:v>
                </c:pt>
                <c:pt idx="60">
                  <c:v>73826</c:v>
                </c:pt>
                <c:pt idx="61">
                  <c:v>0</c:v>
                </c:pt>
                <c:pt idx="62">
                  <c:v>83576</c:v>
                </c:pt>
                <c:pt idx="63">
                  <c:v>0</c:v>
                </c:pt>
                <c:pt idx="64">
                  <c:v>0</c:v>
                </c:pt>
                <c:pt idx="65">
                  <c:v>78948</c:v>
                </c:pt>
                <c:pt idx="66">
                  <c:v>0</c:v>
                </c:pt>
                <c:pt idx="67">
                  <c:v>88123</c:v>
                </c:pt>
                <c:pt idx="68">
                  <c:v>0</c:v>
                </c:pt>
                <c:pt idx="69">
                  <c:v>0</c:v>
                </c:pt>
                <c:pt idx="70">
                  <c:v>80734</c:v>
                </c:pt>
                <c:pt idx="71">
                  <c:v>0</c:v>
                </c:pt>
                <c:pt idx="72">
                  <c:v>0</c:v>
                </c:pt>
                <c:pt idx="73">
                  <c:v>83402</c:v>
                </c:pt>
                <c:pt idx="74">
                  <c:v>0</c:v>
                </c:pt>
                <c:pt idx="75">
                  <c:v>74339</c:v>
                </c:pt>
                <c:pt idx="76">
                  <c:v>0</c:v>
                </c:pt>
                <c:pt idx="77">
                  <c:v>0</c:v>
                </c:pt>
                <c:pt idx="78">
                  <c:v>78510</c:v>
                </c:pt>
                <c:pt idx="79">
                  <c:v>0</c:v>
                </c:pt>
                <c:pt idx="80">
                  <c:v>76416</c:v>
                </c:pt>
                <c:pt idx="81">
                  <c:v>0</c:v>
                </c:pt>
                <c:pt idx="82">
                  <c:v>0</c:v>
                </c:pt>
                <c:pt idx="83">
                  <c:v>69591</c:v>
                </c:pt>
                <c:pt idx="84">
                  <c:v>0</c:v>
                </c:pt>
                <c:pt idx="85">
                  <c:v>0</c:v>
                </c:pt>
                <c:pt idx="86">
                  <c:v>69309</c:v>
                </c:pt>
                <c:pt idx="87">
                  <c:v>0</c:v>
                </c:pt>
                <c:pt idx="88">
                  <c:v>62790</c:v>
                </c:pt>
                <c:pt idx="89">
                  <c:v>0</c:v>
                </c:pt>
                <c:pt idx="90">
                  <c:v>0</c:v>
                </c:pt>
                <c:pt idx="91">
                  <c:v>56285</c:v>
                </c:pt>
                <c:pt idx="92">
                  <c:v>0</c:v>
                </c:pt>
                <c:pt idx="93">
                  <c:v>44751</c:v>
                </c:pt>
                <c:pt idx="94">
                  <c:v>0</c:v>
                </c:pt>
                <c:pt idx="95">
                  <c:v>0</c:v>
                </c:pt>
                <c:pt idx="96">
                  <c:v>39179</c:v>
                </c:pt>
                <c:pt idx="97">
                  <c:v>0</c:v>
                </c:pt>
                <c:pt idx="98">
                  <c:v>34971</c:v>
                </c:pt>
                <c:pt idx="99">
                  <c:v>0</c:v>
                </c:pt>
                <c:pt idx="100">
                  <c:v>0</c:v>
                </c:pt>
                <c:pt idx="101">
                  <c:v>30543</c:v>
                </c:pt>
                <c:pt idx="102">
                  <c:v>0</c:v>
                </c:pt>
                <c:pt idx="103">
                  <c:v>0</c:v>
                </c:pt>
                <c:pt idx="104">
                  <c:v>30208</c:v>
                </c:pt>
                <c:pt idx="105">
                  <c:v>0</c:v>
                </c:pt>
                <c:pt idx="106">
                  <c:v>28366</c:v>
                </c:pt>
                <c:pt idx="107">
                  <c:v>0</c:v>
                </c:pt>
                <c:pt idx="108">
                  <c:v>0</c:v>
                </c:pt>
                <c:pt idx="109">
                  <c:v>27570</c:v>
                </c:pt>
                <c:pt idx="110">
                  <c:v>0</c:v>
                </c:pt>
                <c:pt idx="111">
                  <c:v>25297</c:v>
                </c:pt>
                <c:pt idx="112">
                  <c:v>0</c:v>
                </c:pt>
                <c:pt idx="113">
                  <c:v>0</c:v>
                </c:pt>
                <c:pt idx="114">
                  <c:v>22962</c:v>
                </c:pt>
                <c:pt idx="115">
                  <c:v>0</c:v>
                </c:pt>
                <c:pt idx="116">
                  <c:v>22042</c:v>
                </c:pt>
                <c:pt idx="117">
                  <c:v>0</c:v>
                </c:pt>
                <c:pt idx="118">
                  <c:v>0</c:v>
                </c:pt>
                <c:pt idx="119">
                  <c:v>20592</c:v>
                </c:pt>
                <c:pt idx="120">
                  <c:v>0</c:v>
                </c:pt>
                <c:pt idx="121">
                  <c:v>0</c:v>
                </c:pt>
                <c:pt idx="122">
                  <c:v>19629</c:v>
                </c:pt>
                <c:pt idx="123">
                  <c:v>0</c:v>
                </c:pt>
                <c:pt idx="124">
                  <c:v>17023</c:v>
                </c:pt>
                <c:pt idx="125">
                  <c:v>0</c:v>
                </c:pt>
                <c:pt idx="126">
                  <c:v>0</c:v>
                </c:pt>
                <c:pt idx="127">
                  <c:v>17254</c:v>
                </c:pt>
                <c:pt idx="128">
                  <c:v>0</c:v>
                </c:pt>
                <c:pt idx="129">
                  <c:v>18763</c:v>
                </c:pt>
                <c:pt idx="130">
                  <c:v>0</c:v>
                </c:pt>
                <c:pt idx="131">
                  <c:v>0</c:v>
                </c:pt>
                <c:pt idx="132">
                  <c:v>17779</c:v>
                </c:pt>
                <c:pt idx="133">
                  <c:v>0</c:v>
                </c:pt>
                <c:pt idx="134">
                  <c:v>20201</c:v>
                </c:pt>
                <c:pt idx="135">
                  <c:v>0</c:v>
                </c:pt>
                <c:pt idx="136">
                  <c:v>0</c:v>
                </c:pt>
                <c:pt idx="137">
                  <c:v>18196</c:v>
                </c:pt>
                <c:pt idx="138">
                  <c:v>0</c:v>
                </c:pt>
                <c:pt idx="139">
                  <c:v>0</c:v>
                </c:pt>
                <c:pt idx="140">
                  <c:v>16067</c:v>
                </c:pt>
                <c:pt idx="141">
                  <c:v>0</c:v>
                </c:pt>
                <c:pt idx="142">
                  <c:v>13627</c:v>
                </c:pt>
                <c:pt idx="143">
                  <c:v>0</c:v>
                </c:pt>
                <c:pt idx="144">
                  <c:v>0</c:v>
                </c:pt>
                <c:pt idx="145">
                  <c:v>12005</c:v>
                </c:pt>
                <c:pt idx="146">
                  <c:v>0</c:v>
                </c:pt>
                <c:pt idx="147">
                  <c:v>9725</c:v>
                </c:pt>
                <c:pt idx="148">
                  <c:v>0</c:v>
                </c:pt>
                <c:pt idx="149">
                  <c:v>0</c:v>
                </c:pt>
                <c:pt idx="150">
                  <c:v>6843</c:v>
                </c:pt>
                <c:pt idx="151">
                  <c:v>0</c:v>
                </c:pt>
                <c:pt idx="152">
                  <c:v>4240</c:v>
                </c:pt>
                <c:pt idx="153">
                  <c:v>0</c:v>
                </c:pt>
                <c:pt idx="154">
                  <c:v>0</c:v>
                </c:pt>
                <c:pt idx="155">
                  <c:v>3711</c:v>
                </c:pt>
                <c:pt idx="156">
                  <c:v>0</c:v>
                </c:pt>
                <c:pt idx="157">
                  <c:v>0</c:v>
                </c:pt>
                <c:pt idx="158">
                  <c:v>3387</c:v>
                </c:pt>
                <c:pt idx="159">
                  <c:v>0</c:v>
                </c:pt>
                <c:pt idx="160">
                  <c:v>1852</c:v>
                </c:pt>
                <c:pt idx="161">
                  <c:v>0</c:v>
                </c:pt>
                <c:pt idx="162">
                  <c:v>0</c:v>
                </c:pt>
                <c:pt idx="163">
                  <c:v>1549</c:v>
                </c:pt>
                <c:pt idx="164">
                  <c:v>0</c:v>
                </c:pt>
                <c:pt idx="165">
                  <c:v>800</c:v>
                </c:pt>
                <c:pt idx="166">
                  <c:v>0</c:v>
                </c:pt>
                <c:pt idx="167">
                  <c:v>0</c:v>
                </c:pt>
                <c:pt idx="168">
                  <c:v>1112</c:v>
                </c:pt>
                <c:pt idx="169">
                  <c:v>0</c:v>
                </c:pt>
                <c:pt idx="170">
                  <c:v>0</c:v>
                </c:pt>
                <c:pt idx="171">
                  <c:v>243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0.21918681492373768</c:v>
                </c:pt>
                <c:pt idx="1">
                  <c:v>0.29042973010280554</c:v>
                </c:pt>
                <c:pt idx="2">
                  <c:v>0.4903834549734567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0.51143932030498318</c:v>
                </c:pt>
                <c:pt idx="1">
                  <c:v>0.29347800389771034</c:v>
                </c:pt>
                <c:pt idx="2">
                  <c:v>0.19508267579730662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9.7914774999999992</c:v>
                </c:pt>
                <c:pt idx="1">
                  <c:v>17.803227499999998</c:v>
                </c:pt>
                <c:pt idx="2">
                  <c:v>31.9664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0.40837800000000002</c:v>
                </c:pt>
                <c:pt idx="2">
                  <c:v>0.81258799999999998</c:v>
                </c:pt>
                <c:pt idx="3">
                  <c:v>1.2173799999999999</c:v>
                </c:pt>
                <c:pt idx="4">
                  <c:v>1.62707</c:v>
                </c:pt>
                <c:pt idx="5">
                  <c:v>2.02834</c:v>
                </c:pt>
                <c:pt idx="6">
                  <c:v>2.4379599999999999</c:v>
                </c:pt>
                <c:pt idx="7">
                  <c:v>2.8439800000000002</c:v>
                </c:pt>
                <c:pt idx="8">
                  <c:v>3.2520600000000002</c:v>
                </c:pt>
                <c:pt idx="9">
                  <c:v>3.6582599999999998</c:v>
                </c:pt>
                <c:pt idx="10">
                  <c:v>4.06358</c:v>
                </c:pt>
                <c:pt idx="11">
                  <c:v>4.4658699999999998</c:v>
                </c:pt>
                <c:pt idx="12">
                  <c:v>4.8743499999999997</c:v>
                </c:pt>
                <c:pt idx="13">
                  <c:v>5.2773199999999996</c:v>
                </c:pt>
                <c:pt idx="14">
                  <c:v>5.68804</c:v>
                </c:pt>
                <c:pt idx="15">
                  <c:v>6.0945499999999999</c:v>
                </c:pt>
                <c:pt idx="16">
                  <c:v>6.49831</c:v>
                </c:pt>
                <c:pt idx="17">
                  <c:v>6.9035000000000002</c:v>
                </c:pt>
                <c:pt idx="18">
                  <c:v>7.31297</c:v>
                </c:pt>
                <c:pt idx="19">
                  <c:v>7.7200300000000004</c:v>
                </c:pt>
                <c:pt idx="20">
                  <c:v>8.1242000000000001</c:v>
                </c:pt>
                <c:pt idx="21">
                  <c:v>8.5300600000000006</c:v>
                </c:pt>
                <c:pt idx="22">
                  <c:v>8.9361099999999993</c:v>
                </c:pt>
                <c:pt idx="23">
                  <c:v>9.3447899999999997</c:v>
                </c:pt>
                <c:pt idx="24">
                  <c:v>9.7494899999999998</c:v>
                </c:pt>
                <c:pt idx="25">
                  <c:v>10.158200000000001</c:v>
                </c:pt>
                <c:pt idx="26">
                  <c:v>10.5623</c:v>
                </c:pt>
                <c:pt idx="27">
                  <c:v>10.9694</c:v>
                </c:pt>
                <c:pt idx="28">
                  <c:v>11.3748</c:v>
                </c:pt>
                <c:pt idx="29">
                  <c:v>11.7836</c:v>
                </c:pt>
                <c:pt idx="30">
                  <c:v>12.1899</c:v>
                </c:pt>
                <c:pt idx="31">
                  <c:v>12.5921</c:v>
                </c:pt>
                <c:pt idx="32">
                  <c:v>12.998200000000001</c:v>
                </c:pt>
                <c:pt idx="33">
                  <c:v>13.404999999999999</c:v>
                </c:pt>
                <c:pt idx="34">
                  <c:v>13.8141</c:v>
                </c:pt>
                <c:pt idx="35">
                  <c:v>14.2197</c:v>
                </c:pt>
                <c:pt idx="36">
                  <c:v>14.627000000000001</c:v>
                </c:pt>
                <c:pt idx="37">
                  <c:v>15.0351</c:v>
                </c:pt>
                <c:pt idx="38">
                  <c:v>15.4404</c:v>
                </c:pt>
                <c:pt idx="39">
                  <c:v>15.8466</c:v>
                </c:pt>
                <c:pt idx="40">
                  <c:v>16.253</c:v>
                </c:pt>
                <c:pt idx="41">
                  <c:v>16.657800000000002</c:v>
                </c:pt>
                <c:pt idx="42">
                  <c:v>17.061800000000002</c:v>
                </c:pt>
                <c:pt idx="43">
                  <c:v>17.466799999999999</c:v>
                </c:pt>
                <c:pt idx="44">
                  <c:v>17.876100000000001</c:v>
                </c:pt>
                <c:pt idx="45">
                  <c:v>18.281600000000001</c:v>
                </c:pt>
                <c:pt idx="46">
                  <c:v>18.6875</c:v>
                </c:pt>
                <c:pt idx="47">
                  <c:v>19.093699999999998</c:v>
                </c:pt>
                <c:pt idx="48">
                  <c:v>19.501999999999999</c:v>
                </c:pt>
                <c:pt idx="49">
                  <c:v>19.9068</c:v>
                </c:pt>
                <c:pt idx="50">
                  <c:v>20.313500000000001</c:v>
                </c:pt>
                <c:pt idx="51">
                  <c:v>20.719200000000001</c:v>
                </c:pt>
                <c:pt idx="52">
                  <c:v>21.123999999999999</c:v>
                </c:pt>
                <c:pt idx="53">
                  <c:v>21.531400000000001</c:v>
                </c:pt>
                <c:pt idx="54">
                  <c:v>21.940300000000001</c:v>
                </c:pt>
                <c:pt idx="55">
                  <c:v>22.342300000000002</c:v>
                </c:pt>
                <c:pt idx="56">
                  <c:v>22.750399999999999</c:v>
                </c:pt>
                <c:pt idx="57">
                  <c:v>23.153199999999998</c:v>
                </c:pt>
                <c:pt idx="58">
                  <c:v>23.561499999999999</c:v>
                </c:pt>
                <c:pt idx="59">
                  <c:v>23.9696</c:v>
                </c:pt>
                <c:pt idx="60">
                  <c:v>24.375900000000001</c:v>
                </c:pt>
                <c:pt idx="61">
                  <c:v>24.7836</c:v>
                </c:pt>
                <c:pt idx="62">
                  <c:v>25.187799999999999</c:v>
                </c:pt>
                <c:pt idx="63">
                  <c:v>25.592099999999999</c:v>
                </c:pt>
                <c:pt idx="64">
                  <c:v>25.9986</c:v>
                </c:pt>
                <c:pt idx="65">
                  <c:v>26.407900000000001</c:v>
                </c:pt>
                <c:pt idx="66">
                  <c:v>26.814499999999999</c:v>
                </c:pt>
                <c:pt idx="67">
                  <c:v>27.218599999999999</c:v>
                </c:pt>
                <c:pt idx="68">
                  <c:v>27.6249</c:v>
                </c:pt>
                <c:pt idx="69">
                  <c:v>28.0318</c:v>
                </c:pt>
                <c:pt idx="70">
                  <c:v>28.4358</c:v>
                </c:pt>
                <c:pt idx="71">
                  <c:v>28.845300000000002</c:v>
                </c:pt>
                <c:pt idx="72">
                  <c:v>29.250299999999999</c:v>
                </c:pt>
                <c:pt idx="73">
                  <c:v>29.6585</c:v>
                </c:pt>
                <c:pt idx="74">
                  <c:v>30.063700000000001</c:v>
                </c:pt>
                <c:pt idx="75">
                  <c:v>30.530100000000001</c:v>
                </c:pt>
                <c:pt idx="76">
                  <c:v>30.922000000000001</c:v>
                </c:pt>
                <c:pt idx="77">
                  <c:v>31.3292</c:v>
                </c:pt>
                <c:pt idx="78">
                  <c:v>31.733699999999999</c:v>
                </c:pt>
                <c:pt idx="79">
                  <c:v>32.138599999999997</c:v>
                </c:pt>
                <c:pt idx="80">
                  <c:v>32.5471</c:v>
                </c:pt>
                <c:pt idx="81">
                  <c:v>32.9544</c:v>
                </c:pt>
                <c:pt idx="82">
                  <c:v>33.3596</c:v>
                </c:pt>
                <c:pt idx="83">
                  <c:v>33.763199999999998</c:v>
                </c:pt>
                <c:pt idx="84">
                  <c:v>34.170900000000003</c:v>
                </c:pt>
                <c:pt idx="85">
                  <c:v>34.581299999999999</c:v>
                </c:pt>
                <c:pt idx="86">
                  <c:v>34.985900000000001</c:v>
                </c:pt>
                <c:pt idx="87">
                  <c:v>35.390700000000002</c:v>
                </c:pt>
                <c:pt idx="88">
                  <c:v>35.795200000000001</c:v>
                </c:pt>
                <c:pt idx="89">
                  <c:v>36.201599999999999</c:v>
                </c:pt>
                <c:pt idx="90">
                  <c:v>36.608499999999999</c:v>
                </c:pt>
                <c:pt idx="91">
                  <c:v>37.015900000000002</c:v>
                </c:pt>
                <c:pt idx="92">
                  <c:v>37.4221</c:v>
                </c:pt>
                <c:pt idx="93">
                  <c:v>37.8279</c:v>
                </c:pt>
                <c:pt idx="94">
                  <c:v>38.2333</c:v>
                </c:pt>
                <c:pt idx="95">
                  <c:v>38.640700000000002</c:v>
                </c:pt>
                <c:pt idx="96">
                  <c:v>39.049500000000002</c:v>
                </c:pt>
                <c:pt idx="97">
                  <c:v>39.453299999999999</c:v>
                </c:pt>
                <c:pt idx="98">
                  <c:v>39.8581</c:v>
                </c:pt>
                <c:pt idx="99">
                  <c:v>40.264400000000002</c:v>
                </c:pt>
                <c:pt idx="100">
                  <c:v>40.67</c:v>
                </c:pt>
                <c:pt idx="101">
                  <c:v>41.080300000000001</c:v>
                </c:pt>
                <c:pt idx="102">
                  <c:v>41.484400000000001</c:v>
                </c:pt>
                <c:pt idx="103">
                  <c:v>41.890599999999999</c:v>
                </c:pt>
                <c:pt idx="104">
                  <c:v>42.296700000000001</c:v>
                </c:pt>
                <c:pt idx="105">
                  <c:v>42.702800000000003</c:v>
                </c:pt>
                <c:pt idx="106">
                  <c:v>43.107900000000001</c:v>
                </c:pt>
                <c:pt idx="107">
                  <c:v>43.515700000000002</c:v>
                </c:pt>
                <c:pt idx="108">
                  <c:v>43.919800000000002</c:v>
                </c:pt>
                <c:pt idx="109">
                  <c:v>44.327199999999998</c:v>
                </c:pt>
                <c:pt idx="110">
                  <c:v>44.733499999999999</c:v>
                </c:pt>
                <c:pt idx="111">
                  <c:v>45.143500000000003</c:v>
                </c:pt>
                <c:pt idx="112">
                  <c:v>45.549700000000001</c:v>
                </c:pt>
                <c:pt idx="113">
                  <c:v>45.954000000000001</c:v>
                </c:pt>
                <c:pt idx="114">
                  <c:v>46.3583</c:v>
                </c:pt>
                <c:pt idx="115">
                  <c:v>46.765999999999998</c:v>
                </c:pt>
                <c:pt idx="116">
                  <c:v>47.174799999999998</c:v>
                </c:pt>
                <c:pt idx="117">
                  <c:v>47.581899999999997</c:v>
                </c:pt>
                <c:pt idx="118">
                  <c:v>47.984999999999999</c:v>
                </c:pt>
                <c:pt idx="119">
                  <c:v>48.387</c:v>
                </c:pt>
                <c:pt idx="120">
                  <c:v>48.796199999999999</c:v>
                </c:pt>
                <c:pt idx="121">
                  <c:v>49.2042</c:v>
                </c:pt>
                <c:pt idx="122">
                  <c:v>49.610900000000001</c:v>
                </c:pt>
                <c:pt idx="123">
                  <c:v>50.015300000000003</c:v>
                </c:pt>
                <c:pt idx="124">
                  <c:v>50.421399999999998</c:v>
                </c:pt>
                <c:pt idx="125">
                  <c:v>50.828099999999999</c:v>
                </c:pt>
                <c:pt idx="126">
                  <c:v>51.233400000000003</c:v>
                </c:pt>
                <c:pt idx="127">
                  <c:v>51.639099999999999</c:v>
                </c:pt>
                <c:pt idx="128">
                  <c:v>52.048699999999997</c:v>
                </c:pt>
                <c:pt idx="129">
                  <c:v>52.453600000000002</c:v>
                </c:pt>
                <c:pt idx="130">
                  <c:v>52.860700000000001</c:v>
                </c:pt>
                <c:pt idx="131">
                  <c:v>53.266800000000003</c:v>
                </c:pt>
                <c:pt idx="132">
                  <c:v>53.673299999999998</c:v>
                </c:pt>
                <c:pt idx="133">
                  <c:v>54.083500000000001</c:v>
                </c:pt>
                <c:pt idx="134">
                  <c:v>54.485199999999999</c:v>
                </c:pt>
                <c:pt idx="135">
                  <c:v>54.894799999999996</c:v>
                </c:pt>
                <c:pt idx="136">
                  <c:v>55.2971</c:v>
                </c:pt>
                <c:pt idx="137">
                  <c:v>55.7029</c:v>
                </c:pt>
                <c:pt idx="138">
                  <c:v>56.108800000000002</c:v>
                </c:pt>
                <c:pt idx="139">
                  <c:v>56.516300000000001</c:v>
                </c:pt>
                <c:pt idx="140">
                  <c:v>56.927</c:v>
                </c:pt>
                <c:pt idx="141">
                  <c:v>57.331699999999998</c:v>
                </c:pt>
                <c:pt idx="142">
                  <c:v>57.735100000000003</c:v>
                </c:pt>
                <c:pt idx="143">
                  <c:v>58.142200000000003</c:v>
                </c:pt>
                <c:pt idx="144">
                  <c:v>58.547400000000003</c:v>
                </c:pt>
                <c:pt idx="145">
                  <c:v>58.955300000000001</c:v>
                </c:pt>
                <c:pt idx="146">
                  <c:v>59.361199999999997</c:v>
                </c:pt>
                <c:pt idx="147">
                  <c:v>59.763599999999997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1.6071499999999999</c:v>
                </c:pt>
                <c:pt idx="1">
                  <c:v>1.64775</c:v>
                </c:pt>
                <c:pt idx="2">
                  <c:v>1.68801</c:v>
                </c:pt>
                <c:pt idx="3">
                  <c:v>1.72766</c:v>
                </c:pt>
                <c:pt idx="4">
                  <c:v>1.7677100000000001</c:v>
                </c:pt>
                <c:pt idx="5">
                  <c:v>1.80965</c:v>
                </c:pt>
                <c:pt idx="6">
                  <c:v>1.8545199999999999</c:v>
                </c:pt>
                <c:pt idx="7">
                  <c:v>1.89856</c:v>
                </c:pt>
                <c:pt idx="8">
                  <c:v>1.94123</c:v>
                </c:pt>
                <c:pt idx="9">
                  <c:v>1.9839100000000001</c:v>
                </c:pt>
                <c:pt idx="10">
                  <c:v>2.0267499999999998</c:v>
                </c:pt>
                <c:pt idx="11">
                  <c:v>2.0707900000000001</c:v>
                </c:pt>
                <c:pt idx="12">
                  <c:v>2.1160399999999999</c:v>
                </c:pt>
                <c:pt idx="13">
                  <c:v>2.1603300000000001</c:v>
                </c:pt>
                <c:pt idx="14">
                  <c:v>2.2047300000000001</c:v>
                </c:pt>
                <c:pt idx="15">
                  <c:v>2.24681</c:v>
                </c:pt>
                <c:pt idx="16">
                  <c:v>2.2880700000000003</c:v>
                </c:pt>
                <c:pt idx="17">
                  <c:v>2.32524</c:v>
                </c:pt>
                <c:pt idx="18">
                  <c:v>2.3630499999999999</c:v>
                </c:pt>
                <c:pt idx="19">
                  <c:v>2.3992100000000001</c:v>
                </c:pt>
                <c:pt idx="20">
                  <c:v>2.4311099999999999</c:v>
                </c:pt>
                <c:pt idx="21">
                  <c:v>2.4617900000000001</c:v>
                </c:pt>
                <c:pt idx="22">
                  <c:v>2.49064</c:v>
                </c:pt>
                <c:pt idx="23">
                  <c:v>2.51823</c:v>
                </c:pt>
                <c:pt idx="24">
                  <c:v>2.5471899999999996</c:v>
                </c:pt>
                <c:pt idx="25">
                  <c:v>2.5756899999999998</c:v>
                </c:pt>
                <c:pt idx="26">
                  <c:v>2.6025</c:v>
                </c:pt>
                <c:pt idx="27">
                  <c:v>2.6276600000000001</c:v>
                </c:pt>
                <c:pt idx="28">
                  <c:v>2.6485300000000001</c:v>
                </c:pt>
                <c:pt idx="29">
                  <c:v>2.6648100000000001</c:v>
                </c:pt>
                <c:pt idx="30">
                  <c:v>2.6782400000000002</c:v>
                </c:pt>
                <c:pt idx="31">
                  <c:v>2.6876600000000002</c:v>
                </c:pt>
                <c:pt idx="32">
                  <c:v>2.6943800000000002</c:v>
                </c:pt>
                <c:pt idx="33">
                  <c:v>2.6995400000000003</c:v>
                </c:pt>
                <c:pt idx="34">
                  <c:v>2.70329</c:v>
                </c:pt>
                <c:pt idx="35">
                  <c:v>2.7051699999999999</c:v>
                </c:pt>
                <c:pt idx="36">
                  <c:v>2.7055699999999998</c:v>
                </c:pt>
                <c:pt idx="37">
                  <c:v>2.70221</c:v>
                </c:pt>
                <c:pt idx="38">
                  <c:v>2.6966700000000001</c:v>
                </c:pt>
                <c:pt idx="39">
                  <c:v>2.6880600000000001</c:v>
                </c:pt>
                <c:pt idx="40">
                  <c:v>2.67598</c:v>
                </c:pt>
                <c:pt idx="41">
                  <c:v>2.6610699999999996</c:v>
                </c:pt>
                <c:pt idx="42">
                  <c:v>2.6464100000000004</c:v>
                </c:pt>
                <c:pt idx="43">
                  <c:v>2.6302099999999999</c:v>
                </c:pt>
                <c:pt idx="44">
                  <c:v>2.6121499999999997</c:v>
                </c:pt>
                <c:pt idx="45">
                  <c:v>2.5957999999999997</c:v>
                </c:pt>
                <c:pt idx="46">
                  <c:v>2.5794600000000001</c:v>
                </c:pt>
                <c:pt idx="47">
                  <c:v>2.5628600000000001</c:v>
                </c:pt>
                <c:pt idx="48">
                  <c:v>2.5482700000000005</c:v>
                </c:pt>
                <c:pt idx="49">
                  <c:v>2.5345</c:v>
                </c:pt>
                <c:pt idx="50">
                  <c:v>2.5210400000000002</c:v>
                </c:pt>
                <c:pt idx="51">
                  <c:v>2.5088300000000001</c:v>
                </c:pt>
                <c:pt idx="52">
                  <c:v>2.4999599999999997</c:v>
                </c:pt>
                <c:pt idx="53">
                  <c:v>2.4946299999999999</c:v>
                </c:pt>
                <c:pt idx="54">
                  <c:v>2.4932300000000001</c:v>
                </c:pt>
                <c:pt idx="55">
                  <c:v>2.4890099999999999</c:v>
                </c:pt>
                <c:pt idx="56">
                  <c:v>2.49024</c:v>
                </c:pt>
                <c:pt idx="57">
                  <c:v>2.4940000000000002</c:v>
                </c:pt>
                <c:pt idx="58">
                  <c:v>2.4999199999999999</c:v>
                </c:pt>
                <c:pt idx="59">
                  <c:v>2.5135400000000003</c:v>
                </c:pt>
                <c:pt idx="60">
                  <c:v>2.5185200000000001</c:v>
                </c:pt>
                <c:pt idx="61">
                  <c:v>2.53559</c:v>
                </c:pt>
                <c:pt idx="62">
                  <c:v>2.5509500000000003</c:v>
                </c:pt>
                <c:pt idx="63">
                  <c:v>2.5609999999999999</c:v>
                </c:pt>
                <c:pt idx="64">
                  <c:v>2.5832899999999999</c:v>
                </c:pt>
                <c:pt idx="65">
                  <c:v>2.6196299999999999</c:v>
                </c:pt>
                <c:pt idx="66">
                  <c:v>2.6487300000000005</c:v>
                </c:pt>
                <c:pt idx="67">
                  <c:v>2.6807300000000001</c:v>
                </c:pt>
                <c:pt idx="68">
                  <c:v>2.71197</c:v>
                </c:pt>
                <c:pt idx="69">
                  <c:v>2.7437200000000002</c:v>
                </c:pt>
                <c:pt idx="70">
                  <c:v>2.7667000000000002</c:v>
                </c:pt>
                <c:pt idx="71">
                  <c:v>2.8029799999999998</c:v>
                </c:pt>
                <c:pt idx="72">
                  <c:v>2.8256700000000001</c:v>
                </c:pt>
                <c:pt idx="73">
                  <c:v>2.8585400000000001</c:v>
                </c:pt>
                <c:pt idx="74">
                  <c:v>2.8825499999999997</c:v>
                </c:pt>
                <c:pt idx="75">
                  <c:v>2.9068199999999997</c:v>
                </c:pt>
                <c:pt idx="76">
                  <c:v>2.9291200000000002</c:v>
                </c:pt>
                <c:pt idx="77">
                  <c:v>2.9475699999999998</c:v>
                </c:pt>
                <c:pt idx="78">
                  <c:v>2.9641899999999999</c:v>
                </c:pt>
                <c:pt idx="79">
                  <c:v>2.9756</c:v>
                </c:pt>
                <c:pt idx="80">
                  <c:v>2.9853499999999999</c:v>
                </c:pt>
                <c:pt idx="81">
                  <c:v>2.9922199999999997</c:v>
                </c:pt>
                <c:pt idx="82">
                  <c:v>2.9982700000000002</c:v>
                </c:pt>
                <c:pt idx="83">
                  <c:v>3.0020899999999999</c:v>
                </c:pt>
                <c:pt idx="84">
                  <c:v>3.0032300000000003</c:v>
                </c:pt>
                <c:pt idx="85">
                  <c:v>3.00197</c:v>
                </c:pt>
                <c:pt idx="86">
                  <c:v>2.9992999999999999</c:v>
                </c:pt>
                <c:pt idx="87">
                  <c:v>2.9904299999999999</c:v>
                </c:pt>
                <c:pt idx="88">
                  <c:v>2.9778900000000004</c:v>
                </c:pt>
                <c:pt idx="89">
                  <c:v>2.9574499999999997</c:v>
                </c:pt>
                <c:pt idx="90">
                  <c:v>2.9362500000000002</c:v>
                </c:pt>
                <c:pt idx="91">
                  <c:v>2.9152399999999998</c:v>
                </c:pt>
                <c:pt idx="92">
                  <c:v>2.8917599999999997</c:v>
                </c:pt>
                <c:pt idx="93">
                  <c:v>2.8678300000000001</c:v>
                </c:pt>
                <c:pt idx="94">
                  <c:v>2.8405300000000002</c:v>
                </c:pt>
                <c:pt idx="95">
                  <c:v>2.8123300000000002</c:v>
                </c:pt>
                <c:pt idx="96">
                  <c:v>2.78552</c:v>
                </c:pt>
                <c:pt idx="97">
                  <c:v>2.75901</c:v>
                </c:pt>
                <c:pt idx="98">
                  <c:v>2.7287299999999997</c:v>
                </c:pt>
                <c:pt idx="99">
                  <c:v>2.6978999999999997</c:v>
                </c:pt>
                <c:pt idx="100">
                  <c:v>2.6673599999999995</c:v>
                </c:pt>
                <c:pt idx="101">
                  <c:v>2.6404199999999998</c:v>
                </c:pt>
                <c:pt idx="102">
                  <c:v>2.6146200000000004</c:v>
                </c:pt>
                <c:pt idx="103">
                  <c:v>2.5892900000000001</c:v>
                </c:pt>
                <c:pt idx="104">
                  <c:v>2.56717</c:v>
                </c:pt>
                <c:pt idx="105">
                  <c:v>2.5446999999999997</c:v>
                </c:pt>
                <c:pt idx="106">
                  <c:v>2.5267299999999997</c:v>
                </c:pt>
                <c:pt idx="107">
                  <c:v>2.5123099999999998</c:v>
                </c:pt>
                <c:pt idx="108">
                  <c:v>2.4999400000000001</c:v>
                </c:pt>
                <c:pt idx="109">
                  <c:v>2.48793</c:v>
                </c:pt>
                <c:pt idx="110">
                  <c:v>2.4775200000000002</c:v>
                </c:pt>
                <c:pt idx="111">
                  <c:v>2.4694500000000001</c:v>
                </c:pt>
                <c:pt idx="112">
                  <c:v>2.4642599999999999</c:v>
                </c:pt>
                <c:pt idx="113">
                  <c:v>2.4577</c:v>
                </c:pt>
                <c:pt idx="114">
                  <c:v>2.4527299999999999</c:v>
                </c:pt>
                <c:pt idx="115">
                  <c:v>2.4494199999999999</c:v>
                </c:pt>
                <c:pt idx="116">
                  <c:v>2.4483199999999998</c:v>
                </c:pt>
                <c:pt idx="117">
                  <c:v>2.4485199999999998</c:v>
                </c:pt>
                <c:pt idx="118">
                  <c:v>2.4477899999999999</c:v>
                </c:pt>
                <c:pt idx="119">
                  <c:v>2.45242</c:v>
                </c:pt>
                <c:pt idx="120">
                  <c:v>2.4598100000000001</c:v>
                </c:pt>
                <c:pt idx="121">
                  <c:v>2.4693000000000001</c:v>
                </c:pt>
                <c:pt idx="122">
                  <c:v>2.4780199999999999</c:v>
                </c:pt>
                <c:pt idx="123">
                  <c:v>2.4860799999999998</c:v>
                </c:pt>
                <c:pt idx="124">
                  <c:v>2.4947699999999999</c:v>
                </c:pt>
                <c:pt idx="125">
                  <c:v>2.5025599999999999</c:v>
                </c:pt>
                <c:pt idx="126">
                  <c:v>2.5069399999999997</c:v>
                </c:pt>
                <c:pt idx="127">
                  <c:v>2.5121700000000002</c:v>
                </c:pt>
                <c:pt idx="128">
                  <c:v>2.5181500000000003</c:v>
                </c:pt>
                <c:pt idx="129">
                  <c:v>2.5254300000000001</c:v>
                </c:pt>
                <c:pt idx="130">
                  <c:v>2.53545</c:v>
                </c:pt>
                <c:pt idx="131">
                  <c:v>2.5417000000000001</c:v>
                </c:pt>
                <c:pt idx="132">
                  <c:v>2.5423299999999998</c:v>
                </c:pt>
                <c:pt idx="133">
                  <c:v>2.5419799999999997</c:v>
                </c:pt>
                <c:pt idx="134">
                  <c:v>2.54176</c:v>
                </c:pt>
                <c:pt idx="135">
                  <c:v>2.5399500000000002</c:v>
                </c:pt>
                <c:pt idx="136">
                  <c:v>2.5357800000000004</c:v>
                </c:pt>
                <c:pt idx="137">
                  <c:v>2.5331799999999998</c:v>
                </c:pt>
                <c:pt idx="138">
                  <c:v>2.53843</c:v>
                </c:pt>
                <c:pt idx="139">
                  <c:v>2.5502799999999999</c:v>
                </c:pt>
                <c:pt idx="140">
                  <c:v>2.5607099999999998</c:v>
                </c:pt>
                <c:pt idx="141">
                  <c:v>2.5654300000000001</c:v>
                </c:pt>
                <c:pt idx="142">
                  <c:v>2.5689000000000002</c:v>
                </c:pt>
                <c:pt idx="143">
                  <c:v>2.5821199999999997</c:v>
                </c:pt>
                <c:pt idx="144">
                  <c:v>2.5930900000000001</c:v>
                </c:pt>
                <c:pt idx="145">
                  <c:v>2.5991999999999997</c:v>
                </c:pt>
                <c:pt idx="146">
                  <c:v>2.5834899999999998</c:v>
                </c:pt>
                <c:pt idx="147">
                  <c:v>2.5286399999999998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0.40837800000000002</c:v>
                </c:pt>
                <c:pt idx="2">
                  <c:v>0.81258799999999998</c:v>
                </c:pt>
                <c:pt idx="3">
                  <c:v>1.2173799999999999</c:v>
                </c:pt>
                <c:pt idx="4">
                  <c:v>1.62707</c:v>
                </c:pt>
                <c:pt idx="5">
                  <c:v>2.02834</c:v>
                </c:pt>
                <c:pt idx="6">
                  <c:v>2.4379599999999999</c:v>
                </c:pt>
                <c:pt idx="7">
                  <c:v>2.8439800000000002</c:v>
                </c:pt>
                <c:pt idx="8">
                  <c:v>3.2520600000000002</c:v>
                </c:pt>
                <c:pt idx="9">
                  <c:v>3.6582599999999998</c:v>
                </c:pt>
                <c:pt idx="10">
                  <c:v>4.06358</c:v>
                </c:pt>
                <c:pt idx="11">
                  <c:v>4.4658699999999998</c:v>
                </c:pt>
                <c:pt idx="12">
                  <c:v>4.8743499999999997</c:v>
                </c:pt>
                <c:pt idx="13">
                  <c:v>5.2773199999999996</c:v>
                </c:pt>
                <c:pt idx="14">
                  <c:v>5.68804</c:v>
                </c:pt>
                <c:pt idx="15">
                  <c:v>6.0945499999999999</c:v>
                </c:pt>
                <c:pt idx="16">
                  <c:v>6.49831</c:v>
                </c:pt>
                <c:pt idx="17">
                  <c:v>6.9035000000000002</c:v>
                </c:pt>
                <c:pt idx="18">
                  <c:v>7.31297</c:v>
                </c:pt>
                <c:pt idx="19">
                  <c:v>7.7200300000000004</c:v>
                </c:pt>
                <c:pt idx="20">
                  <c:v>8.1242000000000001</c:v>
                </c:pt>
                <c:pt idx="21">
                  <c:v>8.5300600000000006</c:v>
                </c:pt>
                <c:pt idx="22">
                  <c:v>8.9361099999999993</c:v>
                </c:pt>
                <c:pt idx="23">
                  <c:v>9.3447899999999997</c:v>
                </c:pt>
                <c:pt idx="24">
                  <c:v>9.7494899999999998</c:v>
                </c:pt>
                <c:pt idx="25">
                  <c:v>10.158200000000001</c:v>
                </c:pt>
                <c:pt idx="26">
                  <c:v>10.5623</c:v>
                </c:pt>
                <c:pt idx="27">
                  <c:v>10.9694</c:v>
                </c:pt>
                <c:pt idx="28">
                  <c:v>11.3748</c:v>
                </c:pt>
                <c:pt idx="29">
                  <c:v>11.7836</c:v>
                </c:pt>
                <c:pt idx="30">
                  <c:v>12.1899</c:v>
                </c:pt>
                <c:pt idx="31">
                  <c:v>12.5921</c:v>
                </c:pt>
                <c:pt idx="32">
                  <c:v>12.998200000000001</c:v>
                </c:pt>
                <c:pt idx="33">
                  <c:v>13.404999999999999</c:v>
                </c:pt>
                <c:pt idx="34">
                  <c:v>13.8141</c:v>
                </c:pt>
                <c:pt idx="35">
                  <c:v>14.2197</c:v>
                </c:pt>
                <c:pt idx="36">
                  <c:v>14.627000000000001</c:v>
                </c:pt>
                <c:pt idx="37">
                  <c:v>15.0351</c:v>
                </c:pt>
                <c:pt idx="38">
                  <c:v>15.4404</c:v>
                </c:pt>
                <c:pt idx="39">
                  <c:v>15.8466</c:v>
                </c:pt>
                <c:pt idx="40">
                  <c:v>16.253</c:v>
                </c:pt>
                <c:pt idx="41">
                  <c:v>16.657800000000002</c:v>
                </c:pt>
                <c:pt idx="42">
                  <c:v>17.061800000000002</c:v>
                </c:pt>
                <c:pt idx="43">
                  <c:v>17.466799999999999</c:v>
                </c:pt>
                <c:pt idx="44">
                  <c:v>17.876100000000001</c:v>
                </c:pt>
                <c:pt idx="45">
                  <c:v>18.281600000000001</c:v>
                </c:pt>
                <c:pt idx="46">
                  <c:v>18.6875</c:v>
                </c:pt>
                <c:pt idx="47">
                  <c:v>19.093699999999998</c:v>
                </c:pt>
                <c:pt idx="48">
                  <c:v>19.501999999999999</c:v>
                </c:pt>
                <c:pt idx="49">
                  <c:v>19.9068</c:v>
                </c:pt>
                <c:pt idx="50">
                  <c:v>20.313500000000001</c:v>
                </c:pt>
                <c:pt idx="51">
                  <c:v>20.719200000000001</c:v>
                </c:pt>
                <c:pt idx="52">
                  <c:v>21.123999999999999</c:v>
                </c:pt>
                <c:pt idx="53">
                  <c:v>21.531400000000001</c:v>
                </c:pt>
                <c:pt idx="54">
                  <c:v>21.940300000000001</c:v>
                </c:pt>
                <c:pt idx="55">
                  <c:v>22.342300000000002</c:v>
                </c:pt>
                <c:pt idx="56">
                  <c:v>22.750399999999999</c:v>
                </c:pt>
                <c:pt idx="57">
                  <c:v>23.153199999999998</c:v>
                </c:pt>
                <c:pt idx="58">
                  <c:v>23.561499999999999</c:v>
                </c:pt>
                <c:pt idx="59">
                  <c:v>23.9696</c:v>
                </c:pt>
                <c:pt idx="60">
                  <c:v>24.375900000000001</c:v>
                </c:pt>
                <c:pt idx="61">
                  <c:v>24.7836</c:v>
                </c:pt>
                <c:pt idx="62">
                  <c:v>25.187799999999999</c:v>
                </c:pt>
                <c:pt idx="63">
                  <c:v>25.592099999999999</c:v>
                </c:pt>
                <c:pt idx="64">
                  <c:v>25.9986</c:v>
                </c:pt>
                <c:pt idx="65">
                  <c:v>26.407900000000001</c:v>
                </c:pt>
                <c:pt idx="66">
                  <c:v>26.814499999999999</c:v>
                </c:pt>
                <c:pt idx="67">
                  <c:v>27.218599999999999</c:v>
                </c:pt>
                <c:pt idx="68">
                  <c:v>27.6249</c:v>
                </c:pt>
                <c:pt idx="69">
                  <c:v>28.0318</c:v>
                </c:pt>
                <c:pt idx="70">
                  <c:v>28.4358</c:v>
                </c:pt>
                <c:pt idx="71">
                  <c:v>28.845300000000002</c:v>
                </c:pt>
                <c:pt idx="72">
                  <c:v>29.250299999999999</c:v>
                </c:pt>
                <c:pt idx="73">
                  <c:v>29.6585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1.6071499999999999</c:v>
                </c:pt>
                <c:pt idx="1">
                  <c:v>1.64775</c:v>
                </c:pt>
                <c:pt idx="2">
                  <c:v>1.68801</c:v>
                </c:pt>
                <c:pt idx="3">
                  <c:v>1.72766</c:v>
                </c:pt>
                <c:pt idx="4">
                  <c:v>1.7677100000000001</c:v>
                </c:pt>
                <c:pt idx="5">
                  <c:v>1.80965</c:v>
                </c:pt>
                <c:pt idx="6">
                  <c:v>1.8545199999999999</c:v>
                </c:pt>
                <c:pt idx="7">
                  <c:v>1.89856</c:v>
                </c:pt>
                <c:pt idx="8">
                  <c:v>1.94123</c:v>
                </c:pt>
                <c:pt idx="9">
                  <c:v>1.9839100000000001</c:v>
                </c:pt>
                <c:pt idx="10">
                  <c:v>2.0267499999999998</c:v>
                </c:pt>
                <c:pt idx="11">
                  <c:v>2.0707900000000001</c:v>
                </c:pt>
                <c:pt idx="12">
                  <c:v>2.1160399999999999</c:v>
                </c:pt>
                <c:pt idx="13">
                  <c:v>2.1603300000000001</c:v>
                </c:pt>
                <c:pt idx="14">
                  <c:v>2.2047300000000001</c:v>
                </c:pt>
                <c:pt idx="15">
                  <c:v>2.24681</c:v>
                </c:pt>
                <c:pt idx="16">
                  <c:v>2.2880700000000003</c:v>
                </c:pt>
                <c:pt idx="17">
                  <c:v>2.32524</c:v>
                </c:pt>
                <c:pt idx="18">
                  <c:v>2.3630499999999999</c:v>
                </c:pt>
                <c:pt idx="19">
                  <c:v>2.3992100000000001</c:v>
                </c:pt>
                <c:pt idx="20">
                  <c:v>2.4311099999999999</c:v>
                </c:pt>
                <c:pt idx="21">
                  <c:v>2.4617900000000001</c:v>
                </c:pt>
                <c:pt idx="22">
                  <c:v>2.49064</c:v>
                </c:pt>
                <c:pt idx="23">
                  <c:v>2.51823</c:v>
                </c:pt>
                <c:pt idx="24">
                  <c:v>2.5471899999999996</c:v>
                </c:pt>
                <c:pt idx="25">
                  <c:v>2.5756899999999998</c:v>
                </c:pt>
                <c:pt idx="26">
                  <c:v>2.6025</c:v>
                </c:pt>
                <c:pt idx="27">
                  <c:v>2.6276600000000001</c:v>
                </c:pt>
                <c:pt idx="28">
                  <c:v>2.6485300000000001</c:v>
                </c:pt>
                <c:pt idx="29">
                  <c:v>2.6648100000000001</c:v>
                </c:pt>
                <c:pt idx="30">
                  <c:v>2.6782400000000002</c:v>
                </c:pt>
                <c:pt idx="31">
                  <c:v>2.6876600000000002</c:v>
                </c:pt>
                <c:pt idx="32">
                  <c:v>2.6943800000000002</c:v>
                </c:pt>
                <c:pt idx="33">
                  <c:v>2.6995400000000003</c:v>
                </c:pt>
                <c:pt idx="34">
                  <c:v>2.70329</c:v>
                </c:pt>
                <c:pt idx="35">
                  <c:v>2.7051699999999999</c:v>
                </c:pt>
                <c:pt idx="36">
                  <c:v>2.7055699999999998</c:v>
                </c:pt>
                <c:pt idx="37">
                  <c:v>2.70221</c:v>
                </c:pt>
                <c:pt idx="38">
                  <c:v>2.6966700000000001</c:v>
                </c:pt>
                <c:pt idx="39">
                  <c:v>2.6880600000000001</c:v>
                </c:pt>
                <c:pt idx="40">
                  <c:v>2.67598</c:v>
                </c:pt>
                <c:pt idx="41">
                  <c:v>2.6610699999999996</c:v>
                </c:pt>
                <c:pt idx="42">
                  <c:v>2.6464100000000004</c:v>
                </c:pt>
                <c:pt idx="43">
                  <c:v>2.6302099999999999</c:v>
                </c:pt>
                <c:pt idx="44">
                  <c:v>2.6121499999999997</c:v>
                </c:pt>
                <c:pt idx="45">
                  <c:v>2.5957999999999997</c:v>
                </c:pt>
                <c:pt idx="46">
                  <c:v>2.5794600000000001</c:v>
                </c:pt>
                <c:pt idx="47">
                  <c:v>2.5628600000000001</c:v>
                </c:pt>
                <c:pt idx="48">
                  <c:v>2.5482700000000005</c:v>
                </c:pt>
                <c:pt idx="49">
                  <c:v>2.5345</c:v>
                </c:pt>
                <c:pt idx="50">
                  <c:v>2.5210400000000002</c:v>
                </c:pt>
                <c:pt idx="51">
                  <c:v>2.5088300000000001</c:v>
                </c:pt>
                <c:pt idx="52">
                  <c:v>2.4999599999999997</c:v>
                </c:pt>
                <c:pt idx="53">
                  <c:v>2.4946299999999999</c:v>
                </c:pt>
                <c:pt idx="54">
                  <c:v>2.4932300000000001</c:v>
                </c:pt>
                <c:pt idx="55">
                  <c:v>2.4890099999999999</c:v>
                </c:pt>
                <c:pt idx="56">
                  <c:v>2.49024</c:v>
                </c:pt>
                <c:pt idx="57">
                  <c:v>2.4940000000000002</c:v>
                </c:pt>
                <c:pt idx="58">
                  <c:v>2.4999199999999999</c:v>
                </c:pt>
                <c:pt idx="59">
                  <c:v>2.5135400000000003</c:v>
                </c:pt>
                <c:pt idx="60">
                  <c:v>2.5185200000000001</c:v>
                </c:pt>
                <c:pt idx="61">
                  <c:v>2.53559</c:v>
                </c:pt>
                <c:pt idx="62">
                  <c:v>2.5509500000000003</c:v>
                </c:pt>
                <c:pt idx="63">
                  <c:v>2.5609999999999999</c:v>
                </c:pt>
                <c:pt idx="64">
                  <c:v>2.5832899999999999</c:v>
                </c:pt>
                <c:pt idx="65">
                  <c:v>2.6196299999999999</c:v>
                </c:pt>
                <c:pt idx="66">
                  <c:v>2.6487300000000005</c:v>
                </c:pt>
                <c:pt idx="67">
                  <c:v>2.6807300000000001</c:v>
                </c:pt>
                <c:pt idx="68">
                  <c:v>2.71197</c:v>
                </c:pt>
                <c:pt idx="69">
                  <c:v>2.7437200000000002</c:v>
                </c:pt>
                <c:pt idx="70">
                  <c:v>2.7667000000000002</c:v>
                </c:pt>
                <c:pt idx="71">
                  <c:v>2.8029799999999998</c:v>
                </c:pt>
                <c:pt idx="72">
                  <c:v>2.8256700000000001</c:v>
                </c:pt>
                <c:pt idx="73">
                  <c:v>2.8585400000000001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29.6585</c:v>
                </c:pt>
                <c:pt idx="1">
                  <c:v>30.063700000000001</c:v>
                </c:pt>
                <c:pt idx="2">
                  <c:v>30.530100000000001</c:v>
                </c:pt>
                <c:pt idx="3">
                  <c:v>30.922000000000001</c:v>
                </c:pt>
                <c:pt idx="4">
                  <c:v>31.3292</c:v>
                </c:pt>
                <c:pt idx="5">
                  <c:v>31.733699999999999</c:v>
                </c:pt>
                <c:pt idx="6">
                  <c:v>32.138599999999997</c:v>
                </c:pt>
                <c:pt idx="7">
                  <c:v>32.5471</c:v>
                </c:pt>
                <c:pt idx="8">
                  <c:v>32.9544</c:v>
                </c:pt>
                <c:pt idx="9">
                  <c:v>33.3596</c:v>
                </c:pt>
                <c:pt idx="10">
                  <c:v>33.763199999999998</c:v>
                </c:pt>
                <c:pt idx="11">
                  <c:v>34.170900000000003</c:v>
                </c:pt>
                <c:pt idx="12">
                  <c:v>34.581299999999999</c:v>
                </c:pt>
                <c:pt idx="13">
                  <c:v>34.985900000000001</c:v>
                </c:pt>
                <c:pt idx="14">
                  <c:v>35.390700000000002</c:v>
                </c:pt>
                <c:pt idx="15">
                  <c:v>35.795200000000001</c:v>
                </c:pt>
                <c:pt idx="16">
                  <c:v>36.201599999999999</c:v>
                </c:pt>
                <c:pt idx="17">
                  <c:v>36.608499999999999</c:v>
                </c:pt>
                <c:pt idx="18">
                  <c:v>37.015900000000002</c:v>
                </c:pt>
                <c:pt idx="19">
                  <c:v>37.4221</c:v>
                </c:pt>
                <c:pt idx="20">
                  <c:v>37.8279</c:v>
                </c:pt>
                <c:pt idx="21">
                  <c:v>38.2333</c:v>
                </c:pt>
                <c:pt idx="22">
                  <c:v>38.640700000000002</c:v>
                </c:pt>
                <c:pt idx="23">
                  <c:v>39.049500000000002</c:v>
                </c:pt>
                <c:pt idx="24">
                  <c:v>39.453299999999999</c:v>
                </c:pt>
                <c:pt idx="25">
                  <c:v>39.8581</c:v>
                </c:pt>
                <c:pt idx="26">
                  <c:v>40.264400000000002</c:v>
                </c:pt>
                <c:pt idx="27">
                  <c:v>40.67</c:v>
                </c:pt>
                <c:pt idx="28">
                  <c:v>41.080300000000001</c:v>
                </c:pt>
                <c:pt idx="29">
                  <c:v>41.484400000000001</c:v>
                </c:pt>
                <c:pt idx="30">
                  <c:v>41.890599999999999</c:v>
                </c:pt>
                <c:pt idx="31">
                  <c:v>42.296700000000001</c:v>
                </c:pt>
                <c:pt idx="32">
                  <c:v>42.702800000000003</c:v>
                </c:pt>
                <c:pt idx="33">
                  <c:v>43.107900000000001</c:v>
                </c:pt>
                <c:pt idx="34">
                  <c:v>43.515700000000002</c:v>
                </c:pt>
                <c:pt idx="35">
                  <c:v>43.919800000000002</c:v>
                </c:pt>
                <c:pt idx="36">
                  <c:v>44.327199999999998</c:v>
                </c:pt>
                <c:pt idx="37">
                  <c:v>44.733499999999999</c:v>
                </c:pt>
                <c:pt idx="38">
                  <c:v>45.143500000000003</c:v>
                </c:pt>
                <c:pt idx="39">
                  <c:v>45.549700000000001</c:v>
                </c:pt>
                <c:pt idx="40">
                  <c:v>45.954000000000001</c:v>
                </c:pt>
                <c:pt idx="41">
                  <c:v>46.3583</c:v>
                </c:pt>
                <c:pt idx="42">
                  <c:v>46.765999999999998</c:v>
                </c:pt>
                <c:pt idx="43">
                  <c:v>47.174799999999998</c:v>
                </c:pt>
                <c:pt idx="44">
                  <c:v>47.581899999999997</c:v>
                </c:pt>
                <c:pt idx="45">
                  <c:v>47.984999999999999</c:v>
                </c:pt>
                <c:pt idx="46">
                  <c:v>48.387</c:v>
                </c:pt>
                <c:pt idx="47">
                  <c:v>48.796199999999999</c:v>
                </c:pt>
                <c:pt idx="48">
                  <c:v>49.2042</c:v>
                </c:pt>
                <c:pt idx="49">
                  <c:v>49.610900000000001</c:v>
                </c:pt>
                <c:pt idx="50">
                  <c:v>50.015300000000003</c:v>
                </c:pt>
                <c:pt idx="51">
                  <c:v>50.421399999999998</c:v>
                </c:pt>
                <c:pt idx="52">
                  <c:v>50.828099999999999</c:v>
                </c:pt>
                <c:pt idx="53">
                  <c:v>51.233400000000003</c:v>
                </c:pt>
                <c:pt idx="54">
                  <c:v>51.639099999999999</c:v>
                </c:pt>
                <c:pt idx="55">
                  <c:v>52.048699999999997</c:v>
                </c:pt>
                <c:pt idx="56">
                  <c:v>52.453600000000002</c:v>
                </c:pt>
                <c:pt idx="57">
                  <c:v>52.860700000000001</c:v>
                </c:pt>
                <c:pt idx="58">
                  <c:v>53.266800000000003</c:v>
                </c:pt>
                <c:pt idx="59">
                  <c:v>53.673299999999998</c:v>
                </c:pt>
                <c:pt idx="60">
                  <c:v>54.083500000000001</c:v>
                </c:pt>
                <c:pt idx="61">
                  <c:v>54.485199999999999</c:v>
                </c:pt>
                <c:pt idx="62">
                  <c:v>54.894799999999996</c:v>
                </c:pt>
                <c:pt idx="63">
                  <c:v>55.2971</c:v>
                </c:pt>
                <c:pt idx="64">
                  <c:v>55.7029</c:v>
                </c:pt>
                <c:pt idx="65">
                  <c:v>56.108800000000002</c:v>
                </c:pt>
                <c:pt idx="66">
                  <c:v>56.516300000000001</c:v>
                </c:pt>
                <c:pt idx="67">
                  <c:v>56.927</c:v>
                </c:pt>
                <c:pt idx="68">
                  <c:v>57.331699999999998</c:v>
                </c:pt>
                <c:pt idx="69">
                  <c:v>57.735100000000003</c:v>
                </c:pt>
                <c:pt idx="70">
                  <c:v>58.142200000000003</c:v>
                </c:pt>
                <c:pt idx="71">
                  <c:v>58.547400000000003</c:v>
                </c:pt>
                <c:pt idx="72">
                  <c:v>58.955300000000001</c:v>
                </c:pt>
                <c:pt idx="73">
                  <c:v>59.361199999999997</c:v>
                </c:pt>
                <c:pt idx="74">
                  <c:v>59.763599999999997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2.8585400000000001</c:v>
                </c:pt>
                <c:pt idx="1">
                  <c:v>2.8825499999999997</c:v>
                </c:pt>
                <c:pt idx="2">
                  <c:v>2.9068199999999997</c:v>
                </c:pt>
                <c:pt idx="3">
                  <c:v>2.9291200000000002</c:v>
                </c:pt>
                <c:pt idx="4">
                  <c:v>2.9475699999999998</c:v>
                </c:pt>
                <c:pt idx="5">
                  <c:v>2.9641899999999999</c:v>
                </c:pt>
                <c:pt idx="6">
                  <c:v>2.9756</c:v>
                </c:pt>
                <c:pt idx="7">
                  <c:v>2.9853499999999999</c:v>
                </c:pt>
                <c:pt idx="8">
                  <c:v>2.9922199999999997</c:v>
                </c:pt>
                <c:pt idx="9">
                  <c:v>2.9982700000000002</c:v>
                </c:pt>
                <c:pt idx="10">
                  <c:v>3.0020899999999999</c:v>
                </c:pt>
                <c:pt idx="11">
                  <c:v>3.0032300000000003</c:v>
                </c:pt>
                <c:pt idx="12">
                  <c:v>3.00197</c:v>
                </c:pt>
                <c:pt idx="13">
                  <c:v>2.9992999999999999</c:v>
                </c:pt>
                <c:pt idx="14">
                  <c:v>2.9904299999999999</c:v>
                </c:pt>
                <c:pt idx="15">
                  <c:v>2.9778900000000004</c:v>
                </c:pt>
                <c:pt idx="16">
                  <c:v>2.9574499999999997</c:v>
                </c:pt>
                <c:pt idx="17">
                  <c:v>2.9362500000000002</c:v>
                </c:pt>
                <c:pt idx="18">
                  <c:v>2.9152399999999998</c:v>
                </c:pt>
                <c:pt idx="19">
                  <c:v>2.8917599999999997</c:v>
                </c:pt>
                <c:pt idx="20">
                  <c:v>2.8678300000000001</c:v>
                </c:pt>
                <c:pt idx="21">
                  <c:v>2.8405300000000002</c:v>
                </c:pt>
                <c:pt idx="22">
                  <c:v>2.8123300000000002</c:v>
                </c:pt>
                <c:pt idx="23">
                  <c:v>2.78552</c:v>
                </c:pt>
                <c:pt idx="24">
                  <c:v>2.75901</c:v>
                </c:pt>
                <c:pt idx="25">
                  <c:v>2.7287299999999997</c:v>
                </c:pt>
                <c:pt idx="26">
                  <c:v>2.6978999999999997</c:v>
                </c:pt>
                <c:pt idx="27">
                  <c:v>2.6673599999999995</c:v>
                </c:pt>
                <c:pt idx="28">
                  <c:v>2.6404199999999998</c:v>
                </c:pt>
                <c:pt idx="29">
                  <c:v>2.6146200000000004</c:v>
                </c:pt>
                <c:pt idx="30">
                  <c:v>2.5892900000000001</c:v>
                </c:pt>
                <c:pt idx="31">
                  <c:v>2.56717</c:v>
                </c:pt>
                <c:pt idx="32">
                  <c:v>2.5446999999999997</c:v>
                </c:pt>
                <c:pt idx="33">
                  <c:v>2.5267299999999997</c:v>
                </c:pt>
                <c:pt idx="34">
                  <c:v>2.5123099999999998</c:v>
                </c:pt>
                <c:pt idx="35">
                  <c:v>2.4999400000000001</c:v>
                </c:pt>
                <c:pt idx="36">
                  <c:v>2.48793</c:v>
                </c:pt>
                <c:pt idx="37">
                  <c:v>2.4775200000000002</c:v>
                </c:pt>
                <c:pt idx="38">
                  <c:v>2.4694500000000001</c:v>
                </c:pt>
                <c:pt idx="39">
                  <c:v>2.4642599999999999</c:v>
                </c:pt>
                <c:pt idx="40">
                  <c:v>2.4577</c:v>
                </c:pt>
                <c:pt idx="41">
                  <c:v>2.4527299999999999</c:v>
                </c:pt>
                <c:pt idx="42">
                  <c:v>2.4494199999999999</c:v>
                </c:pt>
                <c:pt idx="43">
                  <c:v>2.4483199999999998</c:v>
                </c:pt>
                <c:pt idx="44">
                  <c:v>2.4485199999999998</c:v>
                </c:pt>
                <c:pt idx="45">
                  <c:v>2.4477899999999999</c:v>
                </c:pt>
                <c:pt idx="46">
                  <c:v>2.45242</c:v>
                </c:pt>
                <c:pt idx="47">
                  <c:v>2.4598100000000001</c:v>
                </c:pt>
                <c:pt idx="48">
                  <c:v>2.4693000000000001</c:v>
                </c:pt>
                <c:pt idx="49">
                  <c:v>2.4780199999999999</c:v>
                </c:pt>
                <c:pt idx="50">
                  <c:v>2.4860799999999998</c:v>
                </c:pt>
                <c:pt idx="51">
                  <c:v>2.4947699999999999</c:v>
                </c:pt>
                <c:pt idx="52">
                  <c:v>2.5025599999999999</c:v>
                </c:pt>
                <c:pt idx="53">
                  <c:v>2.5069399999999997</c:v>
                </c:pt>
                <c:pt idx="54">
                  <c:v>2.5121700000000002</c:v>
                </c:pt>
                <c:pt idx="55">
                  <c:v>2.5181500000000003</c:v>
                </c:pt>
                <c:pt idx="56">
                  <c:v>2.5254300000000001</c:v>
                </c:pt>
                <c:pt idx="57">
                  <c:v>2.53545</c:v>
                </c:pt>
                <c:pt idx="58">
                  <c:v>2.5417000000000001</c:v>
                </c:pt>
                <c:pt idx="59">
                  <c:v>2.5423299999999998</c:v>
                </c:pt>
                <c:pt idx="60">
                  <c:v>2.5419799999999997</c:v>
                </c:pt>
                <c:pt idx="61">
                  <c:v>2.54176</c:v>
                </c:pt>
                <c:pt idx="62">
                  <c:v>2.5399500000000002</c:v>
                </c:pt>
                <c:pt idx="63">
                  <c:v>2.5357800000000004</c:v>
                </c:pt>
                <c:pt idx="64">
                  <c:v>2.5331799999999998</c:v>
                </c:pt>
                <c:pt idx="65">
                  <c:v>2.53843</c:v>
                </c:pt>
                <c:pt idx="66">
                  <c:v>2.5502799999999999</c:v>
                </c:pt>
                <c:pt idx="67">
                  <c:v>2.5607099999999998</c:v>
                </c:pt>
                <c:pt idx="68">
                  <c:v>2.5654300000000001</c:v>
                </c:pt>
                <c:pt idx="69">
                  <c:v>2.5689000000000002</c:v>
                </c:pt>
                <c:pt idx="70">
                  <c:v>2.5821199999999997</c:v>
                </c:pt>
                <c:pt idx="71">
                  <c:v>2.5930900000000001</c:v>
                </c:pt>
                <c:pt idx="72">
                  <c:v>2.5991999999999997</c:v>
                </c:pt>
                <c:pt idx="73">
                  <c:v>2.5834899999999998</c:v>
                </c:pt>
                <c:pt idx="74">
                  <c:v>2.5286399999999998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14.940899999999999</c:v>
                </c:pt>
                <c:pt idx="1">
                  <c:v>44.822699999999998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2.4475032432432431</c:v>
                </c:pt>
                <c:pt idx="1">
                  <c:v>2.6608567567567567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0.40837800000000002</c:v>
                </c:pt>
                <c:pt idx="2">
                  <c:v>0.81258799999999998</c:v>
                </c:pt>
                <c:pt idx="3">
                  <c:v>1.2173799999999999</c:v>
                </c:pt>
                <c:pt idx="4">
                  <c:v>1.62707</c:v>
                </c:pt>
                <c:pt idx="5">
                  <c:v>2.02834</c:v>
                </c:pt>
                <c:pt idx="6">
                  <c:v>2.4379599999999999</c:v>
                </c:pt>
                <c:pt idx="7">
                  <c:v>2.8439800000000002</c:v>
                </c:pt>
                <c:pt idx="8">
                  <c:v>3.2520600000000002</c:v>
                </c:pt>
                <c:pt idx="9">
                  <c:v>3.6582599999999998</c:v>
                </c:pt>
                <c:pt idx="10">
                  <c:v>4.06358</c:v>
                </c:pt>
                <c:pt idx="11">
                  <c:v>4.4658699999999998</c:v>
                </c:pt>
                <c:pt idx="12">
                  <c:v>4.8743499999999997</c:v>
                </c:pt>
                <c:pt idx="13">
                  <c:v>5.2773199999999996</c:v>
                </c:pt>
                <c:pt idx="14">
                  <c:v>5.68804</c:v>
                </c:pt>
                <c:pt idx="15">
                  <c:v>6.0945499999999999</c:v>
                </c:pt>
                <c:pt idx="16">
                  <c:v>6.49831</c:v>
                </c:pt>
                <c:pt idx="17">
                  <c:v>6.9035000000000002</c:v>
                </c:pt>
                <c:pt idx="18">
                  <c:v>7.31297</c:v>
                </c:pt>
                <c:pt idx="19">
                  <c:v>7.7200300000000004</c:v>
                </c:pt>
                <c:pt idx="20">
                  <c:v>8.1242000000000001</c:v>
                </c:pt>
                <c:pt idx="21">
                  <c:v>8.5300600000000006</c:v>
                </c:pt>
                <c:pt idx="22">
                  <c:v>8.9361099999999993</c:v>
                </c:pt>
                <c:pt idx="23">
                  <c:v>9.3447899999999997</c:v>
                </c:pt>
                <c:pt idx="24">
                  <c:v>9.7494899999999998</c:v>
                </c:pt>
                <c:pt idx="25">
                  <c:v>10.158200000000001</c:v>
                </c:pt>
                <c:pt idx="26">
                  <c:v>10.5623</c:v>
                </c:pt>
                <c:pt idx="27">
                  <c:v>10.9694</c:v>
                </c:pt>
                <c:pt idx="28">
                  <c:v>11.3748</c:v>
                </c:pt>
                <c:pt idx="29">
                  <c:v>11.7836</c:v>
                </c:pt>
                <c:pt idx="30">
                  <c:v>12.1899</c:v>
                </c:pt>
                <c:pt idx="31">
                  <c:v>12.5921</c:v>
                </c:pt>
                <c:pt idx="32">
                  <c:v>12.998200000000001</c:v>
                </c:pt>
                <c:pt idx="33">
                  <c:v>13.404999999999999</c:v>
                </c:pt>
                <c:pt idx="34">
                  <c:v>13.8141</c:v>
                </c:pt>
                <c:pt idx="35">
                  <c:v>14.2197</c:v>
                </c:pt>
                <c:pt idx="36">
                  <c:v>14.627000000000001</c:v>
                </c:pt>
                <c:pt idx="37">
                  <c:v>15.0351</c:v>
                </c:pt>
                <c:pt idx="38">
                  <c:v>15.4404</c:v>
                </c:pt>
                <c:pt idx="39">
                  <c:v>15.8466</c:v>
                </c:pt>
                <c:pt idx="40">
                  <c:v>16.253</c:v>
                </c:pt>
                <c:pt idx="41">
                  <c:v>16.657800000000002</c:v>
                </c:pt>
                <c:pt idx="42">
                  <c:v>17.061800000000002</c:v>
                </c:pt>
                <c:pt idx="43">
                  <c:v>17.466799999999999</c:v>
                </c:pt>
                <c:pt idx="44">
                  <c:v>17.876100000000001</c:v>
                </c:pt>
                <c:pt idx="45">
                  <c:v>18.281600000000001</c:v>
                </c:pt>
                <c:pt idx="46">
                  <c:v>18.6875</c:v>
                </c:pt>
                <c:pt idx="47">
                  <c:v>19.093699999999998</c:v>
                </c:pt>
                <c:pt idx="48">
                  <c:v>19.501999999999999</c:v>
                </c:pt>
                <c:pt idx="49">
                  <c:v>19.9068</c:v>
                </c:pt>
                <c:pt idx="50">
                  <c:v>20.313500000000001</c:v>
                </c:pt>
                <c:pt idx="51">
                  <c:v>20.719200000000001</c:v>
                </c:pt>
                <c:pt idx="52">
                  <c:v>21.123999999999999</c:v>
                </c:pt>
                <c:pt idx="53">
                  <c:v>21.531400000000001</c:v>
                </c:pt>
                <c:pt idx="54">
                  <c:v>21.940300000000001</c:v>
                </c:pt>
                <c:pt idx="55">
                  <c:v>22.342300000000002</c:v>
                </c:pt>
                <c:pt idx="56">
                  <c:v>22.750399999999999</c:v>
                </c:pt>
                <c:pt idx="57">
                  <c:v>23.153199999999998</c:v>
                </c:pt>
                <c:pt idx="58">
                  <c:v>23.561499999999999</c:v>
                </c:pt>
                <c:pt idx="59">
                  <c:v>23.9696</c:v>
                </c:pt>
                <c:pt idx="60">
                  <c:v>24.375900000000001</c:v>
                </c:pt>
                <c:pt idx="61">
                  <c:v>24.7836</c:v>
                </c:pt>
                <c:pt idx="62">
                  <c:v>25.187799999999999</c:v>
                </c:pt>
                <c:pt idx="63">
                  <c:v>25.592099999999999</c:v>
                </c:pt>
                <c:pt idx="64">
                  <c:v>25.9986</c:v>
                </c:pt>
                <c:pt idx="65">
                  <c:v>26.407900000000001</c:v>
                </c:pt>
                <c:pt idx="66">
                  <c:v>26.814499999999999</c:v>
                </c:pt>
                <c:pt idx="67">
                  <c:v>27.218599999999999</c:v>
                </c:pt>
                <c:pt idx="68">
                  <c:v>27.6249</c:v>
                </c:pt>
                <c:pt idx="69">
                  <c:v>28.0318</c:v>
                </c:pt>
                <c:pt idx="70">
                  <c:v>28.4358</c:v>
                </c:pt>
                <c:pt idx="71">
                  <c:v>28.845300000000002</c:v>
                </c:pt>
                <c:pt idx="72">
                  <c:v>29.250299999999999</c:v>
                </c:pt>
                <c:pt idx="73">
                  <c:v>29.6585</c:v>
                </c:pt>
                <c:pt idx="74">
                  <c:v>30.063700000000001</c:v>
                </c:pt>
                <c:pt idx="75">
                  <c:v>30.530100000000001</c:v>
                </c:pt>
                <c:pt idx="76">
                  <c:v>30.922000000000001</c:v>
                </c:pt>
                <c:pt idx="77">
                  <c:v>31.3292</c:v>
                </c:pt>
                <c:pt idx="78">
                  <c:v>31.733699999999999</c:v>
                </c:pt>
                <c:pt idx="79">
                  <c:v>32.138599999999997</c:v>
                </c:pt>
                <c:pt idx="80">
                  <c:v>32.5471</c:v>
                </c:pt>
                <c:pt idx="81">
                  <c:v>32.9544</c:v>
                </c:pt>
                <c:pt idx="82">
                  <c:v>33.3596</c:v>
                </c:pt>
                <c:pt idx="83">
                  <c:v>33.763199999999998</c:v>
                </c:pt>
                <c:pt idx="84">
                  <c:v>34.170900000000003</c:v>
                </c:pt>
                <c:pt idx="85">
                  <c:v>34.581299999999999</c:v>
                </c:pt>
                <c:pt idx="86">
                  <c:v>34.985900000000001</c:v>
                </c:pt>
                <c:pt idx="87">
                  <c:v>35.390700000000002</c:v>
                </c:pt>
                <c:pt idx="88">
                  <c:v>35.795200000000001</c:v>
                </c:pt>
                <c:pt idx="89">
                  <c:v>36.201599999999999</c:v>
                </c:pt>
                <c:pt idx="90">
                  <c:v>36.608499999999999</c:v>
                </c:pt>
                <c:pt idx="91">
                  <c:v>37.015900000000002</c:v>
                </c:pt>
                <c:pt idx="92">
                  <c:v>37.4221</c:v>
                </c:pt>
                <c:pt idx="93">
                  <c:v>37.8279</c:v>
                </c:pt>
                <c:pt idx="94">
                  <c:v>38.2333</c:v>
                </c:pt>
                <c:pt idx="95">
                  <c:v>38.640700000000002</c:v>
                </c:pt>
                <c:pt idx="96">
                  <c:v>39.049500000000002</c:v>
                </c:pt>
                <c:pt idx="97">
                  <c:v>39.453299999999999</c:v>
                </c:pt>
                <c:pt idx="98">
                  <c:v>39.8581</c:v>
                </c:pt>
                <c:pt idx="99">
                  <c:v>40.264400000000002</c:v>
                </c:pt>
                <c:pt idx="100">
                  <c:v>40.67</c:v>
                </c:pt>
                <c:pt idx="101">
                  <c:v>41.080300000000001</c:v>
                </c:pt>
                <c:pt idx="102">
                  <c:v>41.484400000000001</c:v>
                </c:pt>
                <c:pt idx="103">
                  <c:v>41.890599999999999</c:v>
                </c:pt>
                <c:pt idx="104">
                  <c:v>42.296700000000001</c:v>
                </c:pt>
                <c:pt idx="105">
                  <c:v>42.702800000000003</c:v>
                </c:pt>
                <c:pt idx="106">
                  <c:v>43.107900000000001</c:v>
                </c:pt>
                <c:pt idx="107">
                  <c:v>43.515700000000002</c:v>
                </c:pt>
                <c:pt idx="108">
                  <c:v>43.919800000000002</c:v>
                </c:pt>
                <c:pt idx="109">
                  <c:v>44.327199999999998</c:v>
                </c:pt>
                <c:pt idx="110">
                  <c:v>44.733499999999999</c:v>
                </c:pt>
                <c:pt idx="111">
                  <c:v>45.143500000000003</c:v>
                </c:pt>
                <c:pt idx="112">
                  <c:v>45.549700000000001</c:v>
                </c:pt>
                <c:pt idx="113">
                  <c:v>45.954000000000001</c:v>
                </c:pt>
                <c:pt idx="114">
                  <c:v>46.3583</c:v>
                </c:pt>
                <c:pt idx="115">
                  <c:v>46.765999999999998</c:v>
                </c:pt>
                <c:pt idx="116">
                  <c:v>47.174799999999998</c:v>
                </c:pt>
                <c:pt idx="117">
                  <c:v>47.581899999999997</c:v>
                </c:pt>
                <c:pt idx="118">
                  <c:v>47.984999999999999</c:v>
                </c:pt>
                <c:pt idx="119">
                  <c:v>48.387</c:v>
                </c:pt>
                <c:pt idx="120">
                  <c:v>48.796199999999999</c:v>
                </c:pt>
                <c:pt idx="121">
                  <c:v>49.2042</c:v>
                </c:pt>
                <c:pt idx="122">
                  <c:v>49.610900000000001</c:v>
                </c:pt>
                <c:pt idx="123">
                  <c:v>50.015300000000003</c:v>
                </c:pt>
                <c:pt idx="124">
                  <c:v>50.421399999999998</c:v>
                </c:pt>
                <c:pt idx="125">
                  <c:v>50.828099999999999</c:v>
                </c:pt>
                <c:pt idx="126">
                  <c:v>51.233400000000003</c:v>
                </c:pt>
                <c:pt idx="127">
                  <c:v>51.639099999999999</c:v>
                </c:pt>
                <c:pt idx="128">
                  <c:v>52.048699999999997</c:v>
                </c:pt>
                <c:pt idx="129">
                  <c:v>52.453600000000002</c:v>
                </c:pt>
                <c:pt idx="130">
                  <c:v>52.860700000000001</c:v>
                </c:pt>
                <c:pt idx="131">
                  <c:v>53.266800000000003</c:v>
                </c:pt>
                <c:pt idx="132">
                  <c:v>53.673299999999998</c:v>
                </c:pt>
                <c:pt idx="133">
                  <c:v>54.083500000000001</c:v>
                </c:pt>
                <c:pt idx="134">
                  <c:v>54.485199999999999</c:v>
                </c:pt>
                <c:pt idx="135">
                  <c:v>54.894799999999996</c:v>
                </c:pt>
                <c:pt idx="136">
                  <c:v>55.2971</c:v>
                </c:pt>
                <c:pt idx="137">
                  <c:v>55.7029</c:v>
                </c:pt>
                <c:pt idx="138">
                  <c:v>56.108800000000002</c:v>
                </c:pt>
                <c:pt idx="139">
                  <c:v>56.516300000000001</c:v>
                </c:pt>
                <c:pt idx="140">
                  <c:v>56.927</c:v>
                </c:pt>
                <c:pt idx="141">
                  <c:v>57.331699999999998</c:v>
                </c:pt>
                <c:pt idx="142">
                  <c:v>57.735100000000003</c:v>
                </c:pt>
                <c:pt idx="143">
                  <c:v>58.142200000000003</c:v>
                </c:pt>
                <c:pt idx="144">
                  <c:v>58.547400000000003</c:v>
                </c:pt>
                <c:pt idx="145">
                  <c:v>58.955300000000001</c:v>
                </c:pt>
                <c:pt idx="146">
                  <c:v>59.361199999999997</c:v>
                </c:pt>
                <c:pt idx="147">
                  <c:v>59.763599999999997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65.784500000000008</c:v>
                </c:pt>
                <c:pt idx="1">
                  <c:v>64.830399999999997</c:v>
                </c:pt>
                <c:pt idx="2">
                  <c:v>63.905900000000003</c:v>
                </c:pt>
                <c:pt idx="3">
                  <c:v>62.954699999999995</c:v>
                </c:pt>
                <c:pt idx="4">
                  <c:v>61.945700000000002</c:v>
                </c:pt>
                <c:pt idx="5">
                  <c:v>60.8322</c:v>
                </c:pt>
                <c:pt idx="6">
                  <c:v>59.594800000000006</c:v>
                </c:pt>
                <c:pt idx="7">
                  <c:v>58.366399999999999</c:v>
                </c:pt>
                <c:pt idx="8">
                  <c:v>57.269099999999995</c:v>
                </c:pt>
                <c:pt idx="9">
                  <c:v>56.202700000000007</c:v>
                </c:pt>
                <c:pt idx="10">
                  <c:v>55.179299999999998</c:v>
                </c:pt>
                <c:pt idx="11">
                  <c:v>54.169900000000005</c:v>
                </c:pt>
                <c:pt idx="12">
                  <c:v>53.126399999999997</c:v>
                </c:pt>
                <c:pt idx="13">
                  <c:v>52.116199999999999</c:v>
                </c:pt>
                <c:pt idx="14">
                  <c:v>51.043300000000002</c:v>
                </c:pt>
                <c:pt idx="15">
                  <c:v>49.931199999999997</c:v>
                </c:pt>
                <c:pt idx="16">
                  <c:v>48.814300000000003</c:v>
                </c:pt>
                <c:pt idx="17">
                  <c:v>47.839199999999998</c:v>
                </c:pt>
                <c:pt idx="18">
                  <c:v>46.9587</c:v>
                </c:pt>
                <c:pt idx="19">
                  <c:v>46.1021</c:v>
                </c:pt>
                <c:pt idx="20">
                  <c:v>45.310699999999997</c:v>
                </c:pt>
                <c:pt idx="21">
                  <c:v>44.634500000000003</c:v>
                </c:pt>
                <c:pt idx="22">
                  <c:v>44.044899999999998</c:v>
                </c:pt>
                <c:pt idx="23">
                  <c:v>43.518900000000002</c:v>
                </c:pt>
                <c:pt idx="24">
                  <c:v>42.996200000000002</c:v>
                </c:pt>
                <c:pt idx="25">
                  <c:v>42.471899999999998</c:v>
                </c:pt>
                <c:pt idx="26">
                  <c:v>41.999299999999998</c:v>
                </c:pt>
                <c:pt idx="27">
                  <c:v>41.5655</c:v>
                </c:pt>
                <c:pt idx="28">
                  <c:v>41.202600000000004</c:v>
                </c:pt>
                <c:pt idx="29">
                  <c:v>40.899299999999997</c:v>
                </c:pt>
                <c:pt idx="30">
                  <c:v>40.616999999999997</c:v>
                </c:pt>
                <c:pt idx="31">
                  <c:v>40.394300000000001</c:v>
                </c:pt>
                <c:pt idx="32">
                  <c:v>40.199200000000005</c:v>
                </c:pt>
                <c:pt idx="33">
                  <c:v>40.060899999999997</c:v>
                </c:pt>
                <c:pt idx="34">
                  <c:v>39.962599999999995</c:v>
                </c:pt>
                <c:pt idx="35">
                  <c:v>39.9116</c:v>
                </c:pt>
                <c:pt idx="36">
                  <c:v>39.869399999999999</c:v>
                </c:pt>
                <c:pt idx="37">
                  <c:v>39.853899999999996</c:v>
                </c:pt>
                <c:pt idx="38">
                  <c:v>39.8643</c:v>
                </c:pt>
                <c:pt idx="39">
                  <c:v>39.920899999999996</c:v>
                </c:pt>
                <c:pt idx="40">
                  <c:v>40.042999999999999</c:v>
                </c:pt>
                <c:pt idx="41">
                  <c:v>40.236600000000003</c:v>
                </c:pt>
                <c:pt idx="42">
                  <c:v>40.342700000000001</c:v>
                </c:pt>
                <c:pt idx="43">
                  <c:v>40.411000000000001</c:v>
                </c:pt>
                <c:pt idx="44">
                  <c:v>40.500799999999998</c:v>
                </c:pt>
                <c:pt idx="45">
                  <c:v>40.553400000000003</c:v>
                </c:pt>
                <c:pt idx="46">
                  <c:v>40.571100000000001</c:v>
                </c:pt>
                <c:pt idx="47">
                  <c:v>40.585900000000002</c:v>
                </c:pt>
                <c:pt idx="48">
                  <c:v>40.577000000000005</c:v>
                </c:pt>
                <c:pt idx="49">
                  <c:v>40.609400000000001</c:v>
                </c:pt>
                <c:pt idx="50">
                  <c:v>40.754200000000004</c:v>
                </c:pt>
                <c:pt idx="51">
                  <c:v>40.896900000000002</c:v>
                </c:pt>
                <c:pt idx="52">
                  <c:v>41.0306</c:v>
                </c:pt>
                <c:pt idx="53">
                  <c:v>41.0749</c:v>
                </c:pt>
                <c:pt idx="54">
                  <c:v>40.9497</c:v>
                </c:pt>
                <c:pt idx="55">
                  <c:v>40.956699999999998</c:v>
                </c:pt>
                <c:pt idx="56">
                  <c:v>40.8964</c:v>
                </c:pt>
                <c:pt idx="57">
                  <c:v>40.776499999999999</c:v>
                </c:pt>
                <c:pt idx="58">
                  <c:v>40.528399999999998</c:v>
                </c:pt>
                <c:pt idx="59">
                  <c:v>40.133899999999997</c:v>
                </c:pt>
                <c:pt idx="60">
                  <c:v>39.926299999999998</c:v>
                </c:pt>
                <c:pt idx="61">
                  <c:v>39.552199999999999</c:v>
                </c:pt>
                <c:pt idx="62">
                  <c:v>39.2256</c:v>
                </c:pt>
                <c:pt idx="63">
                  <c:v>38.955300000000001</c:v>
                </c:pt>
                <c:pt idx="64">
                  <c:v>38.440000000000005</c:v>
                </c:pt>
                <c:pt idx="65">
                  <c:v>37.576500000000003</c:v>
                </c:pt>
                <c:pt idx="66">
                  <c:v>36.965599999999995</c:v>
                </c:pt>
                <c:pt idx="67">
                  <c:v>36.392799999999994</c:v>
                </c:pt>
                <c:pt idx="68">
                  <c:v>35.887700000000002</c:v>
                </c:pt>
                <c:pt idx="69">
                  <c:v>35.459299999999999</c:v>
                </c:pt>
                <c:pt idx="70">
                  <c:v>35.234999999999999</c:v>
                </c:pt>
                <c:pt idx="71">
                  <c:v>34.884700000000002</c:v>
                </c:pt>
                <c:pt idx="72">
                  <c:v>34.7468</c:v>
                </c:pt>
                <c:pt idx="73">
                  <c:v>34.479799999999997</c:v>
                </c:pt>
                <c:pt idx="74">
                  <c:v>34.268700000000003</c:v>
                </c:pt>
                <c:pt idx="75">
                  <c:v>34.009900000000002</c:v>
                </c:pt>
                <c:pt idx="76">
                  <c:v>33.7898</c:v>
                </c:pt>
                <c:pt idx="77">
                  <c:v>33.588000000000001</c:v>
                </c:pt>
                <c:pt idx="78">
                  <c:v>33.46</c:v>
                </c:pt>
                <c:pt idx="79">
                  <c:v>33.505099999999999</c:v>
                </c:pt>
                <c:pt idx="80">
                  <c:v>33.534599999999998</c:v>
                </c:pt>
                <c:pt idx="81">
                  <c:v>33.5792</c:v>
                </c:pt>
                <c:pt idx="82">
                  <c:v>33.661000000000001</c:v>
                </c:pt>
                <c:pt idx="83">
                  <c:v>33.802300000000002</c:v>
                </c:pt>
                <c:pt idx="84">
                  <c:v>33.911900000000003</c:v>
                </c:pt>
                <c:pt idx="85">
                  <c:v>34.035800000000002</c:v>
                </c:pt>
                <c:pt idx="86">
                  <c:v>34.148899999999998</c:v>
                </c:pt>
                <c:pt idx="87">
                  <c:v>34.271799999999999</c:v>
                </c:pt>
                <c:pt idx="88">
                  <c:v>34.427900000000001</c:v>
                </c:pt>
                <c:pt idx="89">
                  <c:v>34.698</c:v>
                </c:pt>
                <c:pt idx="90">
                  <c:v>34.999299999999998</c:v>
                </c:pt>
                <c:pt idx="91">
                  <c:v>35.330500000000001</c:v>
                </c:pt>
                <c:pt idx="92">
                  <c:v>35.731699999999996</c:v>
                </c:pt>
                <c:pt idx="93">
                  <c:v>36.135199999999998</c:v>
                </c:pt>
                <c:pt idx="94">
                  <c:v>36.551499999999997</c:v>
                </c:pt>
                <c:pt idx="95">
                  <c:v>36.9587</c:v>
                </c:pt>
                <c:pt idx="96">
                  <c:v>37.349299999999999</c:v>
                </c:pt>
                <c:pt idx="97">
                  <c:v>37.741599999999998</c:v>
                </c:pt>
                <c:pt idx="98">
                  <c:v>38.203800000000001</c:v>
                </c:pt>
                <c:pt idx="99">
                  <c:v>38.7134</c:v>
                </c:pt>
                <c:pt idx="100">
                  <c:v>39.301199999999994</c:v>
                </c:pt>
                <c:pt idx="101">
                  <c:v>39.889400000000002</c:v>
                </c:pt>
                <c:pt idx="102">
                  <c:v>40.456399999999995</c:v>
                </c:pt>
                <c:pt idx="103">
                  <c:v>40.996700000000004</c:v>
                </c:pt>
                <c:pt idx="104">
                  <c:v>41.3917</c:v>
                </c:pt>
                <c:pt idx="105">
                  <c:v>41.765600000000006</c:v>
                </c:pt>
                <c:pt idx="106">
                  <c:v>42.040700000000001</c:v>
                </c:pt>
                <c:pt idx="107">
                  <c:v>42.232100000000003</c:v>
                </c:pt>
                <c:pt idx="108">
                  <c:v>42.354399999999998</c:v>
                </c:pt>
                <c:pt idx="109">
                  <c:v>42.482199999999999</c:v>
                </c:pt>
                <c:pt idx="110">
                  <c:v>42.5428</c:v>
                </c:pt>
                <c:pt idx="111">
                  <c:v>42.517300000000006</c:v>
                </c:pt>
                <c:pt idx="112">
                  <c:v>42.411799999999999</c:v>
                </c:pt>
                <c:pt idx="113">
                  <c:v>42.314</c:v>
                </c:pt>
                <c:pt idx="114">
                  <c:v>42.126100000000001</c:v>
                </c:pt>
                <c:pt idx="115">
                  <c:v>41.925000000000004</c:v>
                </c:pt>
                <c:pt idx="116">
                  <c:v>41.685600000000001</c:v>
                </c:pt>
                <c:pt idx="117">
                  <c:v>41.413600000000002</c:v>
                </c:pt>
                <c:pt idx="118">
                  <c:v>41.154600000000002</c:v>
                </c:pt>
                <c:pt idx="119">
                  <c:v>40.9071</c:v>
                </c:pt>
                <c:pt idx="120">
                  <c:v>40.702500000000001</c:v>
                </c:pt>
                <c:pt idx="121">
                  <c:v>40.490400000000001</c:v>
                </c:pt>
                <c:pt idx="122">
                  <c:v>40.378300000000003</c:v>
                </c:pt>
                <c:pt idx="123">
                  <c:v>40.2361</c:v>
                </c:pt>
                <c:pt idx="124">
                  <c:v>40.038600000000002</c:v>
                </c:pt>
                <c:pt idx="125">
                  <c:v>39.842799999999997</c:v>
                </c:pt>
                <c:pt idx="126">
                  <c:v>39.684999999999995</c:v>
                </c:pt>
                <c:pt idx="127">
                  <c:v>39.544000000000004</c:v>
                </c:pt>
                <c:pt idx="128">
                  <c:v>39.4054</c:v>
                </c:pt>
                <c:pt idx="129">
                  <c:v>39.238900000000001</c:v>
                </c:pt>
                <c:pt idx="130">
                  <c:v>39.046999999999997</c:v>
                </c:pt>
                <c:pt idx="131">
                  <c:v>38.891100000000002</c:v>
                </c:pt>
                <c:pt idx="132">
                  <c:v>38.873799999999996</c:v>
                </c:pt>
                <c:pt idx="133">
                  <c:v>38.879000000000005</c:v>
                </c:pt>
                <c:pt idx="134">
                  <c:v>38.862099999999998</c:v>
                </c:pt>
                <c:pt idx="135">
                  <c:v>38.895899999999997</c:v>
                </c:pt>
                <c:pt idx="136">
                  <c:v>39.028100000000002</c:v>
                </c:pt>
                <c:pt idx="137">
                  <c:v>39.115100000000005</c:v>
                </c:pt>
                <c:pt idx="138">
                  <c:v>39.172200000000004</c:v>
                </c:pt>
                <c:pt idx="139">
                  <c:v>39.370399999999997</c:v>
                </c:pt>
                <c:pt idx="140">
                  <c:v>39.623000000000005</c:v>
                </c:pt>
                <c:pt idx="141">
                  <c:v>39.933600000000006</c:v>
                </c:pt>
                <c:pt idx="142">
                  <c:v>40.265499999999996</c:v>
                </c:pt>
                <c:pt idx="143">
                  <c:v>40.708199999999998</c:v>
                </c:pt>
                <c:pt idx="144">
                  <c:v>40.910800000000002</c:v>
                </c:pt>
                <c:pt idx="145">
                  <c:v>41.055399999999999</c:v>
                </c:pt>
                <c:pt idx="146">
                  <c:v>41.631299999999996</c:v>
                </c:pt>
                <c:pt idx="147">
                  <c:v>42.264000000000003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0.40837800000000002</c:v>
                </c:pt>
                <c:pt idx="2">
                  <c:v>0.81258799999999998</c:v>
                </c:pt>
                <c:pt idx="3">
                  <c:v>1.2173799999999999</c:v>
                </c:pt>
                <c:pt idx="4">
                  <c:v>1.62707</c:v>
                </c:pt>
                <c:pt idx="5">
                  <c:v>2.02834</c:v>
                </c:pt>
                <c:pt idx="6">
                  <c:v>2.4379599999999999</c:v>
                </c:pt>
                <c:pt idx="7">
                  <c:v>2.8439800000000002</c:v>
                </c:pt>
                <c:pt idx="8">
                  <c:v>3.2520600000000002</c:v>
                </c:pt>
                <c:pt idx="9">
                  <c:v>3.6582599999999998</c:v>
                </c:pt>
                <c:pt idx="10">
                  <c:v>4.06358</c:v>
                </c:pt>
                <c:pt idx="11">
                  <c:v>4.4658699999999998</c:v>
                </c:pt>
                <c:pt idx="12">
                  <c:v>4.8743499999999997</c:v>
                </c:pt>
                <c:pt idx="13">
                  <c:v>5.2773199999999996</c:v>
                </c:pt>
                <c:pt idx="14">
                  <c:v>5.68804</c:v>
                </c:pt>
                <c:pt idx="15">
                  <c:v>6.0945499999999999</c:v>
                </c:pt>
                <c:pt idx="16">
                  <c:v>6.49831</c:v>
                </c:pt>
                <c:pt idx="17">
                  <c:v>6.9035000000000002</c:v>
                </c:pt>
                <c:pt idx="18">
                  <c:v>7.31297</c:v>
                </c:pt>
                <c:pt idx="19">
                  <c:v>7.7200300000000004</c:v>
                </c:pt>
                <c:pt idx="20">
                  <c:v>8.1242000000000001</c:v>
                </c:pt>
                <c:pt idx="21">
                  <c:v>8.5300600000000006</c:v>
                </c:pt>
                <c:pt idx="22">
                  <c:v>8.9361099999999993</c:v>
                </c:pt>
                <c:pt idx="23">
                  <c:v>9.3447899999999997</c:v>
                </c:pt>
                <c:pt idx="24">
                  <c:v>9.7494899999999998</c:v>
                </c:pt>
                <c:pt idx="25">
                  <c:v>10.158200000000001</c:v>
                </c:pt>
                <c:pt idx="26">
                  <c:v>10.5623</c:v>
                </c:pt>
                <c:pt idx="27">
                  <c:v>10.9694</c:v>
                </c:pt>
                <c:pt idx="28">
                  <c:v>11.3748</c:v>
                </c:pt>
                <c:pt idx="29">
                  <c:v>11.7836</c:v>
                </c:pt>
                <c:pt idx="30">
                  <c:v>12.1899</c:v>
                </c:pt>
                <c:pt idx="31">
                  <c:v>12.5921</c:v>
                </c:pt>
                <c:pt idx="32">
                  <c:v>12.998200000000001</c:v>
                </c:pt>
                <c:pt idx="33">
                  <c:v>13.404999999999999</c:v>
                </c:pt>
                <c:pt idx="34">
                  <c:v>13.8141</c:v>
                </c:pt>
                <c:pt idx="35">
                  <c:v>14.2197</c:v>
                </c:pt>
                <c:pt idx="36">
                  <c:v>14.627000000000001</c:v>
                </c:pt>
                <c:pt idx="37">
                  <c:v>15.0351</c:v>
                </c:pt>
                <c:pt idx="38">
                  <c:v>15.4404</c:v>
                </c:pt>
                <c:pt idx="39">
                  <c:v>15.8466</c:v>
                </c:pt>
                <c:pt idx="40">
                  <c:v>16.253</c:v>
                </c:pt>
                <c:pt idx="41">
                  <c:v>16.657800000000002</c:v>
                </c:pt>
                <c:pt idx="42">
                  <c:v>17.061800000000002</c:v>
                </c:pt>
                <c:pt idx="43">
                  <c:v>17.466799999999999</c:v>
                </c:pt>
                <c:pt idx="44">
                  <c:v>17.876100000000001</c:v>
                </c:pt>
                <c:pt idx="45">
                  <c:v>18.281600000000001</c:v>
                </c:pt>
                <c:pt idx="46">
                  <c:v>18.6875</c:v>
                </c:pt>
                <c:pt idx="47">
                  <c:v>19.093699999999998</c:v>
                </c:pt>
                <c:pt idx="48">
                  <c:v>19.501999999999999</c:v>
                </c:pt>
                <c:pt idx="49">
                  <c:v>19.9068</c:v>
                </c:pt>
                <c:pt idx="50">
                  <c:v>20.313500000000001</c:v>
                </c:pt>
                <c:pt idx="51">
                  <c:v>20.719200000000001</c:v>
                </c:pt>
                <c:pt idx="52">
                  <c:v>21.123999999999999</c:v>
                </c:pt>
                <c:pt idx="53">
                  <c:v>21.531400000000001</c:v>
                </c:pt>
                <c:pt idx="54">
                  <c:v>21.940300000000001</c:v>
                </c:pt>
                <c:pt idx="55">
                  <c:v>22.342300000000002</c:v>
                </c:pt>
                <c:pt idx="56">
                  <c:v>22.750399999999999</c:v>
                </c:pt>
                <c:pt idx="57">
                  <c:v>23.153199999999998</c:v>
                </c:pt>
                <c:pt idx="58">
                  <c:v>23.561499999999999</c:v>
                </c:pt>
                <c:pt idx="59">
                  <c:v>23.9696</c:v>
                </c:pt>
                <c:pt idx="60">
                  <c:v>24.375900000000001</c:v>
                </c:pt>
                <c:pt idx="61">
                  <c:v>24.7836</c:v>
                </c:pt>
                <c:pt idx="62">
                  <c:v>25.187799999999999</c:v>
                </c:pt>
                <c:pt idx="63">
                  <c:v>25.592099999999999</c:v>
                </c:pt>
                <c:pt idx="64">
                  <c:v>25.9986</c:v>
                </c:pt>
                <c:pt idx="65">
                  <c:v>26.407900000000001</c:v>
                </c:pt>
                <c:pt idx="66">
                  <c:v>26.814499999999999</c:v>
                </c:pt>
                <c:pt idx="67">
                  <c:v>27.218599999999999</c:v>
                </c:pt>
                <c:pt idx="68">
                  <c:v>27.6249</c:v>
                </c:pt>
                <c:pt idx="69">
                  <c:v>28.0318</c:v>
                </c:pt>
                <c:pt idx="70">
                  <c:v>28.4358</c:v>
                </c:pt>
                <c:pt idx="71">
                  <c:v>28.845300000000002</c:v>
                </c:pt>
                <c:pt idx="72">
                  <c:v>29.250299999999999</c:v>
                </c:pt>
                <c:pt idx="73">
                  <c:v>29.6585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65.784500000000008</c:v>
                </c:pt>
                <c:pt idx="1">
                  <c:v>64.830399999999997</c:v>
                </c:pt>
                <c:pt idx="2">
                  <c:v>63.905900000000003</c:v>
                </c:pt>
                <c:pt idx="3">
                  <c:v>62.954699999999995</c:v>
                </c:pt>
                <c:pt idx="4">
                  <c:v>61.945700000000002</c:v>
                </c:pt>
                <c:pt idx="5">
                  <c:v>60.8322</c:v>
                </c:pt>
                <c:pt idx="6">
                  <c:v>59.594800000000006</c:v>
                </c:pt>
                <c:pt idx="7">
                  <c:v>58.366399999999999</c:v>
                </c:pt>
                <c:pt idx="8">
                  <c:v>57.269099999999995</c:v>
                </c:pt>
                <c:pt idx="9">
                  <c:v>56.202700000000007</c:v>
                </c:pt>
                <c:pt idx="10">
                  <c:v>55.179299999999998</c:v>
                </c:pt>
                <c:pt idx="11">
                  <c:v>54.169900000000005</c:v>
                </c:pt>
                <c:pt idx="12">
                  <c:v>53.126399999999997</c:v>
                </c:pt>
                <c:pt idx="13">
                  <c:v>52.116199999999999</c:v>
                </c:pt>
                <c:pt idx="14">
                  <c:v>51.043300000000002</c:v>
                </c:pt>
                <c:pt idx="15">
                  <c:v>49.931199999999997</c:v>
                </c:pt>
                <c:pt idx="16">
                  <c:v>48.814300000000003</c:v>
                </c:pt>
                <c:pt idx="17">
                  <c:v>47.839199999999998</c:v>
                </c:pt>
                <c:pt idx="18">
                  <c:v>46.9587</c:v>
                </c:pt>
                <c:pt idx="19">
                  <c:v>46.1021</c:v>
                </c:pt>
                <c:pt idx="20">
                  <c:v>45.310699999999997</c:v>
                </c:pt>
                <c:pt idx="21">
                  <c:v>44.634500000000003</c:v>
                </c:pt>
                <c:pt idx="22">
                  <c:v>44.044899999999998</c:v>
                </c:pt>
                <c:pt idx="23">
                  <c:v>43.518900000000002</c:v>
                </c:pt>
                <c:pt idx="24">
                  <c:v>42.996200000000002</c:v>
                </c:pt>
                <c:pt idx="25">
                  <c:v>42.471899999999998</c:v>
                </c:pt>
                <c:pt idx="26">
                  <c:v>41.999299999999998</c:v>
                </c:pt>
                <c:pt idx="27">
                  <c:v>41.5655</c:v>
                </c:pt>
                <c:pt idx="28">
                  <c:v>41.202600000000004</c:v>
                </c:pt>
                <c:pt idx="29">
                  <c:v>40.899299999999997</c:v>
                </c:pt>
                <c:pt idx="30">
                  <c:v>40.616999999999997</c:v>
                </c:pt>
                <c:pt idx="31">
                  <c:v>40.394300000000001</c:v>
                </c:pt>
                <c:pt idx="32">
                  <c:v>40.199200000000005</c:v>
                </c:pt>
                <c:pt idx="33">
                  <c:v>40.060899999999997</c:v>
                </c:pt>
                <c:pt idx="34">
                  <c:v>39.962599999999995</c:v>
                </c:pt>
                <c:pt idx="35">
                  <c:v>39.9116</c:v>
                </c:pt>
                <c:pt idx="36">
                  <c:v>39.869399999999999</c:v>
                </c:pt>
                <c:pt idx="37">
                  <c:v>39.853899999999996</c:v>
                </c:pt>
                <c:pt idx="38">
                  <c:v>39.8643</c:v>
                </c:pt>
                <c:pt idx="39">
                  <c:v>39.920899999999996</c:v>
                </c:pt>
                <c:pt idx="40">
                  <c:v>40.042999999999999</c:v>
                </c:pt>
                <c:pt idx="41">
                  <c:v>40.236600000000003</c:v>
                </c:pt>
                <c:pt idx="42">
                  <c:v>40.342700000000001</c:v>
                </c:pt>
                <c:pt idx="43">
                  <c:v>40.411000000000001</c:v>
                </c:pt>
                <c:pt idx="44">
                  <c:v>40.500799999999998</c:v>
                </c:pt>
                <c:pt idx="45">
                  <c:v>40.553400000000003</c:v>
                </c:pt>
                <c:pt idx="46">
                  <c:v>40.571100000000001</c:v>
                </c:pt>
                <c:pt idx="47">
                  <c:v>40.585900000000002</c:v>
                </c:pt>
                <c:pt idx="48">
                  <c:v>40.577000000000005</c:v>
                </c:pt>
                <c:pt idx="49">
                  <c:v>40.609400000000001</c:v>
                </c:pt>
                <c:pt idx="50">
                  <c:v>40.754200000000004</c:v>
                </c:pt>
                <c:pt idx="51">
                  <c:v>40.896900000000002</c:v>
                </c:pt>
                <c:pt idx="52">
                  <c:v>41.0306</c:v>
                </c:pt>
                <c:pt idx="53">
                  <c:v>41.0749</c:v>
                </c:pt>
                <c:pt idx="54">
                  <c:v>40.9497</c:v>
                </c:pt>
                <c:pt idx="55">
                  <c:v>40.956699999999998</c:v>
                </c:pt>
                <c:pt idx="56">
                  <c:v>40.8964</c:v>
                </c:pt>
                <c:pt idx="57">
                  <c:v>40.776499999999999</c:v>
                </c:pt>
                <c:pt idx="58">
                  <c:v>40.528399999999998</c:v>
                </c:pt>
                <c:pt idx="59">
                  <c:v>40.133899999999997</c:v>
                </c:pt>
                <c:pt idx="60">
                  <c:v>39.926299999999998</c:v>
                </c:pt>
                <c:pt idx="61">
                  <c:v>39.552199999999999</c:v>
                </c:pt>
                <c:pt idx="62">
                  <c:v>39.2256</c:v>
                </c:pt>
                <c:pt idx="63">
                  <c:v>38.955300000000001</c:v>
                </c:pt>
                <c:pt idx="64">
                  <c:v>38.440000000000005</c:v>
                </c:pt>
                <c:pt idx="65">
                  <c:v>37.576500000000003</c:v>
                </c:pt>
                <c:pt idx="66">
                  <c:v>36.965599999999995</c:v>
                </c:pt>
                <c:pt idx="67">
                  <c:v>36.392799999999994</c:v>
                </c:pt>
                <c:pt idx="68">
                  <c:v>35.887700000000002</c:v>
                </c:pt>
                <c:pt idx="69">
                  <c:v>35.459299999999999</c:v>
                </c:pt>
                <c:pt idx="70">
                  <c:v>35.234999999999999</c:v>
                </c:pt>
                <c:pt idx="71">
                  <c:v>34.884700000000002</c:v>
                </c:pt>
                <c:pt idx="72">
                  <c:v>34.7468</c:v>
                </c:pt>
                <c:pt idx="73">
                  <c:v>34.479799999999997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29.6585</c:v>
                </c:pt>
                <c:pt idx="1">
                  <c:v>30.063700000000001</c:v>
                </c:pt>
                <c:pt idx="2">
                  <c:v>30.530100000000001</c:v>
                </c:pt>
                <c:pt idx="3">
                  <c:v>30.922000000000001</c:v>
                </c:pt>
                <c:pt idx="4">
                  <c:v>31.3292</c:v>
                </c:pt>
                <c:pt idx="5">
                  <c:v>31.733699999999999</c:v>
                </c:pt>
                <c:pt idx="6">
                  <c:v>32.138599999999997</c:v>
                </c:pt>
                <c:pt idx="7">
                  <c:v>32.5471</c:v>
                </c:pt>
                <c:pt idx="8">
                  <c:v>32.9544</c:v>
                </c:pt>
                <c:pt idx="9">
                  <c:v>33.3596</c:v>
                </c:pt>
                <c:pt idx="10">
                  <c:v>33.763199999999998</c:v>
                </c:pt>
                <c:pt idx="11">
                  <c:v>34.170900000000003</c:v>
                </c:pt>
                <c:pt idx="12">
                  <c:v>34.581299999999999</c:v>
                </c:pt>
                <c:pt idx="13">
                  <c:v>34.985900000000001</c:v>
                </c:pt>
                <c:pt idx="14">
                  <c:v>35.390700000000002</c:v>
                </c:pt>
                <c:pt idx="15">
                  <c:v>35.795200000000001</c:v>
                </c:pt>
                <c:pt idx="16">
                  <c:v>36.201599999999999</c:v>
                </c:pt>
                <c:pt idx="17">
                  <c:v>36.608499999999999</c:v>
                </c:pt>
                <c:pt idx="18">
                  <c:v>37.015900000000002</c:v>
                </c:pt>
                <c:pt idx="19">
                  <c:v>37.4221</c:v>
                </c:pt>
                <c:pt idx="20">
                  <c:v>37.8279</c:v>
                </c:pt>
                <c:pt idx="21">
                  <c:v>38.2333</c:v>
                </c:pt>
                <c:pt idx="22">
                  <c:v>38.640700000000002</c:v>
                </c:pt>
                <c:pt idx="23">
                  <c:v>39.049500000000002</c:v>
                </c:pt>
                <c:pt idx="24">
                  <c:v>39.453299999999999</c:v>
                </c:pt>
                <c:pt idx="25">
                  <c:v>39.8581</c:v>
                </c:pt>
                <c:pt idx="26">
                  <c:v>40.264400000000002</c:v>
                </c:pt>
                <c:pt idx="27">
                  <c:v>40.67</c:v>
                </c:pt>
                <c:pt idx="28">
                  <c:v>41.080300000000001</c:v>
                </c:pt>
                <c:pt idx="29">
                  <c:v>41.484400000000001</c:v>
                </c:pt>
                <c:pt idx="30">
                  <c:v>41.890599999999999</c:v>
                </c:pt>
                <c:pt idx="31">
                  <c:v>42.296700000000001</c:v>
                </c:pt>
                <c:pt idx="32">
                  <c:v>42.702800000000003</c:v>
                </c:pt>
                <c:pt idx="33">
                  <c:v>43.107900000000001</c:v>
                </c:pt>
                <c:pt idx="34">
                  <c:v>43.515700000000002</c:v>
                </c:pt>
                <c:pt idx="35">
                  <c:v>43.919800000000002</c:v>
                </c:pt>
                <c:pt idx="36">
                  <c:v>44.327199999999998</c:v>
                </c:pt>
                <c:pt idx="37">
                  <c:v>44.733499999999999</c:v>
                </c:pt>
                <c:pt idx="38">
                  <c:v>45.143500000000003</c:v>
                </c:pt>
                <c:pt idx="39">
                  <c:v>45.549700000000001</c:v>
                </c:pt>
                <c:pt idx="40">
                  <c:v>45.954000000000001</c:v>
                </c:pt>
                <c:pt idx="41">
                  <c:v>46.3583</c:v>
                </c:pt>
                <c:pt idx="42">
                  <c:v>46.765999999999998</c:v>
                </c:pt>
                <c:pt idx="43">
                  <c:v>47.174799999999998</c:v>
                </c:pt>
                <c:pt idx="44">
                  <c:v>47.581899999999997</c:v>
                </c:pt>
                <c:pt idx="45">
                  <c:v>47.984999999999999</c:v>
                </c:pt>
                <c:pt idx="46">
                  <c:v>48.387</c:v>
                </c:pt>
                <c:pt idx="47">
                  <c:v>48.796199999999999</c:v>
                </c:pt>
                <c:pt idx="48">
                  <c:v>49.2042</c:v>
                </c:pt>
                <c:pt idx="49">
                  <c:v>49.610900000000001</c:v>
                </c:pt>
                <c:pt idx="50">
                  <c:v>50.015300000000003</c:v>
                </c:pt>
                <c:pt idx="51">
                  <c:v>50.421399999999998</c:v>
                </c:pt>
                <c:pt idx="52">
                  <c:v>50.828099999999999</c:v>
                </c:pt>
                <c:pt idx="53">
                  <c:v>51.233400000000003</c:v>
                </c:pt>
                <c:pt idx="54">
                  <c:v>51.639099999999999</c:v>
                </c:pt>
                <c:pt idx="55">
                  <c:v>52.048699999999997</c:v>
                </c:pt>
                <c:pt idx="56">
                  <c:v>52.453600000000002</c:v>
                </c:pt>
                <c:pt idx="57">
                  <c:v>52.860700000000001</c:v>
                </c:pt>
                <c:pt idx="58">
                  <c:v>53.266800000000003</c:v>
                </c:pt>
                <c:pt idx="59">
                  <c:v>53.673299999999998</c:v>
                </c:pt>
                <c:pt idx="60">
                  <c:v>54.083500000000001</c:v>
                </c:pt>
                <c:pt idx="61">
                  <c:v>54.485199999999999</c:v>
                </c:pt>
                <c:pt idx="62">
                  <c:v>54.894799999999996</c:v>
                </c:pt>
                <c:pt idx="63">
                  <c:v>55.2971</c:v>
                </c:pt>
                <c:pt idx="64">
                  <c:v>55.7029</c:v>
                </c:pt>
                <c:pt idx="65">
                  <c:v>56.108800000000002</c:v>
                </c:pt>
                <c:pt idx="66">
                  <c:v>56.516300000000001</c:v>
                </c:pt>
                <c:pt idx="67">
                  <c:v>56.927</c:v>
                </c:pt>
                <c:pt idx="68">
                  <c:v>57.331699999999998</c:v>
                </c:pt>
                <c:pt idx="69">
                  <c:v>57.735100000000003</c:v>
                </c:pt>
                <c:pt idx="70">
                  <c:v>58.142200000000003</c:v>
                </c:pt>
                <c:pt idx="71">
                  <c:v>58.547400000000003</c:v>
                </c:pt>
                <c:pt idx="72">
                  <c:v>58.955300000000001</c:v>
                </c:pt>
                <c:pt idx="73">
                  <c:v>59.361199999999997</c:v>
                </c:pt>
                <c:pt idx="74">
                  <c:v>59.763599999999997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34.479799999999997</c:v>
                </c:pt>
                <c:pt idx="1">
                  <c:v>34.268700000000003</c:v>
                </c:pt>
                <c:pt idx="2">
                  <c:v>34.009900000000002</c:v>
                </c:pt>
                <c:pt idx="3">
                  <c:v>33.7898</c:v>
                </c:pt>
                <c:pt idx="4">
                  <c:v>33.588000000000001</c:v>
                </c:pt>
                <c:pt idx="5">
                  <c:v>33.46</c:v>
                </c:pt>
                <c:pt idx="6">
                  <c:v>33.505099999999999</c:v>
                </c:pt>
                <c:pt idx="7">
                  <c:v>33.534599999999998</c:v>
                </c:pt>
                <c:pt idx="8">
                  <c:v>33.5792</c:v>
                </c:pt>
                <c:pt idx="9">
                  <c:v>33.661000000000001</c:v>
                </c:pt>
                <c:pt idx="10">
                  <c:v>33.802300000000002</c:v>
                </c:pt>
                <c:pt idx="11">
                  <c:v>33.911900000000003</c:v>
                </c:pt>
                <c:pt idx="12">
                  <c:v>34.035800000000002</c:v>
                </c:pt>
                <c:pt idx="13">
                  <c:v>34.148899999999998</c:v>
                </c:pt>
                <c:pt idx="14">
                  <c:v>34.271799999999999</c:v>
                </c:pt>
                <c:pt idx="15">
                  <c:v>34.427900000000001</c:v>
                </c:pt>
                <c:pt idx="16">
                  <c:v>34.698</c:v>
                </c:pt>
                <c:pt idx="17">
                  <c:v>34.999299999999998</c:v>
                </c:pt>
                <c:pt idx="18">
                  <c:v>35.330500000000001</c:v>
                </c:pt>
                <c:pt idx="19">
                  <c:v>35.731699999999996</c:v>
                </c:pt>
                <c:pt idx="20">
                  <c:v>36.135199999999998</c:v>
                </c:pt>
                <c:pt idx="21">
                  <c:v>36.551499999999997</c:v>
                </c:pt>
                <c:pt idx="22">
                  <c:v>36.9587</c:v>
                </c:pt>
                <c:pt idx="23">
                  <c:v>37.349299999999999</c:v>
                </c:pt>
                <c:pt idx="24">
                  <c:v>37.741599999999998</c:v>
                </c:pt>
                <c:pt idx="25">
                  <c:v>38.203800000000001</c:v>
                </c:pt>
                <c:pt idx="26">
                  <c:v>38.7134</c:v>
                </c:pt>
                <c:pt idx="27">
                  <c:v>39.301199999999994</c:v>
                </c:pt>
                <c:pt idx="28">
                  <c:v>39.889400000000002</c:v>
                </c:pt>
                <c:pt idx="29">
                  <c:v>40.456399999999995</c:v>
                </c:pt>
                <c:pt idx="30">
                  <c:v>40.996700000000004</c:v>
                </c:pt>
                <c:pt idx="31">
                  <c:v>41.3917</c:v>
                </c:pt>
                <c:pt idx="32">
                  <c:v>41.765600000000006</c:v>
                </c:pt>
                <c:pt idx="33">
                  <c:v>42.040700000000001</c:v>
                </c:pt>
                <c:pt idx="34">
                  <c:v>42.232100000000003</c:v>
                </c:pt>
                <c:pt idx="35">
                  <c:v>42.354399999999998</c:v>
                </c:pt>
                <c:pt idx="36">
                  <c:v>42.482199999999999</c:v>
                </c:pt>
                <c:pt idx="37">
                  <c:v>42.5428</c:v>
                </c:pt>
                <c:pt idx="38">
                  <c:v>42.517300000000006</c:v>
                </c:pt>
                <c:pt idx="39">
                  <c:v>42.411799999999999</c:v>
                </c:pt>
                <c:pt idx="40">
                  <c:v>42.314</c:v>
                </c:pt>
                <c:pt idx="41">
                  <c:v>42.126100000000001</c:v>
                </c:pt>
                <c:pt idx="42">
                  <c:v>41.925000000000004</c:v>
                </c:pt>
                <c:pt idx="43">
                  <c:v>41.685600000000001</c:v>
                </c:pt>
                <c:pt idx="44">
                  <c:v>41.413600000000002</c:v>
                </c:pt>
                <c:pt idx="45">
                  <c:v>41.154600000000002</c:v>
                </c:pt>
                <c:pt idx="46">
                  <c:v>40.9071</c:v>
                </c:pt>
                <c:pt idx="47">
                  <c:v>40.702500000000001</c:v>
                </c:pt>
                <c:pt idx="48">
                  <c:v>40.490400000000001</c:v>
                </c:pt>
                <c:pt idx="49">
                  <c:v>40.378300000000003</c:v>
                </c:pt>
                <c:pt idx="50">
                  <c:v>40.2361</c:v>
                </c:pt>
                <c:pt idx="51">
                  <c:v>40.038600000000002</c:v>
                </c:pt>
                <c:pt idx="52">
                  <c:v>39.842799999999997</c:v>
                </c:pt>
                <c:pt idx="53">
                  <c:v>39.684999999999995</c:v>
                </c:pt>
                <c:pt idx="54">
                  <c:v>39.544000000000004</c:v>
                </c:pt>
                <c:pt idx="55">
                  <c:v>39.4054</c:v>
                </c:pt>
                <c:pt idx="56">
                  <c:v>39.238900000000001</c:v>
                </c:pt>
                <c:pt idx="57">
                  <c:v>39.046999999999997</c:v>
                </c:pt>
                <c:pt idx="58">
                  <c:v>38.891100000000002</c:v>
                </c:pt>
                <c:pt idx="59">
                  <c:v>38.873799999999996</c:v>
                </c:pt>
                <c:pt idx="60">
                  <c:v>38.879000000000005</c:v>
                </c:pt>
                <c:pt idx="61">
                  <c:v>38.862099999999998</c:v>
                </c:pt>
                <c:pt idx="62">
                  <c:v>38.895899999999997</c:v>
                </c:pt>
                <c:pt idx="63">
                  <c:v>39.028100000000002</c:v>
                </c:pt>
                <c:pt idx="64">
                  <c:v>39.115100000000005</c:v>
                </c:pt>
                <c:pt idx="65">
                  <c:v>39.172200000000004</c:v>
                </c:pt>
                <c:pt idx="66">
                  <c:v>39.370399999999997</c:v>
                </c:pt>
                <c:pt idx="67">
                  <c:v>39.623000000000005</c:v>
                </c:pt>
                <c:pt idx="68">
                  <c:v>39.933600000000006</c:v>
                </c:pt>
                <c:pt idx="69">
                  <c:v>40.265499999999996</c:v>
                </c:pt>
                <c:pt idx="70">
                  <c:v>40.708199999999998</c:v>
                </c:pt>
                <c:pt idx="71">
                  <c:v>40.910800000000002</c:v>
                </c:pt>
                <c:pt idx="72">
                  <c:v>41.055399999999999</c:v>
                </c:pt>
                <c:pt idx="73">
                  <c:v>41.631299999999996</c:v>
                </c:pt>
                <c:pt idx="74">
                  <c:v>42.264000000000003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14.940899999999999</c:v>
                </c:pt>
                <c:pt idx="1">
                  <c:v>44.822699999999998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44.275967567567555</c:v>
                </c:pt>
                <c:pt idx="1">
                  <c:v>38.627090540540557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1.6071499999999999</c:v>
                </c:pt>
                <c:pt idx="1">
                  <c:v>1.64775</c:v>
                </c:pt>
                <c:pt idx="2">
                  <c:v>1.68801</c:v>
                </c:pt>
                <c:pt idx="3">
                  <c:v>1.72766</c:v>
                </c:pt>
                <c:pt idx="4">
                  <c:v>1.7677100000000001</c:v>
                </c:pt>
                <c:pt idx="5">
                  <c:v>1.80965</c:v>
                </c:pt>
                <c:pt idx="6">
                  <c:v>1.8545199999999999</c:v>
                </c:pt>
                <c:pt idx="7">
                  <c:v>1.89856</c:v>
                </c:pt>
                <c:pt idx="8">
                  <c:v>1.94123</c:v>
                </c:pt>
                <c:pt idx="9">
                  <c:v>1.9839100000000001</c:v>
                </c:pt>
                <c:pt idx="10">
                  <c:v>2.0267499999999998</c:v>
                </c:pt>
                <c:pt idx="11">
                  <c:v>2.0707900000000001</c:v>
                </c:pt>
                <c:pt idx="12">
                  <c:v>2.1160399999999999</c:v>
                </c:pt>
                <c:pt idx="13">
                  <c:v>2.1603300000000001</c:v>
                </c:pt>
                <c:pt idx="14">
                  <c:v>2.2047300000000001</c:v>
                </c:pt>
                <c:pt idx="15">
                  <c:v>2.24681</c:v>
                </c:pt>
                <c:pt idx="16">
                  <c:v>2.2880700000000003</c:v>
                </c:pt>
                <c:pt idx="17">
                  <c:v>2.32524</c:v>
                </c:pt>
                <c:pt idx="18">
                  <c:v>2.3630499999999999</c:v>
                </c:pt>
                <c:pt idx="19">
                  <c:v>2.3992100000000001</c:v>
                </c:pt>
                <c:pt idx="20">
                  <c:v>2.4311099999999999</c:v>
                </c:pt>
                <c:pt idx="21">
                  <c:v>2.4617900000000001</c:v>
                </c:pt>
                <c:pt idx="22">
                  <c:v>2.49064</c:v>
                </c:pt>
                <c:pt idx="23">
                  <c:v>2.51823</c:v>
                </c:pt>
                <c:pt idx="24">
                  <c:v>2.5471899999999996</c:v>
                </c:pt>
                <c:pt idx="25">
                  <c:v>2.5756899999999998</c:v>
                </c:pt>
                <c:pt idx="26">
                  <c:v>2.6025</c:v>
                </c:pt>
                <c:pt idx="27">
                  <c:v>2.6276600000000001</c:v>
                </c:pt>
                <c:pt idx="28">
                  <c:v>2.6485300000000001</c:v>
                </c:pt>
                <c:pt idx="29">
                  <c:v>2.6648100000000001</c:v>
                </c:pt>
                <c:pt idx="30">
                  <c:v>2.6782400000000002</c:v>
                </c:pt>
                <c:pt idx="31">
                  <c:v>2.6876600000000002</c:v>
                </c:pt>
                <c:pt idx="32">
                  <c:v>2.6943800000000002</c:v>
                </c:pt>
                <c:pt idx="33">
                  <c:v>2.6995400000000003</c:v>
                </c:pt>
                <c:pt idx="34">
                  <c:v>2.70329</c:v>
                </c:pt>
                <c:pt idx="35">
                  <c:v>2.7051699999999999</c:v>
                </c:pt>
                <c:pt idx="36">
                  <c:v>2.7055699999999998</c:v>
                </c:pt>
                <c:pt idx="37">
                  <c:v>2.70221</c:v>
                </c:pt>
                <c:pt idx="38">
                  <c:v>2.6966700000000001</c:v>
                </c:pt>
                <c:pt idx="39">
                  <c:v>2.6880600000000001</c:v>
                </c:pt>
                <c:pt idx="40">
                  <c:v>2.67598</c:v>
                </c:pt>
                <c:pt idx="41">
                  <c:v>2.6610699999999996</c:v>
                </c:pt>
                <c:pt idx="42">
                  <c:v>2.6464100000000004</c:v>
                </c:pt>
                <c:pt idx="43">
                  <c:v>2.6302099999999999</c:v>
                </c:pt>
                <c:pt idx="44">
                  <c:v>2.6121499999999997</c:v>
                </c:pt>
                <c:pt idx="45">
                  <c:v>2.5957999999999997</c:v>
                </c:pt>
                <c:pt idx="46">
                  <c:v>2.5794600000000001</c:v>
                </c:pt>
                <c:pt idx="47">
                  <c:v>2.5628600000000001</c:v>
                </c:pt>
                <c:pt idx="48">
                  <c:v>2.5482700000000005</c:v>
                </c:pt>
                <c:pt idx="49">
                  <c:v>2.5345</c:v>
                </c:pt>
                <c:pt idx="50">
                  <c:v>2.5210400000000002</c:v>
                </c:pt>
                <c:pt idx="51">
                  <c:v>2.5088300000000001</c:v>
                </c:pt>
                <c:pt idx="52">
                  <c:v>2.4999599999999997</c:v>
                </c:pt>
                <c:pt idx="53">
                  <c:v>2.4946299999999999</c:v>
                </c:pt>
                <c:pt idx="54">
                  <c:v>2.4932300000000001</c:v>
                </c:pt>
                <c:pt idx="55">
                  <c:v>2.4890099999999999</c:v>
                </c:pt>
                <c:pt idx="56">
                  <c:v>2.49024</c:v>
                </c:pt>
                <c:pt idx="57">
                  <c:v>2.4940000000000002</c:v>
                </c:pt>
                <c:pt idx="58">
                  <c:v>2.4999199999999999</c:v>
                </c:pt>
                <c:pt idx="59">
                  <c:v>2.5135400000000003</c:v>
                </c:pt>
                <c:pt idx="60">
                  <c:v>2.5185200000000001</c:v>
                </c:pt>
                <c:pt idx="61">
                  <c:v>2.53559</c:v>
                </c:pt>
                <c:pt idx="62">
                  <c:v>2.5509500000000003</c:v>
                </c:pt>
                <c:pt idx="63">
                  <c:v>2.5609999999999999</c:v>
                </c:pt>
                <c:pt idx="64">
                  <c:v>2.5832899999999999</c:v>
                </c:pt>
                <c:pt idx="65">
                  <c:v>2.6196299999999999</c:v>
                </c:pt>
                <c:pt idx="66">
                  <c:v>2.6487300000000005</c:v>
                </c:pt>
                <c:pt idx="67">
                  <c:v>2.6807300000000001</c:v>
                </c:pt>
                <c:pt idx="68">
                  <c:v>2.71197</c:v>
                </c:pt>
                <c:pt idx="69">
                  <c:v>2.7437200000000002</c:v>
                </c:pt>
                <c:pt idx="70">
                  <c:v>2.7667000000000002</c:v>
                </c:pt>
                <c:pt idx="71">
                  <c:v>2.8029799999999998</c:v>
                </c:pt>
                <c:pt idx="72">
                  <c:v>2.8256700000000001</c:v>
                </c:pt>
                <c:pt idx="73">
                  <c:v>2.8585400000000001</c:v>
                </c:pt>
                <c:pt idx="74">
                  <c:v>2.8825499999999997</c:v>
                </c:pt>
                <c:pt idx="75">
                  <c:v>2.9068199999999997</c:v>
                </c:pt>
                <c:pt idx="76">
                  <c:v>2.9291200000000002</c:v>
                </c:pt>
                <c:pt idx="77">
                  <c:v>2.9475699999999998</c:v>
                </c:pt>
                <c:pt idx="78">
                  <c:v>2.9641899999999999</c:v>
                </c:pt>
                <c:pt idx="79">
                  <c:v>2.9756</c:v>
                </c:pt>
                <c:pt idx="80">
                  <c:v>2.9853499999999999</c:v>
                </c:pt>
                <c:pt idx="81">
                  <c:v>2.9922199999999997</c:v>
                </c:pt>
                <c:pt idx="82">
                  <c:v>2.9982700000000002</c:v>
                </c:pt>
                <c:pt idx="83">
                  <c:v>3.0020899999999999</c:v>
                </c:pt>
                <c:pt idx="84">
                  <c:v>3.0032300000000003</c:v>
                </c:pt>
                <c:pt idx="85">
                  <c:v>3.00197</c:v>
                </c:pt>
                <c:pt idx="86">
                  <c:v>2.9992999999999999</c:v>
                </c:pt>
                <c:pt idx="87">
                  <c:v>2.9904299999999999</c:v>
                </c:pt>
                <c:pt idx="88">
                  <c:v>2.9778900000000004</c:v>
                </c:pt>
                <c:pt idx="89">
                  <c:v>2.9574499999999997</c:v>
                </c:pt>
                <c:pt idx="90">
                  <c:v>2.9362500000000002</c:v>
                </c:pt>
                <c:pt idx="91">
                  <c:v>2.9152399999999998</c:v>
                </c:pt>
                <c:pt idx="92">
                  <c:v>2.8917599999999997</c:v>
                </c:pt>
                <c:pt idx="93">
                  <c:v>2.8678300000000001</c:v>
                </c:pt>
                <c:pt idx="94">
                  <c:v>2.8405300000000002</c:v>
                </c:pt>
                <c:pt idx="95">
                  <c:v>2.8123300000000002</c:v>
                </c:pt>
                <c:pt idx="96">
                  <c:v>2.78552</c:v>
                </c:pt>
                <c:pt idx="97">
                  <c:v>2.75901</c:v>
                </c:pt>
                <c:pt idx="98">
                  <c:v>2.7287299999999997</c:v>
                </c:pt>
                <c:pt idx="99">
                  <c:v>2.6978999999999997</c:v>
                </c:pt>
                <c:pt idx="100">
                  <c:v>2.6673599999999995</c:v>
                </c:pt>
                <c:pt idx="101">
                  <c:v>2.6404199999999998</c:v>
                </c:pt>
                <c:pt idx="102">
                  <c:v>2.6146200000000004</c:v>
                </c:pt>
                <c:pt idx="103">
                  <c:v>2.5892900000000001</c:v>
                </c:pt>
                <c:pt idx="104">
                  <c:v>2.56717</c:v>
                </c:pt>
                <c:pt idx="105">
                  <c:v>2.5446999999999997</c:v>
                </c:pt>
                <c:pt idx="106">
                  <c:v>2.5267299999999997</c:v>
                </c:pt>
                <c:pt idx="107">
                  <c:v>2.5123099999999998</c:v>
                </c:pt>
                <c:pt idx="108">
                  <c:v>2.4999400000000001</c:v>
                </c:pt>
                <c:pt idx="109">
                  <c:v>2.48793</c:v>
                </c:pt>
                <c:pt idx="110">
                  <c:v>2.4775200000000002</c:v>
                </c:pt>
                <c:pt idx="111">
                  <c:v>2.4694500000000001</c:v>
                </c:pt>
                <c:pt idx="112">
                  <c:v>2.4642599999999999</c:v>
                </c:pt>
                <c:pt idx="113">
                  <c:v>2.4577</c:v>
                </c:pt>
                <c:pt idx="114">
                  <c:v>2.4527299999999999</c:v>
                </c:pt>
                <c:pt idx="115">
                  <c:v>2.4494199999999999</c:v>
                </c:pt>
                <c:pt idx="116">
                  <c:v>2.4483199999999998</c:v>
                </c:pt>
                <c:pt idx="117">
                  <c:v>2.4485199999999998</c:v>
                </c:pt>
                <c:pt idx="118">
                  <c:v>2.4477899999999999</c:v>
                </c:pt>
                <c:pt idx="119">
                  <c:v>2.45242</c:v>
                </c:pt>
                <c:pt idx="120">
                  <c:v>2.4598100000000001</c:v>
                </c:pt>
                <c:pt idx="121">
                  <c:v>2.4693000000000001</c:v>
                </c:pt>
                <c:pt idx="122">
                  <c:v>2.4780199999999999</c:v>
                </c:pt>
                <c:pt idx="123">
                  <c:v>2.4860799999999998</c:v>
                </c:pt>
                <c:pt idx="124">
                  <c:v>2.4947699999999999</c:v>
                </c:pt>
                <c:pt idx="125">
                  <c:v>2.5025599999999999</c:v>
                </c:pt>
                <c:pt idx="126">
                  <c:v>2.5069399999999997</c:v>
                </c:pt>
                <c:pt idx="127">
                  <c:v>2.5121700000000002</c:v>
                </c:pt>
                <c:pt idx="128">
                  <c:v>2.5181500000000003</c:v>
                </c:pt>
                <c:pt idx="129">
                  <c:v>2.5254300000000001</c:v>
                </c:pt>
                <c:pt idx="130">
                  <c:v>2.53545</c:v>
                </c:pt>
                <c:pt idx="131">
                  <c:v>2.5417000000000001</c:v>
                </c:pt>
                <c:pt idx="132">
                  <c:v>2.5423299999999998</c:v>
                </c:pt>
                <c:pt idx="133">
                  <c:v>2.5419799999999997</c:v>
                </c:pt>
                <c:pt idx="134">
                  <c:v>2.54176</c:v>
                </c:pt>
                <c:pt idx="135">
                  <c:v>2.5399500000000002</c:v>
                </c:pt>
                <c:pt idx="136">
                  <c:v>2.5357800000000004</c:v>
                </c:pt>
                <c:pt idx="137">
                  <c:v>2.5331799999999998</c:v>
                </c:pt>
                <c:pt idx="138">
                  <c:v>2.53843</c:v>
                </c:pt>
                <c:pt idx="139">
                  <c:v>2.5502799999999999</c:v>
                </c:pt>
                <c:pt idx="140">
                  <c:v>2.5607099999999998</c:v>
                </c:pt>
                <c:pt idx="141">
                  <c:v>2.5654300000000001</c:v>
                </c:pt>
                <c:pt idx="142">
                  <c:v>2.5689000000000002</c:v>
                </c:pt>
                <c:pt idx="143">
                  <c:v>2.5821199999999997</c:v>
                </c:pt>
                <c:pt idx="144">
                  <c:v>2.5930900000000001</c:v>
                </c:pt>
                <c:pt idx="145">
                  <c:v>2.5991999999999997</c:v>
                </c:pt>
                <c:pt idx="146">
                  <c:v>2.5834899999999998</c:v>
                </c:pt>
                <c:pt idx="147">
                  <c:v>2.5286399999999998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65.784500000000008</c:v>
                </c:pt>
                <c:pt idx="1">
                  <c:v>64.830399999999997</c:v>
                </c:pt>
                <c:pt idx="2">
                  <c:v>63.905900000000003</c:v>
                </c:pt>
                <c:pt idx="3">
                  <c:v>62.954699999999995</c:v>
                </c:pt>
                <c:pt idx="4">
                  <c:v>61.945700000000002</c:v>
                </c:pt>
                <c:pt idx="5">
                  <c:v>60.8322</c:v>
                </c:pt>
                <c:pt idx="6">
                  <c:v>59.594800000000006</c:v>
                </c:pt>
                <c:pt idx="7">
                  <c:v>58.366399999999999</c:v>
                </c:pt>
                <c:pt idx="8">
                  <c:v>57.269099999999995</c:v>
                </c:pt>
                <c:pt idx="9">
                  <c:v>56.202700000000007</c:v>
                </c:pt>
                <c:pt idx="10">
                  <c:v>55.179299999999998</c:v>
                </c:pt>
                <c:pt idx="11">
                  <c:v>54.169900000000005</c:v>
                </c:pt>
                <c:pt idx="12">
                  <c:v>53.126399999999997</c:v>
                </c:pt>
                <c:pt idx="13">
                  <c:v>52.116199999999999</c:v>
                </c:pt>
                <c:pt idx="14">
                  <c:v>51.043300000000002</c:v>
                </c:pt>
                <c:pt idx="15">
                  <c:v>49.931199999999997</c:v>
                </c:pt>
                <c:pt idx="16">
                  <c:v>48.814300000000003</c:v>
                </c:pt>
                <c:pt idx="17">
                  <c:v>47.839199999999998</c:v>
                </c:pt>
                <c:pt idx="18">
                  <c:v>46.9587</c:v>
                </c:pt>
                <c:pt idx="19">
                  <c:v>46.1021</c:v>
                </c:pt>
                <c:pt idx="20">
                  <c:v>45.310699999999997</c:v>
                </c:pt>
                <c:pt idx="21">
                  <c:v>44.634500000000003</c:v>
                </c:pt>
                <c:pt idx="22">
                  <c:v>44.044899999999998</c:v>
                </c:pt>
                <c:pt idx="23">
                  <c:v>43.518900000000002</c:v>
                </c:pt>
                <c:pt idx="24">
                  <c:v>42.996200000000002</c:v>
                </c:pt>
                <c:pt idx="25">
                  <c:v>42.471899999999998</c:v>
                </c:pt>
                <c:pt idx="26">
                  <c:v>41.999299999999998</c:v>
                </c:pt>
                <c:pt idx="27">
                  <c:v>41.5655</c:v>
                </c:pt>
                <c:pt idx="28">
                  <c:v>41.202600000000004</c:v>
                </c:pt>
                <c:pt idx="29">
                  <c:v>40.899299999999997</c:v>
                </c:pt>
                <c:pt idx="30">
                  <c:v>40.616999999999997</c:v>
                </c:pt>
                <c:pt idx="31">
                  <c:v>40.394300000000001</c:v>
                </c:pt>
                <c:pt idx="32">
                  <c:v>40.199200000000005</c:v>
                </c:pt>
                <c:pt idx="33">
                  <c:v>40.060899999999997</c:v>
                </c:pt>
                <c:pt idx="34">
                  <c:v>39.962599999999995</c:v>
                </c:pt>
                <c:pt idx="35">
                  <c:v>39.9116</c:v>
                </c:pt>
                <c:pt idx="36">
                  <c:v>39.869399999999999</c:v>
                </c:pt>
                <c:pt idx="37">
                  <c:v>39.853899999999996</c:v>
                </c:pt>
                <c:pt idx="38">
                  <c:v>39.8643</c:v>
                </c:pt>
                <c:pt idx="39">
                  <c:v>39.920899999999996</c:v>
                </c:pt>
                <c:pt idx="40">
                  <c:v>40.042999999999999</c:v>
                </c:pt>
                <c:pt idx="41">
                  <c:v>40.236600000000003</c:v>
                </c:pt>
                <c:pt idx="42">
                  <c:v>40.342700000000001</c:v>
                </c:pt>
                <c:pt idx="43">
                  <c:v>40.411000000000001</c:v>
                </c:pt>
                <c:pt idx="44">
                  <c:v>40.500799999999998</c:v>
                </c:pt>
                <c:pt idx="45">
                  <c:v>40.553400000000003</c:v>
                </c:pt>
                <c:pt idx="46">
                  <c:v>40.571100000000001</c:v>
                </c:pt>
                <c:pt idx="47">
                  <c:v>40.585900000000002</c:v>
                </c:pt>
                <c:pt idx="48">
                  <c:v>40.577000000000005</c:v>
                </c:pt>
                <c:pt idx="49">
                  <c:v>40.609400000000001</c:v>
                </c:pt>
                <c:pt idx="50">
                  <c:v>40.754200000000004</c:v>
                </c:pt>
                <c:pt idx="51">
                  <c:v>40.896900000000002</c:v>
                </c:pt>
                <c:pt idx="52">
                  <c:v>41.0306</c:v>
                </c:pt>
                <c:pt idx="53">
                  <c:v>41.0749</c:v>
                </c:pt>
                <c:pt idx="54">
                  <c:v>40.9497</c:v>
                </c:pt>
                <c:pt idx="55">
                  <c:v>40.956699999999998</c:v>
                </c:pt>
                <c:pt idx="56">
                  <c:v>40.8964</c:v>
                </c:pt>
                <c:pt idx="57">
                  <c:v>40.776499999999999</c:v>
                </c:pt>
                <c:pt idx="58">
                  <c:v>40.528399999999998</c:v>
                </c:pt>
                <c:pt idx="59">
                  <c:v>40.133899999999997</c:v>
                </c:pt>
                <c:pt idx="60">
                  <c:v>39.926299999999998</c:v>
                </c:pt>
                <c:pt idx="61">
                  <c:v>39.552199999999999</c:v>
                </c:pt>
                <c:pt idx="62">
                  <c:v>39.2256</c:v>
                </c:pt>
                <c:pt idx="63">
                  <c:v>38.955300000000001</c:v>
                </c:pt>
                <c:pt idx="64">
                  <c:v>38.440000000000005</c:v>
                </c:pt>
                <c:pt idx="65">
                  <c:v>37.576500000000003</c:v>
                </c:pt>
                <c:pt idx="66">
                  <c:v>36.965599999999995</c:v>
                </c:pt>
                <c:pt idx="67">
                  <c:v>36.392799999999994</c:v>
                </c:pt>
                <c:pt idx="68">
                  <c:v>35.887700000000002</c:v>
                </c:pt>
                <c:pt idx="69">
                  <c:v>35.459299999999999</c:v>
                </c:pt>
                <c:pt idx="70">
                  <c:v>35.234999999999999</c:v>
                </c:pt>
                <c:pt idx="71">
                  <c:v>34.884700000000002</c:v>
                </c:pt>
                <c:pt idx="72">
                  <c:v>34.7468</c:v>
                </c:pt>
                <c:pt idx="73">
                  <c:v>34.479799999999997</c:v>
                </c:pt>
                <c:pt idx="74">
                  <c:v>34.268700000000003</c:v>
                </c:pt>
                <c:pt idx="75">
                  <c:v>34.009900000000002</c:v>
                </c:pt>
                <c:pt idx="76">
                  <c:v>33.7898</c:v>
                </c:pt>
                <c:pt idx="77">
                  <c:v>33.588000000000001</c:v>
                </c:pt>
                <c:pt idx="78">
                  <c:v>33.46</c:v>
                </c:pt>
                <c:pt idx="79">
                  <c:v>33.505099999999999</c:v>
                </c:pt>
                <c:pt idx="80">
                  <c:v>33.534599999999998</c:v>
                </c:pt>
                <c:pt idx="81">
                  <c:v>33.5792</c:v>
                </c:pt>
                <c:pt idx="82">
                  <c:v>33.661000000000001</c:v>
                </c:pt>
                <c:pt idx="83">
                  <c:v>33.802300000000002</c:v>
                </c:pt>
                <c:pt idx="84">
                  <c:v>33.911900000000003</c:v>
                </c:pt>
                <c:pt idx="85">
                  <c:v>34.035800000000002</c:v>
                </c:pt>
                <c:pt idx="86">
                  <c:v>34.148899999999998</c:v>
                </c:pt>
                <c:pt idx="87">
                  <c:v>34.271799999999999</c:v>
                </c:pt>
                <c:pt idx="88">
                  <c:v>34.427900000000001</c:v>
                </c:pt>
                <c:pt idx="89">
                  <c:v>34.698</c:v>
                </c:pt>
                <c:pt idx="90">
                  <c:v>34.999299999999998</c:v>
                </c:pt>
                <c:pt idx="91">
                  <c:v>35.330500000000001</c:v>
                </c:pt>
                <c:pt idx="92">
                  <c:v>35.731699999999996</c:v>
                </c:pt>
                <c:pt idx="93">
                  <c:v>36.135199999999998</c:v>
                </c:pt>
                <c:pt idx="94">
                  <c:v>36.551499999999997</c:v>
                </c:pt>
                <c:pt idx="95">
                  <c:v>36.9587</c:v>
                </c:pt>
                <c:pt idx="96">
                  <c:v>37.349299999999999</c:v>
                </c:pt>
                <c:pt idx="97">
                  <c:v>37.741599999999998</c:v>
                </c:pt>
                <c:pt idx="98">
                  <c:v>38.203800000000001</c:v>
                </c:pt>
                <c:pt idx="99">
                  <c:v>38.7134</c:v>
                </c:pt>
                <c:pt idx="100">
                  <c:v>39.301199999999994</c:v>
                </c:pt>
                <c:pt idx="101">
                  <c:v>39.889400000000002</c:v>
                </c:pt>
                <c:pt idx="102">
                  <c:v>40.456399999999995</c:v>
                </c:pt>
                <c:pt idx="103">
                  <c:v>40.996700000000004</c:v>
                </c:pt>
                <c:pt idx="104">
                  <c:v>41.3917</c:v>
                </c:pt>
                <c:pt idx="105">
                  <c:v>41.765600000000006</c:v>
                </c:pt>
                <c:pt idx="106">
                  <c:v>42.040700000000001</c:v>
                </c:pt>
                <c:pt idx="107">
                  <c:v>42.232100000000003</c:v>
                </c:pt>
                <c:pt idx="108">
                  <c:v>42.354399999999998</c:v>
                </c:pt>
                <c:pt idx="109">
                  <c:v>42.482199999999999</c:v>
                </c:pt>
                <c:pt idx="110">
                  <c:v>42.5428</c:v>
                </c:pt>
                <c:pt idx="111">
                  <c:v>42.517300000000006</c:v>
                </c:pt>
                <c:pt idx="112">
                  <c:v>42.411799999999999</c:v>
                </c:pt>
                <c:pt idx="113">
                  <c:v>42.314</c:v>
                </c:pt>
                <c:pt idx="114">
                  <c:v>42.126100000000001</c:v>
                </c:pt>
                <c:pt idx="115">
                  <c:v>41.925000000000004</c:v>
                </c:pt>
                <c:pt idx="116">
                  <c:v>41.685600000000001</c:v>
                </c:pt>
                <c:pt idx="117">
                  <c:v>41.413600000000002</c:v>
                </c:pt>
                <c:pt idx="118">
                  <c:v>41.154600000000002</c:v>
                </c:pt>
                <c:pt idx="119">
                  <c:v>40.9071</c:v>
                </c:pt>
                <c:pt idx="120">
                  <c:v>40.702500000000001</c:v>
                </c:pt>
                <c:pt idx="121">
                  <c:v>40.490400000000001</c:v>
                </c:pt>
                <c:pt idx="122">
                  <c:v>40.378300000000003</c:v>
                </c:pt>
                <c:pt idx="123">
                  <c:v>40.2361</c:v>
                </c:pt>
                <c:pt idx="124">
                  <c:v>40.038600000000002</c:v>
                </c:pt>
                <c:pt idx="125">
                  <c:v>39.842799999999997</c:v>
                </c:pt>
                <c:pt idx="126">
                  <c:v>39.684999999999995</c:v>
                </c:pt>
                <c:pt idx="127">
                  <c:v>39.544000000000004</c:v>
                </c:pt>
                <c:pt idx="128">
                  <c:v>39.4054</c:v>
                </c:pt>
                <c:pt idx="129">
                  <c:v>39.238900000000001</c:v>
                </c:pt>
                <c:pt idx="130">
                  <c:v>39.046999999999997</c:v>
                </c:pt>
                <c:pt idx="131">
                  <c:v>38.891100000000002</c:v>
                </c:pt>
                <c:pt idx="132">
                  <c:v>38.873799999999996</c:v>
                </c:pt>
                <c:pt idx="133">
                  <c:v>38.879000000000005</c:v>
                </c:pt>
                <c:pt idx="134">
                  <c:v>38.862099999999998</c:v>
                </c:pt>
                <c:pt idx="135">
                  <c:v>38.895899999999997</c:v>
                </c:pt>
                <c:pt idx="136">
                  <c:v>39.028100000000002</c:v>
                </c:pt>
                <c:pt idx="137">
                  <c:v>39.115100000000005</c:v>
                </c:pt>
                <c:pt idx="138">
                  <c:v>39.172200000000004</c:v>
                </c:pt>
                <c:pt idx="139">
                  <c:v>39.370399999999997</c:v>
                </c:pt>
                <c:pt idx="140">
                  <c:v>39.623000000000005</c:v>
                </c:pt>
                <c:pt idx="141">
                  <c:v>39.933600000000006</c:v>
                </c:pt>
                <c:pt idx="142">
                  <c:v>40.265499999999996</c:v>
                </c:pt>
                <c:pt idx="143">
                  <c:v>40.708199999999998</c:v>
                </c:pt>
                <c:pt idx="144">
                  <c:v>40.910800000000002</c:v>
                </c:pt>
                <c:pt idx="145">
                  <c:v>41.055399999999999</c:v>
                </c:pt>
                <c:pt idx="146">
                  <c:v>41.631299999999996</c:v>
                </c:pt>
                <c:pt idx="147">
                  <c:v>42.264000000000003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1.6071499999999999</c:v>
                </c:pt>
                <c:pt idx="1">
                  <c:v>1.64775</c:v>
                </c:pt>
                <c:pt idx="2">
                  <c:v>1.68801</c:v>
                </c:pt>
                <c:pt idx="3">
                  <c:v>1.72766</c:v>
                </c:pt>
                <c:pt idx="4">
                  <c:v>1.7677100000000001</c:v>
                </c:pt>
                <c:pt idx="5">
                  <c:v>1.80965</c:v>
                </c:pt>
                <c:pt idx="6">
                  <c:v>1.8545199999999999</c:v>
                </c:pt>
                <c:pt idx="7">
                  <c:v>1.89856</c:v>
                </c:pt>
                <c:pt idx="8">
                  <c:v>1.94123</c:v>
                </c:pt>
                <c:pt idx="9">
                  <c:v>1.9839100000000001</c:v>
                </c:pt>
                <c:pt idx="10">
                  <c:v>2.0267499999999998</c:v>
                </c:pt>
                <c:pt idx="11">
                  <c:v>2.0707900000000001</c:v>
                </c:pt>
                <c:pt idx="12">
                  <c:v>2.1160399999999999</c:v>
                </c:pt>
                <c:pt idx="13">
                  <c:v>2.1603300000000001</c:v>
                </c:pt>
                <c:pt idx="14">
                  <c:v>2.2047300000000001</c:v>
                </c:pt>
                <c:pt idx="15">
                  <c:v>2.24681</c:v>
                </c:pt>
                <c:pt idx="16">
                  <c:v>2.2880700000000003</c:v>
                </c:pt>
                <c:pt idx="17">
                  <c:v>2.32524</c:v>
                </c:pt>
                <c:pt idx="18">
                  <c:v>2.3630499999999999</c:v>
                </c:pt>
                <c:pt idx="19">
                  <c:v>2.3992100000000001</c:v>
                </c:pt>
                <c:pt idx="20">
                  <c:v>2.4311099999999999</c:v>
                </c:pt>
                <c:pt idx="21">
                  <c:v>2.4617900000000001</c:v>
                </c:pt>
                <c:pt idx="22">
                  <c:v>2.49064</c:v>
                </c:pt>
                <c:pt idx="23">
                  <c:v>2.51823</c:v>
                </c:pt>
                <c:pt idx="24">
                  <c:v>2.5471899999999996</c:v>
                </c:pt>
                <c:pt idx="25">
                  <c:v>2.5756899999999998</c:v>
                </c:pt>
                <c:pt idx="26">
                  <c:v>2.6025</c:v>
                </c:pt>
                <c:pt idx="27">
                  <c:v>2.6276600000000001</c:v>
                </c:pt>
                <c:pt idx="28">
                  <c:v>2.6485300000000001</c:v>
                </c:pt>
                <c:pt idx="29">
                  <c:v>2.6648100000000001</c:v>
                </c:pt>
                <c:pt idx="30">
                  <c:v>2.6782400000000002</c:v>
                </c:pt>
                <c:pt idx="31">
                  <c:v>2.6876600000000002</c:v>
                </c:pt>
                <c:pt idx="32">
                  <c:v>2.6943800000000002</c:v>
                </c:pt>
                <c:pt idx="33">
                  <c:v>2.6995400000000003</c:v>
                </c:pt>
                <c:pt idx="34">
                  <c:v>2.70329</c:v>
                </c:pt>
                <c:pt idx="35">
                  <c:v>2.7051699999999999</c:v>
                </c:pt>
                <c:pt idx="36">
                  <c:v>2.7055699999999998</c:v>
                </c:pt>
                <c:pt idx="37">
                  <c:v>2.70221</c:v>
                </c:pt>
                <c:pt idx="38">
                  <c:v>2.6966700000000001</c:v>
                </c:pt>
                <c:pt idx="39">
                  <c:v>2.6880600000000001</c:v>
                </c:pt>
                <c:pt idx="40">
                  <c:v>2.67598</c:v>
                </c:pt>
                <c:pt idx="41">
                  <c:v>2.6610699999999996</c:v>
                </c:pt>
                <c:pt idx="42">
                  <c:v>2.6464100000000004</c:v>
                </c:pt>
                <c:pt idx="43">
                  <c:v>2.6302099999999999</c:v>
                </c:pt>
                <c:pt idx="44">
                  <c:v>2.6121499999999997</c:v>
                </c:pt>
                <c:pt idx="45">
                  <c:v>2.5957999999999997</c:v>
                </c:pt>
                <c:pt idx="46">
                  <c:v>2.5794600000000001</c:v>
                </c:pt>
                <c:pt idx="47">
                  <c:v>2.5628600000000001</c:v>
                </c:pt>
                <c:pt idx="48">
                  <c:v>2.5482700000000005</c:v>
                </c:pt>
                <c:pt idx="49">
                  <c:v>2.5345</c:v>
                </c:pt>
                <c:pt idx="50">
                  <c:v>2.5210400000000002</c:v>
                </c:pt>
                <c:pt idx="51">
                  <c:v>2.5088300000000001</c:v>
                </c:pt>
                <c:pt idx="52">
                  <c:v>2.4999599999999997</c:v>
                </c:pt>
                <c:pt idx="53">
                  <c:v>2.4946299999999999</c:v>
                </c:pt>
                <c:pt idx="54">
                  <c:v>2.4932300000000001</c:v>
                </c:pt>
                <c:pt idx="55">
                  <c:v>2.4890099999999999</c:v>
                </c:pt>
                <c:pt idx="56">
                  <c:v>2.49024</c:v>
                </c:pt>
                <c:pt idx="57">
                  <c:v>2.4940000000000002</c:v>
                </c:pt>
                <c:pt idx="58">
                  <c:v>2.4999199999999999</c:v>
                </c:pt>
                <c:pt idx="59">
                  <c:v>2.5135400000000003</c:v>
                </c:pt>
                <c:pt idx="60">
                  <c:v>2.5185200000000001</c:v>
                </c:pt>
                <c:pt idx="61">
                  <c:v>2.53559</c:v>
                </c:pt>
                <c:pt idx="62">
                  <c:v>2.5509500000000003</c:v>
                </c:pt>
                <c:pt idx="63">
                  <c:v>2.5609999999999999</c:v>
                </c:pt>
                <c:pt idx="64">
                  <c:v>2.5832899999999999</c:v>
                </c:pt>
                <c:pt idx="65">
                  <c:v>2.6196299999999999</c:v>
                </c:pt>
                <c:pt idx="66">
                  <c:v>2.6487300000000005</c:v>
                </c:pt>
                <c:pt idx="67">
                  <c:v>2.6807300000000001</c:v>
                </c:pt>
                <c:pt idx="68">
                  <c:v>2.71197</c:v>
                </c:pt>
                <c:pt idx="69">
                  <c:v>2.7437200000000002</c:v>
                </c:pt>
                <c:pt idx="70">
                  <c:v>2.7667000000000002</c:v>
                </c:pt>
                <c:pt idx="71">
                  <c:v>2.8029799999999998</c:v>
                </c:pt>
                <c:pt idx="72">
                  <c:v>2.8256700000000001</c:v>
                </c:pt>
                <c:pt idx="73">
                  <c:v>2.8585400000000001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65.784500000000008</c:v>
                </c:pt>
                <c:pt idx="1">
                  <c:v>64.830399999999997</c:v>
                </c:pt>
                <c:pt idx="2">
                  <c:v>63.905900000000003</c:v>
                </c:pt>
                <c:pt idx="3">
                  <c:v>62.954699999999995</c:v>
                </c:pt>
                <c:pt idx="4">
                  <c:v>61.945700000000002</c:v>
                </c:pt>
                <c:pt idx="5">
                  <c:v>60.8322</c:v>
                </c:pt>
                <c:pt idx="6">
                  <c:v>59.594800000000006</c:v>
                </c:pt>
                <c:pt idx="7">
                  <c:v>58.366399999999999</c:v>
                </c:pt>
                <c:pt idx="8">
                  <c:v>57.269099999999995</c:v>
                </c:pt>
                <c:pt idx="9">
                  <c:v>56.202700000000007</c:v>
                </c:pt>
                <c:pt idx="10">
                  <c:v>55.179299999999998</c:v>
                </c:pt>
                <c:pt idx="11">
                  <c:v>54.169900000000005</c:v>
                </c:pt>
                <c:pt idx="12">
                  <c:v>53.126399999999997</c:v>
                </c:pt>
                <c:pt idx="13">
                  <c:v>52.116199999999999</c:v>
                </c:pt>
                <c:pt idx="14">
                  <c:v>51.043300000000002</c:v>
                </c:pt>
                <c:pt idx="15">
                  <c:v>49.931199999999997</c:v>
                </c:pt>
                <c:pt idx="16">
                  <c:v>48.814300000000003</c:v>
                </c:pt>
                <c:pt idx="17">
                  <c:v>47.839199999999998</c:v>
                </c:pt>
                <c:pt idx="18">
                  <c:v>46.9587</c:v>
                </c:pt>
                <c:pt idx="19">
                  <c:v>46.1021</c:v>
                </c:pt>
                <c:pt idx="20">
                  <c:v>45.310699999999997</c:v>
                </c:pt>
                <c:pt idx="21">
                  <c:v>44.634500000000003</c:v>
                </c:pt>
                <c:pt idx="22">
                  <c:v>44.044899999999998</c:v>
                </c:pt>
                <c:pt idx="23">
                  <c:v>43.518900000000002</c:v>
                </c:pt>
                <c:pt idx="24">
                  <c:v>42.996200000000002</c:v>
                </c:pt>
                <c:pt idx="25">
                  <c:v>42.471899999999998</c:v>
                </c:pt>
                <c:pt idx="26">
                  <c:v>41.999299999999998</c:v>
                </c:pt>
                <c:pt idx="27">
                  <c:v>41.5655</c:v>
                </c:pt>
                <c:pt idx="28">
                  <c:v>41.202600000000004</c:v>
                </c:pt>
                <c:pt idx="29">
                  <c:v>40.899299999999997</c:v>
                </c:pt>
                <c:pt idx="30">
                  <c:v>40.616999999999997</c:v>
                </c:pt>
                <c:pt idx="31">
                  <c:v>40.394300000000001</c:v>
                </c:pt>
                <c:pt idx="32">
                  <c:v>40.199200000000005</c:v>
                </c:pt>
                <c:pt idx="33">
                  <c:v>40.060899999999997</c:v>
                </c:pt>
                <c:pt idx="34">
                  <c:v>39.962599999999995</c:v>
                </c:pt>
                <c:pt idx="35">
                  <c:v>39.9116</c:v>
                </c:pt>
                <c:pt idx="36">
                  <c:v>39.869399999999999</c:v>
                </c:pt>
                <c:pt idx="37">
                  <c:v>39.853899999999996</c:v>
                </c:pt>
                <c:pt idx="38">
                  <c:v>39.8643</c:v>
                </c:pt>
                <c:pt idx="39">
                  <c:v>39.920899999999996</c:v>
                </c:pt>
                <c:pt idx="40">
                  <c:v>40.042999999999999</c:v>
                </c:pt>
                <c:pt idx="41">
                  <c:v>40.236600000000003</c:v>
                </c:pt>
                <c:pt idx="42">
                  <c:v>40.342700000000001</c:v>
                </c:pt>
                <c:pt idx="43">
                  <c:v>40.411000000000001</c:v>
                </c:pt>
                <c:pt idx="44">
                  <c:v>40.500799999999998</c:v>
                </c:pt>
                <c:pt idx="45">
                  <c:v>40.553400000000003</c:v>
                </c:pt>
                <c:pt idx="46">
                  <c:v>40.571100000000001</c:v>
                </c:pt>
                <c:pt idx="47">
                  <c:v>40.585900000000002</c:v>
                </c:pt>
                <c:pt idx="48">
                  <c:v>40.577000000000005</c:v>
                </c:pt>
                <c:pt idx="49">
                  <c:v>40.609400000000001</c:v>
                </c:pt>
                <c:pt idx="50">
                  <c:v>40.754200000000004</c:v>
                </c:pt>
                <c:pt idx="51">
                  <c:v>40.896900000000002</c:v>
                </c:pt>
                <c:pt idx="52">
                  <c:v>41.0306</c:v>
                </c:pt>
                <c:pt idx="53">
                  <c:v>41.0749</c:v>
                </c:pt>
                <c:pt idx="54">
                  <c:v>40.9497</c:v>
                </c:pt>
                <c:pt idx="55">
                  <c:v>40.956699999999998</c:v>
                </c:pt>
                <c:pt idx="56">
                  <c:v>40.8964</c:v>
                </c:pt>
                <c:pt idx="57">
                  <c:v>40.776499999999999</c:v>
                </c:pt>
                <c:pt idx="58">
                  <c:v>40.528399999999998</c:v>
                </c:pt>
                <c:pt idx="59">
                  <c:v>40.133899999999997</c:v>
                </c:pt>
                <c:pt idx="60">
                  <c:v>39.926299999999998</c:v>
                </c:pt>
                <c:pt idx="61">
                  <c:v>39.552199999999999</c:v>
                </c:pt>
                <c:pt idx="62">
                  <c:v>39.2256</c:v>
                </c:pt>
                <c:pt idx="63">
                  <c:v>38.955300000000001</c:v>
                </c:pt>
                <c:pt idx="64">
                  <c:v>38.440000000000005</c:v>
                </c:pt>
                <c:pt idx="65">
                  <c:v>37.576500000000003</c:v>
                </c:pt>
                <c:pt idx="66">
                  <c:v>36.965599999999995</c:v>
                </c:pt>
                <c:pt idx="67">
                  <c:v>36.392799999999994</c:v>
                </c:pt>
                <c:pt idx="68">
                  <c:v>35.887700000000002</c:v>
                </c:pt>
                <c:pt idx="69">
                  <c:v>35.459299999999999</c:v>
                </c:pt>
                <c:pt idx="70">
                  <c:v>35.234999999999999</c:v>
                </c:pt>
                <c:pt idx="71">
                  <c:v>34.884700000000002</c:v>
                </c:pt>
                <c:pt idx="72">
                  <c:v>34.7468</c:v>
                </c:pt>
                <c:pt idx="73">
                  <c:v>34.479799999999997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2.8585400000000001</c:v>
                </c:pt>
                <c:pt idx="1">
                  <c:v>2.8825499999999997</c:v>
                </c:pt>
                <c:pt idx="2">
                  <c:v>2.9068199999999997</c:v>
                </c:pt>
                <c:pt idx="3">
                  <c:v>2.9291200000000002</c:v>
                </c:pt>
                <c:pt idx="4">
                  <c:v>2.9475699999999998</c:v>
                </c:pt>
                <c:pt idx="5">
                  <c:v>2.9641899999999999</c:v>
                </c:pt>
                <c:pt idx="6">
                  <c:v>2.9756</c:v>
                </c:pt>
                <c:pt idx="7">
                  <c:v>2.9853499999999999</c:v>
                </c:pt>
                <c:pt idx="8">
                  <c:v>2.9922199999999997</c:v>
                </c:pt>
                <c:pt idx="9">
                  <c:v>2.9982700000000002</c:v>
                </c:pt>
                <c:pt idx="10">
                  <c:v>3.0020899999999999</c:v>
                </c:pt>
                <c:pt idx="11">
                  <c:v>3.0032300000000003</c:v>
                </c:pt>
                <c:pt idx="12">
                  <c:v>3.00197</c:v>
                </c:pt>
                <c:pt idx="13">
                  <c:v>2.9992999999999999</c:v>
                </c:pt>
                <c:pt idx="14">
                  <c:v>2.9904299999999999</c:v>
                </c:pt>
                <c:pt idx="15">
                  <c:v>2.9778900000000004</c:v>
                </c:pt>
                <c:pt idx="16">
                  <c:v>2.9574499999999997</c:v>
                </c:pt>
                <c:pt idx="17">
                  <c:v>2.9362500000000002</c:v>
                </c:pt>
                <c:pt idx="18">
                  <c:v>2.9152399999999998</c:v>
                </c:pt>
                <c:pt idx="19">
                  <c:v>2.8917599999999997</c:v>
                </c:pt>
                <c:pt idx="20">
                  <c:v>2.8678300000000001</c:v>
                </c:pt>
                <c:pt idx="21">
                  <c:v>2.8405300000000002</c:v>
                </c:pt>
                <c:pt idx="22">
                  <c:v>2.8123300000000002</c:v>
                </c:pt>
                <c:pt idx="23">
                  <c:v>2.78552</c:v>
                </c:pt>
                <c:pt idx="24">
                  <c:v>2.75901</c:v>
                </c:pt>
                <c:pt idx="25">
                  <c:v>2.7287299999999997</c:v>
                </c:pt>
                <c:pt idx="26">
                  <c:v>2.6978999999999997</c:v>
                </c:pt>
                <c:pt idx="27">
                  <c:v>2.6673599999999995</c:v>
                </c:pt>
                <c:pt idx="28">
                  <c:v>2.6404199999999998</c:v>
                </c:pt>
                <c:pt idx="29">
                  <c:v>2.6146200000000004</c:v>
                </c:pt>
                <c:pt idx="30">
                  <c:v>2.5892900000000001</c:v>
                </c:pt>
                <c:pt idx="31">
                  <c:v>2.56717</c:v>
                </c:pt>
                <c:pt idx="32">
                  <c:v>2.5446999999999997</c:v>
                </c:pt>
                <c:pt idx="33">
                  <c:v>2.5267299999999997</c:v>
                </c:pt>
                <c:pt idx="34">
                  <c:v>2.5123099999999998</c:v>
                </c:pt>
                <c:pt idx="35">
                  <c:v>2.4999400000000001</c:v>
                </c:pt>
                <c:pt idx="36">
                  <c:v>2.48793</c:v>
                </c:pt>
                <c:pt idx="37">
                  <c:v>2.4775200000000002</c:v>
                </c:pt>
                <c:pt idx="38">
                  <c:v>2.4694500000000001</c:v>
                </c:pt>
                <c:pt idx="39">
                  <c:v>2.4642599999999999</c:v>
                </c:pt>
                <c:pt idx="40">
                  <c:v>2.4577</c:v>
                </c:pt>
                <c:pt idx="41">
                  <c:v>2.4527299999999999</c:v>
                </c:pt>
                <c:pt idx="42">
                  <c:v>2.4494199999999999</c:v>
                </c:pt>
                <c:pt idx="43">
                  <c:v>2.4483199999999998</c:v>
                </c:pt>
                <c:pt idx="44">
                  <c:v>2.4485199999999998</c:v>
                </c:pt>
                <c:pt idx="45">
                  <c:v>2.4477899999999999</c:v>
                </c:pt>
                <c:pt idx="46">
                  <c:v>2.45242</c:v>
                </c:pt>
                <c:pt idx="47">
                  <c:v>2.4598100000000001</c:v>
                </c:pt>
                <c:pt idx="48">
                  <c:v>2.4693000000000001</c:v>
                </c:pt>
                <c:pt idx="49">
                  <c:v>2.4780199999999999</c:v>
                </c:pt>
                <c:pt idx="50">
                  <c:v>2.4860799999999998</c:v>
                </c:pt>
                <c:pt idx="51">
                  <c:v>2.4947699999999999</c:v>
                </c:pt>
                <c:pt idx="52">
                  <c:v>2.5025599999999999</c:v>
                </c:pt>
                <c:pt idx="53">
                  <c:v>2.5069399999999997</c:v>
                </c:pt>
                <c:pt idx="54">
                  <c:v>2.5121700000000002</c:v>
                </c:pt>
                <c:pt idx="55">
                  <c:v>2.5181500000000003</c:v>
                </c:pt>
                <c:pt idx="56">
                  <c:v>2.5254300000000001</c:v>
                </c:pt>
                <c:pt idx="57">
                  <c:v>2.53545</c:v>
                </c:pt>
                <c:pt idx="58">
                  <c:v>2.5417000000000001</c:v>
                </c:pt>
                <c:pt idx="59">
                  <c:v>2.5423299999999998</c:v>
                </c:pt>
                <c:pt idx="60">
                  <c:v>2.5419799999999997</c:v>
                </c:pt>
                <c:pt idx="61">
                  <c:v>2.54176</c:v>
                </c:pt>
                <c:pt idx="62">
                  <c:v>2.5399500000000002</c:v>
                </c:pt>
                <c:pt idx="63">
                  <c:v>2.5357800000000004</c:v>
                </c:pt>
                <c:pt idx="64">
                  <c:v>2.5331799999999998</c:v>
                </c:pt>
                <c:pt idx="65">
                  <c:v>2.53843</c:v>
                </c:pt>
                <c:pt idx="66">
                  <c:v>2.5502799999999999</c:v>
                </c:pt>
                <c:pt idx="67">
                  <c:v>2.5607099999999998</c:v>
                </c:pt>
                <c:pt idx="68">
                  <c:v>2.5654300000000001</c:v>
                </c:pt>
                <c:pt idx="69">
                  <c:v>2.5689000000000002</c:v>
                </c:pt>
                <c:pt idx="70">
                  <c:v>2.5821199999999997</c:v>
                </c:pt>
                <c:pt idx="71">
                  <c:v>2.5930900000000001</c:v>
                </c:pt>
                <c:pt idx="72">
                  <c:v>2.5991999999999997</c:v>
                </c:pt>
                <c:pt idx="73">
                  <c:v>2.5834899999999998</c:v>
                </c:pt>
                <c:pt idx="74">
                  <c:v>2.5286399999999998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34.479799999999997</c:v>
                </c:pt>
                <c:pt idx="1">
                  <c:v>34.268700000000003</c:v>
                </c:pt>
                <c:pt idx="2">
                  <c:v>34.009900000000002</c:v>
                </c:pt>
                <c:pt idx="3">
                  <c:v>33.7898</c:v>
                </c:pt>
                <c:pt idx="4">
                  <c:v>33.588000000000001</c:v>
                </c:pt>
                <c:pt idx="5">
                  <c:v>33.46</c:v>
                </c:pt>
                <c:pt idx="6">
                  <c:v>33.505099999999999</c:v>
                </c:pt>
                <c:pt idx="7">
                  <c:v>33.534599999999998</c:v>
                </c:pt>
                <c:pt idx="8">
                  <c:v>33.5792</c:v>
                </c:pt>
                <c:pt idx="9">
                  <c:v>33.661000000000001</c:v>
                </c:pt>
                <c:pt idx="10">
                  <c:v>33.802300000000002</c:v>
                </c:pt>
                <c:pt idx="11">
                  <c:v>33.911900000000003</c:v>
                </c:pt>
                <c:pt idx="12">
                  <c:v>34.035800000000002</c:v>
                </c:pt>
                <c:pt idx="13">
                  <c:v>34.148899999999998</c:v>
                </c:pt>
                <c:pt idx="14">
                  <c:v>34.271799999999999</c:v>
                </c:pt>
                <c:pt idx="15">
                  <c:v>34.427900000000001</c:v>
                </c:pt>
                <c:pt idx="16">
                  <c:v>34.698</c:v>
                </c:pt>
                <c:pt idx="17">
                  <c:v>34.999299999999998</c:v>
                </c:pt>
                <c:pt idx="18">
                  <c:v>35.330500000000001</c:v>
                </c:pt>
                <c:pt idx="19">
                  <c:v>35.731699999999996</c:v>
                </c:pt>
                <c:pt idx="20">
                  <c:v>36.135199999999998</c:v>
                </c:pt>
                <c:pt idx="21">
                  <c:v>36.551499999999997</c:v>
                </c:pt>
                <c:pt idx="22">
                  <c:v>36.9587</c:v>
                </c:pt>
                <c:pt idx="23">
                  <c:v>37.349299999999999</c:v>
                </c:pt>
                <c:pt idx="24">
                  <c:v>37.741599999999998</c:v>
                </c:pt>
                <c:pt idx="25">
                  <c:v>38.203800000000001</c:v>
                </c:pt>
                <c:pt idx="26">
                  <c:v>38.7134</c:v>
                </c:pt>
                <c:pt idx="27">
                  <c:v>39.301199999999994</c:v>
                </c:pt>
                <c:pt idx="28">
                  <c:v>39.889400000000002</c:v>
                </c:pt>
                <c:pt idx="29">
                  <c:v>40.456399999999995</c:v>
                </c:pt>
                <c:pt idx="30">
                  <c:v>40.996700000000004</c:v>
                </c:pt>
                <c:pt idx="31">
                  <c:v>41.3917</c:v>
                </c:pt>
                <c:pt idx="32">
                  <c:v>41.765600000000006</c:v>
                </c:pt>
                <c:pt idx="33">
                  <c:v>42.040700000000001</c:v>
                </c:pt>
                <c:pt idx="34">
                  <c:v>42.232100000000003</c:v>
                </c:pt>
                <c:pt idx="35">
                  <c:v>42.354399999999998</c:v>
                </c:pt>
                <c:pt idx="36">
                  <c:v>42.482199999999999</c:v>
                </c:pt>
                <c:pt idx="37">
                  <c:v>42.5428</c:v>
                </c:pt>
                <c:pt idx="38">
                  <c:v>42.517300000000006</c:v>
                </c:pt>
                <c:pt idx="39">
                  <c:v>42.411799999999999</c:v>
                </c:pt>
                <c:pt idx="40">
                  <c:v>42.314</c:v>
                </c:pt>
                <c:pt idx="41">
                  <c:v>42.126100000000001</c:v>
                </c:pt>
                <c:pt idx="42">
                  <c:v>41.925000000000004</c:v>
                </c:pt>
                <c:pt idx="43">
                  <c:v>41.685600000000001</c:v>
                </c:pt>
                <c:pt idx="44">
                  <c:v>41.413600000000002</c:v>
                </c:pt>
                <c:pt idx="45">
                  <c:v>41.154600000000002</c:v>
                </c:pt>
                <c:pt idx="46">
                  <c:v>40.9071</c:v>
                </c:pt>
                <c:pt idx="47">
                  <c:v>40.702500000000001</c:v>
                </c:pt>
                <c:pt idx="48">
                  <c:v>40.490400000000001</c:v>
                </c:pt>
                <c:pt idx="49">
                  <c:v>40.378300000000003</c:v>
                </c:pt>
                <c:pt idx="50">
                  <c:v>40.2361</c:v>
                </c:pt>
                <c:pt idx="51">
                  <c:v>40.038600000000002</c:v>
                </c:pt>
                <c:pt idx="52">
                  <c:v>39.842799999999997</c:v>
                </c:pt>
                <c:pt idx="53">
                  <c:v>39.684999999999995</c:v>
                </c:pt>
                <c:pt idx="54">
                  <c:v>39.544000000000004</c:v>
                </c:pt>
                <c:pt idx="55">
                  <c:v>39.4054</c:v>
                </c:pt>
                <c:pt idx="56">
                  <c:v>39.238900000000001</c:v>
                </c:pt>
                <c:pt idx="57">
                  <c:v>39.046999999999997</c:v>
                </c:pt>
                <c:pt idx="58">
                  <c:v>38.891100000000002</c:v>
                </c:pt>
                <c:pt idx="59">
                  <c:v>38.873799999999996</c:v>
                </c:pt>
                <c:pt idx="60">
                  <c:v>38.879000000000005</c:v>
                </c:pt>
                <c:pt idx="61">
                  <c:v>38.862099999999998</c:v>
                </c:pt>
                <c:pt idx="62">
                  <c:v>38.895899999999997</c:v>
                </c:pt>
                <c:pt idx="63">
                  <c:v>39.028100000000002</c:v>
                </c:pt>
                <c:pt idx="64">
                  <c:v>39.115100000000005</c:v>
                </c:pt>
                <c:pt idx="65">
                  <c:v>39.172200000000004</c:v>
                </c:pt>
                <c:pt idx="66">
                  <c:v>39.370399999999997</c:v>
                </c:pt>
                <c:pt idx="67">
                  <c:v>39.623000000000005</c:v>
                </c:pt>
                <c:pt idx="68">
                  <c:v>39.933600000000006</c:v>
                </c:pt>
                <c:pt idx="69">
                  <c:v>40.265499999999996</c:v>
                </c:pt>
                <c:pt idx="70">
                  <c:v>40.708199999999998</c:v>
                </c:pt>
                <c:pt idx="71">
                  <c:v>40.910800000000002</c:v>
                </c:pt>
                <c:pt idx="72">
                  <c:v>41.055399999999999</c:v>
                </c:pt>
                <c:pt idx="73">
                  <c:v>41.631299999999996</c:v>
                </c:pt>
                <c:pt idx="74">
                  <c:v>42.264000000000003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1.6071499999999999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65.784500000000008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2.4475032432432431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44.275967567567555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2.6608567567567567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38.627090540540557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2.6608567567567567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38.627090540540557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8" t="s">
        <v>624</v>
      </c>
      <c r="D5" s="151"/>
      <c r="E5" s="151"/>
      <c r="F5" s="152"/>
      <c r="G5" s="48" t="str">
        <f>lang!B27</f>
        <v>编号</v>
      </c>
      <c r="H5" s="150">
        <v>1</v>
      </c>
      <c r="I5" s="151"/>
      <c r="J5" s="151"/>
      <c r="K5" s="153"/>
    </row>
    <row r="6" spans="2:21" ht="17.25" customHeight="1">
      <c r="B6" s="46" t="str">
        <f>lang!B25</f>
        <v>性别</v>
      </c>
      <c r="C6" s="197" t="s">
        <v>623</v>
      </c>
      <c r="D6" s="188"/>
      <c r="E6" s="188"/>
      <c r="F6" s="189"/>
      <c r="G6" s="49" t="str">
        <f>lang!B28</f>
        <v xml:space="preserve"> 日期</v>
      </c>
      <c r="H6" s="172">
        <f>FH_info!A2</f>
        <v>43628.369872685187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31</v>
      </c>
      <c r="D7" s="191"/>
      <c r="E7" s="191"/>
      <c r="F7" s="192"/>
      <c r="G7" s="50" t="str">
        <f>lang!B29</f>
        <v>误差率（%）</v>
      </c>
      <c r="H7" s="175">
        <f>M!B17*1</f>
        <v>18.9312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34.9666</v>
      </c>
      <c r="O8" s="59">
        <f>M!C5*1</f>
        <v>7.7950600000000003</v>
      </c>
      <c r="P8" s="59">
        <f>M!D5*1</f>
        <v>22.292899999999999</v>
      </c>
      <c r="Q8" s="59">
        <f>M!E5*1</f>
        <v>20</v>
      </c>
      <c r="R8" s="59">
        <f>M!F5*1</f>
        <v>10.5702</v>
      </c>
      <c r="S8" s="59">
        <f>M!G5*1</f>
        <v>50</v>
      </c>
      <c r="T8" s="59">
        <f>M!H5*1</f>
        <v>45.219200000000001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32.343699999999998</v>
      </c>
      <c r="O9" s="59">
        <f>M!C6*1</f>
        <v>2.3210999999999999</v>
      </c>
      <c r="P9" s="59">
        <f>M!D6*1</f>
        <v>7.1763599999999999</v>
      </c>
      <c r="Q9" s="59">
        <f>M!E6*1</f>
        <v>20</v>
      </c>
      <c r="R9" s="59">
        <f>M!F6*1</f>
        <v>29.648</v>
      </c>
      <c r="S9" s="59">
        <f>M!G6*1</f>
        <v>40</v>
      </c>
      <c r="T9" s="59">
        <f>M!H6*1</f>
        <v>42.781300000000002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10.5702</v>
      </c>
      <c r="D10" s="99">
        <f>N8</f>
        <v>34.9666</v>
      </c>
      <c r="E10" s="100">
        <f>T8</f>
        <v>45.219200000000001</v>
      </c>
      <c r="F10" s="91">
        <f>P8</f>
        <v>22.292899999999999</v>
      </c>
      <c r="G10" s="81" t="str">
        <f>CONCATENATE(M9,"
(20 ~ 40)")</f>
        <v>压力
(20 ~ 40)</v>
      </c>
      <c r="H10" s="98">
        <f>R9</f>
        <v>29.648</v>
      </c>
      <c r="I10" s="108">
        <f>N9</f>
        <v>32.343699999999998</v>
      </c>
      <c r="J10" s="98">
        <f>T9</f>
        <v>42.781300000000002</v>
      </c>
      <c r="K10" s="92">
        <f>P9</f>
        <v>7.1763599999999999</v>
      </c>
      <c r="L10" s="6"/>
      <c r="M10" s="27" t="str">
        <f>lang!B16</f>
        <v>焦虑</v>
      </c>
      <c r="N10" s="59">
        <f>M!B7*1</f>
        <v>32.093800000000002</v>
      </c>
      <c r="O10" s="59">
        <f>M!C7*1</f>
        <v>11.4895</v>
      </c>
      <c r="P10" s="59">
        <f>M!D7*1</f>
        <v>35.799599999999998</v>
      </c>
      <c r="Q10" s="59">
        <f>M!E7*1</f>
        <v>15</v>
      </c>
      <c r="R10" s="59">
        <f>M!F7*1</f>
        <v>4.5931600000000001</v>
      </c>
      <c r="S10" s="59">
        <f>M!G7*1</f>
        <v>40</v>
      </c>
      <c r="T10" s="59">
        <f>M!H7*1</f>
        <v>59.658900000000003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4.5931600000000001</v>
      </c>
      <c r="D11" s="102">
        <f>N10</f>
        <v>32.093800000000002</v>
      </c>
      <c r="E11" s="103">
        <f>T10</f>
        <v>59.658900000000003</v>
      </c>
      <c r="F11" s="94">
        <f>P10</f>
        <v>35.799599999999998</v>
      </c>
      <c r="G11" s="52" t="str">
        <f>CONCATENATE(M11,"
(20 ~ 50)")</f>
        <v>可疑
(20 ~ 50)</v>
      </c>
      <c r="H11" s="101">
        <f>R11</f>
        <v>22.0442</v>
      </c>
      <c r="I11" s="104">
        <f>N11</f>
        <v>33.077399999999997</v>
      </c>
      <c r="J11" s="101">
        <f>T11</f>
        <v>44.664700000000003</v>
      </c>
      <c r="K11" s="95">
        <f>P11</f>
        <v>11.3887</v>
      </c>
      <c r="L11" s="4"/>
      <c r="M11" s="27" t="str">
        <f>lang!B17</f>
        <v>可疑</v>
      </c>
      <c r="N11" s="59">
        <f>M!B8*1</f>
        <v>33.077399999999997</v>
      </c>
      <c r="O11" s="59">
        <f>M!C8*1</f>
        <v>3.76709</v>
      </c>
      <c r="P11" s="59">
        <f>M!D8*1</f>
        <v>11.3887</v>
      </c>
      <c r="Q11" s="59">
        <f>M!E8*1</f>
        <v>20</v>
      </c>
      <c r="R11" s="59">
        <f>M!F8*1</f>
        <v>22.0442</v>
      </c>
      <c r="S11" s="59">
        <f>M!G8*1</f>
        <v>50</v>
      </c>
      <c r="T11" s="59">
        <f>M!H8*1</f>
        <v>44.664700000000003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39.800899999999999</v>
      </c>
      <c r="D12" s="104">
        <f>N12</f>
        <v>66.172899999999998</v>
      </c>
      <c r="E12" s="101">
        <f>T12</f>
        <v>87.597800000000007</v>
      </c>
      <c r="F12" s="93">
        <f>P12</f>
        <v>16.4741</v>
      </c>
      <c r="G12" s="52" t="str">
        <f>CONCATENATE(M13,"
(40 ~ 100)")</f>
        <v>自信
(40 ~ 100)</v>
      </c>
      <c r="H12" s="101">
        <f>R13</f>
        <v>41.802300000000002</v>
      </c>
      <c r="I12" s="104">
        <f>N13</f>
        <v>80.205399999999997</v>
      </c>
      <c r="J12" s="101">
        <f>T13</f>
        <v>83.608900000000006</v>
      </c>
      <c r="K12" s="95">
        <f>P13</f>
        <v>8.3219399999999997</v>
      </c>
      <c r="L12" s="4"/>
      <c r="M12" s="27" t="str">
        <f>lang!B18</f>
        <v>平衡</v>
      </c>
      <c r="N12" s="59">
        <f>M!B9*1</f>
        <v>66.172899999999998</v>
      </c>
      <c r="O12" s="59">
        <f>M!C9*1</f>
        <v>10.901400000000001</v>
      </c>
      <c r="P12" s="59">
        <f>M!D9*1</f>
        <v>16.4741</v>
      </c>
      <c r="Q12" s="59">
        <f>M!E9*1</f>
        <v>50</v>
      </c>
      <c r="R12" s="59">
        <f>M!F9*1</f>
        <v>39.800899999999999</v>
      </c>
      <c r="S12" s="59">
        <f>M!G9*1</f>
        <v>100</v>
      </c>
      <c r="T12" s="59">
        <f>M!H9*1</f>
        <v>87.597800000000007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8.0849799999999998</v>
      </c>
      <c r="D13" s="102">
        <f>N14</f>
        <v>13.502599999999999</v>
      </c>
      <c r="E13" s="103">
        <f>T14</f>
        <v>17.654299999999999</v>
      </c>
      <c r="F13" s="94">
        <f>P14</f>
        <v>16.353899999999999</v>
      </c>
      <c r="G13" s="52" t="str">
        <f>CONCATENATE(M15,"
(50 ~ 100)")</f>
        <v>自我调节
(50 ~ 100)</v>
      </c>
      <c r="H13" s="101">
        <f>R15</f>
        <v>53.1843</v>
      </c>
      <c r="I13" s="104">
        <f>N15</f>
        <v>72.374700000000004</v>
      </c>
      <c r="J13" s="101">
        <f>T15</f>
        <v>85.336799999999997</v>
      </c>
      <c r="K13" s="95">
        <f>P15</f>
        <v>9.4782600000000006</v>
      </c>
      <c r="L13" s="4"/>
      <c r="M13" s="27" t="str">
        <f>lang!B19</f>
        <v>自信</v>
      </c>
      <c r="N13" s="59">
        <f>M!B10*1</f>
        <v>80.205399999999997</v>
      </c>
      <c r="O13" s="59">
        <f>M!C10*1</f>
        <v>6.6746400000000001</v>
      </c>
      <c r="P13" s="59">
        <f>M!D10*1</f>
        <v>8.3219399999999997</v>
      </c>
      <c r="Q13" s="59">
        <f>M!E10*1</f>
        <v>40</v>
      </c>
      <c r="R13" s="59">
        <f>M!F10*1</f>
        <v>41.802300000000002</v>
      </c>
      <c r="S13" s="59">
        <f>M!G10*1</f>
        <v>100</v>
      </c>
      <c r="T13" s="59">
        <f>M!H10*1</f>
        <v>83.608900000000006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9.8030899999999992</v>
      </c>
      <c r="D14" s="106">
        <f>N16</f>
        <v>11.2662</v>
      </c>
      <c r="E14" s="107">
        <f>T16</f>
        <v>28.555199999999999</v>
      </c>
      <c r="F14" s="96">
        <f>P16</f>
        <v>23.244399999999999</v>
      </c>
      <c r="G14" s="112" t="str">
        <f>CONCATENATE(M17,"
(10 ~ 50)")</f>
        <v>神经质
(10 ~ 50)</v>
      </c>
      <c r="H14" s="105">
        <f>R17</f>
        <v>0.55985499999999999</v>
      </c>
      <c r="I14" s="106">
        <f>N17</f>
        <v>26.1877</v>
      </c>
      <c r="J14" s="107">
        <f>T17</f>
        <v>41.208599999999997</v>
      </c>
      <c r="K14" s="97">
        <f>P17</f>
        <v>38.782200000000003</v>
      </c>
      <c r="M14" s="27" t="str">
        <f>lang!B20</f>
        <v>活力</v>
      </c>
      <c r="N14" s="59">
        <f>M!B11*1</f>
        <v>13.502599999999999</v>
      </c>
      <c r="O14" s="59">
        <f>M!C11*1</f>
        <v>2.2082099999999998</v>
      </c>
      <c r="P14" s="59">
        <f>M!D11*1</f>
        <v>16.353899999999999</v>
      </c>
      <c r="Q14" s="59">
        <f>M!E11*1</f>
        <v>10</v>
      </c>
      <c r="R14" s="59">
        <f>M!F11*1</f>
        <v>8.0849799999999998</v>
      </c>
      <c r="S14" s="59">
        <f>M!G11*1</f>
        <v>50</v>
      </c>
      <c r="T14" s="59">
        <f>M!H11*1</f>
        <v>17.654299999999999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72.374700000000004</v>
      </c>
      <c r="O15" s="59">
        <f>M!C12*1</f>
        <v>6.8598600000000003</v>
      </c>
      <c r="P15" s="59">
        <f>M!D12*1</f>
        <v>9.4782600000000006</v>
      </c>
      <c r="Q15" s="59">
        <f>M!E12*1</f>
        <v>50</v>
      </c>
      <c r="R15" s="59">
        <f>M!F12*1</f>
        <v>53.1843</v>
      </c>
      <c r="S15" s="59">
        <f>M!G12*1</f>
        <v>100</v>
      </c>
      <c r="T15" s="59">
        <f>M!H12*1</f>
        <v>85.336799999999997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11.2662</v>
      </c>
      <c r="O16" s="59">
        <f>M!C13*1</f>
        <v>2.61877</v>
      </c>
      <c r="P16" s="59">
        <f>M!D13*1</f>
        <v>23.244399999999999</v>
      </c>
      <c r="Q16" s="59">
        <f>M!E13*1</f>
        <v>10</v>
      </c>
      <c r="R16" s="59">
        <f>M!F13*1</f>
        <v>9.8030899999999992</v>
      </c>
      <c r="S16" s="59">
        <f>M!G13*1</f>
        <v>25</v>
      </c>
      <c r="T16" s="59">
        <f>M!H13*1</f>
        <v>28.555199999999999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26.1877</v>
      </c>
      <c r="O17" s="59">
        <f>M!C14*1</f>
        <v>10.1561</v>
      </c>
      <c r="P17" s="59">
        <f>M!D14*1</f>
        <v>38.782200000000003</v>
      </c>
      <c r="Q17" s="59">
        <f>M!E14*1</f>
        <v>10</v>
      </c>
      <c r="R17" s="59">
        <f>M!F14*1</f>
        <v>0.55985499999999999</v>
      </c>
      <c r="S17" s="59">
        <f>M!G14*1</f>
        <v>50</v>
      </c>
      <c r="T17" s="59">
        <f>M!H14*1</f>
        <v>41.208599999999997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58.063900000000004</v>
      </c>
      <c r="O18" s="22">
        <f>N18/(N18+N19+N20)</f>
        <v>0.52827998232209683</v>
      </c>
      <c r="P18" s="65">
        <f>SUM(P12:P15)/4</f>
        <v>12.65705</v>
      </c>
      <c r="Q18" s="22">
        <f>P18/(P18+P19+P20)</f>
        <v>0.20143395198261346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33.120374999999996</v>
      </c>
      <c r="O19" s="22">
        <f>N19/(N18+N19+N20)</f>
        <v>0.30133751125055697</v>
      </c>
      <c r="P19" s="18">
        <f>SUM(P8:P11)/4</f>
        <v>19.164389999999997</v>
      </c>
      <c r="Q19" s="22">
        <f>P19/(P18+P19+P20)</f>
        <v>0.30499672633323538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18.726949999999999</v>
      </c>
      <c r="O20" s="22">
        <f>N20/(N18+N19+N20)</f>
        <v>0.17038250642734623</v>
      </c>
      <c r="P20" s="18">
        <f>(P16+P17)/2</f>
        <v>31.013300000000001</v>
      </c>
      <c r="Q20" s="22">
        <f>P20/(P18+P19+P20)</f>
        <v>0.49356932168415119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-7.7824121621621334E-2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1.2398598938696308</v>
      </c>
      <c r="D25" s="44" t="str">
        <f>lang!B11</f>
        <v>频率方差</v>
      </c>
      <c r="E25" s="142">
        <f ca="1">FH!L3</f>
        <v>0.60216228034424779</v>
      </c>
      <c r="F25" s="143"/>
      <c r="G25" s="134" t="str">
        <f>lang!B12</f>
        <v>生理变化率</v>
      </c>
      <c r="H25" s="135"/>
      <c r="I25" s="62" t="str">
        <f ca="1">CONCATENATE(info!M7,"-",info!M8)</f>
        <v>33.5-65.8</v>
      </c>
      <c r="J25" s="42" t="str">
        <f>lang!B13</f>
        <v>千卡l/分钟</v>
      </c>
      <c r="K25" s="41" t="str">
        <f ca="1">CONCATENATE(info!M5,"-",info!M6)</f>
        <v>1.6-3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55.095700000000001</v>
      </c>
      <c r="F28" s="164"/>
      <c r="G28" s="178" t="str">
        <f>lang!B33</f>
        <v>稳定性</v>
      </c>
      <c r="H28" s="179"/>
      <c r="I28" s="180"/>
      <c r="J28" s="181">
        <f>M!B19*100</f>
        <v>71.55080000000001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⊡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⊠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43628.369872685187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5.8532000000000011</v>
      </c>
      <c r="O7" s="59">
        <f t="shared" ref="O7:T7" si="2">AG7-X7</f>
        <v>-4.2534400000000003</v>
      </c>
      <c r="P7" s="59">
        <f t="shared" si="2"/>
        <v>-15.235600000000002</v>
      </c>
      <c r="Q7" s="59">
        <f t="shared" si="2"/>
        <v>0</v>
      </c>
      <c r="R7" s="59">
        <f t="shared" si="2"/>
        <v>17.149999999999999</v>
      </c>
      <c r="S7" s="59">
        <f t="shared" si="2"/>
        <v>0</v>
      </c>
      <c r="T7" s="59">
        <f t="shared" si="2"/>
        <v>5.368700000000004</v>
      </c>
      <c r="U7" s="14"/>
      <c r="V7" s="27" t="str">
        <f>M7</f>
        <v>攻击性</v>
      </c>
      <c r="W7" s="59">
        <f>'M1'!B5*1</f>
        <v>31.8416</v>
      </c>
      <c r="X7" s="59">
        <f>'M1'!C5*1</f>
        <v>8.1033600000000003</v>
      </c>
      <c r="Y7" s="59">
        <f>'M1'!D5*1</f>
        <v>25.449000000000002</v>
      </c>
      <c r="Z7" s="59">
        <f>'M1'!E5*1</f>
        <v>20</v>
      </c>
      <c r="AA7" s="59">
        <f>'M1'!F5*1</f>
        <v>10.5702</v>
      </c>
      <c r="AB7" s="59">
        <f>'M1'!G5*1</f>
        <v>50</v>
      </c>
      <c r="AC7" s="59">
        <f>'M1'!H5*1</f>
        <v>39.850499999999997</v>
      </c>
      <c r="AE7" s="27" t="str">
        <f>V7</f>
        <v>攻击性</v>
      </c>
      <c r="AF7" s="59">
        <f>'M2'!B5*1</f>
        <v>37.694800000000001</v>
      </c>
      <c r="AG7" s="59">
        <f>'M2'!C5*1</f>
        <v>3.84992</v>
      </c>
      <c r="AH7" s="59">
        <f>'M2'!D5*1</f>
        <v>10.2134</v>
      </c>
      <c r="AI7" s="59">
        <f>'M2'!E5*1</f>
        <v>20</v>
      </c>
      <c r="AJ7" s="59">
        <f>'M2'!F5*1</f>
        <v>27.720199999999998</v>
      </c>
      <c r="AK7" s="59">
        <f>'M2'!G5*1</f>
        <v>50</v>
      </c>
      <c r="AL7" s="59">
        <f>'M2'!H5*1</f>
        <v>45.219200000000001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-1.1322000000000045</v>
      </c>
      <c r="O8" s="59">
        <f t="shared" ref="O8:O16" si="5">AG8-X8</f>
        <v>0.52566999999999986</v>
      </c>
      <c r="P8" s="59">
        <f t="shared" ref="P8:P16" si="6">AH8-Y8</f>
        <v>1.8566200000000004</v>
      </c>
      <c r="Q8" s="59">
        <f t="shared" ref="Q8:Q16" si="7">AI8-Z8</f>
        <v>0</v>
      </c>
      <c r="R8" s="59">
        <f t="shared" ref="R8:R16" si="8">AJ8-AA8</f>
        <v>0.3849000000000018</v>
      </c>
      <c r="S8" s="59">
        <f t="shared" ref="S8:S16" si="9">AK8-AB8</f>
        <v>0</v>
      </c>
      <c r="T8" s="59">
        <f t="shared" ref="T8:T16" si="10">AL8-AC8</f>
        <v>5.9343000000000004</v>
      </c>
      <c r="U8" s="15"/>
      <c r="V8" s="27" t="str">
        <f t="shared" ref="V8:V16" si="11">M8</f>
        <v>压力</v>
      </c>
      <c r="W8" s="59">
        <f>'M1'!B6*1</f>
        <v>33.194000000000003</v>
      </c>
      <c r="X8" s="59">
        <f>'M1'!C6*1</f>
        <v>2.0406599999999999</v>
      </c>
      <c r="Y8" s="59">
        <f>'M1'!D6*1</f>
        <v>6.1476899999999999</v>
      </c>
      <c r="Z8" s="59">
        <f>'M1'!E6*1</f>
        <v>20</v>
      </c>
      <c r="AA8" s="59">
        <f>'M1'!F6*1</f>
        <v>29.648</v>
      </c>
      <c r="AB8" s="59">
        <f>'M1'!G6*1</f>
        <v>40</v>
      </c>
      <c r="AC8" s="59">
        <f>'M1'!H6*1</f>
        <v>36.847000000000001</v>
      </c>
      <c r="AE8" s="27" t="str">
        <f t="shared" ref="AE8:AE16" si="12">V8</f>
        <v>压力</v>
      </c>
      <c r="AF8" s="59">
        <f>'M2'!B6*1</f>
        <v>32.061799999999998</v>
      </c>
      <c r="AG8" s="59">
        <f>'M2'!C6*1</f>
        <v>2.5663299999999998</v>
      </c>
      <c r="AH8" s="59">
        <f>'M2'!D6*1</f>
        <v>8.0043100000000003</v>
      </c>
      <c r="AI8" s="59">
        <f>'M2'!E6*1</f>
        <v>20</v>
      </c>
      <c r="AJ8" s="59">
        <f>'M2'!F6*1</f>
        <v>30.032900000000001</v>
      </c>
      <c r="AK8" s="59">
        <f>'M2'!G6*1</f>
        <v>40</v>
      </c>
      <c r="AL8" s="59">
        <f>'M2'!H6*1</f>
        <v>42.781300000000002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17.149999999999999</v>
      </c>
      <c r="D9" s="78">
        <f>N7</f>
        <v>5.8532000000000011</v>
      </c>
      <c r="E9" s="79">
        <f>T7</f>
        <v>5.368700000000004</v>
      </c>
      <c r="F9" s="79">
        <f>P7</f>
        <v>-15.235600000000002</v>
      </c>
      <c r="G9" s="80" t="str">
        <f>CONCATENATE(M8,"
(20 ~ 40)")</f>
        <v>压力
(20 ~ 40)</v>
      </c>
      <c r="H9" s="77">
        <f>R8</f>
        <v>0.3849000000000018</v>
      </c>
      <c r="I9" s="81">
        <f>N8</f>
        <v>-1.1322000000000045</v>
      </c>
      <c r="J9" s="77">
        <f>T8</f>
        <v>5.9343000000000004</v>
      </c>
      <c r="K9" s="82">
        <f>P8</f>
        <v>1.8566200000000004</v>
      </c>
      <c r="L9" s="6"/>
      <c r="M9" s="27" t="str">
        <f>lang!B16</f>
        <v>焦虑</v>
      </c>
      <c r="N9" s="59">
        <f t="shared" si="4"/>
        <v>-8.1275000000000013</v>
      </c>
      <c r="O9" s="59">
        <f t="shared" si="5"/>
        <v>2.4405099999999997</v>
      </c>
      <c r="P9" s="59">
        <f t="shared" si="6"/>
        <v>15.697599999999998</v>
      </c>
      <c r="Q9" s="59">
        <f t="shared" si="7"/>
        <v>0</v>
      </c>
      <c r="R9" s="59">
        <f t="shared" si="8"/>
        <v>-8.5022400000000005</v>
      </c>
      <c r="S9" s="59">
        <f t="shared" si="9"/>
        <v>0</v>
      </c>
      <c r="T9" s="59">
        <f t="shared" si="10"/>
        <v>2.1898000000000053</v>
      </c>
      <c r="U9" s="14"/>
      <c r="V9" s="27" t="str">
        <f t="shared" si="11"/>
        <v>焦虑</v>
      </c>
      <c r="W9" s="59">
        <f>'M1'!B7*1</f>
        <v>37.060400000000001</v>
      </c>
      <c r="X9" s="59">
        <f>'M1'!C7*1</f>
        <v>9.5817899999999998</v>
      </c>
      <c r="Y9" s="59">
        <f>'M1'!D7*1</f>
        <v>25.854600000000001</v>
      </c>
      <c r="Z9" s="59">
        <f>'M1'!E7*1</f>
        <v>15</v>
      </c>
      <c r="AA9" s="59">
        <f>'M1'!F7*1</f>
        <v>13.0954</v>
      </c>
      <c r="AB9" s="59">
        <f>'M1'!G7*1</f>
        <v>40</v>
      </c>
      <c r="AC9" s="59">
        <f>'M1'!H7*1</f>
        <v>57.469099999999997</v>
      </c>
      <c r="AE9" s="27" t="str">
        <f t="shared" si="12"/>
        <v>焦虑</v>
      </c>
      <c r="AF9" s="59">
        <f>'M2'!B7*1</f>
        <v>28.9329</v>
      </c>
      <c r="AG9" s="59">
        <f>'M2'!C7*1</f>
        <v>12.0223</v>
      </c>
      <c r="AH9" s="59">
        <f>'M2'!D7*1</f>
        <v>41.552199999999999</v>
      </c>
      <c r="AI9" s="59">
        <f>'M2'!E7*1</f>
        <v>15</v>
      </c>
      <c r="AJ9" s="59">
        <f>'M2'!F7*1</f>
        <v>4.5931600000000001</v>
      </c>
      <c r="AK9" s="59">
        <f>'M2'!G7*1</f>
        <v>40</v>
      </c>
      <c r="AL9" s="59">
        <f>'M2'!H7*1</f>
        <v>59.658900000000003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-8.5022400000000005</v>
      </c>
      <c r="D10" s="51">
        <f>N9</f>
        <v>-8.1275000000000013</v>
      </c>
      <c r="E10" s="53">
        <f>T9</f>
        <v>2.1898000000000053</v>
      </c>
      <c r="F10" s="53">
        <f>P9</f>
        <v>15.697599999999998</v>
      </c>
      <c r="G10" s="73" t="str">
        <f>CONCATENATE(M10,"
(20 ~ 50)")</f>
        <v>可疑
(20 ~ 50)</v>
      </c>
      <c r="H10" s="24">
        <f>R10</f>
        <v>4.4319999999999986</v>
      </c>
      <c r="I10" s="52">
        <f>N10</f>
        <v>-0.66749999999999687</v>
      </c>
      <c r="J10" s="24">
        <f>T10</f>
        <v>7.6208000000000027</v>
      </c>
      <c r="K10" s="25">
        <f>P10</f>
        <v>0.28340000000000032</v>
      </c>
      <c r="L10" s="4"/>
      <c r="M10" s="27" t="str">
        <f>lang!B17</f>
        <v>可疑</v>
      </c>
      <c r="N10" s="59">
        <f t="shared" si="4"/>
        <v>-0.66749999999999687</v>
      </c>
      <c r="O10" s="59">
        <f t="shared" si="5"/>
        <v>1.8739999999999757E-2</v>
      </c>
      <c r="P10" s="59">
        <f t="shared" si="6"/>
        <v>0.28340000000000032</v>
      </c>
      <c r="Q10" s="59">
        <f t="shared" si="7"/>
        <v>0</v>
      </c>
      <c r="R10" s="59">
        <f t="shared" si="8"/>
        <v>4.4319999999999986</v>
      </c>
      <c r="S10" s="59">
        <f t="shared" si="9"/>
        <v>0</v>
      </c>
      <c r="T10" s="59">
        <f t="shared" si="10"/>
        <v>7.6208000000000027</v>
      </c>
      <c r="U10" s="14"/>
      <c r="V10" s="27" t="str">
        <f t="shared" si="11"/>
        <v>可疑</v>
      </c>
      <c r="W10" s="59">
        <f>'M1'!B8*1</f>
        <v>33.563499999999998</v>
      </c>
      <c r="X10" s="59">
        <f>'M1'!C8*1</f>
        <v>3.7455500000000002</v>
      </c>
      <c r="Y10" s="59">
        <f>'M1'!D8*1</f>
        <v>11.159599999999999</v>
      </c>
      <c r="Z10" s="59">
        <f>'M1'!E8*1</f>
        <v>20</v>
      </c>
      <c r="AA10" s="59">
        <f>'M1'!F8*1</f>
        <v>22.0442</v>
      </c>
      <c r="AB10" s="59">
        <f>'M1'!G8*1</f>
        <v>50</v>
      </c>
      <c r="AC10" s="59">
        <f>'M1'!H8*1</f>
        <v>37.043900000000001</v>
      </c>
      <c r="AE10" s="27" t="str">
        <f t="shared" si="12"/>
        <v>可疑</v>
      </c>
      <c r="AF10" s="59">
        <f>'M2'!B8*1</f>
        <v>32.896000000000001</v>
      </c>
      <c r="AG10" s="59">
        <f>'M2'!C8*1</f>
        <v>3.7642899999999999</v>
      </c>
      <c r="AH10" s="59">
        <f>'M2'!D8*1</f>
        <v>11.443</v>
      </c>
      <c r="AI10" s="59">
        <f>'M2'!E8*1</f>
        <v>20</v>
      </c>
      <c r="AJ10" s="59">
        <f>'M2'!F8*1</f>
        <v>26.476199999999999</v>
      </c>
      <c r="AK10" s="59">
        <f>'M2'!G8*1</f>
        <v>50</v>
      </c>
      <c r="AL10" s="59">
        <f>'M2'!H8*1</f>
        <v>44.664700000000003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8.5805000000000007</v>
      </c>
      <c r="D11" s="52">
        <f>N11</f>
        <v>-5.6225000000000023</v>
      </c>
      <c r="E11" s="24">
        <f>T11</f>
        <v>-13.612100000000012</v>
      </c>
      <c r="F11" s="24">
        <f>P11</f>
        <v>-11.995449999999998</v>
      </c>
      <c r="G11" s="73" t="str">
        <f>CONCATENATE(M12,"
(40 ~ 100)")</f>
        <v>自信
(40 ~ 100)</v>
      </c>
      <c r="H11" s="24">
        <f>R12</f>
        <v>-33.001400000000004</v>
      </c>
      <c r="I11" s="52">
        <f>N12</f>
        <v>-0.25960000000000605</v>
      </c>
      <c r="J11" s="24">
        <f>T12</f>
        <v>-0.73940000000000339</v>
      </c>
      <c r="K11" s="25">
        <f>P12</f>
        <v>7.8128800000000007</v>
      </c>
      <c r="L11" s="4"/>
      <c r="M11" s="27" t="str">
        <f>lang!B18</f>
        <v>平衡</v>
      </c>
      <c r="N11" s="59">
        <f t="shared" si="4"/>
        <v>-5.6225000000000023</v>
      </c>
      <c r="O11" s="59">
        <f t="shared" si="5"/>
        <v>-8.8940599999999996</v>
      </c>
      <c r="P11" s="59">
        <f t="shared" si="6"/>
        <v>-11.995449999999998</v>
      </c>
      <c r="Q11" s="59">
        <f t="shared" si="7"/>
        <v>0</v>
      </c>
      <c r="R11" s="59">
        <f t="shared" si="8"/>
        <v>8.5805000000000007</v>
      </c>
      <c r="S11" s="59">
        <f t="shared" si="9"/>
        <v>0</v>
      </c>
      <c r="T11" s="59">
        <f t="shared" si="10"/>
        <v>-13.612100000000012</v>
      </c>
      <c r="U11" s="14"/>
      <c r="V11" s="27" t="str">
        <f t="shared" si="11"/>
        <v>平衡</v>
      </c>
      <c r="W11" s="59">
        <f>'M1'!B9*1</f>
        <v>70.188800000000001</v>
      </c>
      <c r="X11" s="59">
        <f>'M1'!C9*1</f>
        <v>14.344200000000001</v>
      </c>
      <c r="Y11" s="59">
        <f>'M1'!D9*1</f>
        <v>20.436599999999999</v>
      </c>
      <c r="Z11" s="59">
        <f>'M1'!E9*1</f>
        <v>50</v>
      </c>
      <c r="AA11" s="59">
        <f>'M1'!F9*1</f>
        <v>39.800899999999999</v>
      </c>
      <c r="AB11" s="59">
        <f>'M1'!G9*1</f>
        <v>100</v>
      </c>
      <c r="AC11" s="59">
        <f>'M1'!H9*1</f>
        <v>87.597800000000007</v>
      </c>
      <c r="AE11" s="27" t="str">
        <f t="shared" si="12"/>
        <v>平衡</v>
      </c>
      <c r="AF11" s="59">
        <f>'M2'!B9*1</f>
        <v>64.566299999999998</v>
      </c>
      <c r="AG11" s="59">
        <f>'M2'!C9*1</f>
        <v>5.4501400000000002</v>
      </c>
      <c r="AH11" s="59">
        <f>'M2'!D9*1</f>
        <v>8.4411500000000004</v>
      </c>
      <c r="AI11" s="59">
        <f>'M2'!E9*1</f>
        <v>50</v>
      </c>
      <c r="AJ11" s="59">
        <f>'M2'!F9*1</f>
        <v>48.381399999999999</v>
      </c>
      <c r="AK11" s="59">
        <f>'M2'!G9*1</f>
        <v>100</v>
      </c>
      <c r="AL11" s="59">
        <f>'M2'!H9*1</f>
        <v>73.985699999999994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3.6665200000000002</v>
      </c>
      <c r="D12" s="51">
        <f>N13</f>
        <v>1.2965</v>
      </c>
      <c r="E12" s="53">
        <f>T13</f>
        <v>1.4960999999999984</v>
      </c>
      <c r="F12" s="53">
        <f>P13</f>
        <v>-4.0622000000000007</v>
      </c>
      <c r="G12" s="73" t="str">
        <f>CONCATENATE(M14,"
(50 ~ 100)")</f>
        <v>自我调节
(50 ~ 100)</v>
      </c>
      <c r="H12" s="24">
        <f>R14</f>
        <v>-4.4675999999999974</v>
      </c>
      <c r="I12" s="52">
        <f>N14</f>
        <v>-4.2713999999999999</v>
      </c>
      <c r="J12" s="24">
        <f>T14</f>
        <v>-8.7210000000000036</v>
      </c>
      <c r="K12" s="25">
        <f>P14</f>
        <v>-4.3698400000000008</v>
      </c>
      <c r="L12" s="4"/>
      <c r="M12" s="27" t="str">
        <f>lang!B19</f>
        <v>自信</v>
      </c>
      <c r="N12" s="59">
        <f t="shared" si="4"/>
        <v>-0.25960000000000605</v>
      </c>
      <c r="O12" s="59">
        <f t="shared" si="5"/>
        <v>6.2402399999999991</v>
      </c>
      <c r="P12" s="59">
        <f t="shared" si="6"/>
        <v>7.8128800000000007</v>
      </c>
      <c r="Q12" s="59">
        <f t="shared" si="7"/>
        <v>0</v>
      </c>
      <c r="R12" s="59">
        <f t="shared" si="8"/>
        <v>-33.001400000000004</v>
      </c>
      <c r="S12" s="59">
        <f t="shared" si="9"/>
        <v>0</v>
      </c>
      <c r="T12" s="59">
        <f t="shared" si="10"/>
        <v>-0.73940000000000339</v>
      </c>
      <c r="U12" s="15"/>
      <c r="V12" s="27" t="str">
        <f t="shared" si="11"/>
        <v>自信</v>
      </c>
      <c r="W12" s="59">
        <f>'M1'!B10*1</f>
        <v>80.238</v>
      </c>
      <c r="X12" s="59">
        <f>'M1'!C10*1</f>
        <v>2.5919400000000001</v>
      </c>
      <c r="Y12" s="59">
        <f>'M1'!D10*1</f>
        <v>3.2303199999999999</v>
      </c>
      <c r="Z12" s="59">
        <f>'M1'!E10*1</f>
        <v>40</v>
      </c>
      <c r="AA12" s="59">
        <f>'M1'!F10*1</f>
        <v>74.803700000000006</v>
      </c>
      <c r="AB12" s="59">
        <f>'M1'!G10*1</f>
        <v>100</v>
      </c>
      <c r="AC12" s="59">
        <f>'M1'!H10*1</f>
        <v>83.608900000000006</v>
      </c>
      <c r="AE12" s="27" t="str">
        <f t="shared" si="12"/>
        <v>自信</v>
      </c>
      <c r="AF12" s="59">
        <f>'M2'!B10*1</f>
        <v>79.978399999999993</v>
      </c>
      <c r="AG12" s="59">
        <f>'M2'!C10*1</f>
        <v>8.8321799999999993</v>
      </c>
      <c r="AH12" s="59">
        <f>'M2'!D10*1</f>
        <v>11.043200000000001</v>
      </c>
      <c r="AI12" s="59">
        <f>'M2'!E10*1</f>
        <v>40</v>
      </c>
      <c r="AJ12" s="59">
        <f>'M2'!F10*1</f>
        <v>41.802300000000002</v>
      </c>
      <c r="AK12" s="59">
        <f>'M2'!G10*1</f>
        <v>100</v>
      </c>
      <c r="AL12" s="59">
        <f>'M2'!H10*1</f>
        <v>82.869500000000002</v>
      </c>
    </row>
    <row r="13" spans="2:38" ht="25.5" customHeight="1" thickBot="1">
      <c r="B13" s="72" t="str">
        <f>CONCATENATE(M15,"
(10 ~ 25)")</f>
        <v>抑郁
(10 ~ 25)</v>
      </c>
      <c r="C13" s="54">
        <f>R15</f>
        <v>0.33980999999999995</v>
      </c>
      <c r="D13" s="55">
        <f>N15</f>
        <v>1.0241000000000007</v>
      </c>
      <c r="E13" s="56">
        <f>T15</f>
        <v>11.0136</v>
      </c>
      <c r="F13" s="56">
        <f>P15</f>
        <v>10.3355</v>
      </c>
      <c r="G13" s="74" t="str">
        <f>CONCATENATE(M16,"
(10 ~ 50)")</f>
        <v>神经质
(10 ~ 50)</v>
      </c>
      <c r="H13" s="54">
        <f>R16</f>
        <v>-0.15995000000000004</v>
      </c>
      <c r="I13" s="55">
        <f>N16</f>
        <v>13.9298</v>
      </c>
      <c r="J13" s="56">
        <f>T16</f>
        <v>11.402799999999996</v>
      </c>
      <c r="K13" s="57">
        <f>P16</f>
        <v>-4.3265999999999991</v>
      </c>
      <c r="M13" s="27" t="str">
        <f>lang!B20</f>
        <v>活力</v>
      </c>
      <c r="N13" s="59">
        <f t="shared" si="4"/>
        <v>1.2965</v>
      </c>
      <c r="O13" s="59">
        <f t="shared" si="5"/>
        <v>-0.34763999999999995</v>
      </c>
      <c r="P13" s="59">
        <f t="shared" si="6"/>
        <v>-4.0622000000000007</v>
      </c>
      <c r="Q13" s="59">
        <f t="shared" si="7"/>
        <v>0</v>
      </c>
      <c r="R13" s="59">
        <f t="shared" si="8"/>
        <v>3.6665200000000002</v>
      </c>
      <c r="S13" s="59">
        <f t="shared" si="9"/>
        <v>0</v>
      </c>
      <c r="T13" s="59">
        <f t="shared" si="10"/>
        <v>1.4960999999999984</v>
      </c>
      <c r="U13" s="14"/>
      <c r="V13" s="27" t="str">
        <f t="shared" si="11"/>
        <v>活力</v>
      </c>
      <c r="W13" s="59">
        <f>'M1'!B11*1</f>
        <v>12.708500000000001</v>
      </c>
      <c r="X13" s="59">
        <f>'M1'!C11*1</f>
        <v>2.16892</v>
      </c>
      <c r="Y13" s="59">
        <f>'M1'!D11*1</f>
        <v>17.066700000000001</v>
      </c>
      <c r="Z13" s="59">
        <f>'M1'!E11*1</f>
        <v>10</v>
      </c>
      <c r="AA13" s="59">
        <f>'M1'!F11*1</f>
        <v>8.0849799999999998</v>
      </c>
      <c r="AB13" s="59">
        <f>'M1'!G11*1</f>
        <v>50</v>
      </c>
      <c r="AC13" s="59">
        <f>'M1'!H11*1</f>
        <v>16.158200000000001</v>
      </c>
      <c r="AE13" s="27" t="str">
        <f t="shared" si="12"/>
        <v>活力</v>
      </c>
      <c r="AF13" s="59">
        <f>'M2'!B11*1</f>
        <v>14.005000000000001</v>
      </c>
      <c r="AG13" s="59">
        <f>'M2'!C11*1</f>
        <v>1.82128</v>
      </c>
      <c r="AH13" s="59">
        <f>'M2'!D11*1</f>
        <v>13.0045</v>
      </c>
      <c r="AI13" s="59">
        <f>'M2'!E11*1</f>
        <v>10</v>
      </c>
      <c r="AJ13" s="59">
        <f>'M2'!F11*1</f>
        <v>11.7515</v>
      </c>
      <c r="AK13" s="59">
        <f>'M2'!G11*1</f>
        <v>50</v>
      </c>
      <c r="AL13" s="59">
        <f>'M2'!H11*1</f>
        <v>17.654299999999999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-4.2713999999999999</v>
      </c>
      <c r="O14" s="59">
        <f t="shared" si="5"/>
        <v>-3.5640299999999998</v>
      </c>
      <c r="P14" s="59">
        <f t="shared" si="6"/>
        <v>-4.3698400000000008</v>
      </c>
      <c r="Q14" s="59">
        <f t="shared" si="7"/>
        <v>0</v>
      </c>
      <c r="R14" s="59">
        <f t="shared" si="8"/>
        <v>-4.4675999999999974</v>
      </c>
      <c r="S14" s="59">
        <f t="shared" si="9"/>
        <v>0</v>
      </c>
      <c r="T14" s="59">
        <f t="shared" si="10"/>
        <v>-8.7210000000000036</v>
      </c>
      <c r="U14" s="14"/>
      <c r="V14" s="27" t="str">
        <f t="shared" si="11"/>
        <v>自我调节</v>
      </c>
      <c r="W14" s="59">
        <f>'M1'!B12*1</f>
        <v>75.033600000000007</v>
      </c>
      <c r="X14" s="59">
        <f>'M1'!C12*1</f>
        <v>8.2888599999999997</v>
      </c>
      <c r="Y14" s="59">
        <f>'M1'!D12*1</f>
        <v>11.046900000000001</v>
      </c>
      <c r="Z14" s="59">
        <f>'M1'!E12*1</f>
        <v>50</v>
      </c>
      <c r="AA14" s="59">
        <f>'M1'!F12*1</f>
        <v>57.651899999999998</v>
      </c>
      <c r="AB14" s="59">
        <f>'M1'!G12*1</f>
        <v>100</v>
      </c>
      <c r="AC14" s="59">
        <f>'M1'!H12*1</f>
        <v>85.336799999999997</v>
      </c>
      <c r="AE14" s="27" t="str">
        <f t="shared" si="12"/>
        <v>自我调节</v>
      </c>
      <c r="AF14" s="59">
        <f>'M2'!B12*1</f>
        <v>70.762200000000007</v>
      </c>
      <c r="AG14" s="59">
        <f>'M2'!C12*1</f>
        <v>4.7248299999999999</v>
      </c>
      <c r="AH14" s="59">
        <f>'M2'!D12*1</f>
        <v>6.67706</v>
      </c>
      <c r="AI14" s="59">
        <f>'M2'!E12*1</f>
        <v>50</v>
      </c>
      <c r="AJ14" s="59">
        <f>'M2'!F12*1</f>
        <v>53.1843</v>
      </c>
      <c r="AK14" s="59">
        <f>'M2'!G12*1</f>
        <v>100</v>
      </c>
      <c r="AL14" s="59">
        <f>'M2'!H12*1</f>
        <v>76.615799999999993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1.0241000000000007</v>
      </c>
      <c r="O15" s="59">
        <f t="shared" si="5"/>
        <v>1.3929800000000001</v>
      </c>
      <c r="P15" s="59">
        <f t="shared" si="6"/>
        <v>10.3355</v>
      </c>
      <c r="Q15" s="59">
        <f t="shared" si="7"/>
        <v>0</v>
      </c>
      <c r="R15" s="59">
        <f t="shared" si="8"/>
        <v>0.33980999999999995</v>
      </c>
      <c r="S15" s="59">
        <f t="shared" si="9"/>
        <v>0</v>
      </c>
      <c r="T15" s="59">
        <f t="shared" si="10"/>
        <v>11.0136</v>
      </c>
      <c r="U15" s="14"/>
      <c r="V15" s="27" t="str">
        <f t="shared" si="11"/>
        <v>抑郁</v>
      </c>
      <c r="W15" s="59">
        <f>'M1'!B13*1</f>
        <v>10.805</v>
      </c>
      <c r="X15" s="59">
        <f>'M1'!C13*1</f>
        <v>1.7975300000000001</v>
      </c>
      <c r="Y15" s="59">
        <f>'M1'!D13*1</f>
        <v>16.636099999999999</v>
      </c>
      <c r="Z15" s="59">
        <f>'M1'!E13*1</f>
        <v>10</v>
      </c>
      <c r="AA15" s="59">
        <f>'M1'!F13*1</f>
        <v>9.8030899999999992</v>
      </c>
      <c r="AB15" s="59">
        <f>'M1'!G13*1</f>
        <v>25</v>
      </c>
      <c r="AC15" s="59">
        <f>'M1'!H13*1</f>
        <v>17.541599999999999</v>
      </c>
      <c r="AE15" s="27" t="str">
        <f t="shared" si="12"/>
        <v>抑郁</v>
      </c>
      <c r="AF15" s="59">
        <f>'M2'!B13*1</f>
        <v>11.8291</v>
      </c>
      <c r="AG15" s="59">
        <f>'M2'!C13*1</f>
        <v>3.1905100000000002</v>
      </c>
      <c r="AH15" s="59">
        <f>'M2'!D13*1</f>
        <v>26.971599999999999</v>
      </c>
      <c r="AI15" s="59">
        <f>'M2'!E13*1</f>
        <v>10</v>
      </c>
      <c r="AJ15" s="59">
        <f>'M2'!F13*1</f>
        <v>10.142899999999999</v>
      </c>
      <c r="AK15" s="59">
        <f>'M2'!G13*1</f>
        <v>25</v>
      </c>
      <c r="AL15" s="59">
        <f>'M2'!H13*1</f>
        <v>28.555199999999999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13.9298</v>
      </c>
      <c r="O16" s="59">
        <f t="shared" si="5"/>
        <v>4.3708900000000002</v>
      </c>
      <c r="P16" s="59">
        <f t="shared" si="6"/>
        <v>-4.3265999999999991</v>
      </c>
      <c r="Q16" s="59">
        <f t="shared" si="7"/>
        <v>0</v>
      </c>
      <c r="R16" s="59">
        <f t="shared" si="8"/>
        <v>-0.15995000000000004</v>
      </c>
      <c r="S16" s="59">
        <f t="shared" si="9"/>
        <v>0</v>
      </c>
      <c r="T16" s="59">
        <f t="shared" si="10"/>
        <v>11.402799999999996</v>
      </c>
      <c r="U16" s="15"/>
      <c r="V16" s="27" t="str">
        <f t="shared" si="11"/>
        <v>神经质</v>
      </c>
      <c r="W16" s="59">
        <f>'M1'!B14*1</f>
        <v>17.975300000000001</v>
      </c>
      <c r="X16" s="59">
        <f>'M1'!C14*1</f>
        <v>7.4216100000000003</v>
      </c>
      <c r="Y16" s="59">
        <f>'M1'!D14*1</f>
        <v>41.287799999999997</v>
      </c>
      <c r="Z16" s="59">
        <f>'M1'!E14*1</f>
        <v>10</v>
      </c>
      <c r="AA16" s="59">
        <f>'M1'!F14*1</f>
        <v>0.71980500000000003</v>
      </c>
      <c r="AB16" s="59">
        <f>'M1'!G14*1</f>
        <v>50</v>
      </c>
      <c r="AC16" s="59">
        <f>'M1'!H14*1</f>
        <v>29.805800000000001</v>
      </c>
      <c r="AE16" s="27" t="str">
        <f t="shared" si="12"/>
        <v>神经质</v>
      </c>
      <c r="AF16" s="59">
        <f>'M2'!B14*1</f>
        <v>31.905100000000001</v>
      </c>
      <c r="AG16" s="59">
        <f>'M2'!C14*1</f>
        <v>11.7925</v>
      </c>
      <c r="AH16" s="59">
        <f>'M2'!D14*1</f>
        <v>36.961199999999998</v>
      </c>
      <c r="AI16" s="59">
        <f>'M2'!E14*1</f>
        <v>10</v>
      </c>
      <c r="AJ16" s="59">
        <f>'M2'!F14*1</f>
        <v>0.55985499999999999</v>
      </c>
      <c r="AK16" s="59">
        <f>'M2'!G14*1</f>
        <v>50</v>
      </c>
      <c r="AL16" s="59">
        <f>'M2'!H14*1</f>
        <v>41.208599999999997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-2.214250000000002</v>
      </c>
      <c r="O17" s="22">
        <f>N17/(N17+N18+N19)</f>
        <v>-0.52171198341265801</v>
      </c>
      <c r="P17" s="65">
        <f>SUM(P11:P14)/4</f>
        <v>-3.1536524999999997</v>
      </c>
      <c r="Q17" s="22">
        <f>P17/(P17+P18+P19)</f>
        <v>-6.2909171607961314</v>
      </c>
      <c r="R17" s="14"/>
      <c r="S17" s="14"/>
      <c r="T17" s="14"/>
      <c r="U17" s="14"/>
      <c r="V17" s="21" t="str">
        <f>M17</f>
        <v>Positive</v>
      </c>
      <c r="W17" s="65">
        <f>SUM(W11:W14)/4</f>
        <v>59.542225000000009</v>
      </c>
      <c r="X17" s="22">
        <f>W17/(W17+W18+W19)</f>
        <v>0.5520977586354775</v>
      </c>
      <c r="Y17" s="65">
        <f>SUM(Y11:Y14)/4</f>
        <v>12.945130000000001</v>
      </c>
      <c r="Z17" s="22">
        <f>Y17/(Y17+Y18+Y19)</f>
        <v>0.21918681492373768</v>
      </c>
      <c r="AA17" s="14"/>
      <c r="AB17" s="14"/>
      <c r="AC17" s="14"/>
      <c r="AE17" s="21" t="str">
        <f>V17</f>
        <v>Positive</v>
      </c>
      <c r="AF17" s="65">
        <f>SUM(AF11:AF14)/4</f>
        <v>57.327974999999995</v>
      </c>
      <c r="AG17" s="22">
        <f>AF17/(AF17+AF18+AF19)</f>
        <v>0.51143932030498318</v>
      </c>
      <c r="AH17" s="65">
        <f>SUM(AH11:AH14)/4</f>
        <v>9.7914774999999992</v>
      </c>
      <c r="AI17" s="22">
        <f>AH17/(AH17+AH18+AH19)</f>
        <v>0.16439381875134787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-1.0185000000000004</v>
      </c>
      <c r="O18" s="22">
        <f>N18/(N17+N18+N19)</f>
        <v>-0.23997455350831748</v>
      </c>
      <c r="P18" s="18">
        <f>SUM(P7:P10)/4</f>
        <v>0.650504999999999</v>
      </c>
      <c r="Q18" s="22">
        <f>P18/(P17+P18+P19)</f>
        <v>1.2976296746974125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33.914875000000002</v>
      </c>
      <c r="X18" s="22">
        <f>W18/(W17+W18+W19)</f>
        <v>0.31447139356821796</v>
      </c>
      <c r="Y18" s="18">
        <f>SUM(Y7:Y10)/4</f>
        <v>17.152722499999999</v>
      </c>
      <c r="Z18" s="22">
        <f>Y18/(Y17+Y18+Y19)</f>
        <v>0.29042973010280554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32.896374999999999</v>
      </c>
      <c r="AG18" s="22">
        <f>AF18/(AF17+AF18+AF19)</f>
        <v>0.29347800389771034</v>
      </c>
      <c r="AH18" s="18">
        <f>SUM(AH7:AH10)/4</f>
        <v>17.803227499999998</v>
      </c>
      <c r="AI18" s="22">
        <f>AH18/(AH17+AH18+AH19)</f>
        <v>0.29890693767350351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7.4769500000000004</v>
      </c>
      <c r="O19" s="22">
        <f>N19/(N17+N18+N19)</f>
        <v>1.7616865369209755</v>
      </c>
      <c r="P19" s="18">
        <f>(P15+P16)/2</f>
        <v>3.0044500000000003</v>
      </c>
      <c r="Q19" s="22">
        <f>P19/(P17+P18+P19)</f>
        <v>5.9932874860987191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14.39015</v>
      </c>
      <c r="X19" s="22">
        <f>W19/(W17+W18+W19)</f>
        <v>0.13343084779630449</v>
      </c>
      <c r="Y19" s="18">
        <f>(Y15+Y16)/2</f>
        <v>28.961949999999998</v>
      </c>
      <c r="Z19" s="22">
        <f>Y19/(Y17+Y18+Y19)</f>
        <v>0.4903834549734567</v>
      </c>
      <c r="AA19" s="14"/>
      <c r="AB19" s="14"/>
      <c r="AC19" s="14"/>
      <c r="AE19" s="21" t="str">
        <f t="shared" si="14"/>
        <v>Physiological</v>
      </c>
      <c r="AF19" s="18">
        <f>(AF15+AF16)/2</f>
        <v>21.867100000000001</v>
      </c>
      <c r="AG19" s="22">
        <f>AF19/(AF17+AF18+AF19)</f>
        <v>0.19508267579730662</v>
      </c>
      <c r="AH19" s="18">
        <f>(AH15+AH16)/2</f>
        <v>31.9664</v>
      </c>
      <c r="AI19" s="22">
        <f>AH19/(AH17+AH18+AH19)</f>
        <v>0.53669924357514864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1.13/1.33</v>
      </c>
      <c r="D24" s="44" t="str">
        <f>lang!B11</f>
        <v>频率方差</v>
      </c>
      <c r="E24" s="142" t="str">
        <f ca="1">CONCATENATE(ROUND('FH1'!L3,2),"/",ROUND('FH2'!L3,2))</f>
        <v>0.56/0.62</v>
      </c>
      <c r="F24" s="143"/>
      <c r="G24" s="134" t="str">
        <f>lang!B12</f>
        <v>生理变化率</v>
      </c>
      <c r="H24" s="135"/>
      <c r="I24" s="62" t="str">
        <f ca="1">CONCATENATE(info!M7,"-",info!M8)</f>
        <v>33.5-65.8</v>
      </c>
      <c r="J24" s="42" t="str">
        <f>lang!B13</f>
        <v>千卡l/分钟</v>
      </c>
      <c r="K24" s="41" t="str">
        <f ca="1">CONCATENATE(info!M5,"-",info!M6)</f>
        <v>1.6-3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7.0050000000000061</v>
      </c>
      <c r="F27" s="164"/>
      <c r="G27" s="178" t="str">
        <f>lang!B33</f>
        <v>稳定性</v>
      </c>
      <c r="H27" s="179"/>
      <c r="I27" s="180"/>
      <c r="J27" s="181">
        <f>dM!B19*100</f>
        <v>4.8939000000000066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⊡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⊠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-0.98116382981554318</v>
      </c>
      <c r="C2">
        <f t="array" aca="1" ref="C2" ca="1">CORREL(FT_E02,FT_PH02)</f>
        <v>-0.94321992433100776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1.6071499999999999</v>
      </c>
      <c r="G2" s="61">
        <f>IF(FT!B2&lt;&gt;"",FT!B2*100,"")</f>
        <v>65.784500000000008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1.64775</v>
      </c>
      <c r="G3" s="61">
        <f>IF(FT!B3&lt;&gt;"",FT!B3*100,"")</f>
        <v>64.830399999999997</v>
      </c>
      <c r="H3" s="61">
        <f t="shared" ref="H3:H66" si="1">(IF(F3&lt;&gt;"",1,""))</f>
        <v>1</v>
      </c>
      <c r="I3" t="str">
        <f>IF(FT!B3&lt;&gt;"",FT!E3,"")</f>
        <v>1 [0.408378]</v>
      </c>
      <c r="J3">
        <f>IF(FT!B3&lt;&gt;"",FT!C3,"")</f>
        <v>0.40837800000000002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0.44275967567567553</v>
      </c>
      <c r="V3">
        <f ca="1">AVERAGE(OFFSET(FT!B2,info!$L$3/2,0,info!$L$3/2,1))</f>
        <v>0.38627090540540554</v>
      </c>
      <c r="W3">
        <f ca="1">AVERAGE(OFFSET(FT!A2,0,0,info!$L$3/2,1))</f>
        <v>0.24475032432432431</v>
      </c>
      <c r="X3">
        <f ca="1">AVERAGE(OFFSET(FT!A2,info!$L$3/2,0,info!$L$3/2,1))</f>
        <v>0.26608567567567565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1.68801</v>
      </c>
      <c r="G4" s="61">
        <f>IF(FT!B4&lt;&gt;"",FT!B4*100,"")</f>
        <v>63.905900000000003</v>
      </c>
      <c r="H4" s="61">
        <f t="shared" si="1"/>
        <v>1</v>
      </c>
      <c r="I4" t="str">
        <f>IF(FT!B4&lt;&gt;"",FT!E4,"")</f>
        <v>1 [0.812588]</v>
      </c>
      <c r="J4">
        <f>IF(FT!B4&lt;&gt;"",FT!C4,"")</f>
        <v>0.81258799999999998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14.940899999999999</v>
      </c>
      <c r="V4">
        <f>U4*3</f>
        <v>44.822699999999998</v>
      </c>
      <c r="W4">
        <f>U4</f>
        <v>14.940899999999999</v>
      </c>
      <c r="X4">
        <f>V4</f>
        <v>44.822699999999998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1.72766</v>
      </c>
      <c r="G5" s="61">
        <f>IF(FT!B5&lt;&gt;"",FT!B5*100,"")</f>
        <v>62.954699999999995</v>
      </c>
      <c r="H5" s="61">
        <f t="shared" si="1"/>
        <v>1</v>
      </c>
      <c r="I5" t="str">
        <f>IF(FT!B5&lt;&gt;"",FT!E5,"")</f>
        <v>1 [1.217385]</v>
      </c>
      <c r="J5">
        <f>IF(FT!B5&lt;&gt;"",FT!C5,"")</f>
        <v>1.2173799999999999</v>
      </c>
      <c r="K5" t="s">
        <v>53</v>
      </c>
      <c r="L5" s="63">
        <f ca="1">MIN(FT_E)</f>
        <v>1.6071499999999999</v>
      </c>
      <c r="M5" s="63">
        <f ca="1">ROUND(L5,1)</f>
        <v>1.6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44.275967567567555</v>
      </c>
      <c r="V5">
        <f ca="1">V3*100</f>
        <v>38.627090540540557</v>
      </c>
      <c r="W5">
        <f ca="1">W3*10</f>
        <v>2.4475032432432431</v>
      </c>
      <c r="X5">
        <f ca="1">X3*10</f>
        <v>2.6608567567567567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1.7677100000000001</v>
      </c>
      <c r="G6" s="61">
        <f>IF(FT!B6&lt;&gt;"",FT!B6*100,"")</f>
        <v>61.945700000000002</v>
      </c>
      <c r="H6" s="61">
        <f t="shared" si="1"/>
        <v>1</v>
      </c>
      <c r="I6" t="str">
        <f>IF(FT!B6&lt;&gt;"",FT!E6,"")</f>
        <v>1 [1.627072]</v>
      </c>
      <c r="J6">
        <f>IF(FT!B6&lt;&gt;"",FT!C6,"")</f>
        <v>1.62707</v>
      </c>
      <c r="K6" t="s">
        <v>54</v>
      </c>
      <c r="L6" s="63">
        <f ca="1">MAX(FT_E)</f>
        <v>3.0032300000000003</v>
      </c>
      <c r="M6" s="63">
        <f ca="1">ROUND(L6,1)</f>
        <v>3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1.80965</v>
      </c>
      <c r="G7" s="61">
        <f>IF(FT!B7&lt;&gt;"",FT!B7*100,"")</f>
        <v>60.8322</v>
      </c>
      <c r="H7" s="61">
        <f t="shared" si="1"/>
        <v>1</v>
      </c>
      <c r="I7" t="str">
        <f>IF(FT!B7&lt;&gt;"",FT!E7,"")</f>
        <v>1 [2.028336]</v>
      </c>
      <c r="J7">
        <f>IF(FT!B7&lt;&gt;"",FT!C7,"")</f>
        <v>2.02834</v>
      </c>
      <c r="K7" t="s">
        <v>55</v>
      </c>
      <c r="L7" s="63">
        <f ca="1">MIN(FT_PH)</f>
        <v>33.46</v>
      </c>
      <c r="M7" s="63">
        <f ca="1">ROUND(L7,1)</f>
        <v>33.5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8356</v>
      </c>
      <c r="D8" s="61">
        <f>FH!B8*1</f>
        <v>8356</v>
      </c>
      <c r="E8">
        <f t="shared" si="3"/>
        <v>6</v>
      </c>
      <c r="F8" s="61">
        <f>IF(FT!A8&lt;&gt;"",FT!A8*10,"")</f>
        <v>1.8545199999999999</v>
      </c>
      <c r="G8" s="61">
        <f>IF(FT!B8&lt;&gt;"",FT!B8*100,"")</f>
        <v>59.594800000000006</v>
      </c>
      <c r="H8" s="61">
        <f t="shared" si="1"/>
        <v>1</v>
      </c>
      <c r="I8" t="str">
        <f>IF(FT!B8&lt;&gt;"",FT!E8,"")</f>
        <v>1 [2.437958]</v>
      </c>
      <c r="J8">
        <f>IF(FT!B8&lt;&gt;"",FT!C8,"")</f>
        <v>2.4379599999999999</v>
      </c>
      <c r="K8" t="s">
        <v>56</v>
      </c>
      <c r="L8" s="63">
        <f ca="1">MAX(FT_PH)</f>
        <v>65.784500000000008</v>
      </c>
      <c r="M8" s="63">
        <f ca="1">ROUND(L8,1)</f>
        <v>65.8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1.89856</v>
      </c>
      <c r="G9" s="61">
        <f>IF(FT!B9&lt;&gt;"",FT!B9*100,"")</f>
        <v>58.366399999999999</v>
      </c>
      <c r="H9" s="61">
        <f t="shared" si="1"/>
        <v>1</v>
      </c>
      <c r="I9" t="str">
        <f>IF(FT!B9&lt;&gt;"",FT!E9,"")</f>
        <v>1 [2.843976]</v>
      </c>
      <c r="J9">
        <f>IF(FT!B9&lt;&gt;"",FT!C9,"")</f>
        <v>2.8439800000000002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10130</v>
      </c>
      <c r="D10" s="61">
        <f>FH!B10*1</f>
        <v>10130</v>
      </c>
      <c r="E10">
        <f t="shared" si="3"/>
        <v>8</v>
      </c>
      <c r="F10" s="61">
        <f>IF(FT!A10&lt;&gt;"",FT!A10*10,"")</f>
        <v>1.94123</v>
      </c>
      <c r="G10" s="61">
        <f>IF(FT!B10&lt;&gt;"",FT!B10*100,"")</f>
        <v>57.269099999999995</v>
      </c>
      <c r="H10" s="61">
        <f t="shared" si="1"/>
        <v>1</v>
      </c>
      <c r="I10" t="str">
        <f>IF(FT!B10&lt;&gt;"",FT!E10,"")</f>
        <v>1 [3.252058]</v>
      </c>
      <c r="J10">
        <f>IF(FT!B10&lt;&gt;"",FT!C10,"")</f>
        <v>3.2520600000000002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1.9839100000000001</v>
      </c>
      <c r="G11" s="61">
        <f>IF(FT!B11&lt;&gt;"",FT!B11*100,"")</f>
        <v>56.202700000000007</v>
      </c>
      <c r="H11" s="61">
        <f t="shared" si="1"/>
        <v>1</v>
      </c>
      <c r="I11" t="str">
        <f>IF(FT!B11&lt;&gt;"",FT!E11,"")</f>
        <v>1 [3.658255]</v>
      </c>
      <c r="J11">
        <f>IF(FT!B11&lt;&gt;"",FT!C11,"")</f>
        <v>3.6582599999999998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2.0267499999999998</v>
      </c>
      <c r="G12" s="61">
        <f>IF(FT!B12&lt;&gt;"",FT!B12*100,"")</f>
        <v>55.179299999999998</v>
      </c>
      <c r="H12" s="61">
        <f t="shared" si="1"/>
        <v>1</v>
      </c>
      <c r="I12" t="str">
        <f>IF(FT!B12&lt;&gt;"",FT!E12,"")</f>
        <v>1 [4.063576]</v>
      </c>
      <c r="J12">
        <f>IF(FT!B12&lt;&gt;"",FT!C12,"")</f>
        <v>4.06358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18470</v>
      </c>
      <c r="D13" s="61">
        <f>FH!B13*1</f>
        <v>18470</v>
      </c>
      <c r="E13">
        <f t="shared" si="3"/>
        <v>11</v>
      </c>
      <c r="F13" s="61">
        <f>IF(FT!A13&lt;&gt;"",FT!A13*10,"")</f>
        <v>2.0707900000000001</v>
      </c>
      <c r="G13" s="61">
        <f>IF(FT!B13&lt;&gt;"",FT!B13*100,"")</f>
        <v>54.169900000000005</v>
      </c>
      <c r="H13" s="61">
        <f t="shared" si="1"/>
        <v>1</v>
      </c>
      <c r="I13" t="str">
        <f>IF(FT!B13&lt;&gt;"",FT!E13,"")</f>
        <v>1 [4.465868]</v>
      </c>
      <c r="J13">
        <f>IF(FT!B13&lt;&gt;"",FT!C13,"")</f>
        <v>4.4658699999999998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2.1160399999999999</v>
      </c>
      <c r="G14" s="61">
        <f>IF(FT!B14&lt;&gt;"",FT!B14*100,"")</f>
        <v>53.126399999999997</v>
      </c>
      <c r="H14" s="61">
        <f t="shared" si="1"/>
        <v>1</v>
      </c>
      <c r="I14" t="str">
        <f>IF(FT!B14&lt;&gt;"",FT!E14,"")</f>
        <v>1 [4.874353]</v>
      </c>
      <c r="J14">
        <f>IF(FT!B14&lt;&gt;"",FT!C14,"")</f>
        <v>4.8743499999999997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25293</v>
      </c>
      <c r="D15" s="61">
        <f>FH!B15*1</f>
        <v>25293</v>
      </c>
      <c r="E15">
        <f t="shared" si="3"/>
        <v>13</v>
      </c>
      <c r="F15" s="61">
        <f>IF(FT!A15&lt;&gt;"",FT!A15*10,"")</f>
        <v>2.1603300000000001</v>
      </c>
      <c r="G15" s="61">
        <f>IF(FT!B15&lt;&gt;"",FT!B15*100,"")</f>
        <v>52.116199999999999</v>
      </c>
      <c r="H15" s="61">
        <f t="shared" si="1"/>
        <v>1</v>
      </c>
      <c r="I15" t="str">
        <f>IF(FT!B15&lt;&gt;"",FT!E15,"")</f>
        <v>1 [5.277317]</v>
      </c>
      <c r="J15">
        <f>IF(FT!B15&lt;&gt;"",FT!C15,"")</f>
        <v>5.2773199999999996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2.2047300000000001</v>
      </c>
      <c r="G16" s="61">
        <f>IF(FT!B16&lt;&gt;"",FT!B16*100,"")</f>
        <v>51.043300000000002</v>
      </c>
      <c r="H16" s="61">
        <f t="shared" si="1"/>
        <v>1</v>
      </c>
      <c r="I16" t="str">
        <f>IF(FT!B16&lt;&gt;"",FT!E16,"")</f>
        <v>1 [5.688045]</v>
      </c>
      <c r="J16">
        <f>IF(FT!B16&lt;&gt;"",FT!C16,"")</f>
        <v>5.68804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2.24681</v>
      </c>
      <c r="G17" s="61">
        <f>IF(FT!B17&lt;&gt;"",FT!B17*100,"")</f>
        <v>49.931199999999997</v>
      </c>
      <c r="H17" s="61">
        <f t="shared" si="1"/>
        <v>1</v>
      </c>
      <c r="I17" t="str">
        <f>IF(FT!B17&lt;&gt;"",FT!E17,"")</f>
        <v>1 [6.094548]</v>
      </c>
      <c r="J17">
        <f>IF(FT!B17&lt;&gt;"",FT!C17,"")</f>
        <v>6.0945499999999999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34949</v>
      </c>
      <c r="D18" s="61">
        <f>FH!B18*1</f>
        <v>34949</v>
      </c>
      <c r="E18">
        <f t="shared" si="3"/>
        <v>16</v>
      </c>
      <c r="F18" s="61">
        <f>IF(FT!A18&lt;&gt;"",FT!A18*10,"")</f>
        <v>2.2880700000000003</v>
      </c>
      <c r="G18" s="61">
        <f>IF(FT!B18&lt;&gt;"",FT!B18*100,"")</f>
        <v>48.814300000000003</v>
      </c>
      <c r="H18" s="61">
        <f t="shared" si="1"/>
        <v>1</v>
      </c>
      <c r="I18" t="str">
        <f>IF(FT!B18&lt;&gt;"",FT!E18,"")</f>
        <v>1 [6.498311]</v>
      </c>
      <c r="J18">
        <f>IF(FT!B18&lt;&gt;"",FT!C18,"")</f>
        <v>6.49831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2.32524</v>
      </c>
      <c r="G19" s="61">
        <f>IF(FT!B19&lt;&gt;"",FT!B19*100,"")</f>
        <v>47.839199999999998</v>
      </c>
      <c r="H19" s="61">
        <f t="shared" si="1"/>
        <v>1</v>
      </c>
      <c r="I19" t="str">
        <f>IF(FT!B19&lt;&gt;"",FT!E19,"")</f>
        <v>1 [6.903499]</v>
      </c>
      <c r="J19">
        <f>IF(FT!B19&lt;&gt;"",FT!C19,"")</f>
        <v>6.9035000000000002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2.3630499999999999</v>
      </c>
      <c r="G20" s="61">
        <f>IF(FT!B20&lt;&gt;"",FT!B20*100,"")</f>
        <v>46.9587</v>
      </c>
      <c r="H20" s="61">
        <f t="shared" si="1"/>
        <v>1</v>
      </c>
      <c r="I20" t="str">
        <f>IF(FT!B20&lt;&gt;"",FT!E20,"")</f>
        <v>1 [7.312967]</v>
      </c>
      <c r="J20">
        <f>IF(FT!B20&lt;&gt;"",FT!C20,"")</f>
        <v>7.31297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51940</v>
      </c>
      <c r="D21" s="61">
        <f>FH!B21*1</f>
        <v>51940</v>
      </c>
      <c r="E21">
        <f t="shared" si="3"/>
        <v>19</v>
      </c>
      <c r="F21" s="61">
        <f>IF(FT!A21&lt;&gt;"",FT!A21*10,"")</f>
        <v>2.3992100000000001</v>
      </c>
      <c r="G21" s="61">
        <f>IF(FT!B21&lt;&gt;"",FT!B21*100,"")</f>
        <v>46.1021</v>
      </c>
      <c r="H21" s="61">
        <f t="shared" si="1"/>
        <v>1</v>
      </c>
      <c r="I21" t="str">
        <f>IF(FT!B21&lt;&gt;"",FT!E21,"")</f>
        <v>1 [7.720028]</v>
      </c>
      <c r="J21">
        <f>IF(FT!B21&lt;&gt;"",FT!C21,"")</f>
        <v>7.7200300000000004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2.4311099999999999</v>
      </c>
      <c r="G22" s="61">
        <f>IF(FT!B22&lt;&gt;"",FT!B22*100,"")</f>
        <v>45.310699999999997</v>
      </c>
      <c r="H22" s="61">
        <f t="shared" si="1"/>
        <v>1</v>
      </c>
      <c r="I22" t="str">
        <f>IF(FT!B22&lt;&gt;"",FT!E22,"")</f>
        <v>1 [8.124204]</v>
      </c>
      <c r="J22">
        <f>IF(FT!B22&lt;&gt;"",FT!C22,"")</f>
        <v>8.1242000000000001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93804</v>
      </c>
      <c r="D23" s="61">
        <f>FH!B23*1</f>
        <v>93804</v>
      </c>
      <c r="E23">
        <f t="shared" si="3"/>
        <v>21</v>
      </c>
      <c r="F23" s="61">
        <f>IF(FT!A23&lt;&gt;"",FT!A23*10,"")</f>
        <v>2.4617900000000001</v>
      </c>
      <c r="G23" s="61">
        <f>IF(FT!B23&lt;&gt;"",FT!B23*100,"")</f>
        <v>44.634500000000003</v>
      </c>
      <c r="H23" s="61">
        <f t="shared" si="1"/>
        <v>1</v>
      </c>
      <c r="I23" t="str">
        <f>IF(FT!B23&lt;&gt;"",FT!E23,"")</f>
        <v>1 [8.530058]</v>
      </c>
      <c r="J23">
        <f>IF(FT!B23&lt;&gt;"",FT!C23,"")</f>
        <v>8.5300600000000006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2.49064</v>
      </c>
      <c r="G24" s="61">
        <f>IF(FT!B24&lt;&gt;"",FT!B24*100,"")</f>
        <v>44.044899999999998</v>
      </c>
      <c r="H24" s="61">
        <f t="shared" si="1"/>
        <v>1</v>
      </c>
      <c r="I24" t="str">
        <f>IF(FT!B24&lt;&gt;"",FT!E24,"")</f>
        <v>1 [8.936105]</v>
      </c>
      <c r="J24">
        <f>IF(FT!B24&lt;&gt;"",FT!C24,"")</f>
        <v>8.9361099999999993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2.51823</v>
      </c>
      <c r="G25" s="61">
        <f>IF(FT!B25&lt;&gt;"",FT!B25*100,"")</f>
        <v>43.518900000000002</v>
      </c>
      <c r="H25" s="61">
        <f t="shared" si="1"/>
        <v>1</v>
      </c>
      <c r="I25" t="str">
        <f>IF(FT!B25&lt;&gt;"",FT!E25,"")</f>
        <v>1 [9.344794]</v>
      </c>
      <c r="J25">
        <f>IF(FT!B25&lt;&gt;"",FT!C25,"")</f>
        <v>9.3447899999999997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117916</v>
      </c>
      <c r="D26" s="61">
        <f>FH!B26*1</f>
        <v>117916</v>
      </c>
      <c r="E26">
        <f t="shared" si="3"/>
        <v>24</v>
      </c>
      <c r="F26" s="61">
        <f>IF(FT!A26&lt;&gt;"",FT!A26*10,"")</f>
        <v>2.5471899999999996</v>
      </c>
      <c r="G26" s="61">
        <f>IF(FT!B26&lt;&gt;"",FT!B26*100,"")</f>
        <v>42.996200000000002</v>
      </c>
      <c r="H26" s="61">
        <f t="shared" si="1"/>
        <v>1</v>
      </c>
      <c r="I26" t="str">
        <f>IF(FT!B26&lt;&gt;"",FT!E26,"")</f>
        <v>1 [9.749493]</v>
      </c>
      <c r="J26">
        <f>IF(FT!B26&lt;&gt;"",FT!C26,"")</f>
        <v>9.7494899999999998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2.5756899999999998</v>
      </c>
      <c r="G27" s="61">
        <f>IF(FT!B27&lt;&gt;"",FT!B27*100,"")</f>
        <v>42.471899999999998</v>
      </c>
      <c r="H27" s="61">
        <f t="shared" si="1"/>
        <v>1</v>
      </c>
      <c r="I27" t="str">
        <f>IF(FT!B27&lt;&gt;"",FT!E27,"")</f>
        <v>1 [10.158196]</v>
      </c>
      <c r="J27">
        <f>IF(FT!B27&lt;&gt;"",FT!C27,"")</f>
        <v>10.158200000000001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124903</v>
      </c>
      <c r="D28" s="61">
        <f>FH!B28*1</f>
        <v>124903</v>
      </c>
      <c r="E28">
        <f t="shared" si="3"/>
        <v>26</v>
      </c>
      <c r="F28" s="61">
        <f>IF(FT!A28&lt;&gt;"",FT!A28*10,"")</f>
        <v>2.6025</v>
      </c>
      <c r="G28" s="61">
        <f>IF(FT!B28&lt;&gt;"",FT!B28*100,"")</f>
        <v>41.999299999999998</v>
      </c>
      <c r="H28" s="61">
        <f t="shared" si="1"/>
        <v>1</v>
      </c>
      <c r="I28" t="str">
        <f>IF(FT!B28&lt;&gt;"",FT!E28,"")</f>
        <v>1 [10.562333]</v>
      </c>
      <c r="J28">
        <f>IF(FT!B28&lt;&gt;"",FT!C28,"")</f>
        <v>10.5623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2.6276600000000001</v>
      </c>
      <c r="G29" s="61">
        <f>IF(FT!B29&lt;&gt;"",FT!B29*100,"")</f>
        <v>41.5655</v>
      </c>
      <c r="H29" s="61">
        <f t="shared" si="1"/>
        <v>1</v>
      </c>
      <c r="I29" t="str">
        <f>IF(FT!B29&lt;&gt;"",FT!E29,"")</f>
        <v>1 [10.969417]</v>
      </c>
      <c r="J29">
        <f>IF(FT!B29&lt;&gt;"",FT!C29,"")</f>
        <v>10.9694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2.6485300000000001</v>
      </c>
      <c r="G30" s="61">
        <f>IF(FT!B30&lt;&gt;"",FT!B30*100,"")</f>
        <v>41.202600000000004</v>
      </c>
      <c r="H30" s="61">
        <f t="shared" si="1"/>
        <v>1</v>
      </c>
      <c r="I30" t="str">
        <f>IF(FT!B30&lt;&gt;"",FT!E30,"")</f>
        <v>1 [11.374842]</v>
      </c>
      <c r="J30">
        <f>IF(FT!B30&lt;&gt;"",FT!C30,"")</f>
        <v>11.3748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108442</v>
      </c>
      <c r="D31" s="61">
        <f>FH!B31*1</f>
        <v>108442</v>
      </c>
      <c r="E31">
        <f t="shared" si="3"/>
        <v>29</v>
      </c>
      <c r="F31" s="61">
        <f>IF(FT!A31&lt;&gt;"",FT!A31*10,"")</f>
        <v>2.6648100000000001</v>
      </c>
      <c r="G31" s="61">
        <f>IF(FT!B31&lt;&gt;"",FT!B31*100,"")</f>
        <v>40.899299999999997</v>
      </c>
      <c r="H31" s="61">
        <f t="shared" si="1"/>
        <v>1</v>
      </c>
      <c r="I31" t="str">
        <f>IF(FT!B31&lt;&gt;"",FT!E31,"")</f>
        <v>1 [11.783589]</v>
      </c>
      <c r="J31">
        <f>IF(FT!B31&lt;&gt;"",FT!C31,"")</f>
        <v>11.7836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2.6782400000000002</v>
      </c>
      <c r="G32" s="61">
        <f>IF(FT!B32&lt;&gt;"",FT!B32*100,"")</f>
        <v>40.616999999999997</v>
      </c>
      <c r="H32" s="61">
        <f t="shared" si="1"/>
        <v>1</v>
      </c>
      <c r="I32" t="str">
        <f>IF(FT!B32&lt;&gt;"",FT!E32,"")</f>
        <v>1 [12.189924]</v>
      </c>
      <c r="J32">
        <f>IF(FT!B32&lt;&gt;"",FT!C32,"")</f>
        <v>12.1899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126438</v>
      </c>
      <c r="D33" s="61">
        <f>FH!B33*1</f>
        <v>126438</v>
      </c>
      <c r="E33">
        <f t="shared" si="3"/>
        <v>31</v>
      </c>
      <c r="F33" s="61">
        <f>IF(FT!A33&lt;&gt;"",FT!A33*10,"")</f>
        <v>2.6876600000000002</v>
      </c>
      <c r="G33" s="61">
        <f>IF(FT!B33&lt;&gt;"",FT!B33*100,"")</f>
        <v>40.394300000000001</v>
      </c>
      <c r="H33" s="61">
        <f t="shared" si="1"/>
        <v>1</v>
      </c>
      <c r="I33" t="str">
        <f>IF(FT!B33&lt;&gt;"",FT!E33,"")</f>
        <v>1 [12.592071]</v>
      </c>
      <c r="J33">
        <f>IF(FT!B33&lt;&gt;"",FT!C33,"")</f>
        <v>12.5921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2.6943800000000002</v>
      </c>
      <c r="G34" s="61">
        <f>IF(FT!B34&lt;&gt;"",FT!B34*100,"")</f>
        <v>40.199200000000005</v>
      </c>
      <c r="H34" s="61">
        <f t="shared" si="1"/>
        <v>1</v>
      </c>
      <c r="I34" t="str">
        <f>IF(FT!B34&lt;&gt;"",FT!E34,"")</f>
        <v>1 [12.998228]</v>
      </c>
      <c r="J34">
        <f>IF(FT!B34&lt;&gt;"",FT!C34,"")</f>
        <v>12.998200000000001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2.6995400000000003</v>
      </c>
      <c r="G35" s="61">
        <f>IF(FT!B35&lt;&gt;"",FT!B35*100,"")</f>
        <v>40.060899999999997</v>
      </c>
      <c r="H35" s="61">
        <f t="shared" si="1"/>
        <v>1</v>
      </c>
      <c r="I35" t="str">
        <f>IF(FT!B35&lt;&gt;"",FT!E35,"")</f>
        <v>1 [13.404975]</v>
      </c>
      <c r="J35">
        <f>IF(FT!B35&lt;&gt;"",FT!C35,"")</f>
        <v>13.404999999999999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126052</v>
      </c>
      <c r="D36" s="61">
        <f>FH!B36*1</f>
        <v>126052</v>
      </c>
      <c r="E36">
        <f t="shared" si="3"/>
        <v>34</v>
      </c>
      <c r="F36" s="61">
        <f>IF(FT!A36&lt;&gt;"",FT!A36*10,"")</f>
        <v>2.70329</v>
      </c>
      <c r="G36" s="61">
        <f>IF(FT!B36&lt;&gt;"",FT!B36*100,"")</f>
        <v>39.962599999999995</v>
      </c>
      <c r="H36" s="61">
        <f t="shared" si="1"/>
        <v>1</v>
      </c>
      <c r="I36" t="str">
        <f>IF(FT!B36&lt;&gt;"",FT!E36,"")</f>
        <v>1 [13.814088]</v>
      </c>
      <c r="J36">
        <f>IF(FT!B36&lt;&gt;"",FT!C36,"")</f>
        <v>13.8141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2.7051699999999999</v>
      </c>
      <c r="G37" s="61">
        <f>IF(FT!B37&lt;&gt;"",FT!B37*100,"")</f>
        <v>39.9116</v>
      </c>
      <c r="H37" s="61">
        <f t="shared" si="1"/>
        <v>1</v>
      </c>
      <c r="I37" t="str">
        <f>IF(FT!B37&lt;&gt;"",FT!E37,"")</f>
        <v>1 [14.219692]</v>
      </c>
      <c r="J37">
        <f>IF(FT!B37&lt;&gt;"",FT!C37,"")</f>
        <v>14.2197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2.7055699999999998</v>
      </c>
      <c r="G38" s="61">
        <f>IF(FT!B38&lt;&gt;"",FT!B38*100,"")</f>
        <v>39.869399999999999</v>
      </c>
      <c r="H38" s="61">
        <f t="shared" si="1"/>
        <v>1</v>
      </c>
      <c r="I38" t="str">
        <f>IF(FT!B38&lt;&gt;"",FT!E38,"")</f>
        <v>1 [14.626955]</v>
      </c>
      <c r="J38">
        <f>IF(FT!B38&lt;&gt;"",FT!C38,"")</f>
        <v>14.627000000000001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129473</v>
      </c>
      <c r="D39" s="61">
        <f>FH!B39*1</f>
        <v>129473</v>
      </c>
      <c r="E39">
        <f t="shared" si="3"/>
        <v>37</v>
      </c>
      <c r="F39" s="61">
        <f>IF(FT!A39&lt;&gt;"",FT!A39*10,"")</f>
        <v>2.70221</v>
      </c>
      <c r="G39" s="61">
        <f>IF(FT!B39&lt;&gt;"",FT!B39*100,"")</f>
        <v>39.853899999999996</v>
      </c>
      <c r="H39" s="61">
        <f t="shared" si="1"/>
        <v>1</v>
      </c>
      <c r="I39" t="str">
        <f>IF(FT!B39&lt;&gt;"",FT!E39,"")</f>
        <v>1 [15.035065]</v>
      </c>
      <c r="J39">
        <f>IF(FT!B39&lt;&gt;"",FT!C39,"")</f>
        <v>15.0351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2.6966700000000001</v>
      </c>
      <c r="G40" s="61">
        <f>IF(FT!B40&lt;&gt;"",FT!B40*100,"")</f>
        <v>39.8643</v>
      </c>
      <c r="H40" s="61">
        <f t="shared" si="1"/>
        <v>1</v>
      </c>
      <c r="I40" t="str">
        <f>IF(FT!B40&lt;&gt;"",FT!E40,"")</f>
        <v>1 [15.440407]</v>
      </c>
      <c r="J40">
        <f>IF(FT!B40&lt;&gt;"",FT!C40,"")</f>
        <v>15.4404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130870</v>
      </c>
      <c r="D41" s="61">
        <f>FH!B41*1</f>
        <v>130870</v>
      </c>
      <c r="E41">
        <f t="shared" si="3"/>
        <v>39</v>
      </c>
      <c r="F41" s="61">
        <f>IF(FT!A41&lt;&gt;"",FT!A41*10,"")</f>
        <v>2.6880600000000001</v>
      </c>
      <c r="G41" s="61">
        <f>IF(FT!B41&lt;&gt;"",FT!B41*100,"")</f>
        <v>39.920899999999996</v>
      </c>
      <c r="H41" s="61">
        <f t="shared" si="1"/>
        <v>1</v>
      </c>
      <c r="I41" t="str">
        <f>IF(FT!B41&lt;&gt;"",FT!E41,"")</f>
        <v>1 [15.846578]</v>
      </c>
      <c r="J41">
        <f>IF(FT!B41&lt;&gt;"",FT!C41,"")</f>
        <v>15.8466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2.67598</v>
      </c>
      <c r="G42" s="61">
        <f>IF(FT!B42&lt;&gt;"",FT!B42*100,"")</f>
        <v>40.042999999999999</v>
      </c>
      <c r="H42" s="61">
        <f t="shared" si="1"/>
        <v>1</v>
      </c>
      <c r="I42" t="str">
        <f>IF(FT!B42&lt;&gt;"",FT!E42,"")</f>
        <v>1 [16.253000]</v>
      </c>
      <c r="J42">
        <f>IF(FT!B42&lt;&gt;"",FT!C42,"")</f>
        <v>16.253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2.6610699999999996</v>
      </c>
      <c r="G43" s="61">
        <f>IF(FT!B43&lt;&gt;"",FT!B43*100,"")</f>
        <v>40.236600000000003</v>
      </c>
      <c r="H43" s="61">
        <f t="shared" si="1"/>
        <v>1</v>
      </c>
      <c r="I43" t="str">
        <f>IF(FT!B43&lt;&gt;"",FT!E43,"")</f>
        <v>1 [16.657813]</v>
      </c>
      <c r="J43">
        <f>IF(FT!B43&lt;&gt;"",FT!C43,"")</f>
        <v>16.657800000000002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135904</v>
      </c>
      <c r="D44" s="61">
        <f>FH!B44*1</f>
        <v>135904</v>
      </c>
      <c r="E44">
        <f t="shared" si="3"/>
        <v>42</v>
      </c>
      <c r="F44" s="61">
        <f>IF(FT!A44&lt;&gt;"",FT!A44*10,"")</f>
        <v>2.6464100000000004</v>
      </c>
      <c r="G44" s="61">
        <f>IF(FT!B44&lt;&gt;"",FT!B44*100,"")</f>
        <v>40.342700000000001</v>
      </c>
      <c r="H44" s="61">
        <f t="shared" si="1"/>
        <v>1</v>
      </c>
      <c r="I44" t="str">
        <f>IF(FT!B44&lt;&gt;"",FT!E44,"")</f>
        <v>1 [17.061812]</v>
      </c>
      <c r="J44">
        <f>IF(FT!B44&lt;&gt;"",FT!C44,"")</f>
        <v>17.061800000000002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2.6302099999999999</v>
      </c>
      <c r="G45" s="61">
        <f>IF(FT!B45&lt;&gt;"",FT!B45*100,"")</f>
        <v>40.411000000000001</v>
      </c>
      <c r="H45" s="61">
        <f t="shared" si="1"/>
        <v>1</v>
      </c>
      <c r="I45" t="str">
        <f>IF(FT!B45&lt;&gt;"",FT!E45,"")</f>
        <v>1 [17.466841]</v>
      </c>
      <c r="J45">
        <f>IF(FT!B45&lt;&gt;"",FT!C45,"")</f>
        <v>17.466799999999999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134244</v>
      </c>
      <c r="D46" s="61">
        <f>FH!B46*1</f>
        <v>134244</v>
      </c>
      <c r="E46">
        <f t="shared" si="3"/>
        <v>44</v>
      </c>
      <c r="F46" s="61">
        <f>IF(FT!A46&lt;&gt;"",FT!A46*10,"")</f>
        <v>2.6121499999999997</v>
      </c>
      <c r="G46" s="61">
        <f>IF(FT!B46&lt;&gt;"",FT!B46*100,"")</f>
        <v>40.500799999999998</v>
      </c>
      <c r="H46" s="61">
        <f t="shared" si="1"/>
        <v>1</v>
      </c>
      <c r="I46" t="str">
        <f>IF(FT!B46&lt;&gt;"",FT!E46,"")</f>
        <v>1 [17.876121]</v>
      </c>
      <c r="J46">
        <f>IF(FT!B46&lt;&gt;"",FT!C46,"")</f>
        <v>17.876100000000001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2.5957999999999997</v>
      </c>
      <c r="G47" s="61">
        <f>IF(FT!B47&lt;&gt;"",FT!B47*100,"")</f>
        <v>40.553400000000003</v>
      </c>
      <c r="H47" s="61">
        <f t="shared" si="1"/>
        <v>1</v>
      </c>
      <c r="I47" t="str">
        <f>IF(FT!B47&lt;&gt;"",FT!E47,"")</f>
        <v>1 [18.281570]</v>
      </c>
      <c r="J47">
        <f>IF(FT!B47&lt;&gt;"",FT!C47,"")</f>
        <v>18.281600000000001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2.5794600000000001</v>
      </c>
      <c r="G48" s="61">
        <f>IF(FT!B48&lt;&gt;"",FT!B48*100,"")</f>
        <v>40.571100000000001</v>
      </c>
      <c r="H48" s="61">
        <f t="shared" si="1"/>
        <v>1</v>
      </c>
      <c r="I48" t="str">
        <f>IF(FT!B48&lt;&gt;"",FT!E48,"")</f>
        <v>1 [18.687537]</v>
      </c>
      <c r="J48">
        <f>IF(FT!B48&lt;&gt;"",FT!C48,"")</f>
        <v>18.6875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133470</v>
      </c>
      <c r="D49" s="61">
        <f>FH!B49*1</f>
        <v>133470</v>
      </c>
      <c r="E49">
        <f t="shared" si="3"/>
        <v>47</v>
      </c>
      <c r="F49" s="61">
        <f>IF(FT!A49&lt;&gt;"",FT!A49*10,"")</f>
        <v>2.5628600000000001</v>
      </c>
      <c r="G49" s="61">
        <f>IF(FT!B49&lt;&gt;"",FT!B49*100,"")</f>
        <v>40.585900000000002</v>
      </c>
      <c r="H49" s="61">
        <f t="shared" si="1"/>
        <v>1</v>
      </c>
      <c r="I49" t="str">
        <f>IF(FT!B49&lt;&gt;"",FT!E49,"")</f>
        <v>1 [19.093679]</v>
      </c>
      <c r="J49">
        <f>IF(FT!B49&lt;&gt;"",FT!C49,"")</f>
        <v>19.093699999999998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2.5482700000000005</v>
      </c>
      <c r="G50" s="61">
        <f>IF(FT!B50&lt;&gt;"",FT!B50*100,"")</f>
        <v>40.577000000000005</v>
      </c>
      <c r="H50" s="61">
        <f t="shared" si="1"/>
        <v>1</v>
      </c>
      <c r="I50" t="str">
        <f>IF(FT!B50&lt;&gt;"",FT!E50,"")</f>
        <v>1 [19.501985]</v>
      </c>
      <c r="J50">
        <f>IF(FT!B50&lt;&gt;"",FT!C50,"")</f>
        <v>19.501999999999999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136551</v>
      </c>
      <c r="D51" s="61">
        <f>FH!B51*1</f>
        <v>136551</v>
      </c>
      <c r="E51">
        <f t="shared" si="3"/>
        <v>49</v>
      </c>
      <c r="F51" s="61">
        <f>IF(FT!A51&lt;&gt;"",FT!A51*10,"")</f>
        <v>2.5345</v>
      </c>
      <c r="G51" s="61">
        <f>IF(FT!B51&lt;&gt;"",FT!B51*100,"")</f>
        <v>40.609400000000001</v>
      </c>
      <c r="H51" s="61">
        <f t="shared" si="1"/>
        <v>1</v>
      </c>
      <c r="I51" t="str">
        <f>IF(FT!B51&lt;&gt;"",FT!E51,"")</f>
        <v>1 [19.906762]</v>
      </c>
      <c r="J51">
        <f>IF(FT!B51&lt;&gt;"",FT!C51,"")</f>
        <v>19.9068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2.5210400000000002</v>
      </c>
      <c r="G52" s="61">
        <f>IF(FT!B52&lt;&gt;"",FT!B52*100,"")</f>
        <v>40.754200000000004</v>
      </c>
      <c r="H52" s="61">
        <f t="shared" si="1"/>
        <v>1</v>
      </c>
      <c r="I52" t="str">
        <f>IF(FT!B52&lt;&gt;"",FT!E52,"")</f>
        <v>1 [20.313518]</v>
      </c>
      <c r="J52">
        <f>IF(FT!B52&lt;&gt;"",FT!C52,"")</f>
        <v>20.313500000000001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2.5088300000000001</v>
      </c>
      <c r="G53" s="61">
        <f>IF(FT!B53&lt;&gt;"",FT!B53*100,"")</f>
        <v>40.896900000000002</v>
      </c>
      <c r="H53" s="61">
        <f t="shared" si="1"/>
        <v>1</v>
      </c>
      <c r="I53" t="str">
        <f>IF(FT!B53&lt;&gt;"",FT!E53,"")</f>
        <v>1 [20.719157]</v>
      </c>
      <c r="J53">
        <f>IF(FT!B53&lt;&gt;"",FT!C53,"")</f>
        <v>20.719200000000001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149019</v>
      </c>
      <c r="D54" s="61">
        <f>FH!B54*1</f>
        <v>149019</v>
      </c>
      <c r="E54">
        <f t="shared" si="3"/>
        <v>52</v>
      </c>
      <c r="F54" s="61">
        <f>IF(FT!A54&lt;&gt;"",FT!A54*10,"")</f>
        <v>2.4999599999999997</v>
      </c>
      <c r="G54" s="61">
        <f>IF(FT!B54&lt;&gt;"",FT!B54*100,"")</f>
        <v>41.0306</v>
      </c>
      <c r="H54" s="61">
        <f t="shared" si="1"/>
        <v>1</v>
      </c>
      <c r="I54" t="str">
        <f>IF(FT!B54&lt;&gt;"",FT!E54,"")</f>
        <v>1 [21.124046]</v>
      </c>
      <c r="J54">
        <f>IF(FT!B54&lt;&gt;"",FT!C54,"")</f>
        <v>21.123999999999999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2.4946299999999999</v>
      </c>
      <c r="G55" s="61">
        <f>IF(FT!B55&lt;&gt;"",FT!B55*100,"")</f>
        <v>41.0749</v>
      </c>
      <c r="H55" s="61">
        <f t="shared" si="1"/>
        <v>1</v>
      </c>
      <c r="I55" t="str">
        <f>IF(FT!B55&lt;&gt;"",FT!E55,"")</f>
        <v>1 [21.531400]</v>
      </c>
      <c r="J55">
        <f>IF(FT!B55&lt;&gt;"",FT!C55,"")</f>
        <v>21.531400000000001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2.4932300000000001</v>
      </c>
      <c r="G56" s="61">
        <f>IF(FT!B56&lt;&gt;"",FT!B56*100,"")</f>
        <v>40.9497</v>
      </c>
      <c r="H56" s="61">
        <f t="shared" si="1"/>
        <v>1</v>
      </c>
      <c r="I56" t="str">
        <f>IF(FT!B56&lt;&gt;"",FT!E56,"")</f>
        <v>1 [21.940314]</v>
      </c>
      <c r="J56">
        <f>IF(FT!B56&lt;&gt;"",FT!C56,"")</f>
        <v>21.940300000000001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158463</v>
      </c>
      <c r="D57" s="61">
        <f>FH!B57*1</f>
        <v>158463</v>
      </c>
      <c r="E57">
        <f t="shared" si="3"/>
        <v>55</v>
      </c>
      <c r="F57" s="61">
        <f>IF(FT!A57&lt;&gt;"",FT!A57*10,"")</f>
        <v>2.4890099999999999</v>
      </c>
      <c r="G57" s="61">
        <f>IF(FT!B57&lt;&gt;"",FT!B57*100,"")</f>
        <v>40.956699999999998</v>
      </c>
      <c r="H57" s="61">
        <f t="shared" si="1"/>
        <v>1</v>
      </c>
      <c r="I57" t="str">
        <f>IF(FT!B57&lt;&gt;"",FT!E57,"")</f>
        <v>1 [22.342330]</v>
      </c>
      <c r="J57">
        <f>IF(FT!B57&lt;&gt;"",FT!C57,"")</f>
        <v>22.342300000000002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2.49024</v>
      </c>
      <c r="G58" s="61">
        <f>IF(FT!B58&lt;&gt;"",FT!B58*100,"")</f>
        <v>40.8964</v>
      </c>
      <c r="H58" s="61">
        <f t="shared" si="1"/>
        <v>1</v>
      </c>
      <c r="I58" t="str">
        <f>IF(FT!B58&lt;&gt;"",FT!E58,"")</f>
        <v>1 [22.750447]</v>
      </c>
      <c r="J58">
        <f>IF(FT!B58&lt;&gt;"",FT!C58,"")</f>
        <v>22.750399999999999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155195</v>
      </c>
      <c r="D59" s="61">
        <f>FH!B59*1</f>
        <v>155195</v>
      </c>
      <c r="E59">
        <f t="shared" si="3"/>
        <v>57</v>
      </c>
      <c r="F59" s="61">
        <f>IF(FT!A59&lt;&gt;"",FT!A59*10,"")</f>
        <v>2.4940000000000002</v>
      </c>
      <c r="G59" s="61">
        <f>IF(FT!B59&lt;&gt;"",FT!B59*100,"")</f>
        <v>40.776499999999999</v>
      </c>
      <c r="H59" s="61">
        <f t="shared" si="1"/>
        <v>1</v>
      </c>
      <c r="I59" t="str">
        <f>IF(FT!B59&lt;&gt;"",FT!E59,"")</f>
        <v>1 [23.153211]</v>
      </c>
      <c r="J59">
        <f>IF(FT!B59&lt;&gt;"",FT!C59,"")</f>
        <v>23.153199999999998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2.4999199999999999</v>
      </c>
      <c r="G60" s="61">
        <f>IF(FT!B60&lt;&gt;"",FT!B60*100,"")</f>
        <v>40.528399999999998</v>
      </c>
      <c r="H60" s="61">
        <f t="shared" si="1"/>
        <v>1</v>
      </c>
      <c r="I60" t="str">
        <f>IF(FT!B60&lt;&gt;"",FT!E60,"")</f>
        <v>1 [23.561485]</v>
      </c>
      <c r="J60">
        <f>IF(FT!B60&lt;&gt;"",FT!C60,"")</f>
        <v>23.561499999999999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2.5135400000000003</v>
      </c>
      <c r="G61" s="61">
        <f>IF(FT!B61&lt;&gt;"",FT!B61*100,"")</f>
        <v>40.133899999999997</v>
      </c>
      <c r="H61" s="61">
        <f t="shared" si="1"/>
        <v>1</v>
      </c>
      <c r="I61" t="str">
        <f>IF(FT!B61&lt;&gt;"",FT!E61,"")</f>
        <v>1 [23.969605]</v>
      </c>
      <c r="J61">
        <f>IF(FT!B61&lt;&gt;"",FT!C61,"")</f>
        <v>23.9696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144476</v>
      </c>
      <c r="D62" s="61">
        <f>FH!B62*1</f>
        <v>144476</v>
      </c>
      <c r="E62">
        <f t="shared" si="3"/>
        <v>60</v>
      </c>
      <c r="F62" s="61">
        <f>IF(FT!A62&lt;&gt;"",FT!A62*10,"")</f>
        <v>2.5185200000000001</v>
      </c>
      <c r="G62" s="61">
        <f>IF(FT!B62&lt;&gt;"",FT!B62*100,"")</f>
        <v>39.926299999999998</v>
      </c>
      <c r="H62" s="61">
        <f t="shared" si="1"/>
        <v>1</v>
      </c>
      <c r="I62" t="str">
        <f>IF(FT!B62&lt;&gt;"",FT!E62,"")</f>
        <v>1 [24.375865]</v>
      </c>
      <c r="J62">
        <f>IF(FT!B62&lt;&gt;"",FT!C62,"")</f>
        <v>24.375900000000001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2.53559</v>
      </c>
      <c r="G63" s="61">
        <f>IF(FT!B63&lt;&gt;"",FT!B63*100,"")</f>
        <v>39.552199999999999</v>
      </c>
      <c r="H63" s="61">
        <f t="shared" si="1"/>
        <v>1</v>
      </c>
      <c r="I63" t="str">
        <f>IF(FT!B63&lt;&gt;"",FT!E63,"")</f>
        <v>1 [24.783580]</v>
      </c>
      <c r="J63">
        <f>IF(FT!B63&lt;&gt;"",FT!C63,"")</f>
        <v>24.7836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146052</v>
      </c>
      <c r="D64" s="61">
        <f>FH!B64*1</f>
        <v>146052</v>
      </c>
      <c r="E64">
        <f t="shared" si="3"/>
        <v>62</v>
      </c>
      <c r="F64" s="61">
        <f>IF(FT!A64&lt;&gt;"",FT!A64*10,"")</f>
        <v>2.5509500000000003</v>
      </c>
      <c r="G64" s="61">
        <f>IF(FT!B64&lt;&gt;"",FT!B64*100,"")</f>
        <v>39.2256</v>
      </c>
      <c r="H64" s="61">
        <f t="shared" si="1"/>
        <v>1</v>
      </c>
      <c r="I64" t="str">
        <f>IF(FT!B64&lt;&gt;"",FT!E64,"")</f>
        <v>1 [25.187762]</v>
      </c>
      <c r="J64">
        <f>IF(FT!B64&lt;&gt;"",FT!C64,"")</f>
        <v>25.187799999999999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2.5609999999999999</v>
      </c>
      <c r="G65" s="61">
        <f>IF(FT!B65&lt;&gt;"",FT!B65*100,"")</f>
        <v>38.955300000000001</v>
      </c>
      <c r="H65" s="61">
        <f t="shared" si="1"/>
        <v>1</v>
      </c>
      <c r="I65" t="str">
        <f>IF(FT!B65&lt;&gt;"",FT!E65,"")</f>
        <v>1 [25.592124]</v>
      </c>
      <c r="J65">
        <f>IF(FT!B65&lt;&gt;"",FT!C65,"")</f>
        <v>25.592099999999999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2.5832899999999999</v>
      </c>
      <c r="G66" s="61">
        <f>IF(FT!B66&lt;&gt;"",FT!B66*100,"")</f>
        <v>38.440000000000005</v>
      </c>
      <c r="H66" s="61">
        <f t="shared" si="1"/>
        <v>1</v>
      </c>
      <c r="I66" t="str">
        <f>IF(FT!B66&lt;&gt;"",FT!E66,"")</f>
        <v>1 [25.998642]</v>
      </c>
      <c r="J66">
        <f>IF(FT!B66&lt;&gt;"",FT!C66,"")</f>
        <v>25.9986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143398</v>
      </c>
      <c r="D67" s="61">
        <f>FH!B67*1</f>
        <v>143398</v>
      </c>
      <c r="E67">
        <f t="shared" si="3"/>
        <v>65</v>
      </c>
      <c r="F67" s="61">
        <f>IF(FT!A67&lt;&gt;"",FT!A67*10,"")</f>
        <v>2.6196299999999999</v>
      </c>
      <c r="G67" s="61">
        <f>IF(FT!B67&lt;&gt;"",FT!B67*100,"")</f>
        <v>37.576500000000003</v>
      </c>
      <c r="H67" s="61">
        <f t="shared" ref="H67:H130" si="9">(IF(F67&lt;&gt;"",1,""))</f>
        <v>1</v>
      </c>
      <c r="I67" t="str">
        <f>IF(FT!B67&lt;&gt;"",FT!E67,"")</f>
        <v>1 [26.407898]</v>
      </c>
      <c r="J67">
        <f>IF(FT!B67&lt;&gt;"",FT!C67,"")</f>
        <v>26.407900000000001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2.6487300000000005</v>
      </c>
      <c r="G68" s="61">
        <f>IF(FT!B68&lt;&gt;"",FT!B68*100,"")</f>
        <v>36.965599999999995</v>
      </c>
      <c r="H68" s="61">
        <f t="shared" si="9"/>
        <v>1</v>
      </c>
      <c r="I68" t="str">
        <f>IF(FT!B68&lt;&gt;"",FT!E68,"")</f>
        <v>1 [26.814470]</v>
      </c>
      <c r="J68">
        <f>IF(FT!B68&lt;&gt;"",FT!C68,"")</f>
        <v>26.814499999999999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147303</v>
      </c>
      <c r="D69" s="61">
        <f>FH!B69*1</f>
        <v>147303</v>
      </c>
      <c r="E69">
        <f t="shared" si="11"/>
        <v>67</v>
      </c>
      <c r="F69" s="61">
        <f>IF(FT!A69&lt;&gt;"",FT!A69*10,"")</f>
        <v>2.6807300000000001</v>
      </c>
      <c r="G69" s="61">
        <f>IF(FT!B69&lt;&gt;"",FT!B69*100,"")</f>
        <v>36.392799999999994</v>
      </c>
      <c r="H69" s="61">
        <f t="shared" si="9"/>
        <v>1</v>
      </c>
      <c r="I69" t="str">
        <f>IF(FT!B69&lt;&gt;"",FT!E69,"")</f>
        <v>1 [27.218596]</v>
      </c>
      <c r="J69">
        <f>IF(FT!B69&lt;&gt;"",FT!C69,"")</f>
        <v>27.218599999999999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2.71197</v>
      </c>
      <c r="G70" s="61">
        <f>IF(FT!B70&lt;&gt;"",FT!B70*100,"")</f>
        <v>35.887700000000002</v>
      </c>
      <c r="H70" s="61">
        <f t="shared" si="9"/>
        <v>1</v>
      </c>
      <c r="I70" t="str">
        <f>IF(FT!B70&lt;&gt;"",FT!E70,"")</f>
        <v>1 [27.624899]</v>
      </c>
      <c r="J70">
        <f>IF(FT!B70&lt;&gt;"",FT!C70,"")</f>
        <v>27.6249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2.7437200000000002</v>
      </c>
      <c r="G71" s="61">
        <f>IF(FT!B71&lt;&gt;"",FT!B71*100,"")</f>
        <v>35.459299999999999</v>
      </c>
      <c r="H71" s="61">
        <f t="shared" si="9"/>
        <v>1</v>
      </c>
      <c r="I71" t="str">
        <f>IF(FT!B71&lt;&gt;"",FT!E71,"")</f>
        <v>1 [28.031768]</v>
      </c>
      <c r="J71">
        <f>IF(FT!B71&lt;&gt;"",FT!C71,"")</f>
        <v>28.0318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139135</v>
      </c>
      <c r="D72" s="61">
        <f>FH!B72*1</f>
        <v>139135</v>
      </c>
      <c r="E72">
        <f t="shared" si="11"/>
        <v>70</v>
      </c>
      <c r="F72" s="61">
        <f>IF(FT!A72&lt;&gt;"",FT!A72*10,"")</f>
        <v>2.7667000000000002</v>
      </c>
      <c r="G72" s="61">
        <f>IF(FT!B72&lt;&gt;"",FT!B72*100,"")</f>
        <v>35.234999999999999</v>
      </c>
      <c r="H72" s="61">
        <f t="shared" si="9"/>
        <v>1</v>
      </c>
      <c r="I72" t="str">
        <f>IF(FT!B72&lt;&gt;"",FT!E72,"")</f>
        <v>1 [28.435753]</v>
      </c>
      <c r="J72">
        <f>IF(FT!B72&lt;&gt;"",FT!C72,"")</f>
        <v>28.4358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2.8029799999999998</v>
      </c>
      <c r="G73" s="61">
        <f>IF(FT!B73&lt;&gt;"",FT!B73*100,"")</f>
        <v>34.884700000000002</v>
      </c>
      <c r="H73" s="61">
        <f t="shared" si="9"/>
        <v>1</v>
      </c>
      <c r="I73" t="str">
        <f>IF(FT!B73&lt;&gt;"",FT!E73,"")</f>
        <v>1 [28.845256]</v>
      </c>
      <c r="J73">
        <f>IF(FT!B73&lt;&gt;"",FT!C73,"")</f>
        <v>28.845300000000002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2.8256700000000001</v>
      </c>
      <c r="G74" s="61">
        <f>IF(FT!B74&lt;&gt;"",FT!B74*100,"")</f>
        <v>34.7468</v>
      </c>
      <c r="H74" s="61">
        <f t="shared" si="9"/>
        <v>1</v>
      </c>
      <c r="I74" t="str">
        <f>IF(FT!B74&lt;&gt;"",FT!E74,"")</f>
        <v>1 [29.250257]</v>
      </c>
      <c r="J74">
        <f>IF(FT!B74&lt;&gt;"",FT!C74,"")</f>
        <v>29.250299999999999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137509</v>
      </c>
      <c r="D75" s="61">
        <f>FH!B75*1</f>
        <v>137509</v>
      </c>
      <c r="E75">
        <f t="shared" si="11"/>
        <v>73</v>
      </c>
      <c r="F75" s="61">
        <f>IF(FT!A75&lt;&gt;"",FT!A75*10,"")</f>
        <v>2.8585400000000001</v>
      </c>
      <c r="G75" s="61">
        <f>IF(FT!B75&lt;&gt;"",FT!B75*100,"")</f>
        <v>34.479799999999997</v>
      </c>
      <c r="H75" s="61">
        <f t="shared" si="9"/>
        <v>1</v>
      </c>
      <c r="I75" t="str">
        <f>IF(FT!B75&lt;&gt;"",FT!E75,"")</f>
        <v>1 [29.658537]</v>
      </c>
      <c r="J75">
        <f>IF(FT!B75&lt;&gt;"",FT!C75,"")</f>
        <v>29.6585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2.8825499999999997</v>
      </c>
      <c r="G76" s="61">
        <f>IF(FT!B76&lt;&gt;"",FT!B76*100,"")</f>
        <v>34.268700000000003</v>
      </c>
      <c r="H76" s="61">
        <f t="shared" si="9"/>
        <v>1</v>
      </c>
      <c r="I76" t="str">
        <f>IF(FT!B76&lt;&gt;"",FT!E76,"")</f>
        <v>2 [30.063708]</v>
      </c>
      <c r="J76">
        <f>IF(FT!B76&lt;&gt;"",FT!C76,"")</f>
        <v>30.063700000000001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124381</v>
      </c>
      <c r="D77" s="61">
        <f>FH!B77*1</f>
        <v>124381</v>
      </c>
      <c r="E77">
        <f t="shared" si="11"/>
        <v>75</v>
      </c>
      <c r="F77" s="61">
        <f>IF(FT!A77&lt;&gt;"",FT!A77*10,"")</f>
        <v>2.9068199999999997</v>
      </c>
      <c r="G77" s="61">
        <f>IF(FT!B77&lt;&gt;"",FT!B77*100,"")</f>
        <v>34.009900000000002</v>
      </c>
      <c r="H77" s="61">
        <f t="shared" si="9"/>
        <v>1</v>
      </c>
      <c r="I77" t="str">
        <f>IF(FT!B77&lt;&gt;"",FT!E77,"")</f>
        <v>2 [30.530085]</v>
      </c>
      <c r="J77">
        <f>IF(FT!B77&lt;&gt;"",FT!C77,"")</f>
        <v>30.530100000000001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2.9291200000000002</v>
      </c>
      <c r="G78" s="61">
        <f>IF(FT!B78&lt;&gt;"",FT!B78*100,"")</f>
        <v>33.7898</v>
      </c>
      <c r="H78" s="61">
        <f t="shared" si="9"/>
        <v>1</v>
      </c>
      <c r="I78" t="str">
        <f>IF(FT!B78&lt;&gt;"",FT!E78,"")</f>
        <v>2 [30.921956]</v>
      </c>
      <c r="J78">
        <f>IF(FT!B78&lt;&gt;"",FT!C78,"")</f>
        <v>30.922000000000001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2.9475699999999998</v>
      </c>
      <c r="G79" s="61">
        <f>IF(FT!B79&lt;&gt;"",FT!B79*100,"")</f>
        <v>33.588000000000001</v>
      </c>
      <c r="H79" s="61">
        <f t="shared" si="9"/>
        <v>1</v>
      </c>
      <c r="I79" t="str">
        <f>IF(FT!B79&lt;&gt;"",FT!E79,"")</f>
        <v>2 [31.329169]</v>
      </c>
      <c r="J79">
        <f>IF(FT!B79&lt;&gt;"",FT!C79,"")</f>
        <v>31.3292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117292</v>
      </c>
      <c r="D80" s="61">
        <f>FH!B80*1</f>
        <v>117292</v>
      </c>
      <c r="E80">
        <f t="shared" si="11"/>
        <v>78</v>
      </c>
      <c r="F80" s="61">
        <f>IF(FT!A80&lt;&gt;"",FT!A80*10,"")</f>
        <v>2.9641899999999999</v>
      </c>
      <c r="G80" s="61">
        <f>IF(FT!B80&lt;&gt;"",FT!B80*100,"")</f>
        <v>33.46</v>
      </c>
      <c r="H80" s="61">
        <f t="shared" si="9"/>
        <v>1</v>
      </c>
      <c r="I80" t="str">
        <f>IF(FT!B80&lt;&gt;"",FT!E80,"")</f>
        <v>2 [31.733702]</v>
      </c>
      <c r="J80">
        <f>IF(FT!B80&lt;&gt;"",FT!C80,"")</f>
        <v>31.733699999999999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2.9756</v>
      </c>
      <c r="G81" s="61">
        <f>IF(FT!B81&lt;&gt;"",FT!B81*100,"")</f>
        <v>33.505099999999999</v>
      </c>
      <c r="H81" s="61">
        <f t="shared" si="9"/>
        <v>1</v>
      </c>
      <c r="I81" t="str">
        <f>IF(FT!B81&lt;&gt;"",FT!E81,"")</f>
        <v>2 [32.138565]</v>
      </c>
      <c r="J81">
        <f>IF(FT!B81&lt;&gt;"",FT!C81,"")</f>
        <v>32.138599999999997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110578</v>
      </c>
      <c r="D82" s="61">
        <f>FH!B82*1</f>
        <v>110578</v>
      </c>
      <c r="E82">
        <f t="shared" si="11"/>
        <v>80</v>
      </c>
      <c r="F82" s="61">
        <f>IF(FT!A82&lt;&gt;"",FT!A82*10,"")</f>
        <v>2.9853499999999999</v>
      </c>
      <c r="G82" s="61">
        <f>IF(FT!B82&lt;&gt;"",FT!B82*100,"")</f>
        <v>33.534599999999998</v>
      </c>
      <c r="H82" s="61">
        <f t="shared" si="9"/>
        <v>1</v>
      </c>
      <c r="I82" t="str">
        <f>IF(FT!B82&lt;&gt;"",FT!E82,"")</f>
        <v>2 [32.547093]</v>
      </c>
      <c r="J82">
        <f>IF(FT!B82&lt;&gt;"",FT!C82,"")</f>
        <v>32.5471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2.9922199999999997</v>
      </c>
      <c r="G83" s="61">
        <f>IF(FT!B83&lt;&gt;"",FT!B83*100,"")</f>
        <v>33.5792</v>
      </c>
      <c r="H83" s="61">
        <f t="shared" si="9"/>
        <v>1</v>
      </c>
      <c r="I83" t="str">
        <f>IF(FT!B83&lt;&gt;"",FT!E83,"")</f>
        <v>2 [32.954443]</v>
      </c>
      <c r="J83">
        <f>IF(FT!B83&lt;&gt;"",FT!C83,"")</f>
        <v>32.9544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2.9982700000000002</v>
      </c>
      <c r="G84" s="61">
        <f>IF(FT!B84&lt;&gt;"",FT!B84*100,"")</f>
        <v>33.661000000000001</v>
      </c>
      <c r="H84" s="61">
        <f t="shared" si="9"/>
        <v>1</v>
      </c>
      <c r="I84" t="str">
        <f>IF(FT!B84&lt;&gt;"",FT!E84,"")</f>
        <v>2 [33.359552]</v>
      </c>
      <c r="J84">
        <f>IF(FT!B84&lt;&gt;"",FT!C84,"")</f>
        <v>33.3596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99404</v>
      </c>
      <c r="D85" s="61">
        <f>FH!B85*1</f>
        <v>99404</v>
      </c>
      <c r="E85">
        <f t="shared" si="11"/>
        <v>83</v>
      </c>
      <c r="F85" s="61">
        <f>IF(FT!A85&lt;&gt;"",FT!A85*10,"")</f>
        <v>3.0020899999999999</v>
      </c>
      <c r="G85" s="61">
        <f>IF(FT!B85&lt;&gt;"",FT!B85*100,"")</f>
        <v>33.802300000000002</v>
      </c>
      <c r="H85" s="61">
        <f t="shared" si="9"/>
        <v>1</v>
      </c>
      <c r="I85" t="str">
        <f>IF(FT!B85&lt;&gt;"",FT!E85,"")</f>
        <v>2 [33.763172]</v>
      </c>
      <c r="J85">
        <f>IF(FT!B85&lt;&gt;"",FT!C85,"")</f>
        <v>33.763199999999998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3.0032300000000003</v>
      </c>
      <c r="G86" s="61">
        <f>IF(FT!B86&lt;&gt;"",FT!B86*100,"")</f>
        <v>33.911900000000003</v>
      </c>
      <c r="H86" s="61">
        <f t="shared" si="9"/>
        <v>1</v>
      </c>
      <c r="I86" t="str">
        <f>IF(FT!B86&lt;&gt;"",FT!E86,"")</f>
        <v>2 [34.170916]</v>
      </c>
      <c r="J86">
        <f>IF(FT!B86&lt;&gt;"",FT!C86,"")</f>
        <v>34.170900000000003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3.00197</v>
      </c>
      <c r="G87" s="61">
        <f>IF(FT!B87&lt;&gt;"",FT!B87*100,"")</f>
        <v>34.035800000000002</v>
      </c>
      <c r="H87" s="61">
        <f t="shared" si="9"/>
        <v>1</v>
      </c>
      <c r="I87" t="str">
        <f>IF(FT!B87&lt;&gt;"",FT!E87,"")</f>
        <v>2 [34.581280]</v>
      </c>
      <c r="J87">
        <f>IF(FT!B87&lt;&gt;"",FT!C87,"")</f>
        <v>34.581299999999999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96356</v>
      </c>
      <c r="D88" s="61">
        <f>FH!B88*1</f>
        <v>96356</v>
      </c>
      <c r="E88">
        <f t="shared" si="11"/>
        <v>86</v>
      </c>
      <c r="F88" s="61">
        <f>IF(FT!A88&lt;&gt;"",FT!A88*10,"")</f>
        <v>2.9992999999999999</v>
      </c>
      <c r="G88" s="61">
        <f>IF(FT!B88&lt;&gt;"",FT!B88*100,"")</f>
        <v>34.148899999999998</v>
      </c>
      <c r="H88" s="61">
        <f t="shared" si="9"/>
        <v>1</v>
      </c>
      <c r="I88" t="str">
        <f>IF(FT!B88&lt;&gt;"",FT!E88,"")</f>
        <v>2 [34.985918]</v>
      </c>
      <c r="J88">
        <f>IF(FT!B88&lt;&gt;"",FT!C88,"")</f>
        <v>34.985900000000001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2.9904299999999999</v>
      </c>
      <c r="G89" s="61">
        <f>IF(FT!B89&lt;&gt;"",FT!B89*100,"")</f>
        <v>34.271799999999999</v>
      </c>
      <c r="H89" s="61">
        <f t="shared" si="9"/>
        <v>1</v>
      </c>
      <c r="I89" t="str">
        <f>IF(FT!B89&lt;&gt;"",FT!E89,"")</f>
        <v>2 [35.390697]</v>
      </c>
      <c r="J89">
        <f>IF(FT!B89&lt;&gt;"",FT!C89,"")</f>
        <v>35.390700000000002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86188</v>
      </c>
      <c r="D90" s="61">
        <f>FH!B90*1</f>
        <v>86188</v>
      </c>
      <c r="E90">
        <f t="shared" si="11"/>
        <v>88</v>
      </c>
      <c r="F90" s="61">
        <f>IF(FT!A90&lt;&gt;"",FT!A90*10,"")</f>
        <v>2.9778900000000004</v>
      </c>
      <c r="G90" s="61">
        <f>IF(FT!B90&lt;&gt;"",FT!B90*100,"")</f>
        <v>34.427900000000001</v>
      </c>
      <c r="H90" s="61">
        <f t="shared" si="9"/>
        <v>1</v>
      </c>
      <c r="I90" t="str">
        <f>IF(FT!B90&lt;&gt;"",FT!E90,"")</f>
        <v>2 [35.795173]</v>
      </c>
      <c r="J90">
        <f>IF(FT!B90&lt;&gt;"",FT!C90,"")</f>
        <v>35.795200000000001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2.9574499999999997</v>
      </c>
      <c r="G91" s="61">
        <f>IF(FT!B91&lt;&gt;"",FT!B91*100,"")</f>
        <v>34.698</v>
      </c>
      <c r="H91" s="61">
        <f t="shared" si="9"/>
        <v>1</v>
      </c>
      <c r="I91" t="str">
        <f>IF(FT!B91&lt;&gt;"",FT!E91,"")</f>
        <v>2 [36.201612]</v>
      </c>
      <c r="J91">
        <f>IF(FT!B91&lt;&gt;"",FT!C91,"")</f>
        <v>36.201599999999999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2.9362500000000002</v>
      </c>
      <c r="G92" s="61">
        <f>IF(FT!B92&lt;&gt;"",FT!B92*100,"")</f>
        <v>34.999299999999998</v>
      </c>
      <c r="H92" s="61">
        <f t="shared" si="9"/>
        <v>1</v>
      </c>
      <c r="I92" t="str">
        <f>IF(FT!B92&lt;&gt;"",FT!E92,"")</f>
        <v>2 [36.608517]</v>
      </c>
      <c r="J92">
        <f>IF(FT!B92&lt;&gt;"",FT!C92,"")</f>
        <v>36.608499999999999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76633</v>
      </c>
      <c r="D93" s="61">
        <f>FH!B93*1</f>
        <v>76633</v>
      </c>
      <c r="E93">
        <f t="shared" si="11"/>
        <v>91</v>
      </c>
      <c r="F93" s="61">
        <f>IF(FT!A93&lt;&gt;"",FT!A93*10,"")</f>
        <v>2.9152399999999998</v>
      </c>
      <c r="G93" s="61">
        <f>IF(FT!B93&lt;&gt;"",FT!B93*100,"")</f>
        <v>35.330500000000001</v>
      </c>
      <c r="H93" s="61">
        <f t="shared" si="9"/>
        <v>1</v>
      </c>
      <c r="I93" t="str">
        <f>IF(FT!B93&lt;&gt;"",FT!E93,"")</f>
        <v>2 [37.015861]</v>
      </c>
      <c r="J93">
        <f>IF(FT!B93&lt;&gt;"",FT!C93,"")</f>
        <v>37.015900000000002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2.8917599999999997</v>
      </c>
      <c r="G94" s="61">
        <f>IF(FT!B94&lt;&gt;"",FT!B94*100,"")</f>
        <v>35.731699999999996</v>
      </c>
      <c r="H94" s="61">
        <f t="shared" si="9"/>
        <v>1</v>
      </c>
      <c r="I94" t="str">
        <f>IF(FT!B94&lt;&gt;"",FT!E94,"")</f>
        <v>2 [37.422087]</v>
      </c>
      <c r="J94">
        <f>IF(FT!B94&lt;&gt;"",FT!C94,"")</f>
        <v>37.4221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63274</v>
      </c>
      <c r="D95" s="61">
        <f>FH!B95*1</f>
        <v>63274</v>
      </c>
      <c r="E95">
        <f t="shared" si="11"/>
        <v>93</v>
      </c>
      <c r="F95" s="61">
        <f>IF(FT!A95&lt;&gt;"",FT!A95*10,"")</f>
        <v>2.8678300000000001</v>
      </c>
      <c r="G95" s="61">
        <f>IF(FT!B95&lt;&gt;"",FT!B95*100,"")</f>
        <v>36.135199999999998</v>
      </c>
      <c r="H95" s="61">
        <f t="shared" si="9"/>
        <v>1</v>
      </c>
      <c r="I95" t="str">
        <f>IF(FT!B95&lt;&gt;"",FT!E95,"")</f>
        <v>2 [37.827917]</v>
      </c>
      <c r="J95">
        <f>IF(FT!B95&lt;&gt;"",FT!C95,"")</f>
        <v>37.8279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2.8405300000000002</v>
      </c>
      <c r="G96" s="61">
        <f>IF(FT!B96&lt;&gt;"",FT!B96*100,"")</f>
        <v>36.551499999999997</v>
      </c>
      <c r="H96" s="61">
        <f t="shared" si="9"/>
        <v>1</v>
      </c>
      <c r="I96" t="str">
        <f>IF(FT!B96&lt;&gt;"",FT!E96,"")</f>
        <v>2 [38.233287]</v>
      </c>
      <c r="J96">
        <f>IF(FT!B96&lt;&gt;"",FT!C96,"")</f>
        <v>38.2333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2.8123300000000002</v>
      </c>
      <c r="G97" s="61">
        <f>IF(FT!B97&lt;&gt;"",FT!B97*100,"")</f>
        <v>36.9587</v>
      </c>
      <c r="H97" s="61">
        <f t="shared" si="9"/>
        <v>1</v>
      </c>
      <c r="I97" t="str">
        <f>IF(FT!B97&lt;&gt;"",FT!E97,"")</f>
        <v>2 [38.640657]</v>
      </c>
      <c r="J97">
        <f>IF(FT!B97&lt;&gt;"",FT!C97,"")</f>
        <v>38.640700000000002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54639</v>
      </c>
      <c r="D98" s="61">
        <f>FH!B98*1</f>
        <v>54639</v>
      </c>
      <c r="E98">
        <f t="shared" si="11"/>
        <v>96</v>
      </c>
      <c r="F98" s="61">
        <f>IF(FT!A98&lt;&gt;"",FT!A98*10,"")</f>
        <v>2.78552</v>
      </c>
      <c r="G98" s="61">
        <f>IF(FT!B98&lt;&gt;"",FT!B98*100,"")</f>
        <v>37.349299999999999</v>
      </c>
      <c r="H98" s="61">
        <f t="shared" si="9"/>
        <v>1</v>
      </c>
      <c r="I98" t="str">
        <f>IF(FT!B98&lt;&gt;"",FT!E98,"")</f>
        <v>2 [39.049499]</v>
      </c>
      <c r="J98">
        <f>IF(FT!B98&lt;&gt;"",FT!C98,"")</f>
        <v>39.049500000000002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2.75901</v>
      </c>
      <c r="G99" s="61">
        <f>IF(FT!B99&lt;&gt;"",FT!B99*100,"")</f>
        <v>37.741599999999998</v>
      </c>
      <c r="H99" s="61">
        <f t="shared" si="9"/>
        <v>1</v>
      </c>
      <c r="I99" t="str">
        <f>IF(FT!B99&lt;&gt;"",FT!E99,"")</f>
        <v>2 [39.453271]</v>
      </c>
      <c r="J99">
        <f>IF(FT!B99&lt;&gt;"",FT!C99,"")</f>
        <v>39.453299999999999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51487</v>
      </c>
      <c r="D100" s="61">
        <f>FH!B100*1</f>
        <v>51487</v>
      </c>
      <c r="E100">
        <f t="shared" si="11"/>
        <v>98</v>
      </c>
      <c r="F100" s="61">
        <f>IF(FT!A100&lt;&gt;"",FT!A100*10,"")</f>
        <v>2.7287299999999997</v>
      </c>
      <c r="G100" s="61">
        <f>IF(FT!B100&lt;&gt;"",FT!B100*100,"")</f>
        <v>38.203800000000001</v>
      </c>
      <c r="H100" s="61">
        <f t="shared" si="9"/>
        <v>1</v>
      </c>
      <c r="I100" t="str">
        <f>IF(FT!B100&lt;&gt;"",FT!E100,"")</f>
        <v>2 [39.858148]</v>
      </c>
      <c r="J100">
        <f>IF(FT!B100&lt;&gt;"",FT!C100,"")</f>
        <v>39.8581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2.6978999999999997</v>
      </c>
      <c r="G101" s="61">
        <f>IF(FT!B101&lt;&gt;"",FT!B101*100,"")</f>
        <v>38.7134</v>
      </c>
      <c r="H101" s="61">
        <f t="shared" si="9"/>
        <v>1</v>
      </c>
      <c r="I101" t="str">
        <f>IF(FT!B101&lt;&gt;"",FT!E101,"")</f>
        <v>2 [40.264425]</v>
      </c>
      <c r="J101">
        <f>IF(FT!B101&lt;&gt;"",FT!C101,"")</f>
        <v>40.264400000000002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2.6673599999999995</v>
      </c>
      <c r="G102" s="61">
        <f>IF(FT!B102&lt;&gt;"",FT!B102*100,"")</f>
        <v>39.301199999999994</v>
      </c>
      <c r="H102" s="61">
        <f t="shared" si="9"/>
        <v>1</v>
      </c>
      <c r="I102" t="str">
        <f>IF(FT!B102&lt;&gt;"",FT!E102,"")</f>
        <v>2 [40.669999]</v>
      </c>
      <c r="J102">
        <f>IF(FT!B102&lt;&gt;"",FT!C102,"")</f>
        <v>40.67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44551</v>
      </c>
      <c r="D103" s="61">
        <f>FH!B103*1</f>
        <v>44551</v>
      </c>
      <c r="E103">
        <f t="shared" si="11"/>
        <v>101</v>
      </c>
      <c r="F103" s="61">
        <f>IF(FT!A103&lt;&gt;"",FT!A103*10,"")</f>
        <v>2.6404199999999998</v>
      </c>
      <c r="G103" s="61">
        <f>IF(FT!B103&lt;&gt;"",FT!B103*100,"")</f>
        <v>39.889400000000002</v>
      </c>
      <c r="H103" s="61">
        <f t="shared" si="9"/>
        <v>1</v>
      </c>
      <c r="I103" t="str">
        <f>IF(FT!B103&lt;&gt;"",FT!E103,"")</f>
        <v>2 [41.080311]</v>
      </c>
      <c r="J103">
        <f>IF(FT!B103&lt;&gt;"",FT!C103,"")</f>
        <v>41.080300000000001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2.6146200000000004</v>
      </c>
      <c r="G104" s="61">
        <f>IF(FT!B104&lt;&gt;"",FT!B104*100,"")</f>
        <v>40.456399999999995</v>
      </c>
      <c r="H104" s="61">
        <f t="shared" si="9"/>
        <v>1</v>
      </c>
      <c r="I104" t="str">
        <f>IF(FT!B104&lt;&gt;"",FT!E104,"")</f>
        <v>2 [41.484435]</v>
      </c>
      <c r="J104">
        <f>IF(FT!B104&lt;&gt;"",FT!C104,"")</f>
        <v>41.484400000000001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2.5892900000000001</v>
      </c>
      <c r="G105" s="61">
        <f>IF(FT!B105&lt;&gt;"",FT!B105*100,"")</f>
        <v>40.996700000000004</v>
      </c>
      <c r="H105" s="61">
        <f t="shared" si="9"/>
        <v>1</v>
      </c>
      <c r="I105" t="str">
        <f>IF(FT!B105&lt;&gt;"",FT!E105,"")</f>
        <v>2 [41.890614]</v>
      </c>
      <c r="J105">
        <f>IF(FT!B105&lt;&gt;"",FT!C105,"")</f>
        <v>41.890599999999999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41268</v>
      </c>
      <c r="D106" s="61">
        <f>FH!B106*1</f>
        <v>41268</v>
      </c>
      <c r="E106">
        <f t="shared" si="11"/>
        <v>104</v>
      </c>
      <c r="F106" s="61">
        <f>IF(FT!A106&lt;&gt;"",FT!A106*10,"")</f>
        <v>2.56717</v>
      </c>
      <c r="G106" s="61">
        <f>IF(FT!B106&lt;&gt;"",FT!B106*100,"")</f>
        <v>41.3917</v>
      </c>
      <c r="H106" s="61">
        <f t="shared" si="9"/>
        <v>1</v>
      </c>
      <c r="I106" t="str">
        <f>IF(FT!B106&lt;&gt;"",FT!E106,"")</f>
        <v>2 [42.296704]</v>
      </c>
      <c r="J106">
        <f>IF(FT!B106&lt;&gt;"",FT!C106,"")</f>
        <v>42.296700000000001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2.5446999999999997</v>
      </c>
      <c r="G107" s="61">
        <f>IF(FT!B107&lt;&gt;"",FT!B107*100,"")</f>
        <v>41.765600000000006</v>
      </c>
      <c r="H107" s="61">
        <f t="shared" si="9"/>
        <v>1</v>
      </c>
      <c r="I107" t="str">
        <f>IF(FT!B107&lt;&gt;"",FT!E107,"")</f>
        <v>2 [42.702784]</v>
      </c>
      <c r="J107">
        <f>IF(FT!B107&lt;&gt;"",FT!C107,"")</f>
        <v>42.702800000000003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38558</v>
      </c>
      <c r="D108" s="61">
        <f>FH!B108*1</f>
        <v>38558</v>
      </c>
      <c r="E108">
        <f t="shared" si="11"/>
        <v>106</v>
      </c>
      <c r="F108" s="61">
        <f>IF(FT!A108&lt;&gt;"",FT!A108*10,"")</f>
        <v>2.5267299999999997</v>
      </c>
      <c r="G108" s="61">
        <f>IF(FT!B108&lt;&gt;"",FT!B108*100,"")</f>
        <v>42.040700000000001</v>
      </c>
      <c r="H108" s="61">
        <f t="shared" si="9"/>
        <v>1</v>
      </c>
      <c r="I108" t="str">
        <f>IF(FT!B108&lt;&gt;"",FT!E108,"")</f>
        <v>2 [43.107949]</v>
      </c>
      <c r="J108">
        <f>IF(FT!B108&lt;&gt;"",FT!C108,"")</f>
        <v>43.107900000000001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2.5123099999999998</v>
      </c>
      <c r="G109" s="61">
        <f>IF(FT!B109&lt;&gt;"",FT!B109*100,"")</f>
        <v>42.232100000000003</v>
      </c>
      <c r="H109" s="61">
        <f t="shared" si="9"/>
        <v>1</v>
      </c>
      <c r="I109" t="str">
        <f>IF(FT!B109&lt;&gt;"",FT!E109,"")</f>
        <v>2 [43.515695]</v>
      </c>
      <c r="J109">
        <f>IF(FT!B109&lt;&gt;"",FT!C109,"")</f>
        <v>43.515700000000002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2.4999400000000001</v>
      </c>
      <c r="G110" s="61">
        <f>IF(FT!B110&lt;&gt;"",FT!B110*100,"")</f>
        <v>42.354399999999998</v>
      </c>
      <c r="H110" s="61">
        <f t="shared" si="9"/>
        <v>1</v>
      </c>
      <c r="I110" t="str">
        <f>IF(FT!B110&lt;&gt;"",FT!E110,"")</f>
        <v>2 [43.919820]</v>
      </c>
      <c r="J110">
        <f>IF(FT!B110&lt;&gt;"",FT!C110,"")</f>
        <v>43.919800000000002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36411</v>
      </c>
      <c r="D111" s="61">
        <f>FH!B111*1</f>
        <v>36411</v>
      </c>
      <c r="E111">
        <f t="shared" si="11"/>
        <v>109</v>
      </c>
      <c r="F111" s="61">
        <f>IF(FT!A111&lt;&gt;"",FT!A111*10,"")</f>
        <v>2.48793</v>
      </c>
      <c r="G111" s="61">
        <f>IF(FT!B111&lt;&gt;"",FT!B111*100,"")</f>
        <v>42.482199999999999</v>
      </c>
      <c r="H111" s="61">
        <f t="shared" si="9"/>
        <v>1</v>
      </c>
      <c r="I111" t="str">
        <f>IF(FT!B111&lt;&gt;"",FT!E111,"")</f>
        <v>2 [44.327178]</v>
      </c>
      <c r="J111">
        <f>IF(FT!B111&lt;&gt;"",FT!C111,"")</f>
        <v>44.327199999999998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2.4775200000000002</v>
      </c>
      <c r="G112" s="61">
        <f>IF(FT!B112&lt;&gt;"",FT!B112*100,"")</f>
        <v>42.5428</v>
      </c>
      <c r="H112" s="61">
        <f t="shared" si="9"/>
        <v>1</v>
      </c>
      <c r="I112" t="str">
        <f>IF(FT!B112&lt;&gt;"",FT!E112,"")</f>
        <v>2 [44.733521]</v>
      </c>
      <c r="J112">
        <f>IF(FT!B112&lt;&gt;"",FT!C112,"")</f>
        <v>44.733499999999999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36081</v>
      </c>
      <c r="D113" s="61">
        <f>FH!B113*1</f>
        <v>36081</v>
      </c>
      <c r="E113">
        <f t="shared" si="11"/>
        <v>111</v>
      </c>
      <c r="F113" s="61">
        <f>IF(FT!A113&lt;&gt;"",FT!A113*10,"")</f>
        <v>2.4694500000000001</v>
      </c>
      <c r="G113" s="61">
        <f>IF(FT!B113&lt;&gt;"",FT!B113*100,"")</f>
        <v>42.517300000000006</v>
      </c>
      <c r="H113" s="61">
        <f t="shared" si="9"/>
        <v>1</v>
      </c>
      <c r="I113" t="str">
        <f>IF(FT!B113&lt;&gt;"",FT!E113,"")</f>
        <v>2 [45.143484]</v>
      </c>
      <c r="J113">
        <f>IF(FT!B113&lt;&gt;"",FT!C113,"")</f>
        <v>45.143500000000003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2.4642599999999999</v>
      </c>
      <c r="G114" s="61">
        <f>IF(FT!B114&lt;&gt;"",FT!B114*100,"")</f>
        <v>42.411799999999999</v>
      </c>
      <c r="H114" s="61">
        <f t="shared" si="9"/>
        <v>1</v>
      </c>
      <c r="I114" t="str">
        <f>IF(FT!B114&lt;&gt;"",FT!E114,"")</f>
        <v>2 [45.549726]</v>
      </c>
      <c r="J114">
        <f>IF(FT!B114&lt;&gt;"",FT!C114,"")</f>
        <v>45.549700000000001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2.4577</v>
      </c>
      <c r="G115" s="61">
        <f>IF(FT!B115&lt;&gt;"",FT!B115*100,"")</f>
        <v>42.314</v>
      </c>
      <c r="H115" s="61">
        <f t="shared" si="9"/>
        <v>1</v>
      </c>
      <c r="I115" t="str">
        <f>IF(FT!B115&lt;&gt;"",FT!E115,"")</f>
        <v>2 [45.953977]</v>
      </c>
      <c r="J115">
        <f>IF(FT!B115&lt;&gt;"",FT!C115,"")</f>
        <v>45.954000000000001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33500</v>
      </c>
      <c r="D116" s="61">
        <f>FH!B116*1</f>
        <v>33500</v>
      </c>
      <c r="E116">
        <f t="shared" si="11"/>
        <v>114</v>
      </c>
      <c r="F116" s="61">
        <f>IF(FT!A116&lt;&gt;"",FT!A116*10,"")</f>
        <v>2.4527299999999999</v>
      </c>
      <c r="G116" s="61">
        <f>IF(FT!B116&lt;&gt;"",FT!B116*100,"")</f>
        <v>42.126100000000001</v>
      </c>
      <c r="H116" s="61">
        <f t="shared" si="9"/>
        <v>1</v>
      </c>
      <c r="I116" t="str">
        <f>IF(FT!B116&lt;&gt;"",FT!E116,"")</f>
        <v>2 [46.358261]</v>
      </c>
      <c r="J116">
        <f>IF(FT!B116&lt;&gt;"",FT!C116,"")</f>
        <v>46.3583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2.4494199999999999</v>
      </c>
      <c r="G117" s="61">
        <f>IF(FT!B117&lt;&gt;"",FT!B117*100,"")</f>
        <v>41.925000000000004</v>
      </c>
      <c r="H117" s="61">
        <f t="shared" si="9"/>
        <v>1</v>
      </c>
      <c r="I117" t="str">
        <f>IF(FT!B117&lt;&gt;"",FT!E117,"")</f>
        <v>2 [46.766041]</v>
      </c>
      <c r="J117">
        <f>IF(FT!B117&lt;&gt;"",FT!C117,"")</f>
        <v>46.765999999999998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32254</v>
      </c>
      <c r="D118" s="61">
        <f>FH!B118*1</f>
        <v>32254</v>
      </c>
      <c r="E118">
        <f t="shared" si="11"/>
        <v>116</v>
      </c>
      <c r="F118" s="61">
        <f>IF(FT!A118&lt;&gt;"",FT!A118*10,"")</f>
        <v>2.4483199999999998</v>
      </c>
      <c r="G118" s="61">
        <f>IF(FT!B118&lt;&gt;"",FT!B118*100,"")</f>
        <v>41.685600000000001</v>
      </c>
      <c r="H118" s="61">
        <f t="shared" si="9"/>
        <v>1</v>
      </c>
      <c r="I118" t="str">
        <f>IF(FT!B118&lt;&gt;"",FT!E118,"")</f>
        <v>2 [47.174769]</v>
      </c>
      <c r="J118">
        <f>IF(FT!B118&lt;&gt;"",FT!C118,"")</f>
        <v>47.174799999999998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2.4485199999999998</v>
      </c>
      <c r="G119" s="61">
        <f>IF(FT!B119&lt;&gt;"",FT!B119*100,"")</f>
        <v>41.413600000000002</v>
      </c>
      <c r="H119" s="61">
        <f t="shared" si="9"/>
        <v>1</v>
      </c>
      <c r="I119" t="str">
        <f>IF(FT!B119&lt;&gt;"",FT!E119,"")</f>
        <v>2 [47.581883]</v>
      </c>
      <c r="J119">
        <f>IF(FT!B119&lt;&gt;"",FT!C119,"")</f>
        <v>47.581899999999997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2.4477899999999999</v>
      </c>
      <c r="G120" s="61">
        <f>IF(FT!B120&lt;&gt;"",FT!B120*100,"")</f>
        <v>41.154600000000002</v>
      </c>
      <c r="H120" s="61">
        <f t="shared" si="9"/>
        <v>1</v>
      </c>
      <c r="I120" t="str">
        <f>IF(FT!B120&lt;&gt;"",FT!E120,"")</f>
        <v>2 [47.984964]</v>
      </c>
      <c r="J120">
        <f>IF(FT!B120&lt;&gt;"",FT!C120,"")</f>
        <v>47.984999999999999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29685</v>
      </c>
      <c r="D121" s="61">
        <f>FH!B121*1</f>
        <v>29685</v>
      </c>
      <c r="E121">
        <f t="shared" si="11"/>
        <v>119</v>
      </c>
      <c r="F121" s="61">
        <f>IF(FT!A121&lt;&gt;"",FT!A121*10,"")</f>
        <v>2.45242</v>
      </c>
      <c r="G121" s="61">
        <f>IF(FT!B121&lt;&gt;"",FT!B121*100,"")</f>
        <v>40.9071</v>
      </c>
      <c r="H121" s="61">
        <f t="shared" si="9"/>
        <v>1</v>
      </c>
      <c r="I121" t="str">
        <f>IF(FT!B121&lt;&gt;"",FT!E121,"")</f>
        <v>2 [48.387011]</v>
      </c>
      <c r="J121">
        <f>IF(FT!B121&lt;&gt;"",FT!C121,"")</f>
        <v>48.387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2.4598100000000001</v>
      </c>
      <c r="G122" s="61">
        <f>IF(FT!B122&lt;&gt;"",FT!B122*100,"")</f>
        <v>40.702500000000001</v>
      </c>
      <c r="H122" s="61">
        <f t="shared" si="9"/>
        <v>1</v>
      </c>
      <c r="I122" t="str">
        <f>IF(FT!B122&lt;&gt;"",FT!E122,"")</f>
        <v>2 [48.796244]</v>
      </c>
      <c r="J122">
        <f>IF(FT!B122&lt;&gt;"",FT!C122,"")</f>
        <v>48.796199999999999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2.4693000000000001</v>
      </c>
      <c r="G123" s="61">
        <f>IF(FT!B123&lt;&gt;"",FT!B123*100,"")</f>
        <v>40.490400000000001</v>
      </c>
      <c r="H123" s="61">
        <f t="shared" si="9"/>
        <v>1</v>
      </c>
      <c r="I123" t="str">
        <f>IF(FT!B123&lt;&gt;"",FT!E123,"")</f>
        <v>2 [49.204242]</v>
      </c>
      <c r="J123">
        <f>IF(FT!B123&lt;&gt;"",FT!C123,"")</f>
        <v>49.2042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27553</v>
      </c>
      <c r="D124" s="61">
        <f>FH!B124*1</f>
        <v>27553</v>
      </c>
      <c r="E124">
        <f t="shared" si="11"/>
        <v>122</v>
      </c>
      <c r="F124" s="61">
        <f>IF(FT!A124&lt;&gt;"",FT!A124*10,"")</f>
        <v>2.4780199999999999</v>
      </c>
      <c r="G124" s="61">
        <f>IF(FT!B124&lt;&gt;"",FT!B124*100,"")</f>
        <v>40.378300000000003</v>
      </c>
      <c r="H124" s="61">
        <f t="shared" si="9"/>
        <v>1</v>
      </c>
      <c r="I124" t="str">
        <f>IF(FT!B124&lt;&gt;"",FT!E124,"")</f>
        <v>2 [49.610893]</v>
      </c>
      <c r="J124">
        <f>IF(FT!B124&lt;&gt;"",FT!C124,"")</f>
        <v>49.610900000000001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2.4860799999999998</v>
      </c>
      <c r="G125" s="61">
        <f>IF(FT!B125&lt;&gt;"",FT!B125*100,"")</f>
        <v>40.2361</v>
      </c>
      <c r="H125" s="61">
        <f t="shared" si="9"/>
        <v>1</v>
      </c>
      <c r="I125" t="str">
        <f>IF(FT!B125&lt;&gt;"",FT!E125,"")</f>
        <v>2 [50.015320]</v>
      </c>
      <c r="J125">
        <f>IF(FT!B125&lt;&gt;"",FT!C125,"")</f>
        <v>50.015300000000003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25540</v>
      </c>
      <c r="D126" s="61">
        <f>FH!B126*1</f>
        <v>25540</v>
      </c>
      <c r="E126">
        <f t="shared" si="11"/>
        <v>124</v>
      </c>
      <c r="F126" s="61">
        <f>IF(FT!A126&lt;&gt;"",FT!A126*10,"")</f>
        <v>2.4947699999999999</v>
      </c>
      <c r="G126" s="61">
        <f>IF(FT!B126&lt;&gt;"",FT!B126*100,"")</f>
        <v>40.038600000000002</v>
      </c>
      <c r="H126" s="61">
        <f t="shared" si="9"/>
        <v>1</v>
      </c>
      <c r="I126" t="str">
        <f>IF(FT!B126&lt;&gt;"",FT!E126,"")</f>
        <v>2 [50.421437]</v>
      </c>
      <c r="J126">
        <f>IF(FT!B126&lt;&gt;"",FT!C126,"")</f>
        <v>50.421399999999998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2.5025599999999999</v>
      </c>
      <c r="G127" s="61">
        <f>IF(FT!B127&lt;&gt;"",FT!B127*100,"")</f>
        <v>39.842799999999997</v>
      </c>
      <c r="H127" s="61">
        <f t="shared" si="9"/>
        <v>1</v>
      </c>
      <c r="I127" t="str">
        <f>IF(FT!B127&lt;&gt;"",FT!E127,"")</f>
        <v>2 [50.828061]</v>
      </c>
      <c r="J127">
        <f>IF(FT!B127&lt;&gt;"",FT!C127,"")</f>
        <v>50.828099999999999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2.5069399999999997</v>
      </c>
      <c r="G128" s="61">
        <f>IF(FT!B128&lt;&gt;"",FT!B128*100,"")</f>
        <v>39.684999999999995</v>
      </c>
      <c r="H128" s="61">
        <f t="shared" si="9"/>
        <v>1</v>
      </c>
      <c r="I128" t="str">
        <f>IF(FT!B128&lt;&gt;"",FT!E128,"")</f>
        <v>2 [51.233380]</v>
      </c>
      <c r="J128">
        <f>IF(FT!B128&lt;&gt;"",FT!C128,"")</f>
        <v>51.233400000000003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24675</v>
      </c>
      <c r="D129" s="61">
        <f>FH!B129*1</f>
        <v>24675</v>
      </c>
      <c r="E129">
        <f t="shared" si="11"/>
        <v>127</v>
      </c>
      <c r="F129" s="61">
        <f>IF(FT!A129&lt;&gt;"",FT!A129*10,"")</f>
        <v>2.5121700000000002</v>
      </c>
      <c r="G129" s="61">
        <f>IF(FT!B129&lt;&gt;"",FT!B129*100,"")</f>
        <v>39.544000000000004</v>
      </c>
      <c r="H129" s="61">
        <f t="shared" si="9"/>
        <v>1</v>
      </c>
      <c r="I129" t="str">
        <f>IF(FT!B129&lt;&gt;"",FT!E129,"")</f>
        <v>2 [51.639113]</v>
      </c>
      <c r="J129">
        <f>IF(FT!B129&lt;&gt;"",FT!C129,"")</f>
        <v>51.639099999999999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2.5181500000000003</v>
      </c>
      <c r="G130" s="61">
        <f>IF(FT!B130&lt;&gt;"",FT!B130*100,"")</f>
        <v>39.4054</v>
      </c>
      <c r="H130" s="61">
        <f t="shared" si="9"/>
        <v>1</v>
      </c>
      <c r="I130" t="str">
        <f>IF(FT!B130&lt;&gt;"",FT!E130,"")</f>
        <v>2 [52.048686]</v>
      </c>
      <c r="J130">
        <f>IF(FT!B130&lt;&gt;"",FT!C130,"")</f>
        <v>52.048699999999997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25586</v>
      </c>
      <c r="D131" s="61">
        <f>FH!B131*1</f>
        <v>25586</v>
      </c>
      <c r="E131">
        <f t="shared" si="11"/>
        <v>129</v>
      </c>
      <c r="F131" s="61">
        <f>IF(FT!A131&lt;&gt;"",FT!A131*10,"")</f>
        <v>2.5254300000000001</v>
      </c>
      <c r="G131" s="61">
        <f>IF(FT!B131&lt;&gt;"",FT!B131*100,"")</f>
        <v>39.238900000000001</v>
      </c>
      <c r="H131" s="61">
        <f t="shared" ref="H131:H194" si="13">(IF(F131&lt;&gt;"",1,""))</f>
        <v>1</v>
      </c>
      <c r="I131" t="str">
        <f>IF(FT!B131&lt;&gt;"",FT!E131,"")</f>
        <v>2 [52.453649]</v>
      </c>
      <c r="J131">
        <f>IF(FT!B131&lt;&gt;"",FT!C131,"")</f>
        <v>52.453600000000002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2.53545</v>
      </c>
      <c r="G132" s="61">
        <f>IF(FT!B132&lt;&gt;"",FT!B132*100,"")</f>
        <v>39.046999999999997</v>
      </c>
      <c r="H132" s="61">
        <f t="shared" si="13"/>
        <v>1</v>
      </c>
      <c r="I132" t="str">
        <f>IF(FT!B132&lt;&gt;"",FT!E132,"")</f>
        <v>2 [52.860725]</v>
      </c>
      <c r="J132">
        <f>IF(FT!B132&lt;&gt;"",FT!C132,"")</f>
        <v>52.860700000000001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2.5417000000000001</v>
      </c>
      <c r="G133" s="61">
        <f>IF(FT!B133&lt;&gt;"",FT!B133*100,"")</f>
        <v>38.891100000000002</v>
      </c>
      <c r="H133" s="61">
        <f t="shared" si="13"/>
        <v>1</v>
      </c>
      <c r="I133" t="str">
        <f>IF(FT!B133&lt;&gt;"",FT!E133,"")</f>
        <v>2 [53.266838]</v>
      </c>
      <c r="J133">
        <f>IF(FT!B133&lt;&gt;"",FT!C133,"")</f>
        <v>53.266800000000003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26797</v>
      </c>
      <c r="D134" s="61">
        <f>FH!B134*1</f>
        <v>26797</v>
      </c>
      <c r="E134">
        <f t="shared" si="15"/>
        <v>132</v>
      </c>
      <c r="F134" s="61">
        <f>IF(FT!A134&lt;&gt;"",FT!A134*10,"")</f>
        <v>2.5423299999999998</v>
      </c>
      <c r="G134" s="61">
        <f>IF(FT!B134&lt;&gt;"",FT!B134*100,"")</f>
        <v>38.873799999999996</v>
      </c>
      <c r="H134" s="61">
        <f t="shared" si="13"/>
        <v>1</v>
      </c>
      <c r="I134" t="str">
        <f>IF(FT!B134&lt;&gt;"",FT!E134,"")</f>
        <v>2 [53.673290]</v>
      </c>
      <c r="J134">
        <f>IF(FT!B134&lt;&gt;"",FT!C134,"")</f>
        <v>53.673299999999998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2.5419799999999997</v>
      </c>
      <c r="G135" s="61">
        <f>IF(FT!B135&lt;&gt;"",FT!B135*100,"")</f>
        <v>38.879000000000005</v>
      </c>
      <c r="H135" s="61">
        <f t="shared" si="13"/>
        <v>1</v>
      </c>
      <c r="I135" t="str">
        <f>IF(FT!B135&lt;&gt;"",FT!E135,"")</f>
        <v>2 [54.083508]</v>
      </c>
      <c r="J135">
        <f>IF(FT!B135&lt;&gt;"",FT!C135,"")</f>
        <v>54.083500000000001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26410</v>
      </c>
      <c r="D136" s="61">
        <f>FH!B136*1</f>
        <v>26410</v>
      </c>
      <c r="E136">
        <f t="shared" si="15"/>
        <v>134</v>
      </c>
      <c r="F136" s="61">
        <f>IF(FT!A136&lt;&gt;"",FT!A136*10,"")</f>
        <v>2.54176</v>
      </c>
      <c r="G136" s="61">
        <f>IF(FT!B136&lt;&gt;"",FT!B136*100,"")</f>
        <v>38.862099999999998</v>
      </c>
      <c r="H136" s="61">
        <f t="shared" si="13"/>
        <v>1</v>
      </c>
      <c r="I136" t="str">
        <f>IF(FT!B136&lt;&gt;"",FT!E136,"")</f>
        <v>2 [54.485161]</v>
      </c>
      <c r="J136">
        <f>IF(FT!B136&lt;&gt;"",FT!C136,"")</f>
        <v>54.485199999999999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2.5399500000000002</v>
      </c>
      <c r="G137" s="61">
        <f>IF(FT!B137&lt;&gt;"",FT!B137*100,"")</f>
        <v>38.895899999999997</v>
      </c>
      <c r="H137" s="61">
        <f t="shared" si="13"/>
        <v>1</v>
      </c>
      <c r="I137" t="str">
        <f>IF(FT!B137&lt;&gt;"",FT!E137,"")</f>
        <v>2 [54.894819]</v>
      </c>
      <c r="J137">
        <f>IF(FT!B137&lt;&gt;"",FT!C137,"")</f>
        <v>54.894799999999996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2.5357800000000004</v>
      </c>
      <c r="G138" s="61">
        <f>IF(FT!B138&lt;&gt;"",FT!B138*100,"")</f>
        <v>39.028100000000002</v>
      </c>
      <c r="H138" s="61">
        <f t="shared" si="13"/>
        <v>1</v>
      </c>
      <c r="I138" t="str">
        <f>IF(FT!B138&lt;&gt;"",FT!E138,"")</f>
        <v>2 [55.297099]</v>
      </c>
      <c r="J138">
        <f>IF(FT!B138&lt;&gt;"",FT!C138,"")</f>
        <v>55.2971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25908</v>
      </c>
      <c r="D139" s="61">
        <f>FH!B139*1</f>
        <v>25908</v>
      </c>
      <c r="E139">
        <f t="shared" si="15"/>
        <v>137</v>
      </c>
      <c r="F139" s="61">
        <f>IF(FT!A139&lt;&gt;"",FT!A139*10,"")</f>
        <v>2.5331799999999998</v>
      </c>
      <c r="G139" s="61">
        <f>IF(FT!B139&lt;&gt;"",FT!B139*100,"")</f>
        <v>39.115100000000005</v>
      </c>
      <c r="H139" s="61">
        <f t="shared" si="13"/>
        <v>1</v>
      </c>
      <c r="I139" t="str">
        <f>IF(FT!B139&lt;&gt;"",FT!E139,"")</f>
        <v>2 [55.702862]</v>
      </c>
      <c r="J139">
        <f>IF(FT!B139&lt;&gt;"",FT!C139,"")</f>
        <v>55.7029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2.53843</v>
      </c>
      <c r="G140" s="61">
        <f>IF(FT!B140&lt;&gt;"",FT!B140*100,"")</f>
        <v>39.172200000000004</v>
      </c>
      <c r="H140" s="61">
        <f t="shared" si="13"/>
        <v>1</v>
      </c>
      <c r="I140" t="str">
        <f>IF(FT!B140&lt;&gt;"",FT!E140,"")</f>
        <v>2 [56.108805]</v>
      </c>
      <c r="J140">
        <f>IF(FT!B140&lt;&gt;"",FT!C140,"")</f>
        <v>56.108800000000002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2.5502799999999999</v>
      </c>
      <c r="G141" s="61">
        <f>IF(FT!B141&lt;&gt;"",FT!B141*100,"")</f>
        <v>39.370399999999997</v>
      </c>
      <c r="H141" s="61">
        <f t="shared" si="13"/>
        <v>1</v>
      </c>
      <c r="I141" t="str">
        <f>IF(FT!B141&lt;&gt;"",FT!E141,"")</f>
        <v>2 [56.516327]</v>
      </c>
      <c r="J141">
        <f>IF(FT!B141&lt;&gt;"",FT!C141,"")</f>
        <v>56.516300000000001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23441</v>
      </c>
      <c r="D142" s="61">
        <f>FH!B142*1</f>
        <v>23441</v>
      </c>
      <c r="E142">
        <f t="shared" si="15"/>
        <v>140</v>
      </c>
      <c r="F142" s="61">
        <f>IF(FT!A142&lt;&gt;"",FT!A142*10,"")</f>
        <v>2.5607099999999998</v>
      </c>
      <c r="G142" s="61">
        <f>IF(FT!B142&lt;&gt;"",FT!B142*100,"")</f>
        <v>39.623000000000005</v>
      </c>
      <c r="H142" s="61">
        <f t="shared" si="13"/>
        <v>1</v>
      </c>
      <c r="I142" t="str">
        <f>IF(FT!B142&lt;&gt;"",FT!E142,"")</f>
        <v>2 [56.926959]</v>
      </c>
      <c r="J142">
        <f>IF(FT!B142&lt;&gt;"",FT!C142,"")</f>
        <v>56.927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2.5654300000000001</v>
      </c>
      <c r="G143" s="61">
        <f>IF(FT!B143&lt;&gt;"",FT!B143*100,"")</f>
        <v>39.933600000000006</v>
      </c>
      <c r="H143" s="61">
        <f t="shared" si="13"/>
        <v>1</v>
      </c>
      <c r="I143" t="str">
        <f>IF(FT!B143&lt;&gt;"",FT!E143,"")</f>
        <v>2 [57.331674]</v>
      </c>
      <c r="J143">
        <f>IF(FT!B143&lt;&gt;"",FT!C143,"")</f>
        <v>57.331699999999998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21771</v>
      </c>
      <c r="D144" s="61">
        <f>FH!B144*1</f>
        <v>21771</v>
      </c>
      <c r="E144">
        <f t="shared" si="15"/>
        <v>142</v>
      </c>
      <c r="F144" s="61">
        <f>IF(FT!A144&lt;&gt;"",FT!A144*10,"")</f>
        <v>2.5689000000000002</v>
      </c>
      <c r="G144" s="61">
        <f>IF(FT!B144&lt;&gt;"",FT!B144*100,"")</f>
        <v>40.265499999999996</v>
      </c>
      <c r="H144" s="61">
        <f t="shared" si="13"/>
        <v>1</v>
      </c>
      <c r="I144" t="str">
        <f>IF(FT!B144&lt;&gt;"",FT!E144,"")</f>
        <v>2 [57.735089]</v>
      </c>
      <c r="J144">
        <f>IF(FT!B144&lt;&gt;"",FT!C144,"")</f>
        <v>57.735100000000003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2.5821199999999997</v>
      </c>
      <c r="G145" s="61">
        <f>IF(FT!B145&lt;&gt;"",FT!B145*100,"")</f>
        <v>40.708199999999998</v>
      </c>
      <c r="H145" s="61">
        <f t="shared" si="13"/>
        <v>1</v>
      </c>
      <c r="I145" t="str">
        <f>IF(FT!B145&lt;&gt;"",FT!E145,"")</f>
        <v>2 [58.142200]</v>
      </c>
      <c r="J145">
        <f>IF(FT!B145&lt;&gt;"",FT!C145,"")</f>
        <v>58.142200000000003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2.5930900000000001</v>
      </c>
      <c r="G146" s="61">
        <f>IF(FT!B146&lt;&gt;"",FT!B146*100,"")</f>
        <v>40.910800000000002</v>
      </c>
      <c r="H146" s="61">
        <f t="shared" si="13"/>
        <v>1</v>
      </c>
      <c r="I146" t="str">
        <f>IF(FT!B146&lt;&gt;"",FT!E146,"")</f>
        <v>2 [58.547353]</v>
      </c>
      <c r="J146">
        <f>IF(FT!B146&lt;&gt;"",FT!C146,"")</f>
        <v>58.547400000000003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18957</v>
      </c>
      <c r="D147" s="61">
        <f>FH!B147*1</f>
        <v>18957</v>
      </c>
      <c r="E147">
        <f t="shared" si="15"/>
        <v>145</v>
      </c>
      <c r="F147" s="61">
        <f>IF(FT!A147&lt;&gt;"",FT!A147*10,"")</f>
        <v>2.5991999999999997</v>
      </c>
      <c r="G147" s="61">
        <f>IF(FT!B147&lt;&gt;"",FT!B147*100,"")</f>
        <v>41.055399999999999</v>
      </c>
      <c r="H147" s="61">
        <f t="shared" si="13"/>
        <v>1</v>
      </c>
      <c r="I147" t="str">
        <f>IF(FT!B147&lt;&gt;"",FT!E147,"")</f>
        <v>2 [58.955347]</v>
      </c>
      <c r="J147">
        <f>IF(FT!B147&lt;&gt;"",FT!C147,"")</f>
        <v>58.955300000000001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2.5834899999999998</v>
      </c>
      <c r="G148" s="61">
        <f>IF(FT!B148&lt;&gt;"",FT!B148*100,"")</f>
        <v>41.631299999999996</v>
      </c>
      <c r="H148" s="61">
        <f t="shared" si="13"/>
        <v>1</v>
      </c>
      <c r="I148" t="str">
        <f>IF(FT!B148&lt;&gt;"",FT!E148,"")</f>
        <v>2 [59.361245]</v>
      </c>
      <c r="J148">
        <f>IF(FT!B148&lt;&gt;"",FT!C148,"")</f>
        <v>59.361199999999997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13726</v>
      </c>
      <c r="D149" s="61">
        <f>FH!B149*1</f>
        <v>13726</v>
      </c>
      <c r="E149">
        <f t="shared" si="15"/>
        <v>147</v>
      </c>
      <c r="F149" s="61">
        <f>IF(FT!A149&lt;&gt;"",FT!A149*10,"")</f>
        <v>2.5286399999999998</v>
      </c>
      <c r="G149" s="61">
        <f>IF(FT!B149&lt;&gt;"",FT!B149*100,"")</f>
        <v>42.264000000000003</v>
      </c>
      <c r="H149" s="61">
        <f t="shared" si="13"/>
        <v>1</v>
      </c>
      <c r="I149" t="str">
        <f>IF(FT!B149&lt;&gt;"",FT!E149,"")</f>
        <v>2 [59.763557]</v>
      </c>
      <c r="J149">
        <f>IF(FT!B149&lt;&gt;"",FT!C149,"")</f>
        <v>59.763599999999997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10518</v>
      </c>
      <c r="D152" s="61">
        <f>FH!B152*1</f>
        <v>10518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6822</v>
      </c>
      <c r="D154" s="61">
        <f>FH!B154*1</f>
        <v>6822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5642</v>
      </c>
      <c r="D157" s="61">
        <f>FH!B157*1</f>
        <v>5642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5158</v>
      </c>
      <c r="D160" s="61">
        <f>FH!B160*1</f>
        <v>5158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3017</v>
      </c>
      <c r="D162" s="61">
        <f>FH!B162*1</f>
        <v>3017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2259</v>
      </c>
      <c r="D165" s="61">
        <f>FH!B165*1</f>
        <v>2259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938</v>
      </c>
      <c r="D167" s="61">
        <f>FH!B167*1</f>
        <v>938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1112</v>
      </c>
      <c r="D170" s="61">
        <f>FH!B170*1</f>
        <v>1112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243</v>
      </c>
      <c r="D173" s="61">
        <f>FH!B173*1</f>
        <v>243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0</v>
      </c>
      <c r="D175" s="61">
        <f>FH!B175*1</f>
        <v>0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0</v>
      </c>
      <c r="D178" s="61">
        <f>FH!B178*1</f>
        <v>0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0</v>
      </c>
      <c r="D180" s="61">
        <f>FH!B180*1</f>
        <v>0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34.9666</v>
      </c>
      <c r="C5" s="66">
        <v>7.7950600000000003</v>
      </c>
      <c r="D5" s="66">
        <v>22.292899999999999</v>
      </c>
      <c r="E5" s="66">
        <v>20</v>
      </c>
      <c r="F5" s="66">
        <v>10.5702</v>
      </c>
      <c r="G5" s="66">
        <v>50</v>
      </c>
      <c r="H5" s="66">
        <v>45.219200000000001</v>
      </c>
    </row>
    <row r="6" spans="1:8">
      <c r="A6" s="58" t="s">
        <v>303</v>
      </c>
      <c r="B6" s="66">
        <v>32.343699999999998</v>
      </c>
      <c r="C6" s="66">
        <v>2.3210999999999999</v>
      </c>
      <c r="D6" s="66">
        <v>7.1763599999999999</v>
      </c>
      <c r="E6" s="66">
        <v>20</v>
      </c>
      <c r="F6" s="66">
        <v>29.648</v>
      </c>
      <c r="G6" s="66">
        <v>40</v>
      </c>
      <c r="H6" s="66">
        <v>42.781300000000002</v>
      </c>
    </row>
    <row r="7" spans="1:8">
      <c r="A7" s="58" t="s">
        <v>304</v>
      </c>
      <c r="B7" s="66">
        <v>32.093800000000002</v>
      </c>
      <c r="C7" s="66">
        <v>11.4895</v>
      </c>
      <c r="D7" s="66">
        <v>35.799599999999998</v>
      </c>
      <c r="E7" s="66">
        <v>15</v>
      </c>
      <c r="F7" s="66">
        <v>4.5931600000000001</v>
      </c>
      <c r="G7" s="66">
        <v>40</v>
      </c>
      <c r="H7" s="66">
        <v>59.658900000000003</v>
      </c>
    </row>
    <row r="8" spans="1:8">
      <c r="A8" s="58" t="s">
        <v>305</v>
      </c>
      <c r="B8" s="66">
        <v>33.077399999999997</v>
      </c>
      <c r="C8" s="66">
        <v>3.76709</v>
      </c>
      <c r="D8" s="66">
        <v>11.3887</v>
      </c>
      <c r="E8" s="66">
        <v>20</v>
      </c>
      <c r="F8" s="66">
        <v>22.0442</v>
      </c>
      <c r="G8" s="66">
        <v>50</v>
      </c>
      <c r="H8" s="66">
        <v>44.664700000000003</v>
      </c>
    </row>
    <row r="9" spans="1:8">
      <c r="A9" s="58" t="s">
        <v>306</v>
      </c>
      <c r="B9" s="66">
        <v>66.172899999999998</v>
      </c>
      <c r="C9" s="66">
        <v>10.901400000000001</v>
      </c>
      <c r="D9" s="66">
        <v>16.4741</v>
      </c>
      <c r="E9" s="66">
        <v>50</v>
      </c>
      <c r="F9" s="66">
        <v>39.800899999999999</v>
      </c>
      <c r="G9" s="66">
        <v>100</v>
      </c>
      <c r="H9" s="66">
        <v>87.597800000000007</v>
      </c>
    </row>
    <row r="10" spans="1:8">
      <c r="A10" s="58" t="s">
        <v>307</v>
      </c>
      <c r="B10" s="66">
        <v>80.205399999999997</v>
      </c>
      <c r="C10" s="66">
        <v>6.6746400000000001</v>
      </c>
      <c r="D10" s="66">
        <v>8.3219399999999997</v>
      </c>
      <c r="E10" s="66">
        <v>40</v>
      </c>
      <c r="F10" s="66">
        <v>41.802300000000002</v>
      </c>
      <c r="G10" s="66">
        <v>100</v>
      </c>
      <c r="H10" s="66">
        <v>83.608900000000006</v>
      </c>
    </row>
    <row r="11" spans="1:8">
      <c r="A11" s="58" t="s">
        <v>308</v>
      </c>
      <c r="B11" s="66">
        <v>13.502599999999999</v>
      </c>
      <c r="C11" s="66">
        <v>2.2082099999999998</v>
      </c>
      <c r="D11" s="66">
        <v>16.353899999999999</v>
      </c>
      <c r="E11" s="66">
        <v>10</v>
      </c>
      <c r="F11" s="66">
        <v>8.0849799999999998</v>
      </c>
      <c r="G11" s="66">
        <v>50</v>
      </c>
      <c r="H11" s="66">
        <v>17.654299999999999</v>
      </c>
    </row>
    <row r="12" spans="1:8">
      <c r="A12" s="58" t="s">
        <v>309</v>
      </c>
      <c r="B12" s="66">
        <v>72.374700000000004</v>
      </c>
      <c r="C12" s="66">
        <v>6.8598600000000003</v>
      </c>
      <c r="D12" s="66">
        <v>9.4782600000000006</v>
      </c>
      <c r="E12" s="66">
        <v>50</v>
      </c>
      <c r="F12" s="66">
        <v>53.1843</v>
      </c>
      <c r="G12" s="66">
        <v>100</v>
      </c>
      <c r="H12" s="66">
        <v>85.336799999999997</v>
      </c>
    </row>
    <row r="13" spans="1:8">
      <c r="A13" s="58" t="s">
        <v>310</v>
      </c>
      <c r="B13" s="66">
        <v>11.2662</v>
      </c>
      <c r="C13" s="66">
        <v>2.61877</v>
      </c>
      <c r="D13" s="66">
        <v>23.244399999999999</v>
      </c>
      <c r="E13" s="66">
        <v>10</v>
      </c>
      <c r="F13" s="66">
        <v>9.8030899999999992</v>
      </c>
      <c r="G13" s="66">
        <v>25</v>
      </c>
      <c r="H13" s="66">
        <v>28.555199999999999</v>
      </c>
    </row>
    <row r="14" spans="1:8">
      <c r="A14" s="58" t="s">
        <v>311</v>
      </c>
      <c r="B14" s="66">
        <v>26.1877</v>
      </c>
      <c r="C14" s="66">
        <v>10.1561</v>
      </c>
      <c r="D14" s="66">
        <v>38.782200000000003</v>
      </c>
      <c r="E14" s="66">
        <v>10</v>
      </c>
      <c r="F14" s="66">
        <v>0.55985499999999999</v>
      </c>
      <c r="G14" s="66">
        <v>50</v>
      </c>
      <c r="H14" s="66">
        <v>41.208599999999997</v>
      </c>
    </row>
    <row r="15" spans="1:8">
      <c r="A15" s="58" t="s">
        <v>312</v>
      </c>
      <c r="B15" s="66">
        <v>-9.8898300000000005E-3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5.8288600000000003E-2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18.9312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0.55095700000000003</v>
      </c>
      <c r="C18" s="66">
        <v>1.2889599999999999E-2</v>
      </c>
      <c r="D18" s="66">
        <v>2.33949E-2</v>
      </c>
      <c r="E18" s="66">
        <v>0</v>
      </c>
      <c r="F18" s="66">
        <v>0.53806699999999996</v>
      </c>
      <c r="G18" s="66">
        <v>0</v>
      </c>
      <c r="H18" s="66">
        <v>0.56384599999999996</v>
      </c>
    </row>
    <row r="19" spans="1:8">
      <c r="A19" s="58" t="s">
        <v>316</v>
      </c>
      <c r="B19" s="66">
        <v>0.71550800000000003</v>
      </c>
      <c r="C19" s="66">
        <v>1.4884400000000001E-2</v>
      </c>
      <c r="D19" s="66">
        <v>2.0802600000000001E-2</v>
      </c>
      <c r="E19" s="66">
        <v>0</v>
      </c>
      <c r="F19" s="66">
        <v>0.700623</v>
      </c>
      <c r="G19" s="66">
        <v>0</v>
      </c>
      <c r="H19" s="66">
        <v>0.73039200000000004</v>
      </c>
    </row>
    <row r="20" spans="1:8">
      <c r="A20" s="58" t="s">
        <v>317</v>
      </c>
      <c r="B20" s="66">
        <v>2.3473399999999998E-3</v>
      </c>
      <c r="C20" s="66">
        <v>0.118586</v>
      </c>
      <c r="D20" s="66">
        <v>50.519100000000002</v>
      </c>
      <c r="E20" s="66">
        <v>0</v>
      </c>
      <c r="F20" s="66">
        <v>0</v>
      </c>
      <c r="G20" s="66">
        <v>0</v>
      </c>
      <c r="H20" s="66">
        <v>1.34443</v>
      </c>
    </row>
    <row r="21" spans="1:8">
      <c r="A21" s="58" t="s">
        <v>318</v>
      </c>
      <c r="B21" s="66">
        <v>2.7567899999999999E-2</v>
      </c>
      <c r="C21" s="66">
        <v>0.82944399999999996</v>
      </c>
      <c r="D21" s="66">
        <v>30.087299999999999</v>
      </c>
      <c r="E21" s="66">
        <v>0</v>
      </c>
      <c r="F21" s="196">
        <v>2.32843E-5</v>
      </c>
      <c r="G21" s="66">
        <v>0</v>
      </c>
      <c r="H21" s="66">
        <v>7.8964999999999996</v>
      </c>
    </row>
    <row r="22" spans="1:8">
      <c r="A22" s="58" t="s">
        <v>319</v>
      </c>
      <c r="B22" s="66">
        <v>45.996499999999997</v>
      </c>
      <c r="C22" s="66">
        <v>30.944400000000002</v>
      </c>
      <c r="D22" s="66">
        <v>0.67275600000000002</v>
      </c>
      <c r="E22" s="66">
        <v>0</v>
      </c>
      <c r="F22" s="66">
        <v>15.2965</v>
      </c>
      <c r="G22" s="66">
        <v>0</v>
      </c>
      <c r="H22" s="66">
        <v>217.251</v>
      </c>
    </row>
    <row r="23" spans="1:8">
      <c r="A23" s="58" t="s">
        <v>320</v>
      </c>
      <c r="B23" s="66">
        <v>16.758900000000001</v>
      </c>
      <c r="C23" s="66">
        <v>5.3705699999999998</v>
      </c>
      <c r="D23" s="66">
        <v>0.320461</v>
      </c>
      <c r="E23" s="66">
        <v>0</v>
      </c>
      <c r="F23" s="66">
        <v>11.573600000000001</v>
      </c>
      <c r="G23" s="66">
        <v>0</v>
      </c>
      <c r="H23" s="66">
        <v>27.792100000000001</v>
      </c>
    </row>
    <row r="24" spans="1:8">
      <c r="A24" s="58" t="s">
        <v>321</v>
      </c>
      <c r="B24" s="66">
        <v>2.0487999999999999E-3</v>
      </c>
      <c r="C24" s="66">
        <v>0.108636</v>
      </c>
      <c r="D24" s="66">
        <v>53.0242</v>
      </c>
      <c r="E24" s="66">
        <v>0</v>
      </c>
      <c r="F24" s="66">
        <v>8.63341E-4</v>
      </c>
      <c r="G24" s="66">
        <v>0</v>
      </c>
      <c r="H24" s="66">
        <v>1.1765300000000001</v>
      </c>
    </row>
    <row r="25" spans="1:8">
      <c r="A25" s="58" t="s">
        <v>322</v>
      </c>
      <c r="B25" s="66">
        <v>5.29682E-2</v>
      </c>
      <c r="C25" s="66">
        <v>0.63350799999999996</v>
      </c>
      <c r="D25" s="66">
        <v>11.9602</v>
      </c>
      <c r="E25" s="66">
        <v>0</v>
      </c>
      <c r="F25" s="66">
        <v>5.2370100000000003E-3</v>
      </c>
      <c r="G25" s="66">
        <v>0</v>
      </c>
      <c r="H25" s="66">
        <v>4.0044599999999999</v>
      </c>
    </row>
    <row r="26" spans="1:8">
      <c r="A26" s="58" t="s">
        <v>323</v>
      </c>
      <c r="B26" s="66">
        <v>5.5147099999999999E-4</v>
      </c>
      <c r="C26" s="66">
        <v>8.6456999999999992E-3</v>
      </c>
      <c r="D26" s="66">
        <v>15.6775</v>
      </c>
      <c r="E26" s="66">
        <v>0</v>
      </c>
      <c r="F26" s="66">
        <v>0</v>
      </c>
      <c r="G26" s="66">
        <v>0</v>
      </c>
      <c r="H26" s="66">
        <v>8.4437399999999996E-2</v>
      </c>
    </row>
    <row r="27" spans="1:8">
      <c r="A27" s="58" t="s">
        <v>324</v>
      </c>
      <c r="B27" s="196">
        <v>1.31303E-5</v>
      </c>
      <c r="C27" s="66">
        <v>1.8002700000000001E-3</v>
      </c>
      <c r="D27" s="66">
        <v>137.10900000000001</v>
      </c>
      <c r="E27" s="66">
        <v>0</v>
      </c>
      <c r="F27" s="66">
        <v>-2.18783E-2</v>
      </c>
      <c r="G27" s="66">
        <v>0</v>
      </c>
      <c r="H27" s="66">
        <v>1.8937099999999998E-2</v>
      </c>
    </row>
    <row r="28" spans="1:8">
      <c r="A28" s="58" t="s">
        <v>325</v>
      </c>
      <c r="B28" s="66">
        <v>4.8307300000000001E-3</v>
      </c>
      <c r="C28" s="66">
        <v>2.8388900000000002E-2</v>
      </c>
      <c r="D28" s="66">
        <v>5.8767300000000002</v>
      </c>
      <c r="E28" s="66">
        <v>0</v>
      </c>
      <c r="F28" s="196">
        <v>1.3020800000000001E-5</v>
      </c>
      <c r="G28" s="66">
        <v>0</v>
      </c>
      <c r="H28" s="66">
        <v>0.206618</v>
      </c>
    </row>
    <row r="29" spans="1:8">
      <c r="A29" s="58" t="s">
        <v>326</v>
      </c>
      <c r="B29" s="66">
        <v>68.995800000000003</v>
      </c>
      <c r="C29" s="66">
        <v>11.2194</v>
      </c>
      <c r="D29" s="66">
        <v>0.16261100000000001</v>
      </c>
      <c r="E29" s="66">
        <v>0</v>
      </c>
      <c r="F29" s="66">
        <v>42.779299999999999</v>
      </c>
      <c r="G29" s="66">
        <v>0</v>
      </c>
      <c r="H29" s="66">
        <v>116.82299999999999</v>
      </c>
    </row>
    <row r="30" spans="1:8">
      <c r="A30" s="58" t="s">
        <v>327</v>
      </c>
      <c r="B30" s="66">
        <v>18.482900000000001</v>
      </c>
      <c r="C30" s="66">
        <v>3.1585000000000001</v>
      </c>
      <c r="D30" s="66">
        <v>0.17088700000000001</v>
      </c>
      <c r="E30" s="66">
        <v>0</v>
      </c>
      <c r="F30" s="66">
        <v>10.516400000000001</v>
      </c>
      <c r="G30" s="66">
        <v>0</v>
      </c>
      <c r="H30" s="66">
        <v>25.209</v>
      </c>
    </row>
    <row r="31" spans="1:8">
      <c r="A31" s="58" t="s">
        <v>328</v>
      </c>
      <c r="B31" s="66">
        <v>195.905</v>
      </c>
      <c r="C31" s="66">
        <v>62.418799999999997</v>
      </c>
      <c r="D31" s="66">
        <v>0.31861699999999998</v>
      </c>
      <c r="E31" s="66">
        <v>0</v>
      </c>
      <c r="F31" s="66">
        <v>66.181399999999996</v>
      </c>
      <c r="G31" s="66">
        <v>0</v>
      </c>
      <c r="H31" s="66">
        <v>310.959</v>
      </c>
    </row>
    <row r="32" spans="1:8">
      <c r="A32" s="58" t="s">
        <v>329</v>
      </c>
      <c r="B32" s="66">
        <v>0.320938</v>
      </c>
      <c r="C32" s="66">
        <v>0.114895</v>
      </c>
      <c r="D32" s="66">
        <v>0.35799599999999998</v>
      </c>
      <c r="E32" s="66">
        <v>0.15</v>
      </c>
      <c r="F32" s="66">
        <v>4.5931600000000003E-2</v>
      </c>
      <c r="G32" s="66">
        <v>0.4</v>
      </c>
      <c r="H32" s="66">
        <v>0.59658900000000004</v>
      </c>
    </row>
    <row r="33" spans="1:8">
      <c r="A33" s="58" t="s">
        <v>330</v>
      </c>
      <c r="B33" s="66">
        <v>0.246112</v>
      </c>
      <c r="C33" s="66">
        <v>0.10416499999999999</v>
      </c>
      <c r="D33" s="66">
        <v>0.42324400000000001</v>
      </c>
      <c r="E33" s="66">
        <v>0</v>
      </c>
      <c r="F33" s="66">
        <v>0.144346</v>
      </c>
      <c r="G33" s="66">
        <v>0</v>
      </c>
      <c r="H33" s="66">
        <v>0.45154899999999998</v>
      </c>
    </row>
    <row r="34" spans="1:8">
      <c r="A34" s="58" t="s">
        <v>331</v>
      </c>
      <c r="B34" s="66">
        <v>0.112662</v>
      </c>
      <c r="C34" s="66">
        <v>2.6187700000000001E-2</v>
      </c>
      <c r="D34" s="66">
        <v>0.23244400000000001</v>
      </c>
      <c r="E34" s="66">
        <v>0.1</v>
      </c>
      <c r="F34" s="66">
        <v>9.8030900000000004E-2</v>
      </c>
      <c r="G34" s="66">
        <v>0.25</v>
      </c>
      <c r="H34" s="66">
        <v>0.28555199999999997</v>
      </c>
    </row>
    <row r="35" spans="1:8">
      <c r="A35" s="58" t="s">
        <v>332</v>
      </c>
      <c r="B35" s="66">
        <v>3.8138400000000003E-2</v>
      </c>
      <c r="C35" s="66">
        <v>2.8400399999999999E-2</v>
      </c>
      <c r="D35" s="66">
        <v>0.744668</v>
      </c>
      <c r="E35" s="66">
        <v>0</v>
      </c>
      <c r="F35" s="66">
        <v>6.2957000000000004E-3</v>
      </c>
      <c r="G35" s="66">
        <v>0</v>
      </c>
      <c r="H35" s="66">
        <v>0.225521</v>
      </c>
    </row>
    <row r="36" spans="1:8">
      <c r="A36" s="58" t="s">
        <v>333</v>
      </c>
      <c r="B36" s="66">
        <v>0.101128</v>
      </c>
      <c r="C36" s="66">
        <v>5.5470999999999999E-2</v>
      </c>
      <c r="D36" s="66">
        <v>0.54852000000000001</v>
      </c>
      <c r="E36" s="66">
        <v>0</v>
      </c>
      <c r="F36" s="66">
        <v>3.7198799999999997E-2</v>
      </c>
      <c r="G36" s="66">
        <v>0</v>
      </c>
      <c r="H36" s="66">
        <v>0.71079599999999998</v>
      </c>
    </row>
    <row r="37" spans="1:8">
      <c r="A37" s="58" t="s">
        <v>334</v>
      </c>
      <c r="B37" s="66">
        <v>0.26187700000000003</v>
      </c>
      <c r="C37" s="66">
        <v>0.101561</v>
      </c>
      <c r="D37" s="66">
        <v>0.387822</v>
      </c>
      <c r="E37" s="66">
        <v>0.1</v>
      </c>
      <c r="F37" s="66">
        <v>5.5985499999999999E-3</v>
      </c>
      <c r="G37" s="66">
        <v>0.5</v>
      </c>
      <c r="H37" s="66">
        <v>0.41208600000000001</v>
      </c>
    </row>
    <row r="38" spans="1:8">
      <c r="A38" s="58" t="s">
        <v>335</v>
      </c>
      <c r="B38" s="66">
        <v>-2.4622199999999999</v>
      </c>
      <c r="C38" s="66">
        <v>61.512500000000003</v>
      </c>
      <c r="D38" s="66">
        <v>-24.982600000000001</v>
      </c>
      <c r="E38" s="66">
        <v>0</v>
      </c>
      <c r="F38" s="66">
        <v>-140.762</v>
      </c>
      <c r="G38" s="66">
        <v>0</v>
      </c>
      <c r="H38" s="66">
        <v>461.73099999999999</v>
      </c>
    </row>
    <row r="39" spans="1:8">
      <c r="A39" s="58" t="s">
        <v>336</v>
      </c>
      <c r="B39" s="66">
        <v>-3.5199799999999999</v>
      </c>
      <c r="C39" s="66">
        <v>19.390499999999999</v>
      </c>
      <c r="D39" s="66">
        <v>-5.5086899999999996</v>
      </c>
      <c r="E39" s="66">
        <v>0</v>
      </c>
      <c r="F39" s="66">
        <v>-18.0623</v>
      </c>
      <c r="G39" s="66">
        <v>0</v>
      </c>
      <c r="H39" s="66">
        <v>118.114</v>
      </c>
    </row>
    <row r="40" spans="1:8">
      <c r="A40" s="58" t="s">
        <v>337</v>
      </c>
      <c r="B40" s="66">
        <v>-1.8263199999999999</v>
      </c>
      <c r="C40" s="66">
        <v>3.68859</v>
      </c>
      <c r="D40" s="66">
        <v>-2.0196800000000001</v>
      </c>
      <c r="E40" s="66">
        <v>0</v>
      </c>
      <c r="F40" s="66">
        <v>-3.2340399999999998</v>
      </c>
      <c r="G40" s="66">
        <v>0</v>
      </c>
      <c r="H40" s="66">
        <v>6.2560200000000004</v>
      </c>
    </row>
    <row r="41" spans="1:8">
      <c r="A41" s="58" t="s">
        <v>338</v>
      </c>
      <c r="B41" s="66">
        <v>0</v>
      </c>
      <c r="C41" s="66">
        <v>0.380436</v>
      </c>
      <c r="D41" s="66">
        <v>0</v>
      </c>
      <c r="E41" s="66">
        <v>0</v>
      </c>
      <c r="F41" s="66">
        <v>-0.89573499999999995</v>
      </c>
      <c r="G41" s="66">
        <v>0</v>
      </c>
      <c r="H41" s="66">
        <v>1</v>
      </c>
    </row>
    <row r="42" spans="1:8">
      <c r="A42" s="58" t="s">
        <v>339</v>
      </c>
      <c r="B42" s="66">
        <v>-2.21668E-2</v>
      </c>
      <c r="C42" s="66">
        <v>0.20599700000000001</v>
      </c>
      <c r="D42" s="66">
        <v>-9.2930600000000005</v>
      </c>
      <c r="E42" s="66">
        <v>0</v>
      </c>
      <c r="F42" s="66">
        <v>-0.26474799999999998</v>
      </c>
      <c r="G42" s="66">
        <v>0</v>
      </c>
      <c r="H42" s="66">
        <v>0.87002500000000005</v>
      </c>
    </row>
    <row r="43" spans="1:8">
      <c r="A43" s="58" t="s">
        <v>340</v>
      </c>
      <c r="B43" s="66">
        <v>-4.03706E-2</v>
      </c>
      <c r="C43" s="66">
        <v>0.119106</v>
      </c>
      <c r="D43" s="66">
        <v>-2.95031</v>
      </c>
      <c r="E43" s="66">
        <v>0</v>
      </c>
      <c r="F43" s="66">
        <v>-0.147841</v>
      </c>
      <c r="G43" s="66">
        <v>0</v>
      </c>
      <c r="H43" s="66">
        <v>0.18243999999999999</v>
      </c>
    </row>
    <row r="44" spans="1:8">
      <c r="A44" s="58" t="s">
        <v>341</v>
      </c>
      <c r="B44" s="66">
        <v>-24.494700000000002</v>
      </c>
      <c r="C44" s="66">
        <v>15.767899999999999</v>
      </c>
      <c r="D44" s="66">
        <v>-0.64372600000000002</v>
      </c>
      <c r="E44" s="66">
        <v>0</v>
      </c>
      <c r="F44" s="66">
        <v>-53.526600000000002</v>
      </c>
      <c r="G44" s="66">
        <v>0</v>
      </c>
      <c r="H44" s="66">
        <v>6.7054099999999996</v>
      </c>
    </row>
    <row r="45" spans="1:8">
      <c r="A45" s="58" t="s">
        <v>342</v>
      </c>
      <c r="B45" s="66">
        <v>52.581600000000002</v>
      </c>
      <c r="C45" s="66">
        <v>6.6923500000000002</v>
      </c>
      <c r="D45" s="66">
        <v>0.127276</v>
      </c>
      <c r="E45" s="66">
        <v>0</v>
      </c>
      <c r="F45" s="66">
        <v>34.344900000000003</v>
      </c>
      <c r="G45" s="66">
        <v>0</v>
      </c>
      <c r="H45" s="66">
        <v>71.993399999999994</v>
      </c>
    </row>
    <row r="46" spans="1:8">
      <c r="A46" s="58" t="s">
        <v>343</v>
      </c>
      <c r="B46" s="66">
        <v>27.110299999999999</v>
      </c>
      <c r="C46" s="66">
        <v>5.8808600000000002</v>
      </c>
      <c r="D46" s="66">
        <v>0.216923</v>
      </c>
      <c r="E46" s="66">
        <v>0</v>
      </c>
      <c r="F46" s="66">
        <v>8.2594799999999999</v>
      </c>
      <c r="G46" s="66">
        <v>0</v>
      </c>
      <c r="H46" s="66">
        <v>33.641300000000001</v>
      </c>
    </row>
    <row r="47" spans="1:8">
      <c r="A47" s="58" t="s">
        <v>344</v>
      </c>
      <c r="B47" s="66">
        <v>0.60234699999999997</v>
      </c>
      <c r="C47" s="66">
        <v>0.61460599999999999</v>
      </c>
      <c r="D47" s="66">
        <v>1.0203500000000001</v>
      </c>
      <c r="E47" s="66">
        <v>0</v>
      </c>
      <c r="F47" s="66">
        <v>0.15215999999999999</v>
      </c>
      <c r="G47" s="66">
        <v>0</v>
      </c>
      <c r="H47" s="66">
        <v>4.69414</v>
      </c>
    </row>
    <row r="48" spans="1:8">
      <c r="A48" s="58" t="s">
        <v>345</v>
      </c>
      <c r="B48" s="66">
        <v>0.57787900000000003</v>
      </c>
      <c r="C48" s="66">
        <v>0.158031</v>
      </c>
      <c r="D48" s="66">
        <v>0.27346799999999999</v>
      </c>
      <c r="E48" s="66">
        <v>0</v>
      </c>
      <c r="F48" s="66">
        <v>0.42430099999999998</v>
      </c>
      <c r="G48" s="66">
        <v>0</v>
      </c>
      <c r="H48" s="66">
        <v>1.36659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5.8532000000000011</v>
      </c>
      <c r="C5" s="66">
        <f>'M2'!C5-'M1'!C5</f>
        <v>-4.2534400000000003</v>
      </c>
      <c r="D5" s="66">
        <f>'M2'!D5-'M1'!D5</f>
        <v>-15.235600000000002</v>
      </c>
      <c r="E5" s="66">
        <f>'M2'!E5-'M1'!E5</f>
        <v>0</v>
      </c>
      <c r="F5" s="66">
        <f>'M2'!F5-'M1'!F5</f>
        <v>17.149999999999999</v>
      </c>
      <c r="G5" s="66">
        <f>'M2'!G5-'M1'!G5</f>
        <v>0</v>
      </c>
      <c r="H5" s="66">
        <f>'M2'!H5-'M1'!H5</f>
        <v>5.368700000000004</v>
      </c>
    </row>
    <row r="6" spans="1:8">
      <c r="A6" s="66" t="s">
        <v>244</v>
      </c>
      <c r="B6" s="66">
        <f>'M2'!B6-'M1'!B6</f>
        <v>-1.1322000000000045</v>
      </c>
      <c r="C6" s="66">
        <f>'M2'!C6-'M1'!C6</f>
        <v>0.52566999999999986</v>
      </c>
      <c r="D6" s="66">
        <f>'M2'!D6-'M1'!D6</f>
        <v>1.8566200000000004</v>
      </c>
      <c r="E6" s="66">
        <f>'M2'!E6-'M1'!E6</f>
        <v>0</v>
      </c>
      <c r="F6" s="66">
        <f>'M2'!F6-'M1'!F6</f>
        <v>0.3849000000000018</v>
      </c>
      <c r="G6" s="66">
        <f>'M2'!G6-'M1'!G6</f>
        <v>0</v>
      </c>
      <c r="H6" s="66">
        <f>'M2'!H6-'M1'!H6</f>
        <v>5.9343000000000004</v>
      </c>
    </row>
    <row r="7" spans="1:8">
      <c r="A7" s="66" t="s">
        <v>245</v>
      </c>
      <c r="B7" s="66">
        <f>'M2'!B7-'M1'!B7</f>
        <v>-8.1275000000000013</v>
      </c>
      <c r="C7" s="66">
        <f>'M2'!C7-'M1'!C7</f>
        <v>2.4405099999999997</v>
      </c>
      <c r="D7" s="66">
        <f>'M2'!D7-'M1'!D7</f>
        <v>15.697599999999998</v>
      </c>
      <c r="E7" s="66">
        <f>'M2'!E7-'M1'!E7</f>
        <v>0</v>
      </c>
      <c r="F7" s="66">
        <f>'M2'!F7-'M1'!F7</f>
        <v>-8.5022400000000005</v>
      </c>
      <c r="G7" s="66">
        <f>'M2'!G7-'M1'!G7</f>
        <v>0</v>
      </c>
      <c r="H7" s="66">
        <f>'M2'!H7-'M1'!H7</f>
        <v>2.1898000000000053</v>
      </c>
    </row>
    <row r="8" spans="1:8">
      <c r="A8" s="66" t="s">
        <v>246</v>
      </c>
      <c r="B8" s="66">
        <f>'M2'!B8-'M1'!B8</f>
        <v>-0.66749999999999687</v>
      </c>
      <c r="C8" s="66">
        <f>'M2'!C8-'M1'!C8</f>
        <v>1.8739999999999757E-2</v>
      </c>
      <c r="D8" s="66">
        <f>'M2'!D8-'M1'!D8</f>
        <v>0.28340000000000032</v>
      </c>
      <c r="E8" s="66">
        <f>'M2'!E8-'M1'!E8</f>
        <v>0</v>
      </c>
      <c r="F8" s="66">
        <f>'M2'!F8-'M1'!F8</f>
        <v>4.4319999999999986</v>
      </c>
      <c r="G8" s="66">
        <f>'M2'!G8-'M1'!G8</f>
        <v>0</v>
      </c>
      <c r="H8" s="66">
        <f>'M2'!H8-'M1'!H8</f>
        <v>7.6208000000000027</v>
      </c>
    </row>
    <row r="9" spans="1:8">
      <c r="A9" s="66" t="s">
        <v>247</v>
      </c>
      <c r="B9" s="66">
        <f>'M2'!B9-'M1'!B9</f>
        <v>-5.6225000000000023</v>
      </c>
      <c r="C9" s="66">
        <f>'M2'!C9-'M1'!C9</f>
        <v>-8.8940599999999996</v>
      </c>
      <c r="D9" s="66">
        <f>'M2'!D9-'M1'!D9</f>
        <v>-11.995449999999998</v>
      </c>
      <c r="E9" s="66">
        <f>'M2'!E9-'M1'!E9</f>
        <v>0</v>
      </c>
      <c r="F9" s="66">
        <f>'M2'!F9-'M1'!F9</f>
        <v>8.5805000000000007</v>
      </c>
      <c r="G9" s="66">
        <f>'M2'!G9-'M1'!G9</f>
        <v>0</v>
      </c>
      <c r="H9" s="66">
        <f>'M2'!H9-'M1'!H9</f>
        <v>-13.612100000000012</v>
      </c>
    </row>
    <row r="10" spans="1:8">
      <c r="A10" s="66" t="s">
        <v>248</v>
      </c>
      <c r="B10" s="66">
        <f>'M2'!B10-'M1'!B10</f>
        <v>-0.25960000000000605</v>
      </c>
      <c r="C10" s="66">
        <f>'M2'!C10-'M1'!C10</f>
        <v>6.2402399999999991</v>
      </c>
      <c r="D10" s="66">
        <f>'M2'!D10-'M1'!D10</f>
        <v>7.8128800000000007</v>
      </c>
      <c r="E10" s="66">
        <f>'M2'!E10-'M1'!E10</f>
        <v>0</v>
      </c>
      <c r="F10" s="66">
        <f>'M2'!F10-'M1'!F10</f>
        <v>-33.001400000000004</v>
      </c>
      <c r="G10" s="66">
        <f>'M2'!G10-'M1'!G10</f>
        <v>0</v>
      </c>
      <c r="H10" s="66">
        <f>'M2'!H10-'M1'!H10</f>
        <v>-0.73940000000000339</v>
      </c>
    </row>
    <row r="11" spans="1:8">
      <c r="A11" s="66" t="s">
        <v>249</v>
      </c>
      <c r="B11" s="66">
        <f>'M2'!B11-'M1'!B11</f>
        <v>1.2965</v>
      </c>
      <c r="C11" s="66">
        <f>'M2'!C11-'M1'!C11</f>
        <v>-0.34763999999999995</v>
      </c>
      <c r="D11" s="66">
        <f>'M2'!D11-'M1'!D11</f>
        <v>-4.0622000000000007</v>
      </c>
      <c r="E11" s="66">
        <f>'M2'!E11-'M1'!E11</f>
        <v>0</v>
      </c>
      <c r="F11" s="66">
        <f>'M2'!F11-'M1'!F11</f>
        <v>3.6665200000000002</v>
      </c>
      <c r="G11" s="66">
        <f>'M2'!G11-'M1'!G11</f>
        <v>0</v>
      </c>
      <c r="H11" s="66">
        <f>'M2'!H11-'M1'!H11</f>
        <v>1.4960999999999984</v>
      </c>
    </row>
    <row r="12" spans="1:8">
      <c r="A12" s="66" t="s">
        <v>250</v>
      </c>
      <c r="B12" s="66">
        <f>'M2'!B12-'M1'!B12</f>
        <v>-4.2713999999999999</v>
      </c>
      <c r="C12" s="66">
        <f>'M2'!C12-'M1'!C12</f>
        <v>-3.5640299999999998</v>
      </c>
      <c r="D12" s="66">
        <f>'M2'!D12-'M1'!D12</f>
        <v>-4.3698400000000008</v>
      </c>
      <c r="E12" s="66">
        <f>'M2'!E12-'M1'!E12</f>
        <v>0</v>
      </c>
      <c r="F12" s="66">
        <f>'M2'!F12-'M1'!F12</f>
        <v>-4.4675999999999974</v>
      </c>
      <c r="G12" s="66">
        <f>'M2'!G12-'M1'!G12</f>
        <v>0</v>
      </c>
      <c r="H12" s="66">
        <f>'M2'!H12-'M1'!H12</f>
        <v>-8.7210000000000036</v>
      </c>
    </row>
    <row r="13" spans="1:8">
      <c r="A13" s="66" t="s">
        <v>251</v>
      </c>
      <c r="B13" s="66">
        <f>'M2'!B13-'M1'!B13</f>
        <v>1.0241000000000007</v>
      </c>
      <c r="C13" s="66">
        <f>'M2'!C13-'M1'!C13</f>
        <v>1.3929800000000001</v>
      </c>
      <c r="D13" s="66">
        <f>'M2'!D13-'M1'!D13</f>
        <v>10.3355</v>
      </c>
      <c r="E13" s="66">
        <f>'M2'!E13-'M1'!E13</f>
        <v>0</v>
      </c>
      <c r="F13" s="66">
        <f>'M2'!F13-'M1'!F13</f>
        <v>0.33980999999999995</v>
      </c>
      <c r="G13" s="66">
        <f>'M2'!G13-'M1'!G13</f>
        <v>0</v>
      </c>
      <c r="H13" s="66">
        <f>'M2'!H13-'M1'!H13</f>
        <v>11.0136</v>
      </c>
    </row>
    <row r="14" spans="1:8">
      <c r="A14" s="66" t="s">
        <v>252</v>
      </c>
      <c r="B14" s="66">
        <f>'M2'!B14-'M1'!B14</f>
        <v>13.9298</v>
      </c>
      <c r="C14" s="66">
        <f>'M2'!C14-'M1'!C14</f>
        <v>4.3708900000000002</v>
      </c>
      <c r="D14" s="66">
        <f>'M2'!D14-'M1'!D14</f>
        <v>-4.3265999999999991</v>
      </c>
      <c r="E14" s="66">
        <f>'M2'!E14-'M1'!E14</f>
        <v>0</v>
      </c>
      <c r="F14" s="66">
        <f>'M2'!F14-'M1'!F14</f>
        <v>-0.15995000000000004</v>
      </c>
      <c r="G14" s="66">
        <f>'M2'!G14-'M1'!G14</f>
        <v>0</v>
      </c>
      <c r="H14" s="66">
        <f>'M2'!H14-'M1'!H14</f>
        <v>11.402799999999996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7.0050000000000057E-2</v>
      </c>
      <c r="C18" s="66">
        <f>'M2'!C18-'M1'!C18</f>
        <v>1.2889599999999999E-2</v>
      </c>
      <c r="D18" s="66">
        <f>'M2'!D18-'M1'!D18</f>
        <v>2.33949E-2</v>
      </c>
      <c r="E18" s="66">
        <f>'M2'!E18-'M1'!E18</f>
        <v>0</v>
      </c>
      <c r="F18" s="66">
        <f>'M2'!F18-'M1'!F18</f>
        <v>0.53806699999999996</v>
      </c>
      <c r="G18" s="66">
        <f>'M2'!G18-'M1'!G18</f>
        <v>0</v>
      </c>
      <c r="H18" s="66">
        <f>'M2'!H18-'M1'!H18</f>
        <v>0.56384599999999996</v>
      </c>
    </row>
    <row r="19" spans="1:8">
      <c r="A19" s="66" t="s">
        <v>256</v>
      </c>
      <c r="B19" s="66">
        <f>'M2'!B19-'M1'!B19</f>
        <v>4.8939000000000066E-2</v>
      </c>
      <c r="C19" s="66">
        <f>'M2'!C19-'M1'!C19</f>
        <v>1.4884400000000001E-2</v>
      </c>
      <c r="D19" s="66">
        <f>'M2'!D19-'M1'!D19</f>
        <v>2.0802600000000001E-2</v>
      </c>
      <c r="E19" s="66">
        <f>'M2'!E19-'M1'!E19</f>
        <v>0</v>
      </c>
      <c r="F19" s="66">
        <f>'M2'!F19-'M1'!F19</f>
        <v>0.700623</v>
      </c>
      <c r="G19" s="66">
        <f>'M2'!G19-'M1'!G19</f>
        <v>0</v>
      </c>
      <c r="H19" s="66">
        <f>'M2'!H19-'M1'!H19</f>
        <v>0.73039200000000004</v>
      </c>
    </row>
    <row r="20" spans="1:8">
      <c r="A20" s="66" t="s">
        <v>63</v>
      </c>
      <c r="B20" s="66">
        <f>'M2'!B20-'M1'!B20</f>
        <v>-8.6571999999999994E-4</v>
      </c>
      <c r="C20" s="66">
        <f>'M2'!C20-'M1'!C20</f>
        <v>0.15149969999999999</v>
      </c>
      <c r="D20" s="66">
        <f>'M2'!D20-'M1'!D20</f>
        <v>81.347279999999998</v>
      </c>
      <c r="E20" s="66">
        <f>'M2'!E20-'M1'!E20</f>
        <v>0</v>
      </c>
      <c r="F20" s="66">
        <f>'M2'!F20-'M1'!F20</f>
        <v>-1.19846E-5</v>
      </c>
      <c r="G20" s="66">
        <f>'M2'!G20-'M1'!G20</f>
        <v>0</v>
      </c>
      <c r="H20" s="66">
        <f>'M2'!H20-'M1'!H20</f>
        <v>1.235417</v>
      </c>
    </row>
    <row r="21" spans="1:8">
      <c r="A21" s="66" t="s">
        <v>64</v>
      </c>
      <c r="B21" s="66">
        <f>'M2'!B21-'M1'!B21</f>
        <v>-8.1620999999999985E-3</v>
      </c>
      <c r="C21" s="66">
        <f>'M2'!C21-'M1'!C21</f>
        <v>0.99035400000000007</v>
      </c>
      <c r="D21" s="66">
        <f>'M2'!D21-'M1'!D21</f>
        <v>40.742100000000001</v>
      </c>
      <c r="E21" s="66">
        <f>'M2'!E21-'M1'!E21</f>
        <v>0</v>
      </c>
      <c r="F21" s="66">
        <f>'M2'!F21-'M1'!F21</f>
        <v>-2.9615999999999999E-5</v>
      </c>
      <c r="G21" s="66">
        <f>'M2'!G21-'M1'!G21</f>
        <v>0</v>
      </c>
      <c r="H21" s="66">
        <f>'M2'!H21-'M1'!H21</f>
        <v>6.8238399999999997</v>
      </c>
    </row>
    <row r="22" spans="1:8">
      <c r="A22" s="66" t="s">
        <v>65</v>
      </c>
      <c r="B22" s="66">
        <f>'M2'!B22-'M1'!B22</f>
        <v>-2.096899999999998</v>
      </c>
      <c r="C22" s="66">
        <f>'M2'!C22-'M1'!C22</f>
        <v>24.070800000000002</v>
      </c>
      <c r="D22" s="66">
        <f>'M2'!D22-'M1'!D22</f>
        <v>0.56026100000000001</v>
      </c>
      <c r="E22" s="66">
        <f>'M2'!E22-'M1'!E22</f>
        <v>0</v>
      </c>
      <c r="F22" s="66">
        <f>'M2'!F22-'M1'!F22</f>
        <v>3.2322000000000006</v>
      </c>
      <c r="G22" s="66">
        <f>'M2'!G22-'M1'!G22</f>
        <v>0</v>
      </c>
      <c r="H22" s="66">
        <f>'M2'!H22-'M1'!H22</f>
        <v>139.88580000000002</v>
      </c>
    </row>
    <row r="23" spans="1:8">
      <c r="A23" s="66" t="s">
        <v>66</v>
      </c>
      <c r="B23" s="66">
        <f>'M2'!B23-'M1'!B23</f>
        <v>10.418699999999999</v>
      </c>
      <c r="C23" s="66">
        <f>'M2'!C23-'M1'!C23</f>
        <v>3.11469</v>
      </c>
      <c r="D23" s="66">
        <f>'M2'!D23-'M1'!D23</f>
        <v>7.8589000000000006E-2</v>
      </c>
      <c r="E23" s="66">
        <f>'M2'!E23-'M1'!E23</f>
        <v>0</v>
      </c>
      <c r="F23" s="66">
        <f>'M2'!F23-'M1'!F23</f>
        <v>-0.43609999999999971</v>
      </c>
      <c r="G23" s="66">
        <f>'M2'!G23-'M1'!G23</f>
        <v>0</v>
      </c>
      <c r="H23" s="66">
        <f>'M2'!H23-'M1'!H23</f>
        <v>10.253500000000003</v>
      </c>
    </row>
    <row r="24" spans="1:8">
      <c r="A24" s="66" t="s">
        <v>67</v>
      </c>
      <c r="B24" s="66">
        <f>'M2'!B24-'M1'!B24</f>
        <v>-1.5103500000000001E-3</v>
      </c>
      <c r="C24" s="66">
        <f>'M2'!C24-'M1'!C24</f>
        <v>0.14276749</v>
      </c>
      <c r="D24" s="66">
        <f>'M2'!D24-'M1'!D24</f>
        <v>93.291149999999988</v>
      </c>
      <c r="E24" s="66">
        <f>'M2'!E24-'M1'!E24</f>
        <v>0</v>
      </c>
      <c r="F24" s="66">
        <f>'M2'!F24-'M1'!F24</f>
        <v>-1.2890999999999998E-4</v>
      </c>
      <c r="G24" s="66">
        <f>'M2'!G24-'M1'!G24</f>
        <v>0</v>
      </c>
      <c r="H24" s="66">
        <f>'M2'!H24-'M1'!H24</f>
        <v>1.1280571000000001</v>
      </c>
    </row>
    <row r="25" spans="1:8">
      <c r="A25" s="66" t="s">
        <v>68</v>
      </c>
      <c r="B25" s="66">
        <f>'M2'!B25-'M1'!B25</f>
        <v>-2.1402999999999978E-3</v>
      </c>
      <c r="C25" s="66">
        <f>'M2'!C25-'M1'!C25</f>
        <v>0.75844999999999996</v>
      </c>
      <c r="D25" s="66">
        <f>'M2'!D25-'M1'!D25</f>
        <v>14.912520000000001</v>
      </c>
      <c r="E25" s="66">
        <f>'M2'!E25-'M1'!E25</f>
        <v>0</v>
      </c>
      <c r="F25" s="66">
        <f>'M2'!F25-'M1'!F25</f>
        <v>5.19909E-3</v>
      </c>
      <c r="G25" s="66">
        <f>'M2'!G25-'M1'!G25</f>
        <v>0</v>
      </c>
      <c r="H25" s="66">
        <f>'M2'!H25-'M1'!H25</f>
        <v>3.485697</v>
      </c>
    </row>
    <row r="26" spans="1:8">
      <c r="A26" s="66" t="s">
        <v>69</v>
      </c>
      <c r="B26" s="66">
        <f>'M2'!B26-'M1'!B26</f>
        <v>-1.9367100000000002E-4</v>
      </c>
      <c r="C26" s="66">
        <f>'M2'!C26-'M1'!C26</f>
        <v>1.058542E-2</v>
      </c>
      <c r="D26" s="66">
        <f>'M2'!D26-'M1'!D26</f>
        <v>24.604789999999998</v>
      </c>
      <c r="E26" s="66">
        <f>'M2'!E26-'M1'!E26</f>
        <v>0</v>
      </c>
      <c r="F26" s="66">
        <f>'M2'!F26-'M1'!F26</f>
        <v>-9.8476899999999999E-6</v>
      </c>
      <c r="G26" s="66">
        <f>'M2'!G26-'M1'!G26</f>
        <v>0</v>
      </c>
      <c r="H26" s="66">
        <f>'M2'!H26-'M1'!H26</f>
        <v>7.2856499999999991E-2</v>
      </c>
    </row>
    <row r="27" spans="1:8">
      <c r="A27" s="66" t="s">
        <v>70</v>
      </c>
      <c r="B27" s="66">
        <f>'M2'!B27-'M1'!B27</f>
        <v>-3.6108229999999996E-5</v>
      </c>
      <c r="C27" s="66">
        <f>'M2'!C27-'M1'!C27</f>
        <v>1.17647E-3</v>
      </c>
      <c r="D27" s="66">
        <f>'M2'!D27-'M1'!D27</f>
        <v>-386.6662</v>
      </c>
      <c r="E27" s="66">
        <f>'M2'!E27-'M1'!E27</f>
        <v>0</v>
      </c>
      <c r="F27" s="66">
        <f>'M2'!F27-'M1'!F27</f>
        <v>-1.6997129999999999E-2</v>
      </c>
      <c r="G27" s="66">
        <f>'M2'!G27-'M1'!G27</f>
        <v>0</v>
      </c>
      <c r="H27" s="66">
        <f>'M2'!H27-'M1'!H27</f>
        <v>1.1557899999999999E-2</v>
      </c>
    </row>
    <row r="28" spans="1:8">
      <c r="A28" s="66" t="s">
        <v>71</v>
      </c>
      <c r="B28" s="66">
        <f>'M2'!B28-'M1'!B28</f>
        <v>-1.5934199999999999E-3</v>
      </c>
      <c r="C28" s="66">
        <f>'M2'!C28-'M1'!C28</f>
        <v>2.56464E-2</v>
      </c>
      <c r="D28" s="66">
        <f>'M2'!D28-'M1'!D28</f>
        <v>6.9956899999999997</v>
      </c>
      <c r="E28" s="66">
        <f>'M2'!E28-'M1'!E28</f>
        <v>0</v>
      </c>
      <c r="F28" s="66">
        <f>'M2'!F28-'M1'!F28</f>
        <v>-1.6276099999999998E-5</v>
      </c>
      <c r="G28" s="66">
        <f>'M2'!G28-'M1'!G28</f>
        <v>0</v>
      </c>
      <c r="H28" s="66">
        <f>'M2'!H28-'M1'!H28</f>
        <v>0.13234069999999998</v>
      </c>
    </row>
    <row r="29" spans="1:8">
      <c r="A29" s="66" t="s">
        <v>72</v>
      </c>
      <c r="B29" s="66">
        <f>'M2'!B29-'M1'!B29</f>
        <v>-2.7622999999999962</v>
      </c>
      <c r="C29" s="66">
        <f>'M2'!C29-'M1'!C29</f>
        <v>2.307599999999999</v>
      </c>
      <c r="D29" s="66">
        <f>'M2'!D29-'M1'!D29</f>
        <v>3.9990999999999999E-2</v>
      </c>
      <c r="E29" s="66">
        <f>'M2'!E29-'M1'!E29</f>
        <v>0</v>
      </c>
      <c r="F29" s="66">
        <f>'M2'!F29-'M1'!F29</f>
        <v>-3.421599999999998</v>
      </c>
      <c r="G29" s="66">
        <f>'M2'!G29-'M1'!G29</f>
        <v>0</v>
      </c>
      <c r="H29" s="66">
        <f>'M2'!H29-'M1'!H29</f>
        <v>21.739599999999996</v>
      </c>
    </row>
    <row r="30" spans="1:8">
      <c r="A30" s="66" t="s">
        <v>73</v>
      </c>
      <c r="B30" s="66">
        <f>'M2'!B30-'M1'!B30</f>
        <v>2.4371999999999971</v>
      </c>
      <c r="C30" s="66">
        <f>'M2'!C30-'M1'!C30</f>
        <v>-0.97433999999999976</v>
      </c>
      <c r="D30" s="66">
        <f>'M2'!D30-'M1'!D30</f>
        <v>-7.8248999999999985E-2</v>
      </c>
      <c r="E30" s="66">
        <f>'M2'!E30-'M1'!E30</f>
        <v>0</v>
      </c>
      <c r="F30" s="66">
        <f>'M2'!F30-'M1'!F30</f>
        <v>1.7341999999999995</v>
      </c>
      <c r="G30" s="66">
        <f>'M2'!G30-'M1'!G30</f>
        <v>0</v>
      </c>
      <c r="H30" s="66">
        <f>'M2'!H30-'M1'!H30</f>
        <v>3.6927999999999983</v>
      </c>
    </row>
    <row r="31" spans="1:8">
      <c r="A31" s="66" t="s">
        <v>74</v>
      </c>
      <c r="B31" s="66">
        <f>'M2'!B31-'M1'!B31</f>
        <v>50.330000000000013</v>
      </c>
      <c r="C31" s="66">
        <f>'M2'!C31-'M1'!C31</f>
        <v>-11.351599999999998</v>
      </c>
      <c r="D31" s="66">
        <f>'M2'!D31-'M1'!D31</f>
        <v>-0.10752200000000001</v>
      </c>
      <c r="E31" s="66">
        <f>'M2'!E31-'M1'!E31</f>
        <v>0</v>
      </c>
      <c r="F31" s="66">
        <f>'M2'!F31-'M1'!F31</f>
        <v>99.405599999999993</v>
      </c>
      <c r="G31" s="66">
        <f>'M2'!G31-'M1'!G31</f>
        <v>0</v>
      </c>
      <c r="H31" s="66">
        <f>'M2'!H31-'M1'!H31</f>
        <v>53.756000000000029</v>
      </c>
    </row>
    <row r="32" spans="1:8">
      <c r="A32" s="66" t="s">
        <v>75</v>
      </c>
      <c r="B32" s="66">
        <f>'M2'!B32-'M1'!B32</f>
        <v>-8.1274999999999986E-2</v>
      </c>
      <c r="C32" s="66">
        <f>'M2'!C32-'M1'!C32</f>
        <v>2.4405099999999999E-2</v>
      </c>
      <c r="D32" s="66">
        <f>'M2'!D32-'M1'!D32</f>
        <v>0.156976</v>
      </c>
      <c r="E32" s="66">
        <f>'M2'!E32-'M1'!E32</f>
        <v>0</v>
      </c>
      <c r="F32" s="66">
        <f>'M2'!F32-'M1'!F32</f>
        <v>-8.5022399999999984E-2</v>
      </c>
      <c r="G32" s="66">
        <f>'M2'!G32-'M1'!G32</f>
        <v>0</v>
      </c>
      <c r="H32" s="66">
        <f>'M2'!H32-'M1'!H32</f>
        <v>2.1898000000000084E-2</v>
      </c>
    </row>
    <row r="33" spans="1:8">
      <c r="A33" s="66" t="s">
        <v>76</v>
      </c>
      <c r="B33" s="66">
        <f>'M2'!B33-'M1'!B33</f>
        <v>-0.222109</v>
      </c>
      <c r="C33" s="66">
        <f>'M2'!C33-'M1'!C33</f>
        <v>-6.7281499999999994E-2</v>
      </c>
      <c r="D33" s="66">
        <f>'M2'!D33-'M1'!D33</f>
        <v>-0.1020137</v>
      </c>
      <c r="E33" s="66">
        <f>'M2'!E33-'M1'!E33</f>
        <v>0</v>
      </c>
      <c r="F33" s="66">
        <f>'M2'!F33-'M1'!F33</f>
        <v>-5.4988000000000009E-2</v>
      </c>
      <c r="G33" s="66">
        <f>'M2'!G33-'M1'!G33</f>
        <v>0</v>
      </c>
      <c r="H33" s="66">
        <f>'M2'!H33-'M1'!H33</f>
        <v>-8.9189999999999992E-2</v>
      </c>
    </row>
    <row r="34" spans="1:8">
      <c r="A34" s="66" t="s">
        <v>77</v>
      </c>
      <c r="B34" s="66">
        <f>'M2'!B34-'M1'!B34</f>
        <v>1.0241E-2</v>
      </c>
      <c r="C34" s="66">
        <f>'M2'!C34-'M1'!C34</f>
        <v>1.3929799999999999E-2</v>
      </c>
      <c r="D34" s="66">
        <f>'M2'!D34-'M1'!D34</f>
        <v>0.103355</v>
      </c>
      <c r="E34" s="66">
        <f>'M2'!E34-'M1'!E34</f>
        <v>0</v>
      </c>
      <c r="F34" s="66">
        <f>'M2'!F34-'M1'!F34</f>
        <v>3.3981000000000011E-3</v>
      </c>
      <c r="G34" s="66">
        <f>'M2'!G34-'M1'!G34</f>
        <v>0</v>
      </c>
      <c r="H34" s="66">
        <f>'M2'!H34-'M1'!H34</f>
        <v>0.11013599999999998</v>
      </c>
    </row>
    <row r="35" spans="1:8">
      <c r="A35" s="66" t="s">
        <v>78</v>
      </c>
      <c r="B35" s="66">
        <f>'M2'!B35-'M1'!B35</f>
        <v>4.0157999999999999E-3</v>
      </c>
      <c r="C35" s="66">
        <f>'M2'!C35-'M1'!C35</f>
        <v>1.6261099999999997E-2</v>
      </c>
      <c r="D35" s="66">
        <f>'M2'!D35-'M1'!D35</f>
        <v>0.34626299999999999</v>
      </c>
      <c r="E35" s="66">
        <f>'M2'!E35-'M1'!E35</f>
        <v>0</v>
      </c>
      <c r="F35" s="66">
        <f>'M2'!F35-'M1'!F35</f>
        <v>-3.0345899999999993E-3</v>
      </c>
      <c r="G35" s="66">
        <f>'M2'!G35-'M1'!G35</f>
        <v>0</v>
      </c>
      <c r="H35" s="66">
        <f>'M2'!H35-'M1'!H35</f>
        <v>0.12896180000000002</v>
      </c>
    </row>
    <row r="36" spans="1:8">
      <c r="A36" s="66" t="s">
        <v>79</v>
      </c>
      <c r="B36" s="66">
        <f>'M2'!B36-'M1'!B36</f>
        <v>2.8970000000000107E-3</v>
      </c>
      <c r="C36" s="66">
        <f>'M2'!C36-'M1'!C36</f>
        <v>1.9669599999999995E-2</v>
      </c>
      <c r="D36" s="66">
        <f>'M2'!D36-'M1'!D36</f>
        <v>0.17834600000000006</v>
      </c>
      <c r="E36" s="66">
        <f>'M2'!E36-'M1'!E36</f>
        <v>0</v>
      </c>
      <c r="F36" s="66">
        <f>'M2'!F36-'M1'!F36</f>
        <v>6.5429000000000043E-3</v>
      </c>
      <c r="G36" s="66">
        <f>'M2'!G36-'M1'!G36</f>
        <v>0</v>
      </c>
      <c r="H36" s="66">
        <f>'M2'!H36-'M1'!H36</f>
        <v>0.36347499999999999</v>
      </c>
    </row>
    <row r="37" spans="1:8">
      <c r="A37" s="66" t="s">
        <v>80</v>
      </c>
      <c r="B37" s="66">
        <f>'M2'!B37-'M1'!B37</f>
        <v>0.13929799999999998</v>
      </c>
      <c r="C37" s="66">
        <f>'M2'!C37-'M1'!C37</f>
        <v>4.3708900000000009E-2</v>
      </c>
      <c r="D37" s="66">
        <f>'M2'!D37-'M1'!D37</f>
        <v>-4.3266000000000027E-2</v>
      </c>
      <c r="E37" s="66">
        <f>'M2'!E37-'M1'!E37</f>
        <v>0</v>
      </c>
      <c r="F37" s="66">
        <f>'M2'!F37-'M1'!F37</f>
        <v>-1.5995000000000002E-3</v>
      </c>
      <c r="G37" s="66">
        <f>'M2'!G37-'M1'!G37</f>
        <v>0</v>
      </c>
      <c r="H37" s="66">
        <f>'M2'!H37-'M1'!H37</f>
        <v>0.11402800000000002</v>
      </c>
    </row>
    <row r="38" spans="1:8">
      <c r="A38" s="66" t="s">
        <v>81</v>
      </c>
      <c r="B38" s="66">
        <f>'M2'!B38-'M1'!B38</f>
        <v>4.0997000000000003</v>
      </c>
      <c r="C38" s="66">
        <f>'M2'!C38-'M1'!C38</f>
        <v>-4.1414000000000044</v>
      </c>
      <c r="D38" s="66">
        <f>'M2'!D38-'M1'!D38</f>
        <v>15.495100000000001</v>
      </c>
      <c r="E38" s="66">
        <f>'M2'!E38-'M1'!E38</f>
        <v>0</v>
      </c>
      <c r="F38" s="66">
        <f>'M2'!F38-'M1'!F38</f>
        <v>7.7249999999999943</v>
      </c>
      <c r="G38" s="66">
        <f>'M2'!G38-'M1'!G38</f>
        <v>0</v>
      </c>
      <c r="H38" s="66">
        <f>'M2'!H38-'M1'!H38</f>
        <v>-105.96699999999998</v>
      </c>
    </row>
    <row r="39" spans="1:8">
      <c r="A39" s="66" t="s">
        <v>82</v>
      </c>
      <c r="B39" s="66">
        <f>'M2'!B39-'M1'!B39</f>
        <v>1.46068</v>
      </c>
      <c r="C39" s="66">
        <f>'M2'!C39-'M1'!C39</f>
        <v>8.6036999999999981</v>
      </c>
      <c r="D39" s="66">
        <f>'M2'!D39-'M1'!D39</f>
        <v>-5.3809199999999997</v>
      </c>
      <c r="E39" s="66">
        <f>'M2'!E39-'M1'!E39</f>
        <v>0</v>
      </c>
      <c r="F39" s="66">
        <f>'M2'!F39-'M1'!F39</f>
        <v>-5.3989000000000011</v>
      </c>
      <c r="G39" s="66">
        <f>'M2'!G39-'M1'!G39</f>
        <v>0</v>
      </c>
      <c r="H39" s="66">
        <f>'M2'!H39-'M1'!H39</f>
        <v>33.9465</v>
      </c>
    </row>
    <row r="40" spans="1:8">
      <c r="A40" s="66" t="s">
        <v>83</v>
      </c>
      <c r="B40" s="66">
        <f>'M2'!B40-'M1'!B40</f>
        <v>6.9422800000000002</v>
      </c>
      <c r="C40" s="66">
        <f>'M2'!C40-'M1'!C40</f>
        <v>3.0742609999999999</v>
      </c>
      <c r="D40" s="66">
        <f>'M2'!D40-'M1'!D40</f>
        <v>0.90453300000000003</v>
      </c>
      <c r="E40" s="66">
        <f>'M2'!E40-'M1'!E40</f>
        <v>0</v>
      </c>
      <c r="F40" s="66">
        <f>'M2'!F40-'M1'!F40</f>
        <v>0.19681999999999977</v>
      </c>
      <c r="G40" s="66">
        <f>'M2'!G40-'M1'!G40</f>
        <v>0</v>
      </c>
      <c r="H40" s="66">
        <f>'M2'!H40-'M1'!H40</f>
        <v>7.4946900000000003</v>
      </c>
    </row>
    <row r="41" spans="1:8">
      <c r="A41" s="66" t="s">
        <v>84</v>
      </c>
      <c r="B41" s="66">
        <f>'M2'!B41-'M1'!B41</f>
        <v>1.2005099999999999E-2</v>
      </c>
      <c r="C41" s="66">
        <f>'M2'!C41-'M1'!C41</f>
        <v>5.1238000000000006E-2</v>
      </c>
      <c r="D41" s="66">
        <f>'M2'!D41-'M1'!D41</f>
        <v>29.396699999999999</v>
      </c>
      <c r="E41" s="66">
        <f>'M2'!E41-'M1'!E41</f>
        <v>0</v>
      </c>
      <c r="F41" s="66">
        <f>'M2'!F41-'M1'!F41</f>
        <v>7.7552999999999983E-2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1.1461900000000001E-2</v>
      </c>
      <c r="C42" s="66">
        <f>'M2'!C42-'M1'!C42</f>
        <v>6.9671000000000011E-2</v>
      </c>
      <c r="D42" s="66">
        <f>'M2'!D42-'M1'!D42</f>
        <v>-10.604610000000001</v>
      </c>
      <c r="E42" s="66">
        <f>'M2'!E42-'M1'!E42</f>
        <v>0</v>
      </c>
      <c r="F42" s="66">
        <f>'M2'!F42-'M1'!F42</f>
        <v>2.3813999999999974E-2</v>
      </c>
      <c r="G42" s="66">
        <f>'M2'!G42-'M1'!G42</f>
        <v>0</v>
      </c>
      <c r="H42" s="66">
        <f>'M2'!H42-'M1'!H42</f>
        <v>7.0394000000000068E-2</v>
      </c>
    </row>
    <row r="43" spans="1:8">
      <c r="A43" s="66" t="s">
        <v>86</v>
      </c>
      <c r="B43" s="66">
        <f>'M2'!B43-'M1'!B43</f>
        <v>0.20523039999999998</v>
      </c>
      <c r="C43" s="66">
        <f>'M2'!C43-'M1'!C43</f>
        <v>7.1825699999999992E-2</v>
      </c>
      <c r="D43" s="66">
        <f>'M2'!D43-'M1'!D43</f>
        <v>1.3849089999999999</v>
      </c>
      <c r="E43" s="66">
        <f>'M2'!E43-'M1'!E43</f>
        <v>0</v>
      </c>
      <c r="F43" s="66">
        <f>'M2'!F43-'M1'!F43</f>
        <v>-1.5459999999999918E-3</v>
      </c>
      <c r="G43" s="66">
        <f>'M2'!G43-'M1'!G43</f>
        <v>0</v>
      </c>
      <c r="H43" s="66">
        <f>'M2'!H43-'M1'!H43</f>
        <v>0.21824149999999998</v>
      </c>
    </row>
    <row r="44" spans="1:8">
      <c r="A44" s="66" t="s">
        <v>87</v>
      </c>
      <c r="B44" s="66">
        <f>'M2'!B44-'M1'!B44</f>
        <v>-1.0042000000000009</v>
      </c>
      <c r="C44" s="66">
        <f>'M2'!C44-'M1'!C44</f>
        <v>6.6869999999999994</v>
      </c>
      <c r="D44" s="66">
        <f>'M2'!D44-'M1'!D44</f>
        <v>-0.243114</v>
      </c>
      <c r="E44" s="66">
        <f>'M2'!E44-'M1'!E44</f>
        <v>0</v>
      </c>
      <c r="F44" s="66">
        <f>'M2'!F44-'M1'!F44</f>
        <v>4.2139999999999986</v>
      </c>
      <c r="G44" s="66">
        <f>'M2'!G44-'M1'!G44</f>
        <v>0</v>
      </c>
      <c r="H44" s="66">
        <f>'M2'!H44-'M1'!H44</f>
        <v>7.9241799999999998</v>
      </c>
    </row>
    <row r="45" spans="1:8">
      <c r="A45" s="66" t="s">
        <v>88</v>
      </c>
      <c r="B45" s="66">
        <f>'M2'!B45-'M1'!B45</f>
        <v>-2.9830000000000041</v>
      </c>
      <c r="C45" s="66">
        <f>'M2'!C45-'M1'!C45</f>
        <v>-1.1255199999999999</v>
      </c>
      <c r="D45" s="66">
        <f>'M2'!D45-'M1'!D45</f>
        <v>-1.4408000000000004E-2</v>
      </c>
      <c r="E45" s="66">
        <f>'M2'!E45-'M1'!E45</f>
        <v>0</v>
      </c>
      <c r="F45" s="66">
        <f>'M2'!F45-'M1'!F45</f>
        <v>-5.1789999999999949</v>
      </c>
      <c r="G45" s="66">
        <f>'M2'!G45-'M1'!G45</f>
        <v>0</v>
      </c>
      <c r="H45" s="66">
        <f>'M2'!H45-'M1'!H45</f>
        <v>-4.7988999999999891</v>
      </c>
    </row>
    <row r="46" spans="1:8">
      <c r="A46" s="66" t="s">
        <v>89</v>
      </c>
      <c r="B46" s="66">
        <f>'M2'!B46-'M1'!B46</f>
        <v>4.8070000000000022</v>
      </c>
      <c r="C46" s="66">
        <f>'M2'!C46-'M1'!C46</f>
        <v>-3.7772999999999999</v>
      </c>
      <c r="D46" s="66">
        <f>'M2'!D46-'M1'!D46</f>
        <v>-0.1707602</v>
      </c>
      <c r="E46" s="66">
        <f>'M2'!E46-'M1'!E46</f>
        <v>0</v>
      </c>
      <c r="F46" s="66">
        <f>'M2'!F46-'M1'!F46</f>
        <v>16.867319999999999</v>
      </c>
      <c r="G46" s="66">
        <f>'M2'!G46-'M1'!G46</f>
        <v>0</v>
      </c>
      <c r="H46" s="66">
        <f>'M2'!H46-'M1'!H46</f>
        <v>4.3623000000000012</v>
      </c>
    </row>
    <row r="47" spans="1:8">
      <c r="A47" s="66" t="s">
        <v>90</v>
      </c>
      <c r="B47" s="66">
        <f>'M2'!B47-'M1'!B47</f>
        <v>-9.2507999999999924E-2</v>
      </c>
      <c r="C47" s="66">
        <f>'M2'!C47-'M1'!C47</f>
        <v>0.41719999999999996</v>
      </c>
      <c r="D47" s="66">
        <f>'M2'!D47-'M1'!D47</f>
        <v>0.87896000000000007</v>
      </c>
      <c r="E47" s="66">
        <f>'M2'!E47-'M1'!E47</f>
        <v>0</v>
      </c>
      <c r="F47" s="66">
        <f>'M2'!F47-'M1'!F47</f>
        <v>-9.7548000000000024E-2</v>
      </c>
      <c r="G47" s="66">
        <f>'M2'!G47-'M1'!G47</f>
        <v>0</v>
      </c>
      <c r="H47" s="66">
        <f>'M2'!H47-'M1'!H47</f>
        <v>2.5614499999999998</v>
      </c>
    </row>
    <row r="48" spans="1:8">
      <c r="A48" s="66" t="s">
        <v>91</v>
      </c>
      <c r="B48" s="66">
        <f>'M2'!B48-'M1'!B48</f>
        <v>-4.8248999999999986E-2</v>
      </c>
      <c r="C48" s="66">
        <f>'M2'!C48-'M1'!C48</f>
        <v>-0.12193840000000002</v>
      </c>
      <c r="D48" s="66">
        <f>'M2'!D48-'M1'!D48</f>
        <v>-0.19047200000000003</v>
      </c>
      <c r="E48" s="66">
        <f>'M2'!E48-'M1'!E48</f>
        <v>0</v>
      </c>
      <c r="F48" s="66">
        <f>'M2'!F48-'M1'!F48</f>
        <v>5.0880000000000369E-3</v>
      </c>
      <c r="G48" s="66">
        <f>'M2'!G48-'M1'!G48</f>
        <v>0</v>
      </c>
      <c r="H48" s="66">
        <f>'M2'!H48-'M1'!H48</f>
        <v>-0.64568099999999995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31.8416</v>
      </c>
      <c r="C5" s="66">
        <v>8.1033600000000003</v>
      </c>
      <c r="D5" s="66">
        <v>25.449000000000002</v>
      </c>
      <c r="E5" s="66">
        <v>20</v>
      </c>
      <c r="F5" s="66">
        <v>10.5702</v>
      </c>
      <c r="G5" s="66">
        <v>50</v>
      </c>
      <c r="H5" s="66">
        <v>39.850499999999997</v>
      </c>
    </row>
    <row r="6" spans="1:8">
      <c r="A6" s="66" t="s">
        <v>358</v>
      </c>
      <c r="B6" s="66">
        <v>33.194000000000003</v>
      </c>
      <c r="C6" s="66">
        <v>2.0406599999999999</v>
      </c>
      <c r="D6" s="66">
        <v>6.1476899999999999</v>
      </c>
      <c r="E6" s="66">
        <v>20</v>
      </c>
      <c r="F6" s="66">
        <v>29.648</v>
      </c>
      <c r="G6" s="66">
        <v>40</v>
      </c>
      <c r="H6" s="66">
        <v>36.847000000000001</v>
      </c>
    </row>
    <row r="7" spans="1:8">
      <c r="A7" s="66" t="s">
        <v>359</v>
      </c>
      <c r="B7" s="66">
        <v>37.060400000000001</v>
      </c>
      <c r="C7" s="66">
        <v>9.5817899999999998</v>
      </c>
      <c r="D7" s="66">
        <v>25.854600000000001</v>
      </c>
      <c r="E7" s="66">
        <v>15</v>
      </c>
      <c r="F7" s="66">
        <v>13.0954</v>
      </c>
      <c r="G7" s="66">
        <v>40</v>
      </c>
      <c r="H7" s="66">
        <v>57.469099999999997</v>
      </c>
    </row>
    <row r="8" spans="1:8">
      <c r="A8" s="66" t="s">
        <v>360</v>
      </c>
      <c r="B8" s="66">
        <v>33.563499999999998</v>
      </c>
      <c r="C8" s="66">
        <v>3.7455500000000002</v>
      </c>
      <c r="D8" s="66">
        <v>11.159599999999999</v>
      </c>
      <c r="E8" s="66">
        <v>20</v>
      </c>
      <c r="F8" s="66">
        <v>22.0442</v>
      </c>
      <c r="G8" s="66">
        <v>50</v>
      </c>
      <c r="H8" s="66">
        <v>37.043900000000001</v>
      </c>
    </row>
    <row r="9" spans="1:8">
      <c r="A9" s="66" t="s">
        <v>361</v>
      </c>
      <c r="B9" s="66">
        <v>70.188800000000001</v>
      </c>
      <c r="C9" s="66">
        <v>14.344200000000001</v>
      </c>
      <c r="D9" s="66">
        <v>20.436599999999999</v>
      </c>
      <c r="E9" s="66">
        <v>50</v>
      </c>
      <c r="F9" s="66">
        <v>39.800899999999999</v>
      </c>
      <c r="G9" s="66">
        <v>100</v>
      </c>
      <c r="H9" s="66">
        <v>87.597800000000007</v>
      </c>
    </row>
    <row r="10" spans="1:8">
      <c r="A10" s="66" t="s">
        <v>362</v>
      </c>
      <c r="B10" s="66">
        <v>80.238</v>
      </c>
      <c r="C10" s="66">
        <v>2.5919400000000001</v>
      </c>
      <c r="D10" s="66">
        <v>3.2303199999999999</v>
      </c>
      <c r="E10" s="66">
        <v>40</v>
      </c>
      <c r="F10" s="66">
        <v>74.803700000000006</v>
      </c>
      <c r="G10" s="66">
        <v>100</v>
      </c>
      <c r="H10" s="66">
        <v>83.608900000000006</v>
      </c>
    </row>
    <row r="11" spans="1:8">
      <c r="A11" s="66" t="s">
        <v>363</v>
      </c>
      <c r="B11" s="66">
        <v>12.708500000000001</v>
      </c>
      <c r="C11" s="66">
        <v>2.16892</v>
      </c>
      <c r="D11" s="66">
        <v>17.066700000000001</v>
      </c>
      <c r="E11" s="66">
        <v>10</v>
      </c>
      <c r="F11" s="66">
        <v>8.0849799999999998</v>
      </c>
      <c r="G11" s="66">
        <v>50</v>
      </c>
      <c r="H11" s="66">
        <v>16.158200000000001</v>
      </c>
    </row>
    <row r="12" spans="1:8">
      <c r="A12" s="66" t="s">
        <v>364</v>
      </c>
      <c r="B12" s="66">
        <v>75.033600000000007</v>
      </c>
      <c r="C12" s="66">
        <v>8.2888599999999997</v>
      </c>
      <c r="D12" s="66">
        <v>11.046900000000001</v>
      </c>
      <c r="E12" s="66">
        <v>50</v>
      </c>
      <c r="F12" s="66">
        <v>57.651899999999998</v>
      </c>
      <c r="G12" s="66">
        <v>100</v>
      </c>
      <c r="H12" s="66">
        <v>85.336799999999997</v>
      </c>
    </row>
    <row r="13" spans="1:8">
      <c r="A13" s="66" t="s">
        <v>365</v>
      </c>
      <c r="B13" s="66">
        <v>10.805</v>
      </c>
      <c r="C13" s="66">
        <v>1.7975300000000001</v>
      </c>
      <c r="D13" s="66">
        <v>16.636099999999999</v>
      </c>
      <c r="E13" s="66">
        <v>10</v>
      </c>
      <c r="F13" s="66">
        <v>9.8030899999999992</v>
      </c>
      <c r="G13" s="66">
        <v>25</v>
      </c>
      <c r="H13" s="66">
        <v>17.541599999999999</v>
      </c>
    </row>
    <row r="14" spans="1:8">
      <c r="A14" s="66" t="s">
        <v>366</v>
      </c>
      <c r="B14" s="66">
        <v>17.975300000000001</v>
      </c>
      <c r="C14" s="66">
        <v>7.4216100000000003</v>
      </c>
      <c r="D14" s="66">
        <v>41.287799999999997</v>
      </c>
      <c r="E14" s="66">
        <v>10</v>
      </c>
      <c r="F14" s="66">
        <v>0.71980500000000003</v>
      </c>
      <c r="G14" s="66">
        <v>50</v>
      </c>
      <c r="H14" s="66">
        <v>29.805800000000001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0.48090699999999997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0.66656899999999997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2.7825599999999999E-3</v>
      </c>
      <c r="C20" s="66">
        <v>1.42373E-2</v>
      </c>
      <c r="D20" s="66">
        <v>5.1166200000000002</v>
      </c>
      <c r="E20" s="66">
        <v>0</v>
      </c>
      <c r="F20" s="196">
        <v>1.19846E-5</v>
      </c>
      <c r="G20" s="66">
        <v>0</v>
      </c>
      <c r="H20" s="66">
        <v>0.109013</v>
      </c>
    </row>
    <row r="21" spans="1:8">
      <c r="A21" s="66" t="s">
        <v>373</v>
      </c>
      <c r="B21" s="66">
        <v>3.3431099999999998E-2</v>
      </c>
      <c r="C21" s="66">
        <v>0.160386</v>
      </c>
      <c r="D21" s="66">
        <v>4.7975000000000003</v>
      </c>
      <c r="E21" s="66">
        <v>0</v>
      </c>
      <c r="F21" s="196">
        <v>5.2900299999999999E-5</v>
      </c>
      <c r="G21" s="66">
        <v>0</v>
      </c>
      <c r="H21" s="66">
        <v>1.0726599999999999</v>
      </c>
    </row>
    <row r="22" spans="1:8">
      <c r="A22" s="66" t="s">
        <v>374</v>
      </c>
      <c r="B22" s="66">
        <v>46.351599999999998</v>
      </c>
      <c r="C22" s="66">
        <v>15.9892</v>
      </c>
      <c r="D22" s="66">
        <v>0.34495399999999998</v>
      </c>
      <c r="E22" s="66">
        <v>0</v>
      </c>
      <c r="F22" s="66">
        <v>15.2965</v>
      </c>
      <c r="G22" s="66">
        <v>0</v>
      </c>
      <c r="H22" s="66">
        <v>77.365200000000002</v>
      </c>
    </row>
    <row r="23" spans="1:8">
      <c r="A23" s="66" t="s">
        <v>375</v>
      </c>
      <c r="B23" s="66">
        <v>15.579700000000001</v>
      </c>
      <c r="C23" s="66">
        <v>1.6023000000000001</v>
      </c>
      <c r="D23" s="66">
        <v>0.10284500000000001</v>
      </c>
      <c r="E23" s="66">
        <v>0</v>
      </c>
      <c r="F23" s="66">
        <v>12.0097</v>
      </c>
      <c r="G23" s="66">
        <v>0</v>
      </c>
      <c r="H23" s="66">
        <v>17.538599999999999</v>
      </c>
    </row>
    <row r="24" spans="1:8">
      <c r="A24" s="66" t="s">
        <v>376</v>
      </c>
      <c r="B24" s="66">
        <v>3.0883400000000002E-3</v>
      </c>
      <c r="C24" s="66">
        <v>9.0885099999999993E-3</v>
      </c>
      <c r="D24" s="66">
        <v>2.94285</v>
      </c>
      <c r="E24" s="66">
        <v>0</v>
      </c>
      <c r="F24" s="66">
        <v>9.9225099999999998E-4</v>
      </c>
      <c r="G24" s="66">
        <v>0</v>
      </c>
      <c r="H24" s="66">
        <v>4.8472899999999999E-2</v>
      </c>
    </row>
    <row r="25" spans="1:8">
      <c r="A25" s="66" t="s">
        <v>377</v>
      </c>
      <c r="B25" s="66">
        <v>5.3307500000000001E-2</v>
      </c>
      <c r="C25" s="66">
        <v>0.114082</v>
      </c>
      <c r="D25" s="66">
        <v>2.1400800000000002</v>
      </c>
      <c r="E25" s="66">
        <v>0</v>
      </c>
      <c r="F25" s="66">
        <v>5.2370100000000003E-3</v>
      </c>
      <c r="G25" s="66">
        <v>0</v>
      </c>
      <c r="H25" s="66">
        <v>0.51876299999999997</v>
      </c>
    </row>
    <row r="26" spans="1:8">
      <c r="A26" s="66" t="s">
        <v>378</v>
      </c>
      <c r="B26" s="66">
        <v>6.4174100000000003E-4</v>
      </c>
      <c r="C26" s="66">
        <v>1.45528E-3</v>
      </c>
      <c r="D26" s="66">
        <v>2.2677100000000001</v>
      </c>
      <c r="E26" s="66">
        <v>0</v>
      </c>
      <c r="F26" s="196">
        <v>9.8476899999999999E-6</v>
      </c>
      <c r="G26" s="66">
        <v>0</v>
      </c>
      <c r="H26" s="66">
        <v>1.15809E-2</v>
      </c>
    </row>
    <row r="27" spans="1:8">
      <c r="A27" s="66" t="s">
        <v>379</v>
      </c>
      <c r="B27" s="196">
        <v>2.9543099999999998E-5</v>
      </c>
      <c r="C27" s="66">
        <v>1.1144E-3</v>
      </c>
      <c r="D27" s="66">
        <v>37.721200000000003</v>
      </c>
      <c r="E27" s="66">
        <v>0</v>
      </c>
      <c r="F27" s="66">
        <v>-4.8811699999999998E-3</v>
      </c>
      <c r="G27" s="66">
        <v>0</v>
      </c>
      <c r="H27" s="66">
        <v>7.3791999999999998E-3</v>
      </c>
    </row>
    <row r="28" spans="1:8">
      <c r="A28" s="66" t="s">
        <v>380</v>
      </c>
      <c r="B28" s="66">
        <v>5.74707E-3</v>
      </c>
      <c r="C28" s="66">
        <v>1.23036E-2</v>
      </c>
      <c r="D28" s="66">
        <v>2.1408499999999999</v>
      </c>
      <c r="E28" s="66">
        <v>0</v>
      </c>
      <c r="F28" s="196">
        <v>2.9296900000000001E-5</v>
      </c>
      <c r="G28" s="66">
        <v>0</v>
      </c>
      <c r="H28" s="66">
        <v>7.4277300000000004E-2</v>
      </c>
    </row>
    <row r="29" spans="1:8">
      <c r="A29" s="66" t="s">
        <v>381</v>
      </c>
      <c r="B29" s="66">
        <v>70.297899999999998</v>
      </c>
      <c r="C29" s="66">
        <v>10.005000000000001</v>
      </c>
      <c r="D29" s="66">
        <v>0.142322</v>
      </c>
      <c r="E29" s="66">
        <v>0</v>
      </c>
      <c r="F29" s="66">
        <v>46.200899999999997</v>
      </c>
      <c r="G29" s="66">
        <v>0</v>
      </c>
      <c r="H29" s="66">
        <v>95.083399999999997</v>
      </c>
    </row>
    <row r="30" spans="1:8">
      <c r="A30" s="66" t="s">
        <v>382</v>
      </c>
      <c r="B30" s="66">
        <v>16.415400000000002</v>
      </c>
      <c r="C30" s="66">
        <v>3.3733399999999998</v>
      </c>
      <c r="D30" s="66">
        <v>0.20549899999999999</v>
      </c>
      <c r="E30" s="66">
        <v>0</v>
      </c>
      <c r="F30" s="66">
        <v>10.516400000000001</v>
      </c>
      <c r="G30" s="66">
        <v>0</v>
      </c>
      <c r="H30" s="66">
        <v>21.516200000000001</v>
      </c>
    </row>
    <row r="31" spans="1:8">
      <c r="A31" s="66" t="s">
        <v>383</v>
      </c>
      <c r="B31" s="66">
        <v>189.74199999999999</v>
      </c>
      <c r="C31" s="66">
        <v>54.5182</v>
      </c>
      <c r="D31" s="66">
        <v>0.287329</v>
      </c>
      <c r="E31" s="66">
        <v>0</v>
      </c>
      <c r="F31" s="66">
        <v>66.181399999999996</v>
      </c>
      <c r="G31" s="66">
        <v>0</v>
      </c>
      <c r="H31" s="66">
        <v>257.20299999999997</v>
      </c>
    </row>
    <row r="32" spans="1:8">
      <c r="A32" s="66" t="s">
        <v>384</v>
      </c>
      <c r="B32" s="66">
        <v>0.37060399999999999</v>
      </c>
      <c r="C32" s="66">
        <v>9.5817899999999998E-2</v>
      </c>
      <c r="D32" s="66">
        <v>0.258546</v>
      </c>
      <c r="E32" s="66">
        <v>0.15</v>
      </c>
      <c r="F32" s="66">
        <v>0.13095399999999999</v>
      </c>
      <c r="G32" s="66">
        <v>0.4</v>
      </c>
      <c r="H32" s="66">
        <v>0.57469099999999995</v>
      </c>
    </row>
    <row r="33" spans="1:8">
      <c r="A33" s="66" t="s">
        <v>385</v>
      </c>
      <c r="B33" s="66">
        <v>0.444573</v>
      </c>
      <c r="C33" s="66">
        <v>8.9245199999999997E-2</v>
      </c>
      <c r="D33" s="66">
        <v>0.200743</v>
      </c>
      <c r="E33" s="66">
        <v>0</v>
      </c>
      <c r="F33" s="66">
        <v>0.19933400000000001</v>
      </c>
      <c r="G33" s="66">
        <v>0</v>
      </c>
      <c r="H33" s="66">
        <v>0.45154899999999998</v>
      </c>
    </row>
    <row r="34" spans="1:8">
      <c r="A34" s="66" t="s">
        <v>386</v>
      </c>
      <c r="B34" s="66">
        <v>0.10804999999999999</v>
      </c>
      <c r="C34" s="66">
        <v>1.79753E-2</v>
      </c>
      <c r="D34" s="66">
        <v>0.16636100000000001</v>
      </c>
      <c r="E34" s="66">
        <v>0.1</v>
      </c>
      <c r="F34" s="66">
        <v>9.8030900000000004E-2</v>
      </c>
      <c r="G34" s="66">
        <v>0.25</v>
      </c>
      <c r="H34" s="66">
        <v>0.17541599999999999</v>
      </c>
    </row>
    <row r="35" spans="1:8">
      <c r="A35" s="66" t="s">
        <v>387</v>
      </c>
      <c r="B35" s="66">
        <v>3.6888200000000003E-2</v>
      </c>
      <c r="C35" s="66">
        <v>1.92674E-2</v>
      </c>
      <c r="D35" s="66">
        <v>0.52232000000000001</v>
      </c>
      <c r="E35" s="66">
        <v>0</v>
      </c>
      <c r="F35" s="66">
        <v>9.3302899999999998E-3</v>
      </c>
      <c r="G35" s="66">
        <v>0</v>
      </c>
      <c r="H35" s="66">
        <v>9.6559199999999998E-2</v>
      </c>
    </row>
    <row r="36" spans="1:8">
      <c r="A36" s="66" t="s">
        <v>388</v>
      </c>
      <c r="B36" s="66">
        <v>0.10009899999999999</v>
      </c>
      <c r="C36" s="66">
        <v>4.4933899999999999E-2</v>
      </c>
      <c r="D36" s="66">
        <v>0.44889499999999999</v>
      </c>
      <c r="E36" s="66">
        <v>0</v>
      </c>
      <c r="F36" s="66">
        <v>3.7198799999999997E-2</v>
      </c>
      <c r="G36" s="66">
        <v>0</v>
      </c>
      <c r="H36" s="66">
        <v>0.34732099999999999</v>
      </c>
    </row>
    <row r="37" spans="1:8">
      <c r="A37" s="66" t="s">
        <v>389</v>
      </c>
      <c r="B37" s="66">
        <v>0.179753</v>
      </c>
      <c r="C37" s="66">
        <v>7.4216099999999993E-2</v>
      </c>
      <c r="D37" s="66">
        <v>0.41287800000000002</v>
      </c>
      <c r="E37" s="66">
        <v>0.1</v>
      </c>
      <c r="F37" s="66">
        <v>7.1980500000000001E-3</v>
      </c>
      <c r="G37" s="66">
        <v>0.5</v>
      </c>
      <c r="H37" s="66">
        <v>0.29805799999999999</v>
      </c>
    </row>
    <row r="38" spans="1:8">
      <c r="A38" s="66" t="s">
        <v>390</v>
      </c>
      <c r="B38" s="66">
        <v>-4.0997000000000003</v>
      </c>
      <c r="C38" s="66">
        <v>63.525100000000002</v>
      </c>
      <c r="D38" s="66">
        <v>-15.495100000000001</v>
      </c>
      <c r="E38" s="66">
        <v>0</v>
      </c>
      <c r="F38" s="66">
        <v>-140.762</v>
      </c>
      <c r="G38" s="66">
        <v>0</v>
      </c>
      <c r="H38" s="66">
        <v>461.73099999999999</v>
      </c>
    </row>
    <row r="39" spans="1:8">
      <c r="A39" s="66" t="s">
        <v>391</v>
      </c>
      <c r="B39" s="66">
        <v>-4.0291600000000001</v>
      </c>
      <c r="C39" s="66">
        <v>14.3909</v>
      </c>
      <c r="D39" s="66">
        <v>-3.5716999999999999</v>
      </c>
      <c r="E39" s="66">
        <v>0</v>
      </c>
      <c r="F39" s="66">
        <v>-12.663399999999999</v>
      </c>
      <c r="G39" s="66">
        <v>0</v>
      </c>
      <c r="H39" s="66">
        <v>84.167500000000004</v>
      </c>
    </row>
    <row r="40" spans="1:8">
      <c r="A40" s="66" t="s">
        <v>392</v>
      </c>
      <c r="B40" s="66">
        <v>-2.0132400000000001</v>
      </c>
      <c r="C40" s="66">
        <v>0.40141900000000003</v>
      </c>
      <c r="D40" s="66">
        <v>-0.19939000000000001</v>
      </c>
      <c r="E40" s="66">
        <v>0</v>
      </c>
      <c r="F40" s="66">
        <v>-3.2340399999999998</v>
      </c>
      <c r="G40" s="66">
        <v>0</v>
      </c>
      <c r="H40" s="66">
        <v>-1.2386699999999999</v>
      </c>
    </row>
    <row r="41" spans="1:8">
      <c r="A41" s="66" t="s">
        <v>393</v>
      </c>
      <c r="B41" s="66">
        <v>-1.2005099999999999E-2</v>
      </c>
      <c r="C41" s="66">
        <v>0.35291</v>
      </c>
      <c r="D41" s="66">
        <v>-29.396699999999999</v>
      </c>
      <c r="E41" s="66">
        <v>0</v>
      </c>
      <c r="F41" s="66">
        <v>-0.89573499999999995</v>
      </c>
      <c r="G41" s="66">
        <v>0</v>
      </c>
      <c r="H41" s="66">
        <v>1</v>
      </c>
    </row>
    <row r="42" spans="1:8">
      <c r="A42" s="66" t="s">
        <v>394</v>
      </c>
      <c r="B42" s="66">
        <v>-2.51731E-2</v>
      </c>
      <c r="C42" s="66">
        <v>0.166321</v>
      </c>
      <c r="D42" s="66">
        <v>-6.6070900000000004</v>
      </c>
      <c r="E42" s="66">
        <v>0</v>
      </c>
      <c r="F42" s="66">
        <v>-0.26474799999999998</v>
      </c>
      <c r="G42" s="66">
        <v>0</v>
      </c>
      <c r="H42" s="66">
        <v>0.79963099999999998</v>
      </c>
    </row>
    <row r="43" spans="1:8">
      <c r="A43" s="66" t="s">
        <v>395</v>
      </c>
      <c r="B43" s="66">
        <v>-8.0037399999999995E-2</v>
      </c>
      <c r="C43" s="66">
        <v>3.9605300000000003E-2</v>
      </c>
      <c r="D43" s="66">
        <v>-0.49483500000000002</v>
      </c>
      <c r="E43" s="66">
        <v>0</v>
      </c>
      <c r="F43" s="66">
        <v>-0.14629500000000001</v>
      </c>
      <c r="G43" s="66">
        <v>0</v>
      </c>
      <c r="H43" s="66">
        <v>-3.58015E-2</v>
      </c>
    </row>
    <row r="44" spans="1:8">
      <c r="A44" s="66" t="s">
        <v>396</v>
      </c>
      <c r="B44" s="66">
        <v>-24.479800000000001</v>
      </c>
      <c r="C44" s="66">
        <v>11.9795</v>
      </c>
      <c r="D44" s="66">
        <v>-0.48936499999999999</v>
      </c>
      <c r="E44" s="66">
        <v>0</v>
      </c>
      <c r="F44" s="66">
        <v>-53.526600000000002</v>
      </c>
      <c r="G44" s="66">
        <v>0</v>
      </c>
      <c r="H44" s="66">
        <v>-1.2187699999999999</v>
      </c>
    </row>
    <row r="45" spans="1:8">
      <c r="A45" s="66" t="s">
        <v>397</v>
      </c>
      <c r="B45" s="66">
        <v>54.03</v>
      </c>
      <c r="C45" s="66">
        <v>7.0642199999999997</v>
      </c>
      <c r="D45" s="66">
        <v>0.130746</v>
      </c>
      <c r="E45" s="66">
        <v>0</v>
      </c>
      <c r="F45" s="66">
        <v>39.523899999999998</v>
      </c>
      <c r="G45" s="66">
        <v>0</v>
      </c>
      <c r="H45" s="66">
        <v>71.993399999999994</v>
      </c>
    </row>
    <row r="46" spans="1:8">
      <c r="A46" s="66" t="s">
        <v>398</v>
      </c>
      <c r="B46" s="66">
        <v>24.512799999999999</v>
      </c>
      <c r="C46" s="66">
        <v>6.2688600000000001</v>
      </c>
      <c r="D46" s="66">
        <v>0.25573899999999999</v>
      </c>
      <c r="E46" s="66">
        <v>0</v>
      </c>
      <c r="F46" s="66">
        <v>8.2594799999999999</v>
      </c>
      <c r="G46" s="66">
        <v>0</v>
      </c>
      <c r="H46" s="66">
        <v>29.279</v>
      </c>
    </row>
    <row r="47" spans="1:8">
      <c r="A47" s="66" t="s">
        <v>399</v>
      </c>
      <c r="B47" s="66">
        <v>0.62899799999999995</v>
      </c>
      <c r="C47" s="66">
        <v>0.36957400000000001</v>
      </c>
      <c r="D47" s="66">
        <v>0.58755999999999997</v>
      </c>
      <c r="E47" s="66">
        <v>0</v>
      </c>
      <c r="F47" s="66">
        <v>0.24970800000000001</v>
      </c>
      <c r="G47" s="66">
        <v>0</v>
      </c>
      <c r="H47" s="66">
        <v>2.1326900000000002</v>
      </c>
    </row>
    <row r="48" spans="1:8">
      <c r="A48" s="66" t="s">
        <v>400</v>
      </c>
      <c r="B48" s="66">
        <v>0.60489599999999999</v>
      </c>
      <c r="C48" s="66">
        <v>0.19950000000000001</v>
      </c>
      <c r="D48" s="66">
        <v>0.32980900000000002</v>
      </c>
      <c r="E48" s="66">
        <v>0</v>
      </c>
      <c r="F48" s="66">
        <v>0.42430099999999998</v>
      </c>
      <c r="G48" s="66">
        <v>0</v>
      </c>
      <c r="H48" s="66">
        <v>1.36659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401</v>
      </c>
      <c r="B1" s="66" t="s">
        <v>403</v>
      </c>
      <c r="C1" s="66" t="s">
        <v>404</v>
      </c>
      <c r="D1" s="66" t="s">
        <v>405</v>
      </c>
      <c r="E1" s="66" t="s">
        <v>406</v>
      </c>
      <c r="F1" s="66" t="s">
        <v>407</v>
      </c>
      <c r="G1" s="66" t="s">
        <v>408</v>
      </c>
      <c r="H1" s="66" t="s">
        <v>409</v>
      </c>
    </row>
    <row r="2" spans="1:8">
      <c r="A2" s="66" t="s">
        <v>402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410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411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412</v>
      </c>
      <c r="B5" s="66">
        <v>37.694800000000001</v>
      </c>
      <c r="C5" s="66">
        <v>3.84992</v>
      </c>
      <c r="D5" s="66">
        <v>10.2134</v>
      </c>
      <c r="E5" s="66">
        <v>20</v>
      </c>
      <c r="F5" s="66">
        <v>27.720199999999998</v>
      </c>
      <c r="G5" s="66">
        <v>50</v>
      </c>
      <c r="H5" s="66">
        <v>45.219200000000001</v>
      </c>
    </row>
    <row r="6" spans="1:8">
      <c r="A6" s="66" t="s">
        <v>413</v>
      </c>
      <c r="B6" s="66">
        <v>32.061799999999998</v>
      </c>
      <c r="C6" s="66">
        <v>2.5663299999999998</v>
      </c>
      <c r="D6" s="66">
        <v>8.0043100000000003</v>
      </c>
      <c r="E6" s="66">
        <v>20</v>
      </c>
      <c r="F6" s="66">
        <v>30.032900000000001</v>
      </c>
      <c r="G6" s="66">
        <v>40</v>
      </c>
      <c r="H6" s="66">
        <v>42.781300000000002</v>
      </c>
    </row>
    <row r="7" spans="1:8">
      <c r="A7" s="66" t="s">
        <v>414</v>
      </c>
      <c r="B7" s="66">
        <v>28.9329</v>
      </c>
      <c r="C7" s="66">
        <v>12.0223</v>
      </c>
      <c r="D7" s="66">
        <v>41.552199999999999</v>
      </c>
      <c r="E7" s="66">
        <v>15</v>
      </c>
      <c r="F7" s="66">
        <v>4.5931600000000001</v>
      </c>
      <c r="G7" s="66">
        <v>40</v>
      </c>
      <c r="H7" s="66">
        <v>59.658900000000003</v>
      </c>
    </row>
    <row r="8" spans="1:8">
      <c r="A8" s="66" t="s">
        <v>415</v>
      </c>
      <c r="B8" s="66">
        <v>32.896000000000001</v>
      </c>
      <c r="C8" s="66">
        <v>3.7642899999999999</v>
      </c>
      <c r="D8" s="66">
        <v>11.443</v>
      </c>
      <c r="E8" s="66">
        <v>20</v>
      </c>
      <c r="F8" s="66">
        <v>26.476199999999999</v>
      </c>
      <c r="G8" s="66">
        <v>50</v>
      </c>
      <c r="H8" s="66">
        <v>44.664700000000003</v>
      </c>
    </row>
    <row r="9" spans="1:8">
      <c r="A9" s="66" t="s">
        <v>416</v>
      </c>
      <c r="B9" s="66">
        <v>64.566299999999998</v>
      </c>
      <c r="C9" s="66">
        <v>5.4501400000000002</v>
      </c>
      <c r="D9" s="66">
        <v>8.4411500000000004</v>
      </c>
      <c r="E9" s="66">
        <v>50</v>
      </c>
      <c r="F9" s="66">
        <v>48.381399999999999</v>
      </c>
      <c r="G9" s="66">
        <v>100</v>
      </c>
      <c r="H9" s="66">
        <v>73.985699999999994</v>
      </c>
    </row>
    <row r="10" spans="1:8">
      <c r="A10" s="66" t="s">
        <v>417</v>
      </c>
      <c r="B10" s="66">
        <v>79.978399999999993</v>
      </c>
      <c r="C10" s="66">
        <v>8.8321799999999993</v>
      </c>
      <c r="D10" s="66">
        <v>11.043200000000001</v>
      </c>
      <c r="E10" s="66">
        <v>40</v>
      </c>
      <c r="F10" s="66">
        <v>41.802300000000002</v>
      </c>
      <c r="G10" s="66">
        <v>100</v>
      </c>
      <c r="H10" s="66">
        <v>82.869500000000002</v>
      </c>
    </row>
    <row r="11" spans="1:8">
      <c r="A11" s="66" t="s">
        <v>418</v>
      </c>
      <c r="B11" s="66">
        <v>14.005000000000001</v>
      </c>
      <c r="C11" s="66">
        <v>1.82128</v>
      </c>
      <c r="D11" s="66">
        <v>13.0045</v>
      </c>
      <c r="E11" s="66">
        <v>10</v>
      </c>
      <c r="F11" s="66">
        <v>11.7515</v>
      </c>
      <c r="G11" s="66">
        <v>50</v>
      </c>
      <c r="H11" s="66">
        <v>17.654299999999999</v>
      </c>
    </row>
    <row r="12" spans="1:8">
      <c r="A12" s="66" t="s">
        <v>419</v>
      </c>
      <c r="B12" s="66">
        <v>70.762200000000007</v>
      </c>
      <c r="C12" s="66">
        <v>4.7248299999999999</v>
      </c>
      <c r="D12" s="66">
        <v>6.67706</v>
      </c>
      <c r="E12" s="66">
        <v>50</v>
      </c>
      <c r="F12" s="66">
        <v>53.1843</v>
      </c>
      <c r="G12" s="66">
        <v>100</v>
      </c>
      <c r="H12" s="66">
        <v>76.615799999999993</v>
      </c>
    </row>
    <row r="13" spans="1:8">
      <c r="A13" s="66" t="s">
        <v>420</v>
      </c>
      <c r="B13" s="66">
        <v>11.8291</v>
      </c>
      <c r="C13" s="66">
        <v>3.1905100000000002</v>
      </c>
      <c r="D13" s="66">
        <v>26.971599999999999</v>
      </c>
      <c r="E13" s="66">
        <v>10</v>
      </c>
      <c r="F13" s="66">
        <v>10.142899999999999</v>
      </c>
      <c r="G13" s="66">
        <v>25</v>
      </c>
      <c r="H13" s="66">
        <v>28.555199999999999</v>
      </c>
    </row>
    <row r="14" spans="1:8">
      <c r="A14" s="66" t="s">
        <v>421</v>
      </c>
      <c r="B14" s="66">
        <v>31.905100000000001</v>
      </c>
      <c r="C14" s="66">
        <v>11.7925</v>
      </c>
      <c r="D14" s="66">
        <v>36.961199999999998</v>
      </c>
      <c r="E14" s="66">
        <v>10</v>
      </c>
      <c r="F14" s="66">
        <v>0.55985499999999999</v>
      </c>
      <c r="G14" s="66">
        <v>50</v>
      </c>
      <c r="H14" s="66">
        <v>41.208599999999997</v>
      </c>
    </row>
    <row r="15" spans="1:8">
      <c r="A15" s="66" t="s">
        <v>422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423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424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425</v>
      </c>
      <c r="B18" s="66">
        <v>0.55095700000000003</v>
      </c>
      <c r="C18" s="66">
        <v>1.2889599999999999E-2</v>
      </c>
      <c r="D18" s="66">
        <v>2.33949E-2</v>
      </c>
      <c r="E18" s="66">
        <v>0</v>
      </c>
      <c r="F18" s="66">
        <v>0.53806699999999996</v>
      </c>
      <c r="G18" s="66">
        <v>0</v>
      </c>
      <c r="H18" s="66">
        <v>0.56384599999999996</v>
      </c>
    </row>
    <row r="19" spans="1:8">
      <c r="A19" s="66" t="s">
        <v>426</v>
      </c>
      <c r="B19" s="66">
        <v>0.71550800000000003</v>
      </c>
      <c r="C19" s="66">
        <v>1.4884400000000001E-2</v>
      </c>
      <c r="D19" s="66">
        <v>2.0802600000000001E-2</v>
      </c>
      <c r="E19" s="66">
        <v>0</v>
      </c>
      <c r="F19" s="66">
        <v>0.700623</v>
      </c>
      <c r="G19" s="66">
        <v>0</v>
      </c>
      <c r="H19" s="66">
        <v>0.73039200000000004</v>
      </c>
    </row>
    <row r="20" spans="1:8">
      <c r="A20" s="66" t="s">
        <v>427</v>
      </c>
      <c r="B20" s="66">
        <v>1.91684E-3</v>
      </c>
      <c r="C20" s="66">
        <v>0.165737</v>
      </c>
      <c r="D20" s="66">
        <v>86.463899999999995</v>
      </c>
      <c r="E20" s="66">
        <v>0</v>
      </c>
      <c r="F20" s="66">
        <v>0</v>
      </c>
      <c r="G20" s="66">
        <v>0</v>
      </c>
      <c r="H20" s="66">
        <v>1.34443</v>
      </c>
    </row>
    <row r="21" spans="1:8">
      <c r="A21" s="66" t="s">
        <v>428</v>
      </c>
      <c r="B21" s="66">
        <v>2.5269E-2</v>
      </c>
      <c r="C21" s="66">
        <v>1.1507400000000001</v>
      </c>
      <c r="D21" s="66">
        <v>45.5396</v>
      </c>
      <c r="E21" s="66">
        <v>0</v>
      </c>
      <c r="F21" s="196">
        <v>2.32843E-5</v>
      </c>
      <c r="G21" s="66">
        <v>0</v>
      </c>
      <c r="H21" s="66">
        <v>7.8964999999999996</v>
      </c>
    </row>
    <row r="22" spans="1:8">
      <c r="A22" s="66" t="s">
        <v>429</v>
      </c>
      <c r="B22" s="66">
        <v>44.2547</v>
      </c>
      <c r="C22" s="66">
        <v>40.06</v>
      </c>
      <c r="D22" s="66">
        <v>0.90521499999999999</v>
      </c>
      <c r="E22" s="66">
        <v>0</v>
      </c>
      <c r="F22" s="66">
        <v>18.528700000000001</v>
      </c>
      <c r="G22" s="66">
        <v>0</v>
      </c>
      <c r="H22" s="66">
        <v>217.251</v>
      </c>
    </row>
    <row r="23" spans="1:8">
      <c r="A23" s="66" t="s">
        <v>430</v>
      </c>
      <c r="B23" s="66">
        <v>25.9984</v>
      </c>
      <c r="C23" s="66">
        <v>4.71699</v>
      </c>
      <c r="D23" s="66">
        <v>0.18143400000000001</v>
      </c>
      <c r="E23" s="66">
        <v>0</v>
      </c>
      <c r="F23" s="66">
        <v>11.573600000000001</v>
      </c>
      <c r="G23" s="66">
        <v>0</v>
      </c>
      <c r="H23" s="66">
        <v>27.792100000000001</v>
      </c>
    </row>
    <row r="24" spans="1:8">
      <c r="A24" s="66" t="s">
        <v>431</v>
      </c>
      <c r="B24" s="66">
        <v>1.57799E-3</v>
      </c>
      <c r="C24" s="66">
        <v>0.15185599999999999</v>
      </c>
      <c r="D24" s="66">
        <v>96.233999999999995</v>
      </c>
      <c r="E24" s="66">
        <v>0</v>
      </c>
      <c r="F24" s="66">
        <v>8.63341E-4</v>
      </c>
      <c r="G24" s="66">
        <v>0</v>
      </c>
      <c r="H24" s="66">
        <v>1.1765300000000001</v>
      </c>
    </row>
    <row r="25" spans="1:8">
      <c r="A25" s="66" t="s">
        <v>432</v>
      </c>
      <c r="B25" s="66">
        <v>5.1167200000000003E-2</v>
      </c>
      <c r="C25" s="66">
        <v>0.87253199999999997</v>
      </c>
      <c r="D25" s="66">
        <v>17.052600000000002</v>
      </c>
      <c r="E25" s="66">
        <v>0</v>
      </c>
      <c r="F25" s="66">
        <v>1.04361E-2</v>
      </c>
      <c r="G25" s="66">
        <v>0</v>
      </c>
      <c r="H25" s="66">
        <v>4.0044599999999999</v>
      </c>
    </row>
    <row r="26" spans="1:8">
      <c r="A26" s="66" t="s">
        <v>433</v>
      </c>
      <c r="B26" s="66">
        <v>4.4807000000000001E-4</v>
      </c>
      <c r="C26" s="66">
        <v>1.20407E-2</v>
      </c>
      <c r="D26" s="66">
        <v>26.872499999999999</v>
      </c>
      <c r="E26" s="66">
        <v>0</v>
      </c>
      <c r="F26" s="66">
        <v>0</v>
      </c>
      <c r="G26" s="66">
        <v>0</v>
      </c>
      <c r="H26" s="66">
        <v>8.4437399999999996E-2</v>
      </c>
    </row>
    <row r="27" spans="1:8">
      <c r="A27" s="66" t="s">
        <v>434</v>
      </c>
      <c r="B27" s="196">
        <v>-6.5651299999999996E-6</v>
      </c>
      <c r="C27" s="66">
        <v>2.29087E-3</v>
      </c>
      <c r="D27" s="66">
        <v>-348.94499999999999</v>
      </c>
      <c r="E27" s="66">
        <v>0</v>
      </c>
      <c r="F27" s="66">
        <v>-2.18783E-2</v>
      </c>
      <c r="G27" s="66">
        <v>0</v>
      </c>
      <c r="H27" s="66">
        <v>1.8937099999999998E-2</v>
      </c>
    </row>
    <row r="28" spans="1:8">
      <c r="A28" s="66" t="s">
        <v>435</v>
      </c>
      <c r="B28" s="66">
        <v>4.1536500000000001E-3</v>
      </c>
      <c r="C28" s="66">
        <v>3.7949999999999998E-2</v>
      </c>
      <c r="D28" s="66">
        <v>9.1365400000000001</v>
      </c>
      <c r="E28" s="66">
        <v>0</v>
      </c>
      <c r="F28" s="196">
        <v>1.3020800000000001E-5</v>
      </c>
      <c r="G28" s="66">
        <v>0</v>
      </c>
      <c r="H28" s="66">
        <v>0.206618</v>
      </c>
    </row>
    <row r="29" spans="1:8">
      <c r="A29" s="66" t="s">
        <v>436</v>
      </c>
      <c r="B29" s="66">
        <v>67.535600000000002</v>
      </c>
      <c r="C29" s="66">
        <v>12.3126</v>
      </c>
      <c r="D29" s="66">
        <v>0.182313</v>
      </c>
      <c r="E29" s="66">
        <v>0</v>
      </c>
      <c r="F29" s="66">
        <v>42.779299999999999</v>
      </c>
      <c r="G29" s="66">
        <v>0</v>
      </c>
      <c r="H29" s="66">
        <v>116.82299999999999</v>
      </c>
    </row>
    <row r="30" spans="1:8">
      <c r="A30" s="66" t="s">
        <v>437</v>
      </c>
      <c r="B30" s="66">
        <v>18.852599999999999</v>
      </c>
      <c r="C30" s="66">
        <v>2.399</v>
      </c>
      <c r="D30" s="66">
        <v>0.12725</v>
      </c>
      <c r="E30" s="66">
        <v>0</v>
      </c>
      <c r="F30" s="66">
        <v>12.2506</v>
      </c>
      <c r="G30" s="66">
        <v>0</v>
      </c>
      <c r="H30" s="66">
        <v>25.209</v>
      </c>
    </row>
    <row r="31" spans="1:8">
      <c r="A31" s="66" t="s">
        <v>438</v>
      </c>
      <c r="B31" s="66">
        <v>240.072</v>
      </c>
      <c r="C31" s="66">
        <v>43.166600000000003</v>
      </c>
      <c r="D31" s="66">
        <v>0.17980699999999999</v>
      </c>
      <c r="E31" s="66">
        <v>0</v>
      </c>
      <c r="F31" s="66">
        <v>165.58699999999999</v>
      </c>
      <c r="G31" s="66">
        <v>0</v>
      </c>
      <c r="H31" s="66">
        <v>310.959</v>
      </c>
    </row>
    <row r="32" spans="1:8">
      <c r="A32" s="66" t="s">
        <v>439</v>
      </c>
      <c r="B32" s="66">
        <v>0.289329</v>
      </c>
      <c r="C32" s="66">
        <v>0.120223</v>
      </c>
      <c r="D32" s="66">
        <v>0.415522</v>
      </c>
      <c r="E32" s="66">
        <v>0.15</v>
      </c>
      <c r="F32" s="66">
        <v>4.5931600000000003E-2</v>
      </c>
      <c r="G32" s="66">
        <v>0.4</v>
      </c>
      <c r="H32" s="66">
        <v>0.59658900000000004</v>
      </c>
    </row>
    <row r="33" spans="1:8">
      <c r="A33" s="66" t="s">
        <v>440</v>
      </c>
      <c r="B33" s="66">
        <v>0.222464</v>
      </c>
      <c r="C33" s="66">
        <v>2.1963699999999999E-2</v>
      </c>
      <c r="D33" s="66">
        <v>9.8729300000000006E-2</v>
      </c>
      <c r="E33" s="66">
        <v>0</v>
      </c>
      <c r="F33" s="66">
        <v>0.144346</v>
      </c>
      <c r="G33" s="66">
        <v>0</v>
      </c>
      <c r="H33" s="66">
        <v>0.36235899999999999</v>
      </c>
    </row>
    <row r="34" spans="1:8">
      <c r="A34" s="66" t="s">
        <v>441</v>
      </c>
      <c r="B34" s="66">
        <v>0.11829099999999999</v>
      </c>
      <c r="C34" s="66">
        <v>3.1905099999999999E-2</v>
      </c>
      <c r="D34" s="66">
        <v>0.26971600000000001</v>
      </c>
      <c r="E34" s="66">
        <v>0.1</v>
      </c>
      <c r="F34" s="66">
        <v>0.10142900000000001</v>
      </c>
      <c r="G34" s="66">
        <v>0.25</v>
      </c>
      <c r="H34" s="66">
        <v>0.28555199999999997</v>
      </c>
    </row>
    <row r="35" spans="1:8">
      <c r="A35" s="66" t="s">
        <v>442</v>
      </c>
      <c r="B35" s="66">
        <v>4.0904000000000003E-2</v>
      </c>
      <c r="C35" s="66">
        <v>3.5528499999999998E-2</v>
      </c>
      <c r="D35" s="66">
        <v>0.86858299999999999</v>
      </c>
      <c r="E35" s="66">
        <v>0</v>
      </c>
      <c r="F35" s="66">
        <v>6.2957000000000004E-3</v>
      </c>
      <c r="G35" s="66">
        <v>0</v>
      </c>
      <c r="H35" s="66">
        <v>0.225521</v>
      </c>
    </row>
    <row r="36" spans="1:8">
      <c r="A36" s="66" t="s">
        <v>443</v>
      </c>
      <c r="B36" s="66">
        <v>0.102996</v>
      </c>
      <c r="C36" s="66">
        <v>6.4603499999999994E-2</v>
      </c>
      <c r="D36" s="66">
        <v>0.62724100000000005</v>
      </c>
      <c r="E36" s="66">
        <v>0</v>
      </c>
      <c r="F36" s="66">
        <v>4.3741700000000001E-2</v>
      </c>
      <c r="G36" s="66">
        <v>0</v>
      </c>
      <c r="H36" s="66">
        <v>0.71079599999999998</v>
      </c>
    </row>
    <row r="37" spans="1:8">
      <c r="A37" s="66" t="s">
        <v>444</v>
      </c>
      <c r="B37" s="66">
        <v>0.31905099999999997</v>
      </c>
      <c r="C37" s="66">
        <v>0.117925</v>
      </c>
      <c r="D37" s="66">
        <v>0.369612</v>
      </c>
      <c r="E37" s="66">
        <v>0.1</v>
      </c>
      <c r="F37" s="66">
        <v>5.5985499999999999E-3</v>
      </c>
      <c r="G37" s="66">
        <v>0.5</v>
      </c>
      <c r="H37" s="66">
        <v>0.41208600000000001</v>
      </c>
    </row>
    <row r="38" spans="1:8">
      <c r="A38" s="66" t="s">
        <v>445</v>
      </c>
      <c r="B38" s="66">
        <v>0</v>
      </c>
      <c r="C38" s="66">
        <v>59.383699999999997</v>
      </c>
      <c r="D38" s="66">
        <v>0</v>
      </c>
      <c r="E38" s="66">
        <v>0</v>
      </c>
      <c r="F38" s="66">
        <v>-133.03700000000001</v>
      </c>
      <c r="G38" s="66">
        <v>0</v>
      </c>
      <c r="H38" s="66">
        <v>355.76400000000001</v>
      </c>
    </row>
    <row r="39" spans="1:8">
      <c r="A39" s="66" t="s">
        <v>446</v>
      </c>
      <c r="B39" s="66">
        <v>-2.5684800000000001</v>
      </c>
      <c r="C39" s="66">
        <v>22.994599999999998</v>
      </c>
      <c r="D39" s="66">
        <v>-8.9526199999999996</v>
      </c>
      <c r="E39" s="66">
        <v>0</v>
      </c>
      <c r="F39" s="66">
        <v>-18.0623</v>
      </c>
      <c r="G39" s="66">
        <v>0</v>
      </c>
      <c r="H39" s="66">
        <v>118.114</v>
      </c>
    </row>
    <row r="40" spans="1:8">
      <c r="A40" s="66" t="s">
        <v>447</v>
      </c>
      <c r="B40" s="66">
        <v>4.9290399999999996</v>
      </c>
      <c r="C40" s="66">
        <v>3.4756800000000001</v>
      </c>
      <c r="D40" s="66">
        <v>0.70514299999999996</v>
      </c>
      <c r="E40" s="66">
        <v>0</v>
      </c>
      <c r="F40" s="66">
        <v>-3.03722</v>
      </c>
      <c r="G40" s="66">
        <v>0</v>
      </c>
      <c r="H40" s="66">
        <v>6.2560200000000004</v>
      </c>
    </row>
    <row r="41" spans="1:8">
      <c r="A41" s="66" t="s">
        <v>448</v>
      </c>
      <c r="B41" s="66">
        <v>0</v>
      </c>
      <c r="C41" s="66">
        <v>0.40414800000000001</v>
      </c>
      <c r="D41" s="66">
        <v>0</v>
      </c>
      <c r="E41" s="66">
        <v>0</v>
      </c>
      <c r="F41" s="66">
        <v>-0.81818199999999996</v>
      </c>
      <c r="G41" s="66">
        <v>0</v>
      </c>
      <c r="H41" s="66">
        <v>1</v>
      </c>
    </row>
    <row r="42" spans="1:8">
      <c r="A42" s="66" t="s">
        <v>449</v>
      </c>
      <c r="B42" s="66">
        <v>-1.37112E-2</v>
      </c>
      <c r="C42" s="66">
        <v>0.23599200000000001</v>
      </c>
      <c r="D42" s="66">
        <v>-17.2117</v>
      </c>
      <c r="E42" s="66">
        <v>0</v>
      </c>
      <c r="F42" s="66">
        <v>-0.24093400000000001</v>
      </c>
      <c r="G42" s="66">
        <v>0</v>
      </c>
      <c r="H42" s="66">
        <v>0.87002500000000005</v>
      </c>
    </row>
    <row r="43" spans="1:8">
      <c r="A43" s="66" t="s">
        <v>450</v>
      </c>
      <c r="B43" s="66">
        <v>0.125193</v>
      </c>
      <c r="C43" s="66">
        <v>0.111431</v>
      </c>
      <c r="D43" s="66">
        <v>0.89007400000000003</v>
      </c>
      <c r="E43" s="66">
        <v>0</v>
      </c>
      <c r="F43" s="66">
        <v>-0.147841</v>
      </c>
      <c r="G43" s="66">
        <v>0</v>
      </c>
      <c r="H43" s="66">
        <v>0.18243999999999999</v>
      </c>
    </row>
    <row r="44" spans="1:8">
      <c r="A44" s="66" t="s">
        <v>451</v>
      </c>
      <c r="B44" s="66">
        <v>-25.484000000000002</v>
      </c>
      <c r="C44" s="66">
        <v>18.666499999999999</v>
      </c>
      <c r="D44" s="66">
        <v>-0.73247899999999999</v>
      </c>
      <c r="E44" s="66">
        <v>0</v>
      </c>
      <c r="F44" s="66">
        <v>-49.312600000000003</v>
      </c>
      <c r="G44" s="66">
        <v>0</v>
      </c>
      <c r="H44" s="66">
        <v>6.7054099999999996</v>
      </c>
    </row>
    <row r="45" spans="1:8">
      <c r="A45" s="66" t="s">
        <v>452</v>
      </c>
      <c r="B45" s="66">
        <v>51.046999999999997</v>
      </c>
      <c r="C45" s="66">
        <v>5.9386999999999999</v>
      </c>
      <c r="D45" s="66">
        <v>0.116338</v>
      </c>
      <c r="E45" s="66">
        <v>0</v>
      </c>
      <c r="F45" s="66">
        <v>34.344900000000003</v>
      </c>
      <c r="G45" s="66">
        <v>0</v>
      </c>
      <c r="H45" s="66">
        <v>67.194500000000005</v>
      </c>
    </row>
    <row r="46" spans="1:8">
      <c r="A46" s="66" t="s">
        <v>453</v>
      </c>
      <c r="B46" s="66">
        <v>29.319800000000001</v>
      </c>
      <c r="C46" s="66">
        <v>2.4915600000000002</v>
      </c>
      <c r="D46" s="66">
        <v>8.4978799999999993E-2</v>
      </c>
      <c r="E46" s="66">
        <v>0</v>
      </c>
      <c r="F46" s="66">
        <v>25.126799999999999</v>
      </c>
      <c r="G46" s="66">
        <v>0</v>
      </c>
      <c r="H46" s="66">
        <v>33.641300000000001</v>
      </c>
    </row>
    <row r="47" spans="1:8">
      <c r="A47" s="66" t="s">
        <v>454</v>
      </c>
      <c r="B47" s="66">
        <v>0.53649000000000002</v>
      </c>
      <c r="C47" s="66">
        <v>0.78677399999999997</v>
      </c>
      <c r="D47" s="66">
        <v>1.46652</v>
      </c>
      <c r="E47" s="66">
        <v>0</v>
      </c>
      <c r="F47" s="66">
        <v>0.15215999999999999</v>
      </c>
      <c r="G47" s="66">
        <v>0</v>
      </c>
      <c r="H47" s="66">
        <v>4.69414</v>
      </c>
    </row>
    <row r="48" spans="1:8">
      <c r="A48" s="66" t="s">
        <v>455</v>
      </c>
      <c r="B48" s="66">
        <v>0.556647</v>
      </c>
      <c r="C48" s="66">
        <v>7.7561599999999994E-2</v>
      </c>
      <c r="D48" s="66">
        <v>0.13933699999999999</v>
      </c>
      <c r="E48" s="66">
        <v>0</v>
      </c>
      <c r="F48" s="66">
        <v>0.42938900000000002</v>
      </c>
      <c r="G48" s="66">
        <v>0</v>
      </c>
      <c r="H48" s="66">
        <v>0.72090900000000002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456</v>
      </c>
      <c r="B1" s="60" t="s">
        <v>457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64.216523291124631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1.2398598938696308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0.60216228034424779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8356</v>
      </c>
      <c r="B8" s="66">
        <v>8356</v>
      </c>
      <c r="D8">
        <f t="shared" si="0"/>
        <v>5.2731552475972311E-2</v>
      </c>
      <c r="E8">
        <f t="shared" si="0"/>
        <v>5.2731552475972311E-2</v>
      </c>
      <c r="G8">
        <f t="shared" ca="1" si="1"/>
        <v>6</v>
      </c>
      <c r="H8">
        <f t="shared" ca="1" si="2"/>
        <v>0.31638931485583388</v>
      </c>
      <c r="I8">
        <f t="shared" ca="1" si="3"/>
        <v>178.71585738494292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10130</v>
      </c>
      <c r="B10" s="66">
        <v>10130</v>
      </c>
      <c r="D10">
        <f t="shared" si="0"/>
        <v>6.3926594851795054E-2</v>
      </c>
      <c r="E10">
        <f t="shared" si="0"/>
        <v>6.3926594851795054E-2</v>
      </c>
      <c r="G10">
        <f t="shared" ca="1" si="1"/>
        <v>8</v>
      </c>
      <c r="H10">
        <f t="shared" ca="1" si="2"/>
        <v>0.51141275881436044</v>
      </c>
      <c r="I10">
        <f t="shared" ca="1" si="3"/>
        <v>202.02705731456544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18470</v>
      </c>
      <c r="B13" s="66">
        <v>18470</v>
      </c>
      <c r="D13">
        <f t="shared" si="0"/>
        <v>0.11655717738525713</v>
      </c>
      <c r="E13">
        <f t="shared" si="0"/>
        <v>0.11655717738525713</v>
      </c>
      <c r="G13">
        <f t="shared" ca="1" si="1"/>
        <v>11</v>
      </c>
      <c r="H13">
        <f t="shared" ca="1" si="2"/>
        <v>1.2821289512378284</v>
      </c>
      <c r="I13">
        <f t="shared" ca="1" si="3"/>
        <v>330.08973417496924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25293</v>
      </c>
      <c r="B15" s="66">
        <v>25293</v>
      </c>
      <c r="D15">
        <f t="shared" si="0"/>
        <v>0.15961454724446716</v>
      </c>
      <c r="E15">
        <f t="shared" si="0"/>
        <v>0.15961454724446716</v>
      </c>
      <c r="G15">
        <f t="shared" ca="1" si="1"/>
        <v>13</v>
      </c>
      <c r="H15">
        <f t="shared" ca="1" si="2"/>
        <v>2.0749891141780732</v>
      </c>
      <c r="I15">
        <f t="shared" ca="1" si="3"/>
        <v>418.69006772786503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34949</v>
      </c>
      <c r="B18" s="66">
        <v>34949</v>
      </c>
      <c r="D18">
        <f t="shared" si="0"/>
        <v>0.22054990754939638</v>
      </c>
      <c r="E18">
        <f t="shared" si="0"/>
        <v>0.22054990754939638</v>
      </c>
      <c r="G18">
        <f t="shared" ca="1" si="1"/>
        <v>16</v>
      </c>
      <c r="H18">
        <f t="shared" ca="1" si="2"/>
        <v>3.5287985207903421</v>
      </c>
      <c r="I18">
        <f t="shared" ca="1" si="3"/>
        <v>512.7417293052149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51940</v>
      </c>
      <c r="B21" s="66">
        <v>51940</v>
      </c>
      <c r="D21">
        <f t="shared" si="0"/>
        <v>0.3277736758738633</v>
      </c>
      <c r="E21">
        <f t="shared" si="0"/>
        <v>0.3277736758738633</v>
      </c>
      <c r="G21">
        <f t="shared" ca="1" si="1"/>
        <v>19</v>
      </c>
      <c r="H21">
        <f t="shared" ca="1" si="2"/>
        <v>6.2276998416034024</v>
      </c>
      <c r="I21">
        <f t="shared" ca="1" si="3"/>
        <v>670.14441759402655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93804</v>
      </c>
      <c r="B23" s="66">
        <v>93804</v>
      </c>
      <c r="D23">
        <f t="shared" si="0"/>
        <v>0.59196153045190358</v>
      </c>
      <c r="E23">
        <f t="shared" si="0"/>
        <v>0.59196153045190358</v>
      </c>
      <c r="G23">
        <f t="shared" ca="1" si="1"/>
        <v>21</v>
      </c>
      <c r="H23">
        <f t="shared" ca="1" si="2"/>
        <v>12.431192139489974</v>
      </c>
      <c r="I23">
        <f t="shared" ca="1" si="3"/>
        <v>1105.5875398008675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117916</v>
      </c>
      <c r="B26" s="66">
        <v>117916</v>
      </c>
      <c r="D26">
        <f t="shared" si="0"/>
        <v>0.7441232338148337</v>
      </c>
      <c r="E26">
        <f t="shared" si="0"/>
        <v>0.7441232338148337</v>
      </c>
      <c r="G26">
        <f t="shared" ca="1" si="1"/>
        <v>24</v>
      </c>
      <c r="H26">
        <f t="shared" ca="1" si="2"/>
        <v>17.858957611556008</v>
      </c>
      <c r="I26">
        <f t="shared" ca="1" si="3"/>
        <v>1203.5216612659403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124903</v>
      </c>
      <c r="B28" s="66">
        <v>124903</v>
      </c>
      <c r="D28">
        <f t="shared" si="0"/>
        <v>0.78821554558477369</v>
      </c>
      <c r="E28">
        <f t="shared" si="0"/>
        <v>0.78821554558477369</v>
      </c>
      <c r="G28">
        <f t="shared" ca="1" si="1"/>
        <v>26</v>
      </c>
      <c r="H28">
        <f t="shared" ca="1" si="2"/>
        <v>20.493604185204116</v>
      </c>
      <c r="I28">
        <f t="shared" ca="1" si="3"/>
        <v>1151.1908950376126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108442</v>
      </c>
      <c r="B31" s="66">
        <v>108442</v>
      </c>
      <c r="D31">
        <f t="shared" si="0"/>
        <v>0.68433640660595851</v>
      </c>
      <c r="E31">
        <f t="shared" si="0"/>
        <v>0.68433640660595851</v>
      </c>
      <c r="G31">
        <f t="shared" ca="1" si="1"/>
        <v>29</v>
      </c>
      <c r="H31">
        <f t="shared" ca="1" si="2"/>
        <v>19.845755791572795</v>
      </c>
      <c r="I31">
        <f t="shared" ca="1" si="3"/>
        <v>848.71641535100741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126438</v>
      </c>
      <c r="B33" s="66">
        <v>126438</v>
      </c>
      <c r="D33">
        <f t="shared" si="0"/>
        <v>0.79790234944434979</v>
      </c>
      <c r="E33">
        <f t="shared" si="0"/>
        <v>0.79790234944434979</v>
      </c>
      <c r="G33">
        <f t="shared" ca="1" si="1"/>
        <v>31</v>
      </c>
      <c r="H33">
        <f t="shared" ca="1" si="2"/>
        <v>24.734972832774844</v>
      </c>
      <c r="I33">
        <f t="shared" ca="1" si="3"/>
        <v>880.35551928867164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126052</v>
      </c>
      <c r="B36" s="66">
        <v>126052</v>
      </c>
      <c r="D36">
        <f t="shared" si="0"/>
        <v>0.79546644958129031</v>
      </c>
      <c r="E36">
        <f t="shared" si="0"/>
        <v>0.79546644958129031</v>
      </c>
      <c r="G36">
        <f t="shared" ca="1" si="1"/>
        <v>34</v>
      </c>
      <c r="H36">
        <f t="shared" ca="1" si="2"/>
        <v>27.045859285763871</v>
      </c>
      <c r="I36">
        <f t="shared" ca="1" si="3"/>
        <v>726.29131876676263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129473</v>
      </c>
      <c r="B39" s="66">
        <v>129473</v>
      </c>
      <c r="D39">
        <f t="shared" si="0"/>
        <v>0.81705508541426075</v>
      </c>
      <c r="E39">
        <f t="shared" si="0"/>
        <v>0.81705508541426075</v>
      </c>
      <c r="G39">
        <f t="shared" ca="1" si="1"/>
        <v>37</v>
      </c>
      <c r="H39">
        <f t="shared" ca="1" si="2"/>
        <v>30.231038160327646</v>
      </c>
      <c r="I39">
        <f t="shared" ca="1" si="3"/>
        <v>605.22468134841029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130870</v>
      </c>
      <c r="B41" s="66">
        <v>130870</v>
      </c>
      <c r="D41">
        <f t="shared" si="0"/>
        <v>0.825871023519686</v>
      </c>
      <c r="E41">
        <f t="shared" si="0"/>
        <v>0.825871023519686</v>
      </c>
      <c r="G41">
        <f t="shared" ca="1" si="1"/>
        <v>39</v>
      </c>
      <c r="H41">
        <f t="shared" ca="1" si="2"/>
        <v>32.208969917267751</v>
      </c>
      <c r="I41">
        <f t="shared" ca="1" si="3"/>
        <v>525.1491240651377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135904</v>
      </c>
      <c r="B44" s="66">
        <v>135904</v>
      </c>
      <c r="D44">
        <f t="shared" si="0"/>
        <v>0.85763869168196993</v>
      </c>
      <c r="E44">
        <f t="shared" si="0"/>
        <v>0.85763869168196993</v>
      </c>
      <c r="G44">
        <f t="shared" ca="1" si="1"/>
        <v>42</v>
      </c>
      <c r="H44">
        <f t="shared" ca="1" si="2"/>
        <v>36.020825050642735</v>
      </c>
      <c r="I44">
        <f t="shared" ca="1" si="3"/>
        <v>423.30807997226725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134244</v>
      </c>
      <c r="B46" s="66">
        <v>134244</v>
      </c>
      <c r="D46">
        <f t="shared" si="0"/>
        <v>0.84716306014653264</v>
      </c>
      <c r="E46">
        <f t="shared" si="0"/>
        <v>0.84716306014653264</v>
      </c>
      <c r="G46">
        <f t="shared" ca="1" si="1"/>
        <v>44</v>
      </c>
      <c r="H46">
        <f t="shared" ca="1" si="2"/>
        <v>37.275174646447439</v>
      </c>
      <c r="I46">
        <f t="shared" ca="1" si="3"/>
        <v>346.24216239759193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133470</v>
      </c>
      <c r="B49" s="66">
        <v>133470</v>
      </c>
      <c r="D49">
        <f t="shared" si="0"/>
        <v>0.84227863917759982</v>
      </c>
      <c r="E49">
        <f t="shared" si="0"/>
        <v>0.84227863917759982</v>
      </c>
      <c r="G49">
        <f t="shared" ca="1" si="1"/>
        <v>47</v>
      </c>
      <c r="H49">
        <f t="shared" ca="1" si="2"/>
        <v>39.587096041347195</v>
      </c>
      <c r="I49">
        <f t="shared" ca="1" si="3"/>
        <v>249.65869477411263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136551</v>
      </c>
      <c r="B51" s="66">
        <v>136551</v>
      </c>
      <c r="D51">
        <f t="shared" si="0"/>
        <v>0.86172166373222769</v>
      </c>
      <c r="E51">
        <f t="shared" si="0"/>
        <v>0.86172166373222769</v>
      </c>
      <c r="G51">
        <f t="shared" ca="1" si="1"/>
        <v>49</v>
      </c>
      <c r="H51">
        <f t="shared" ca="1" si="2"/>
        <v>42.224361522879157</v>
      </c>
      <c r="I51">
        <f t="shared" ca="1" si="3"/>
        <v>199.52525818392445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149019</v>
      </c>
      <c r="B54" s="66">
        <v>149019</v>
      </c>
      <c r="D54">
        <f t="shared" si="0"/>
        <v>0.94040249143333143</v>
      </c>
      <c r="E54">
        <f t="shared" si="0"/>
        <v>0.94040249143333143</v>
      </c>
      <c r="G54">
        <f t="shared" ca="1" si="1"/>
        <v>52</v>
      </c>
      <c r="H54">
        <f t="shared" ca="1" si="2"/>
        <v>48.900929554533235</v>
      </c>
      <c r="I54">
        <f t="shared" ca="1" si="3"/>
        <v>140.34890404984839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158463</v>
      </c>
      <c r="B57" s="66">
        <v>158463</v>
      </c>
      <c r="D57">
        <f t="shared" si="0"/>
        <v>1</v>
      </c>
      <c r="E57">
        <f t="shared" si="0"/>
        <v>1</v>
      </c>
      <c r="G57">
        <f t="shared" ca="1" si="1"/>
        <v>55</v>
      </c>
      <c r="H57">
        <f t="shared" ca="1" si="2"/>
        <v>55</v>
      </c>
      <c r="I57">
        <f t="shared" ca="1" si="3"/>
        <v>84.944301575842786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155195</v>
      </c>
      <c r="B59" s="66">
        <v>155195</v>
      </c>
      <c r="D59">
        <f t="shared" si="0"/>
        <v>0.97937688924228372</v>
      </c>
      <c r="E59">
        <f t="shared" si="0"/>
        <v>0.97937688924228372</v>
      </c>
      <c r="G59">
        <f t="shared" ca="1" si="1"/>
        <v>57</v>
      </c>
      <c r="H59">
        <f t="shared" ca="1" si="2"/>
        <v>55.824482686810171</v>
      </c>
      <c r="I59">
        <f t="shared" ca="1" si="3"/>
        <v>51.004193751213684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144476</v>
      </c>
      <c r="B62" s="66">
        <v>144476</v>
      </c>
      <c r="D62">
        <f t="shared" si="0"/>
        <v>0.91173333838183046</v>
      </c>
      <c r="E62">
        <f t="shared" si="0"/>
        <v>0.91173333838183046</v>
      </c>
      <c r="G62">
        <f t="shared" ca="1" si="1"/>
        <v>60</v>
      </c>
      <c r="H62">
        <f t="shared" ca="1" si="2"/>
        <v>54.704000302909826</v>
      </c>
      <c r="I62">
        <f t="shared" ca="1" si="3"/>
        <v>16.209769626892346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146052</v>
      </c>
      <c r="B64" s="66">
        <v>146052</v>
      </c>
      <c r="D64">
        <f t="shared" si="0"/>
        <v>0.92167887771908896</v>
      </c>
      <c r="E64">
        <f t="shared" si="0"/>
        <v>0.92167887771908896</v>
      </c>
      <c r="G64">
        <f t="shared" ca="1" si="1"/>
        <v>62</v>
      </c>
      <c r="H64">
        <f t="shared" ca="1" si="2"/>
        <v>57.144090418583517</v>
      </c>
      <c r="I64">
        <f t="shared" ca="1" si="3"/>
        <v>4.5281857451916716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143398</v>
      </c>
      <c r="B67" s="66">
        <v>143398</v>
      </c>
      <c r="D67">
        <f t="shared" ref="D67:E130" si="4">IFERROR( A67/MAX(A$2:A$257), 0 )</f>
        <v>0.90493048850520308</v>
      </c>
      <c r="E67">
        <f t="shared" si="4"/>
        <v>0.90493048850520308</v>
      </c>
      <c r="G67">
        <f t="shared" ref="G67:G130" ca="1" si="5">CELL("row",D67)-2</f>
        <v>65</v>
      </c>
      <c r="H67">
        <f t="shared" ref="H67:H130" ca="1" si="6">D67*G67</f>
        <v>58.820481752838198</v>
      </c>
      <c r="I67">
        <f t="shared" ref="I67:I130" ca="1" si="7">D67*((G67-$L$1)^2)</f>
        <v>0.55547868814113799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147303</v>
      </c>
      <c r="B69" s="66">
        <v>147303</v>
      </c>
      <c r="D69">
        <f t="shared" si="4"/>
        <v>0.92957346509910832</v>
      </c>
      <c r="E69">
        <f t="shared" si="4"/>
        <v>0.92957346509910832</v>
      </c>
      <c r="G69">
        <f t="shared" ca="1" si="5"/>
        <v>67</v>
      </c>
      <c r="H69">
        <f t="shared" ca="1" si="6"/>
        <v>62.281422161640258</v>
      </c>
      <c r="I69">
        <f t="shared" ca="1" si="7"/>
        <v>7.2020959250147714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139135</v>
      </c>
      <c r="B72" s="66">
        <v>139135</v>
      </c>
      <c r="D72">
        <f t="shared" si="4"/>
        <v>0.87802830944763133</v>
      </c>
      <c r="E72">
        <f t="shared" si="4"/>
        <v>0.87802830944763133</v>
      </c>
      <c r="G72">
        <f t="shared" ca="1" si="5"/>
        <v>70</v>
      </c>
      <c r="H72">
        <f t="shared" ca="1" si="6"/>
        <v>61.461981661334192</v>
      </c>
      <c r="I72">
        <f t="shared" ca="1" si="7"/>
        <v>29.3688202068377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137509</v>
      </c>
      <c r="B75" s="66">
        <v>137509</v>
      </c>
      <c r="D75">
        <f t="shared" si="4"/>
        <v>0.86776723904002828</v>
      </c>
      <c r="E75">
        <f t="shared" si="4"/>
        <v>0.86776723904002828</v>
      </c>
      <c r="G75">
        <f t="shared" ca="1" si="5"/>
        <v>73</v>
      </c>
      <c r="H75">
        <f t="shared" ca="1" si="6"/>
        <v>63.347008449922065</v>
      </c>
      <c r="I75">
        <f t="shared" ca="1" si="7"/>
        <v>66.947776583677708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124381</v>
      </c>
      <c r="B77" s="66">
        <v>124381</v>
      </c>
      <c r="D77">
        <f t="shared" si="4"/>
        <v>0.78492140121037723</v>
      </c>
      <c r="E77">
        <f t="shared" si="4"/>
        <v>0.78492140121037723</v>
      </c>
      <c r="G77">
        <f t="shared" ca="1" si="5"/>
        <v>75</v>
      </c>
      <c r="H77">
        <f t="shared" ca="1" si="6"/>
        <v>58.869105090778291</v>
      </c>
      <c r="I77">
        <f t="shared" ca="1" si="7"/>
        <v>91.273305663593362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117292</v>
      </c>
      <c r="B80" s="66">
        <v>117292</v>
      </c>
      <c r="D80">
        <f t="shared" si="4"/>
        <v>0.74018540605693439</v>
      </c>
      <c r="E80">
        <f t="shared" si="4"/>
        <v>0.74018540605693439</v>
      </c>
      <c r="G80">
        <f t="shared" ca="1" si="5"/>
        <v>78</v>
      </c>
      <c r="H80">
        <f t="shared" ca="1" si="6"/>
        <v>57.734461672440879</v>
      </c>
      <c r="I80">
        <f t="shared" ca="1" si="7"/>
        <v>140.6235545632394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110578</v>
      </c>
      <c r="B82" s="66">
        <v>110578</v>
      </c>
      <c r="D82">
        <f t="shared" si="4"/>
        <v>0.69781589393107535</v>
      </c>
      <c r="E82">
        <f t="shared" si="4"/>
        <v>0.69781589393107535</v>
      </c>
      <c r="G82">
        <f t="shared" ca="1" si="5"/>
        <v>80</v>
      </c>
      <c r="H82">
        <f t="shared" ca="1" si="6"/>
        <v>55.825271514486026</v>
      </c>
      <c r="I82">
        <f t="shared" ca="1" si="7"/>
        <v>173.83859547878413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99404</v>
      </c>
      <c r="B85" s="66">
        <v>99404</v>
      </c>
      <c r="D85">
        <f t="shared" si="4"/>
        <v>0.62730101033048724</v>
      </c>
      <c r="E85">
        <f t="shared" si="4"/>
        <v>0.62730101033048724</v>
      </c>
      <c r="G85">
        <f t="shared" ca="1" si="5"/>
        <v>83</v>
      </c>
      <c r="H85">
        <f t="shared" ca="1" si="6"/>
        <v>52.065983857430439</v>
      </c>
      <c r="I85">
        <f t="shared" ca="1" si="7"/>
        <v>221.32371345305668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96356</v>
      </c>
      <c r="B88" s="66">
        <v>96356</v>
      </c>
      <c r="D88">
        <f t="shared" si="4"/>
        <v>0.60806623628228673</v>
      </c>
      <c r="E88">
        <f t="shared" si="4"/>
        <v>0.60806623628228673</v>
      </c>
      <c r="G88">
        <f t="shared" ca="1" si="5"/>
        <v>86</v>
      </c>
      <c r="H88">
        <f t="shared" ca="1" si="6"/>
        <v>52.293696320276659</v>
      </c>
      <c r="I88">
        <f t="shared" ca="1" si="7"/>
        <v>288.53950380711211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86188</v>
      </c>
      <c r="B90" s="66">
        <v>86188</v>
      </c>
      <c r="D90">
        <f t="shared" si="4"/>
        <v>0.54389983781702989</v>
      </c>
      <c r="E90">
        <f t="shared" si="4"/>
        <v>0.54389983781702989</v>
      </c>
      <c r="G90">
        <f t="shared" ca="1" si="5"/>
        <v>88</v>
      </c>
      <c r="H90">
        <f t="shared" ca="1" si="6"/>
        <v>47.863185727898632</v>
      </c>
      <c r="I90">
        <f t="shared" ca="1" si="7"/>
        <v>307.658990696876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76633</v>
      </c>
      <c r="B93" s="66">
        <v>76633</v>
      </c>
      <c r="D93">
        <f t="shared" si="4"/>
        <v>0.4836018502741965</v>
      </c>
      <c r="E93">
        <f t="shared" si="4"/>
        <v>0.4836018502741965</v>
      </c>
      <c r="G93">
        <f t="shared" ca="1" si="5"/>
        <v>91</v>
      </c>
      <c r="H93">
        <f t="shared" ca="1" si="6"/>
        <v>44.00776837495188</v>
      </c>
      <c r="I93">
        <f t="shared" ca="1" si="7"/>
        <v>346.91402376650251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63274</v>
      </c>
      <c r="B95" s="66">
        <v>63274</v>
      </c>
      <c r="D95">
        <f t="shared" si="4"/>
        <v>0.39929825889955384</v>
      </c>
      <c r="E95">
        <f t="shared" si="4"/>
        <v>0.39929825889955384</v>
      </c>
      <c r="G95">
        <f t="shared" ca="1" si="5"/>
        <v>93</v>
      </c>
      <c r="H95">
        <f t="shared" ca="1" si="6"/>
        <v>37.134738077658504</v>
      </c>
      <c r="I95">
        <f t="shared" ca="1" si="7"/>
        <v>330.81402812638134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54639</v>
      </c>
      <c r="B98" s="66">
        <v>54639</v>
      </c>
      <c r="D98">
        <f t="shared" si="4"/>
        <v>0.34480604305105922</v>
      </c>
      <c r="E98">
        <f t="shared" si="4"/>
        <v>0.34480604305105922</v>
      </c>
      <c r="G98">
        <f t="shared" ca="1" si="5"/>
        <v>96</v>
      </c>
      <c r="H98">
        <f t="shared" ca="1" si="6"/>
        <v>33.101380132901681</v>
      </c>
      <c r="I98">
        <f t="shared" ca="1" si="7"/>
        <v>348.31940688548281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51487</v>
      </c>
      <c r="B100" s="66">
        <v>51487</v>
      </c>
      <c r="D100">
        <f t="shared" si="4"/>
        <v>0.32491496437654216</v>
      </c>
      <c r="E100">
        <f t="shared" si="4"/>
        <v>0.32491496437654216</v>
      </c>
      <c r="G100">
        <f t="shared" ca="1" si="5"/>
        <v>98</v>
      </c>
      <c r="H100">
        <f t="shared" ca="1" si="6"/>
        <v>31.841666508901131</v>
      </c>
      <c r="I100">
        <f t="shared" ca="1" si="7"/>
        <v>370.83301888695729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44551</v>
      </c>
      <c r="B103" s="66">
        <v>44551</v>
      </c>
      <c r="D103">
        <f t="shared" si="4"/>
        <v>0.28114449429835353</v>
      </c>
      <c r="E103">
        <f t="shared" si="4"/>
        <v>0.28114449429835353</v>
      </c>
      <c r="G103">
        <f t="shared" ca="1" si="5"/>
        <v>101</v>
      </c>
      <c r="H103">
        <f t="shared" ca="1" si="6"/>
        <v>28.395593924133706</v>
      </c>
      <c r="I103">
        <f t="shared" ca="1" si="7"/>
        <v>380.39529289713795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41268</v>
      </c>
      <c r="B106" s="66">
        <v>41268</v>
      </c>
      <c r="D106">
        <f t="shared" si="4"/>
        <v>0.26042672421953389</v>
      </c>
      <c r="E106">
        <f t="shared" si="4"/>
        <v>0.26042672421953389</v>
      </c>
      <c r="G106">
        <f t="shared" ca="1" si="5"/>
        <v>104</v>
      </c>
      <c r="H106">
        <f t="shared" ca="1" si="6"/>
        <v>27.084379318831523</v>
      </c>
      <c r="I106">
        <f t="shared" ca="1" si="7"/>
        <v>412.1838920503526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38558</v>
      </c>
      <c r="B108" s="66">
        <v>38558</v>
      </c>
      <c r="D108">
        <f t="shared" si="4"/>
        <v>0.24332494020686216</v>
      </c>
      <c r="E108">
        <f t="shared" si="4"/>
        <v>0.24332494020686216</v>
      </c>
      <c r="G108">
        <f t="shared" ca="1" si="5"/>
        <v>106</v>
      </c>
      <c r="H108">
        <f t="shared" ca="1" si="6"/>
        <v>25.79244366192739</v>
      </c>
      <c r="I108">
        <f t="shared" ca="1" si="7"/>
        <v>424.8110187496427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36411</v>
      </c>
      <c r="B111" s="66">
        <v>36411</v>
      </c>
      <c r="D111">
        <f t="shared" si="4"/>
        <v>0.22977603604626948</v>
      </c>
      <c r="E111">
        <f t="shared" si="4"/>
        <v>0.22977603604626948</v>
      </c>
      <c r="G111">
        <f t="shared" ca="1" si="5"/>
        <v>109</v>
      </c>
      <c r="H111">
        <f t="shared" ca="1" si="6"/>
        <v>25.045587929043371</v>
      </c>
      <c r="I111">
        <f t="shared" ca="1" si="7"/>
        <v>460.8295777117624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36081</v>
      </c>
      <c r="B113" s="66">
        <v>36081</v>
      </c>
      <c r="D113">
        <f t="shared" si="4"/>
        <v>0.2276935309819958</v>
      </c>
      <c r="E113">
        <f t="shared" si="4"/>
        <v>0.2276935309819958</v>
      </c>
      <c r="G113">
        <f t="shared" ca="1" si="5"/>
        <v>111</v>
      </c>
      <c r="H113">
        <f t="shared" ca="1" si="6"/>
        <v>25.273981939001533</v>
      </c>
      <c r="I113">
        <f t="shared" ca="1" si="7"/>
        <v>498.35139519033709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33500</v>
      </c>
      <c r="B116" s="66">
        <v>33500</v>
      </c>
      <c r="D116">
        <f t="shared" si="4"/>
        <v>0.21140581713081288</v>
      </c>
      <c r="E116">
        <f t="shared" si="4"/>
        <v>0.21140581713081288</v>
      </c>
      <c r="G116">
        <f t="shared" ca="1" si="5"/>
        <v>114</v>
      </c>
      <c r="H116">
        <f t="shared" ca="1" si="6"/>
        <v>24.100263152912667</v>
      </c>
      <c r="I116">
        <f t="shared" ca="1" si="7"/>
        <v>523.94702569669312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32254</v>
      </c>
      <c r="B118" s="66">
        <v>32254</v>
      </c>
      <c r="D118">
        <f t="shared" si="4"/>
        <v>0.20354278285782801</v>
      </c>
      <c r="E118">
        <f t="shared" si="4"/>
        <v>0.20354278285782801</v>
      </c>
      <c r="G118">
        <f t="shared" ca="1" si="5"/>
        <v>116</v>
      </c>
      <c r="H118">
        <f t="shared" ca="1" si="6"/>
        <v>23.610962811508049</v>
      </c>
      <c r="I118">
        <f t="shared" ca="1" si="7"/>
        <v>545.80576507280125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29685</v>
      </c>
      <c r="B121" s="66">
        <v>29685</v>
      </c>
      <c r="D121">
        <f t="shared" si="4"/>
        <v>0.18733079646352777</v>
      </c>
      <c r="E121">
        <f t="shared" si="4"/>
        <v>0.18733079646352777</v>
      </c>
      <c r="G121">
        <f t="shared" ca="1" si="5"/>
        <v>119</v>
      </c>
      <c r="H121">
        <f t="shared" ca="1" si="6"/>
        <v>22.292364779159804</v>
      </c>
      <c r="I121">
        <f t="shared" ca="1" si="7"/>
        <v>562.22267894371851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27553</v>
      </c>
      <c r="B124" s="66">
        <v>27553</v>
      </c>
      <c r="D124">
        <f t="shared" si="4"/>
        <v>0.17387655162403842</v>
      </c>
      <c r="E124">
        <f t="shared" si="4"/>
        <v>0.17387655162403842</v>
      </c>
      <c r="G124">
        <f t="shared" ca="1" si="5"/>
        <v>122</v>
      </c>
      <c r="H124">
        <f t="shared" ca="1" si="6"/>
        <v>21.212939298132689</v>
      </c>
      <c r="I124">
        <f t="shared" ca="1" si="7"/>
        <v>580.56166591009492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25540</v>
      </c>
      <c r="B126" s="66">
        <v>25540</v>
      </c>
      <c r="D126">
        <f t="shared" si="4"/>
        <v>0.16117327073196897</v>
      </c>
      <c r="E126">
        <f t="shared" si="4"/>
        <v>0.16117327073196897</v>
      </c>
      <c r="G126">
        <f t="shared" ca="1" si="5"/>
        <v>124</v>
      </c>
      <c r="H126">
        <f t="shared" ca="1" si="6"/>
        <v>19.985485570764151</v>
      </c>
      <c r="I126">
        <f t="shared" ca="1" si="7"/>
        <v>576.0435987720316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24675</v>
      </c>
      <c r="B129" s="66">
        <v>24675</v>
      </c>
      <c r="D129">
        <f t="shared" si="4"/>
        <v>0.15571458321500919</v>
      </c>
      <c r="E129">
        <f t="shared" si="4"/>
        <v>0.15571458321500919</v>
      </c>
      <c r="G129">
        <f t="shared" ca="1" si="5"/>
        <v>127</v>
      </c>
      <c r="H129">
        <f t="shared" ca="1" si="6"/>
        <v>19.775752068306168</v>
      </c>
      <c r="I129">
        <f t="shared" ca="1" si="7"/>
        <v>613.7902859554589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25586</v>
      </c>
      <c r="B131" s="66">
        <v>25586</v>
      </c>
      <c r="D131">
        <f t="shared" ref="D131:E194" si="8">IFERROR( A131/MAX(A$2:A$257), 0 )</f>
        <v>0.16146355931668591</v>
      </c>
      <c r="E131">
        <f t="shared" si="8"/>
        <v>0.16146355931668591</v>
      </c>
      <c r="G131">
        <f t="shared" ref="G131:G194" ca="1" si="9">CELL("row",D131)-2</f>
        <v>129</v>
      </c>
      <c r="H131">
        <f t="shared" ref="H131:H194" ca="1" si="10">D131*G131</f>
        <v>20.828799151852483</v>
      </c>
      <c r="I131">
        <f t="shared" ref="I131:I194" ca="1" si="11">D131*((G131-$L$1)^2)</f>
        <v>677.64622713797996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26797</v>
      </c>
      <c r="B134" s="66">
        <v>26797</v>
      </c>
      <c r="D134">
        <f t="shared" si="8"/>
        <v>0.16910572184042963</v>
      </c>
      <c r="E134">
        <f t="shared" si="8"/>
        <v>0.16910572184042963</v>
      </c>
      <c r="G134">
        <f t="shared" ca="1" si="9"/>
        <v>132</v>
      </c>
      <c r="H134">
        <f t="shared" ca="1" si="10"/>
        <v>22.32195528293671</v>
      </c>
      <c r="I134">
        <f t="shared" ca="1" si="11"/>
        <v>776.97310132938787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26410</v>
      </c>
      <c r="B136" s="66">
        <v>26410</v>
      </c>
      <c r="D136">
        <f t="shared" si="8"/>
        <v>0.16666351135596322</v>
      </c>
      <c r="E136">
        <f t="shared" si="8"/>
        <v>0.16666351135596322</v>
      </c>
      <c r="G136">
        <f t="shared" ca="1" si="9"/>
        <v>134</v>
      </c>
      <c r="H136">
        <f t="shared" ca="1" si="10"/>
        <v>22.33291052169907</v>
      </c>
      <c r="I136">
        <f t="shared" ca="1" si="11"/>
        <v>811.60690474040609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25908</v>
      </c>
      <c r="B139" s="66">
        <v>25908</v>
      </c>
      <c r="D139">
        <f t="shared" si="8"/>
        <v>0.16349557940970447</v>
      </c>
      <c r="E139">
        <f t="shared" si="8"/>
        <v>0.16349557940970447</v>
      </c>
      <c r="G139">
        <f t="shared" ca="1" si="9"/>
        <v>137</v>
      </c>
      <c r="H139">
        <f t="shared" ca="1" si="10"/>
        <v>22.398894379129512</v>
      </c>
      <c r="I139">
        <f t="shared" ca="1" si="11"/>
        <v>866.10711999197281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23441</v>
      </c>
      <c r="B142" s="66">
        <v>23441</v>
      </c>
      <c r="D142">
        <f t="shared" si="8"/>
        <v>0.14792727639890699</v>
      </c>
      <c r="E142">
        <f t="shared" si="8"/>
        <v>0.14792727639890699</v>
      </c>
      <c r="G142">
        <f t="shared" ca="1" si="9"/>
        <v>140</v>
      </c>
      <c r="H142">
        <f t="shared" ca="1" si="10"/>
        <v>20.709818695846977</v>
      </c>
      <c r="I142">
        <f t="shared" ca="1" si="11"/>
        <v>849.56636914488809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21771</v>
      </c>
      <c r="B144" s="66">
        <v>21771</v>
      </c>
      <c r="D144">
        <f t="shared" si="8"/>
        <v>0.13738853864940082</v>
      </c>
      <c r="E144">
        <f t="shared" si="8"/>
        <v>0.13738853864940082</v>
      </c>
      <c r="G144">
        <f t="shared" ca="1" si="9"/>
        <v>142</v>
      </c>
      <c r="H144">
        <f t="shared" ca="1" si="10"/>
        <v>19.509172488214915</v>
      </c>
      <c r="I144">
        <f t="shared" ca="1" si="11"/>
        <v>831.23765054454827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18957</v>
      </c>
      <c r="B147" s="66">
        <v>18957</v>
      </c>
      <c r="D147">
        <f t="shared" si="8"/>
        <v>0.11963045001041253</v>
      </c>
      <c r="E147">
        <f t="shared" si="8"/>
        <v>0.11963045001041253</v>
      </c>
      <c r="G147">
        <f t="shared" ca="1" si="9"/>
        <v>145</v>
      </c>
      <c r="H147">
        <f t="shared" ca="1" si="10"/>
        <v>17.346415251509818</v>
      </c>
      <c r="I147">
        <f t="shared" ca="1" si="11"/>
        <v>780.70474091491599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13726</v>
      </c>
      <c r="B149" s="66">
        <v>13726</v>
      </c>
      <c r="D149">
        <f t="shared" si="8"/>
        <v>8.6619589430971269E-2</v>
      </c>
      <c r="E149">
        <f t="shared" si="8"/>
        <v>8.6619589430971269E-2</v>
      </c>
      <c r="G149">
        <f t="shared" ca="1" si="9"/>
        <v>147</v>
      </c>
      <c r="H149">
        <f t="shared" ca="1" si="10"/>
        <v>12.733079646352776</v>
      </c>
      <c r="I149">
        <f t="shared" ca="1" si="11"/>
        <v>593.61305619443215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10518</v>
      </c>
      <c r="B152" s="66">
        <v>10518</v>
      </c>
      <c r="D152">
        <f t="shared" si="8"/>
        <v>6.6375115957668346E-2</v>
      </c>
      <c r="E152">
        <f t="shared" si="8"/>
        <v>6.6375115957668346E-2</v>
      </c>
      <c r="G152">
        <f t="shared" ca="1" si="9"/>
        <v>150</v>
      </c>
      <c r="H152">
        <f t="shared" ca="1" si="10"/>
        <v>9.9562673936502524</v>
      </c>
      <c r="I152">
        <f t="shared" ca="1" si="11"/>
        <v>488.44152697175633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6822</v>
      </c>
      <c r="B154" s="66">
        <v>6822</v>
      </c>
      <c r="D154">
        <f t="shared" si="8"/>
        <v>4.3051059237803148E-2</v>
      </c>
      <c r="E154">
        <f t="shared" si="8"/>
        <v>4.3051059237803148E-2</v>
      </c>
      <c r="G154">
        <f t="shared" ca="1" si="9"/>
        <v>152</v>
      </c>
      <c r="H154">
        <f t="shared" ca="1" si="10"/>
        <v>6.5437610041460781</v>
      </c>
      <c r="I154">
        <f t="shared" ca="1" si="11"/>
        <v>331.74882703402227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5642</v>
      </c>
      <c r="B157" s="66">
        <v>5642</v>
      </c>
      <c r="D157">
        <f t="shared" si="8"/>
        <v>3.5604525977673024E-2</v>
      </c>
      <c r="E157">
        <f t="shared" si="8"/>
        <v>3.5604525977673024E-2</v>
      </c>
      <c r="G157">
        <f t="shared" ca="1" si="9"/>
        <v>155</v>
      </c>
      <c r="H157">
        <f t="shared" ca="1" si="10"/>
        <v>5.5187015265393189</v>
      </c>
      <c r="I157">
        <f t="shared" ca="1" si="11"/>
        <v>293.43967278030755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5158</v>
      </c>
      <c r="B160" s="66">
        <v>5158</v>
      </c>
      <c r="D160">
        <f t="shared" si="8"/>
        <v>3.2550185216738289E-2</v>
      </c>
      <c r="E160">
        <f t="shared" si="8"/>
        <v>3.2550185216738289E-2</v>
      </c>
      <c r="G160">
        <f t="shared" ca="1" si="9"/>
        <v>158</v>
      </c>
      <c r="H160">
        <f t="shared" ca="1" si="10"/>
        <v>5.1429292642446498</v>
      </c>
      <c r="I160">
        <f t="shared" ca="1" si="11"/>
        <v>286.28996243659594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3017</v>
      </c>
      <c r="B162" s="66">
        <v>3017</v>
      </c>
      <c r="D162">
        <f t="shared" si="8"/>
        <v>1.9039144784586938E-2</v>
      </c>
      <c r="E162">
        <f t="shared" si="8"/>
        <v>1.9039144784586938E-2</v>
      </c>
      <c r="G162">
        <f t="shared" ca="1" si="9"/>
        <v>160</v>
      </c>
      <c r="H162">
        <f t="shared" ca="1" si="10"/>
        <v>3.0462631655339099</v>
      </c>
      <c r="I162">
        <f t="shared" ca="1" si="11"/>
        <v>174.67414662284878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2259</v>
      </c>
      <c r="B165" s="66">
        <v>2259</v>
      </c>
      <c r="D165">
        <f t="shared" si="8"/>
        <v>1.4255693758164366E-2</v>
      </c>
      <c r="E165">
        <f t="shared" si="8"/>
        <v>1.4255693758164366E-2</v>
      </c>
      <c r="G165">
        <f t="shared" ca="1" si="9"/>
        <v>163</v>
      </c>
      <c r="H165">
        <f t="shared" ca="1" si="10"/>
        <v>2.3236780825807917</v>
      </c>
      <c r="I165">
        <f t="shared" ca="1" si="11"/>
        <v>139.10955829749096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938</v>
      </c>
      <c r="B167" s="66">
        <v>938</v>
      </c>
      <c r="D167">
        <f t="shared" si="8"/>
        <v>5.9193628796627602E-3</v>
      </c>
      <c r="E167">
        <f t="shared" si="8"/>
        <v>5.9193628796627602E-3</v>
      </c>
      <c r="G167">
        <f t="shared" ca="1" si="9"/>
        <v>165</v>
      </c>
      <c r="H167">
        <f t="shared" ca="1" si="10"/>
        <v>0.97669487514435549</v>
      </c>
      <c r="I167">
        <f t="shared" ca="1" si="11"/>
        <v>60.12479890271964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1112</v>
      </c>
      <c r="B170" s="66">
        <v>1112</v>
      </c>
      <c r="D170">
        <f t="shared" si="8"/>
        <v>7.0174110044616093E-3</v>
      </c>
      <c r="E170">
        <f t="shared" si="8"/>
        <v>7.0174110044616093E-3</v>
      </c>
      <c r="G170">
        <f t="shared" ca="1" si="9"/>
        <v>168</v>
      </c>
      <c r="H170">
        <f t="shared" ca="1" si="10"/>
        <v>1.1789250487495504</v>
      </c>
      <c r="I170">
        <f t="shared" ca="1" si="11"/>
        <v>75.584604368295587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243</v>
      </c>
      <c r="B173" s="66">
        <v>243</v>
      </c>
      <c r="D173">
        <f t="shared" si="8"/>
        <v>1.5334810018742546E-3</v>
      </c>
      <c r="E173">
        <f t="shared" si="8"/>
        <v>1.5334810018742546E-3</v>
      </c>
      <c r="G173">
        <f t="shared" ca="1" si="9"/>
        <v>171</v>
      </c>
      <c r="H173">
        <f t="shared" ca="1" si="10"/>
        <v>0.26222525132049757</v>
      </c>
      <c r="I173">
        <f t="shared" ca="1" si="11"/>
        <v>17.485840532001081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0</v>
      </c>
      <c r="B175" s="66">
        <v>0</v>
      </c>
      <c r="D175">
        <f t="shared" si="8"/>
        <v>0</v>
      </c>
      <c r="E175">
        <f t="shared" si="8"/>
        <v>0</v>
      </c>
      <c r="G175">
        <f t="shared" ca="1" si="9"/>
        <v>173</v>
      </c>
      <c r="H175">
        <f t="shared" ca="1" si="10"/>
        <v>0</v>
      </c>
      <c r="I175">
        <f t="shared" ca="1" si="11"/>
        <v>0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0</v>
      </c>
      <c r="B178" s="66">
        <v>0</v>
      </c>
      <c r="D178">
        <f t="shared" si="8"/>
        <v>0</v>
      </c>
      <c r="E178">
        <f t="shared" si="8"/>
        <v>0</v>
      </c>
      <c r="G178">
        <f t="shared" ca="1" si="9"/>
        <v>176</v>
      </c>
      <c r="H178">
        <f t="shared" ca="1" si="10"/>
        <v>0</v>
      </c>
      <c r="I178">
        <f t="shared" ca="1" si="11"/>
        <v>0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0</v>
      </c>
      <c r="B180" s="66">
        <v>0</v>
      </c>
      <c r="D180">
        <f t="shared" si="8"/>
        <v>0</v>
      </c>
      <c r="E180">
        <f t="shared" si="8"/>
        <v>0</v>
      </c>
      <c r="G180">
        <f t="shared" ca="1" si="9"/>
        <v>178</v>
      </c>
      <c r="H180">
        <f t="shared" ca="1" si="10"/>
        <v>0</v>
      </c>
      <c r="I180">
        <f t="shared" ca="1" si="11"/>
        <v>0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456</v>
      </c>
      <c r="B1" s="66" t="s">
        <v>457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58.49002652870351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1.1292956137713104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0.56051310278434496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3676</v>
      </c>
      <c r="B8" s="66">
        <v>3676</v>
      </c>
      <c r="D8">
        <f t="shared" si="0"/>
        <v>4.0265956864162638</v>
      </c>
      <c r="E8">
        <f t="shared" si="1"/>
        <v>4.0265956864162638</v>
      </c>
      <c r="G8">
        <f t="shared" ca="1" si="2"/>
        <v>6</v>
      </c>
      <c r="H8">
        <f t="shared" ca="1" si="3"/>
        <v>24.159574118497581</v>
      </c>
      <c r="I8">
        <f t="shared" ca="1" si="4"/>
        <v>11094.088051878212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3689</v>
      </c>
      <c r="B10" s="66">
        <v>3689</v>
      </c>
      <c r="D10">
        <f t="shared" si="0"/>
        <v>4.0408355514661585</v>
      </c>
      <c r="E10">
        <f t="shared" si="1"/>
        <v>4.0408355514661585</v>
      </c>
      <c r="G10">
        <f t="shared" ca="1" si="2"/>
        <v>8</v>
      </c>
      <c r="H10">
        <f t="shared" ca="1" si="3"/>
        <v>32.326684411729268</v>
      </c>
      <c r="I10">
        <f t="shared" ca="1" si="4"/>
        <v>10301.070850172982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6806</v>
      </c>
      <c r="B13" s="66">
        <v>6806</v>
      </c>
      <c r="D13">
        <f t="shared" si="0"/>
        <v>7.455117040736968</v>
      </c>
      <c r="E13">
        <f t="shared" si="1"/>
        <v>7.455117040736968</v>
      </c>
      <c r="G13">
        <f t="shared" ca="1" si="2"/>
        <v>11</v>
      </c>
      <c r="H13">
        <f t="shared" ca="1" si="3"/>
        <v>82.006287448106647</v>
      </c>
      <c r="I13">
        <f t="shared" ca="1" si="4"/>
        <v>16813.544992121555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13839</v>
      </c>
      <c r="B15" s="66">
        <v>13839</v>
      </c>
      <c r="D15">
        <f t="shared" si="0"/>
        <v>15.158884032729782</v>
      </c>
      <c r="E15">
        <f t="shared" si="1"/>
        <v>15.158884032729782</v>
      </c>
      <c r="G15">
        <f t="shared" ca="1" si="2"/>
        <v>13</v>
      </c>
      <c r="H15">
        <f t="shared" ca="1" si="3"/>
        <v>197.06549242548718</v>
      </c>
      <c r="I15">
        <f t="shared" ca="1" si="4"/>
        <v>31368.923187389351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21926</v>
      </c>
      <c r="B18" s="66">
        <v>21926</v>
      </c>
      <c r="D18">
        <f t="shared" si="0"/>
        <v>24.017175467998641</v>
      </c>
      <c r="E18">
        <f t="shared" si="1"/>
        <v>24.017175467998641</v>
      </c>
      <c r="G18">
        <f t="shared" ca="1" si="2"/>
        <v>16</v>
      </c>
      <c r="H18">
        <f t="shared" ca="1" si="3"/>
        <v>384.27480748797825</v>
      </c>
      <c r="I18">
        <f t="shared" ca="1" si="4"/>
        <v>43360.665136201111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32377</v>
      </c>
      <c r="B21" s="66">
        <v>32377</v>
      </c>
      <c r="D21">
        <f t="shared" si="0"/>
        <v>35.464931593879051</v>
      </c>
      <c r="E21">
        <f t="shared" si="1"/>
        <v>35.464931593879051</v>
      </c>
      <c r="G21">
        <f t="shared" ca="1" si="2"/>
        <v>19</v>
      </c>
      <c r="H21">
        <f t="shared" ca="1" si="3"/>
        <v>673.833700283702</v>
      </c>
      <c r="I21">
        <f t="shared" ca="1" si="4"/>
        <v>55306.220077345737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44459</v>
      </c>
      <c r="B23" s="66">
        <v>44459</v>
      </c>
      <c r="D23">
        <f t="shared" si="0"/>
        <v>48.699243096403883</v>
      </c>
      <c r="E23">
        <f t="shared" si="1"/>
        <v>48.699243096403883</v>
      </c>
      <c r="G23">
        <f t="shared" ca="1" si="2"/>
        <v>21</v>
      </c>
      <c r="H23">
        <f t="shared" ca="1" si="3"/>
        <v>1022.6841050244816</v>
      </c>
      <c r="I23">
        <f t="shared" ca="1" si="4"/>
        <v>68446.887910699283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57585</v>
      </c>
      <c r="B26" s="66">
        <v>57585</v>
      </c>
      <c r="D26">
        <f t="shared" si="0"/>
        <v>63.0771252998587</v>
      </c>
      <c r="E26">
        <f t="shared" si="1"/>
        <v>63.0771252998587</v>
      </c>
      <c r="G26">
        <f t="shared" ca="1" si="2"/>
        <v>24</v>
      </c>
      <c r="H26">
        <f t="shared" ca="1" si="3"/>
        <v>1513.8510071966089</v>
      </c>
      <c r="I26">
        <f t="shared" ca="1" si="4"/>
        <v>75034.14690744027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59550</v>
      </c>
      <c r="B28" s="66">
        <v>59550</v>
      </c>
      <c r="D28">
        <f t="shared" si="0"/>
        <v>65.229535670861949</v>
      </c>
      <c r="E28">
        <f t="shared" si="1"/>
        <v>65.229535670861949</v>
      </c>
      <c r="G28">
        <f t="shared" ca="1" si="2"/>
        <v>26</v>
      </c>
      <c r="H28">
        <f t="shared" ca="1" si="3"/>
        <v>1695.9679274424107</v>
      </c>
      <c r="I28">
        <f t="shared" ca="1" si="4"/>
        <v>68856.416822128027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61247</v>
      </c>
      <c r="B31" s="66">
        <v>61247</v>
      </c>
      <c r="D31">
        <f t="shared" si="0"/>
        <v>67.088385746990454</v>
      </c>
      <c r="E31">
        <f t="shared" si="1"/>
        <v>67.088385746990454</v>
      </c>
      <c r="G31">
        <f t="shared" ca="1" si="2"/>
        <v>29</v>
      </c>
      <c r="H31">
        <f t="shared" ca="1" si="3"/>
        <v>1945.5631866627232</v>
      </c>
      <c r="I31">
        <f t="shared" ca="1" si="4"/>
        <v>58344.197228323923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69365</v>
      </c>
      <c r="B33" s="66">
        <v>69365</v>
      </c>
      <c r="D33">
        <f t="shared" si="0"/>
        <v>75.980633783532141</v>
      </c>
      <c r="E33">
        <f t="shared" si="1"/>
        <v>75.980633783532141</v>
      </c>
      <c r="G33">
        <f t="shared" ca="1" si="2"/>
        <v>31</v>
      </c>
      <c r="H33">
        <f t="shared" ca="1" si="3"/>
        <v>2355.3996472894964</v>
      </c>
      <c r="I33">
        <f t="shared" ca="1" si="4"/>
        <v>57418.683369742575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67525</v>
      </c>
      <c r="B36" s="66">
        <v>67525</v>
      </c>
      <c r="D36">
        <f t="shared" si="0"/>
        <v>73.965145191854802</v>
      </c>
      <c r="E36">
        <f t="shared" si="1"/>
        <v>73.965145191854802</v>
      </c>
      <c r="G36">
        <f t="shared" ca="1" si="2"/>
        <v>34</v>
      </c>
      <c r="H36">
        <f t="shared" ca="1" si="3"/>
        <v>2514.8149365230634</v>
      </c>
      <c r="I36">
        <f t="shared" ca="1" si="4"/>
        <v>44361.438985360364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70803</v>
      </c>
      <c r="B39" s="66">
        <v>70803</v>
      </c>
      <c r="D39">
        <f t="shared" si="0"/>
        <v>77.555781932897375</v>
      </c>
      <c r="E39">
        <f t="shared" si="1"/>
        <v>77.555781932897375</v>
      </c>
      <c r="G39">
        <f t="shared" ca="1" si="2"/>
        <v>37</v>
      </c>
      <c r="H39">
        <f t="shared" ca="1" si="3"/>
        <v>2869.5639315172029</v>
      </c>
      <c r="I39">
        <f t="shared" ca="1" si="4"/>
        <v>35816.907397271163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75484</v>
      </c>
      <c r="B41" s="66">
        <v>75484</v>
      </c>
      <c r="D41">
        <f t="shared" si="0"/>
        <v>82.683228725093926</v>
      </c>
      <c r="E41">
        <f t="shared" si="1"/>
        <v>82.683228725093926</v>
      </c>
      <c r="G41">
        <f t="shared" ca="1" si="2"/>
        <v>39</v>
      </c>
      <c r="H41">
        <f t="shared" ca="1" si="3"/>
        <v>3224.6459202786632</v>
      </c>
      <c r="I41">
        <f t="shared" ca="1" si="4"/>
        <v>31408.145033701207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75111</v>
      </c>
      <c r="B44" s="66">
        <v>75111</v>
      </c>
      <c r="D44">
        <f t="shared" si="0"/>
        <v>82.274654135585422</v>
      </c>
      <c r="E44">
        <f t="shared" si="1"/>
        <v>82.274654135585422</v>
      </c>
      <c r="G44">
        <f t="shared" ca="1" si="2"/>
        <v>42</v>
      </c>
      <c r="H44">
        <f t="shared" ca="1" si="3"/>
        <v>3455.5354736945878</v>
      </c>
      <c r="I44">
        <f t="shared" ca="1" si="4"/>
        <v>22372.2041635358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75341</v>
      </c>
      <c r="B46" s="66">
        <v>75341</v>
      </c>
      <c r="D46">
        <f t="shared" si="0"/>
        <v>82.526590209545091</v>
      </c>
      <c r="E46">
        <f t="shared" si="1"/>
        <v>82.526590209545091</v>
      </c>
      <c r="G46">
        <f t="shared" ca="1" si="2"/>
        <v>44</v>
      </c>
      <c r="H46">
        <f t="shared" ca="1" si="3"/>
        <v>3631.1699692199841</v>
      </c>
      <c r="I46">
        <f t="shared" ca="1" si="4"/>
        <v>17327.354579706574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74503</v>
      </c>
      <c r="B49" s="66">
        <v>74503</v>
      </c>
      <c r="D49">
        <f t="shared" si="0"/>
        <v>81.608666600944218</v>
      </c>
      <c r="E49">
        <f t="shared" si="1"/>
        <v>81.608666600944218</v>
      </c>
      <c r="G49">
        <f t="shared" ca="1" si="2"/>
        <v>47</v>
      </c>
      <c r="H49">
        <f t="shared" ca="1" si="3"/>
        <v>3835.6073302443783</v>
      </c>
      <c r="I49">
        <f t="shared" ca="1" si="4"/>
        <v>10774.03407664007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79476</v>
      </c>
      <c r="B51" s="66">
        <v>79476</v>
      </c>
      <c r="D51">
        <f t="shared" si="0"/>
        <v>87.055962669646078</v>
      </c>
      <c r="E51">
        <f t="shared" si="1"/>
        <v>87.055962669646078</v>
      </c>
      <c r="G51">
        <f t="shared" ca="1" si="2"/>
        <v>49</v>
      </c>
      <c r="H51">
        <f t="shared" ca="1" si="3"/>
        <v>4265.7421708126576</v>
      </c>
      <c r="I51">
        <f t="shared" ca="1" si="4"/>
        <v>7840.3125376508497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85636</v>
      </c>
      <c r="B54" s="66">
        <v>85636</v>
      </c>
      <c r="D54">
        <f t="shared" si="0"/>
        <v>93.803467954826772</v>
      </c>
      <c r="E54">
        <f t="shared" si="1"/>
        <v>93.803467954826772</v>
      </c>
      <c r="G54">
        <f t="shared" ca="1" si="2"/>
        <v>52</v>
      </c>
      <c r="H54">
        <f t="shared" ca="1" si="3"/>
        <v>4877.7803336509924</v>
      </c>
      <c r="I54">
        <f t="shared" ca="1" si="4"/>
        <v>3951.0437511974919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91293</v>
      </c>
      <c r="B57" s="66">
        <v>91293</v>
      </c>
      <c r="D57">
        <f t="shared" si="0"/>
        <v>100</v>
      </c>
      <c r="E57">
        <f t="shared" si="1"/>
        <v>100</v>
      </c>
      <c r="G57">
        <f t="shared" ca="1" si="2"/>
        <v>55</v>
      </c>
      <c r="H57">
        <f t="shared" ca="1" si="3"/>
        <v>5500</v>
      </c>
      <c r="I57">
        <f t="shared" ca="1" si="4"/>
        <v>1218.028517105427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82935</v>
      </c>
      <c r="B59" s="66">
        <v>82935</v>
      </c>
      <c r="D59">
        <f t="shared" si="0"/>
        <v>90.844862147152568</v>
      </c>
      <c r="E59">
        <f t="shared" si="1"/>
        <v>90.844862147152568</v>
      </c>
      <c r="G59">
        <f t="shared" ca="1" si="2"/>
        <v>57</v>
      </c>
      <c r="H59">
        <f t="shared" ca="1" si="3"/>
        <v>5178.1571423876967</v>
      </c>
      <c r="I59">
        <f t="shared" ca="1" si="4"/>
        <v>201.69186030613909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74531</v>
      </c>
      <c r="B62" s="66">
        <v>74531</v>
      </c>
      <c r="D62">
        <f t="shared" si="0"/>
        <v>81.639337079513211</v>
      </c>
      <c r="E62">
        <f t="shared" si="1"/>
        <v>81.639337079513211</v>
      </c>
      <c r="G62">
        <f t="shared" ca="1" si="2"/>
        <v>60</v>
      </c>
      <c r="H62">
        <f t="shared" ca="1" si="3"/>
        <v>4898.3602247707931</v>
      </c>
      <c r="I62">
        <f t="shared" ca="1" si="4"/>
        <v>186.13931185943386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65670</v>
      </c>
      <c r="B64" s="66">
        <v>65670</v>
      </c>
      <c r="D64">
        <f t="shared" si="0"/>
        <v>71.933225986658343</v>
      </c>
      <c r="E64">
        <f t="shared" si="1"/>
        <v>71.933225986658343</v>
      </c>
      <c r="G64">
        <f t="shared" ca="1" si="2"/>
        <v>62</v>
      </c>
      <c r="H64">
        <f t="shared" ca="1" si="3"/>
        <v>4459.8600111728174</v>
      </c>
      <c r="I64">
        <f t="shared" ca="1" si="4"/>
        <v>886.2111412963767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67552</v>
      </c>
      <c r="B67" s="66">
        <v>67552</v>
      </c>
      <c r="D67">
        <f t="shared" ref="D67:D130" si="5">IFERROR( 100*A67/MAX(A$2:A$257), 0 )</f>
        <v>73.994720296189186</v>
      </c>
      <c r="E67">
        <f t="shared" ref="E67:E130" si="6">IFERROR( 100*B67/MAX(B$2:B$257), 0 )</f>
        <v>73.994720296189186</v>
      </c>
      <c r="G67">
        <f t="shared" ref="G67:G130" ca="1" si="7">CELL("row",D67)-2</f>
        <v>65</v>
      </c>
      <c r="H67">
        <f t="shared" ref="H67:H130" ca="1" si="8">D67*G67</f>
        <v>4809.6568192522973</v>
      </c>
      <c r="I67">
        <f t="shared" ref="I67:I130" ca="1" si="9">D67*((G67-$L$1)^2)</f>
        <v>3135.8780876249748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62112</v>
      </c>
      <c r="B69" s="66">
        <v>62112</v>
      </c>
      <c r="D69">
        <f t="shared" si="5"/>
        <v>68.03588445992574</v>
      </c>
      <c r="E69">
        <f t="shared" si="6"/>
        <v>68.03588445992574</v>
      </c>
      <c r="G69">
        <f t="shared" ca="1" si="7"/>
        <v>67</v>
      </c>
      <c r="H69">
        <f t="shared" ca="1" si="8"/>
        <v>4558.4042588150241</v>
      </c>
      <c r="I69">
        <f t="shared" ca="1" si="9"/>
        <v>4927.1348367613564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61254</v>
      </c>
      <c r="B72" s="66">
        <v>61254</v>
      </c>
      <c r="D72">
        <f t="shared" si="5"/>
        <v>67.096053366632717</v>
      </c>
      <c r="E72">
        <f t="shared" si="6"/>
        <v>67.096053366632717</v>
      </c>
      <c r="G72">
        <f t="shared" ca="1" si="7"/>
        <v>70</v>
      </c>
      <c r="H72">
        <f t="shared" ca="1" si="8"/>
        <v>4696.72373566429</v>
      </c>
      <c r="I72">
        <f t="shared" ca="1" si="9"/>
        <v>8888.8508847245848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56603</v>
      </c>
      <c r="B75" s="66">
        <v>56603</v>
      </c>
      <c r="D75">
        <f t="shared" si="5"/>
        <v>62.001467801474377</v>
      </c>
      <c r="E75">
        <f t="shared" si="6"/>
        <v>62.001467801474377</v>
      </c>
      <c r="G75">
        <f t="shared" ca="1" si="7"/>
        <v>73</v>
      </c>
      <c r="H75">
        <f t="shared" ca="1" si="8"/>
        <v>4526.1071495076294</v>
      </c>
      <c r="I75">
        <f t="shared" ca="1" si="9"/>
        <v>13053.747498478322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52726</v>
      </c>
      <c r="B77" s="66">
        <v>52726</v>
      </c>
      <c r="D77">
        <f t="shared" si="5"/>
        <v>57.754701893902052</v>
      </c>
      <c r="E77">
        <f t="shared" si="6"/>
        <v>57.754701893902052</v>
      </c>
      <c r="G77">
        <f t="shared" ca="1" si="7"/>
        <v>75</v>
      </c>
      <c r="H77">
        <f t="shared" ca="1" si="8"/>
        <v>4331.6026420426542</v>
      </c>
      <c r="I77">
        <f t="shared" ca="1" si="9"/>
        <v>15742.731825914536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40501</v>
      </c>
      <c r="B80" s="66">
        <v>40501</v>
      </c>
      <c r="D80">
        <f t="shared" si="5"/>
        <v>44.363751875828378</v>
      </c>
      <c r="E80">
        <f t="shared" si="6"/>
        <v>44.363751875828378</v>
      </c>
      <c r="G80">
        <f t="shared" ca="1" si="7"/>
        <v>78</v>
      </c>
      <c r="H80">
        <f t="shared" ca="1" si="8"/>
        <v>3460.3726463146136</v>
      </c>
      <c r="I80">
        <f t="shared" ca="1" si="9"/>
        <v>16886.577027283482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35536</v>
      </c>
      <c r="B82" s="66">
        <v>35536</v>
      </c>
      <c r="D82">
        <f t="shared" si="5"/>
        <v>38.925218801003361</v>
      </c>
      <c r="E82">
        <f t="shared" si="6"/>
        <v>38.925218801003361</v>
      </c>
      <c r="G82">
        <f t="shared" ca="1" si="7"/>
        <v>80</v>
      </c>
      <c r="H82">
        <f t="shared" ca="1" si="8"/>
        <v>3114.0175040802687</v>
      </c>
      <c r="I82">
        <f t="shared" ca="1" si="9"/>
        <v>18009.879703414488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31043</v>
      </c>
      <c r="B85" s="66">
        <v>31043</v>
      </c>
      <c r="D85">
        <f t="shared" si="5"/>
        <v>34.003702364912975</v>
      </c>
      <c r="E85">
        <f t="shared" si="6"/>
        <v>34.003702364912975</v>
      </c>
      <c r="G85">
        <f t="shared" ca="1" si="7"/>
        <v>83</v>
      </c>
      <c r="H85">
        <f t="shared" ca="1" si="8"/>
        <v>2822.3072962877768</v>
      </c>
      <c r="I85">
        <f t="shared" ca="1" si="9"/>
        <v>20427.34333941773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28100</v>
      </c>
      <c r="B88" s="66">
        <v>28100</v>
      </c>
      <c r="D88">
        <f t="shared" si="5"/>
        <v>30.780015992463824</v>
      </c>
      <c r="E88">
        <f t="shared" si="6"/>
        <v>30.780015992463824</v>
      </c>
      <c r="G88">
        <f t="shared" ca="1" si="7"/>
        <v>86</v>
      </c>
      <c r="H88">
        <f t="shared" ca="1" si="8"/>
        <v>2647.0813753518887</v>
      </c>
      <c r="I88">
        <f t="shared" ca="1" si="9"/>
        <v>23294.2742543233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23995</v>
      </c>
      <c r="B90" s="66">
        <v>23995</v>
      </c>
      <c r="D90">
        <f t="shared" si="5"/>
        <v>26.283504759401051</v>
      </c>
      <c r="E90">
        <f t="shared" si="6"/>
        <v>26.283504759401051</v>
      </c>
      <c r="G90">
        <f t="shared" ca="1" si="7"/>
        <v>88</v>
      </c>
      <c r="H90">
        <f t="shared" ca="1" si="8"/>
        <v>2312.9484188272927</v>
      </c>
      <c r="I90">
        <f t="shared" ca="1" si="9"/>
        <v>22888.688760329449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21116</v>
      </c>
      <c r="B93" s="66">
        <v>21116</v>
      </c>
      <c r="D93">
        <f t="shared" si="5"/>
        <v>23.129922337966768</v>
      </c>
      <c r="E93">
        <f t="shared" si="6"/>
        <v>23.129922337966768</v>
      </c>
      <c r="G93">
        <f t="shared" ca="1" si="7"/>
        <v>91</v>
      </c>
      <c r="H93">
        <f t="shared" ca="1" si="8"/>
        <v>2104.8229327549757</v>
      </c>
      <c r="I93">
        <f t="shared" ca="1" si="9"/>
        <v>24445.977335288077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18895</v>
      </c>
      <c r="B95" s="66">
        <v>18895</v>
      </c>
      <c r="D95">
        <f t="shared" si="5"/>
        <v>20.697096162904057</v>
      </c>
      <c r="E95">
        <f t="shared" si="6"/>
        <v>20.697096162904057</v>
      </c>
      <c r="G95">
        <f t="shared" ca="1" si="7"/>
        <v>93</v>
      </c>
      <c r="H95">
        <f t="shared" ca="1" si="8"/>
        <v>1924.8299431500773</v>
      </c>
      <c r="I95">
        <f t="shared" ca="1" si="9"/>
        <v>24648.963877359995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15864</v>
      </c>
      <c r="B98" s="66">
        <v>15864</v>
      </c>
      <c r="D98">
        <f t="shared" si="5"/>
        <v>17.377016857809469</v>
      </c>
      <c r="E98">
        <f t="shared" si="6"/>
        <v>17.377016857809469</v>
      </c>
      <c r="G98">
        <f t="shared" ca="1" si="7"/>
        <v>96</v>
      </c>
      <c r="H98">
        <f t="shared" ca="1" si="8"/>
        <v>1668.1936183497091</v>
      </c>
      <c r="I98">
        <f t="shared" ca="1" si="9"/>
        <v>24449.429873202436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16928</v>
      </c>
      <c r="B100" s="66">
        <v>16928</v>
      </c>
      <c r="D100">
        <f t="shared" si="5"/>
        <v>18.54249504343159</v>
      </c>
      <c r="E100">
        <f t="shared" si="6"/>
        <v>18.54249504343159</v>
      </c>
      <c r="G100">
        <f t="shared" ca="1" si="7"/>
        <v>98</v>
      </c>
      <c r="H100">
        <f t="shared" ca="1" si="8"/>
        <v>1817.1645142562959</v>
      </c>
      <c r="I100">
        <f t="shared" ca="1" si="9"/>
        <v>28945.539446262923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14658</v>
      </c>
      <c r="B103" s="66">
        <v>14658</v>
      </c>
      <c r="D103">
        <f t="shared" si="5"/>
        <v>16.055995530873123</v>
      </c>
      <c r="E103">
        <f t="shared" si="6"/>
        <v>16.055995530873123</v>
      </c>
      <c r="G103">
        <f t="shared" ca="1" si="7"/>
        <v>101</v>
      </c>
      <c r="H103">
        <f t="shared" ca="1" si="8"/>
        <v>1621.6555486181853</v>
      </c>
      <c r="I103">
        <f t="shared" ca="1" si="9"/>
        <v>29014.754915629455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11510</v>
      </c>
      <c r="B106" s="66">
        <v>11510</v>
      </c>
      <c r="D106">
        <f t="shared" si="5"/>
        <v>12.607757440329488</v>
      </c>
      <c r="E106">
        <f t="shared" si="6"/>
        <v>12.607757440329488</v>
      </c>
      <c r="G106">
        <f t="shared" ca="1" si="7"/>
        <v>104</v>
      </c>
      <c r="H106">
        <f t="shared" ca="1" si="8"/>
        <v>1311.2067737942668</v>
      </c>
      <c r="I106">
        <f t="shared" ca="1" si="9"/>
        <v>26112.653717669316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10630</v>
      </c>
      <c r="B108" s="66">
        <v>10630</v>
      </c>
      <c r="D108">
        <f t="shared" si="5"/>
        <v>11.643828113875106</v>
      </c>
      <c r="E108">
        <f t="shared" si="6"/>
        <v>11.643828113875106</v>
      </c>
      <c r="G108">
        <f t="shared" ca="1" si="7"/>
        <v>106</v>
      </c>
      <c r="H108">
        <f t="shared" ca="1" si="8"/>
        <v>1234.2457800707612</v>
      </c>
      <c r="I108">
        <f t="shared" ca="1" si="9"/>
        <v>26282.420631763925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9051</v>
      </c>
      <c r="B111" s="66">
        <v>9051</v>
      </c>
      <c r="D111">
        <f t="shared" si="5"/>
        <v>9.9142321974302519</v>
      </c>
      <c r="E111">
        <f t="shared" si="6"/>
        <v>9.9142321974302519</v>
      </c>
      <c r="G111">
        <f t="shared" ca="1" si="7"/>
        <v>109</v>
      </c>
      <c r="H111">
        <f t="shared" ca="1" si="8"/>
        <v>1080.6513095198975</v>
      </c>
      <c r="I111">
        <f t="shared" ca="1" si="9"/>
        <v>25293.758458001492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10987</v>
      </c>
      <c r="B113" s="66">
        <v>10987</v>
      </c>
      <c r="D113">
        <f t="shared" si="5"/>
        <v>12.034876715629895</v>
      </c>
      <c r="E113">
        <f t="shared" si="6"/>
        <v>12.034876715629895</v>
      </c>
      <c r="G113">
        <f t="shared" ca="1" si="7"/>
        <v>111</v>
      </c>
      <c r="H113">
        <f t="shared" ca="1" si="8"/>
        <v>1335.8713154349184</v>
      </c>
      <c r="I113">
        <f t="shared" ca="1" si="9"/>
        <v>33183.733241801063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10672</v>
      </c>
      <c r="B116" s="66">
        <v>10672</v>
      </c>
      <c r="D116">
        <f t="shared" si="5"/>
        <v>11.68983383172861</v>
      </c>
      <c r="E116">
        <f t="shared" si="6"/>
        <v>11.68983383172861</v>
      </c>
      <c r="G116">
        <f t="shared" ca="1" si="7"/>
        <v>114</v>
      </c>
      <c r="H116">
        <f t="shared" ca="1" si="8"/>
        <v>1332.6410568170616</v>
      </c>
      <c r="I116">
        <f t="shared" ca="1" si="9"/>
        <v>36020.553115633484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10572</v>
      </c>
      <c r="B118" s="66">
        <v>10572</v>
      </c>
      <c r="D118">
        <f t="shared" si="5"/>
        <v>11.580296408267884</v>
      </c>
      <c r="E118">
        <f t="shared" si="6"/>
        <v>11.580296408267884</v>
      </c>
      <c r="G118">
        <f t="shared" ca="1" si="7"/>
        <v>116</v>
      </c>
      <c r="H118">
        <f t="shared" ca="1" si="8"/>
        <v>1343.3143833590746</v>
      </c>
      <c r="I118">
        <f t="shared" ca="1" si="9"/>
        <v>38300.638163420037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9597</v>
      </c>
      <c r="B121" s="66">
        <v>9597</v>
      </c>
      <c r="D121">
        <f t="shared" si="5"/>
        <v>10.512306529525812</v>
      </c>
      <c r="E121">
        <f t="shared" si="6"/>
        <v>10.512306529525812</v>
      </c>
      <c r="G121">
        <f t="shared" ca="1" si="7"/>
        <v>119</v>
      </c>
      <c r="H121">
        <f t="shared" ca="1" si="8"/>
        <v>1250.9644770135717</v>
      </c>
      <c r="I121">
        <f t="shared" ca="1" si="9"/>
        <v>38490.357167036636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8422</v>
      </c>
      <c r="B124" s="66">
        <v>8422</v>
      </c>
      <c r="D124">
        <f t="shared" si="5"/>
        <v>9.2252418038622892</v>
      </c>
      <c r="E124">
        <f t="shared" si="6"/>
        <v>9.2252418038622892</v>
      </c>
      <c r="G124">
        <f t="shared" ca="1" si="7"/>
        <v>122</v>
      </c>
      <c r="H124">
        <f t="shared" ca="1" si="8"/>
        <v>1125.4795000711993</v>
      </c>
      <c r="I124">
        <f t="shared" ca="1" si="9"/>
        <v>37210.16715717013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9199</v>
      </c>
      <c r="B126" s="66">
        <v>9199</v>
      </c>
      <c r="D126">
        <f t="shared" si="5"/>
        <v>10.076347584152126</v>
      </c>
      <c r="E126">
        <f t="shared" si="6"/>
        <v>10.076347584152126</v>
      </c>
      <c r="G126">
        <f t="shared" ca="1" si="7"/>
        <v>124</v>
      </c>
      <c r="H126">
        <f t="shared" ca="1" si="8"/>
        <v>1249.4671004348636</v>
      </c>
      <c r="I126">
        <f t="shared" ca="1" si="9"/>
        <v>43243.216222610186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7896</v>
      </c>
      <c r="B129" s="66">
        <v>7896</v>
      </c>
      <c r="D129">
        <f t="shared" si="5"/>
        <v>8.6490749564588736</v>
      </c>
      <c r="E129">
        <f t="shared" si="6"/>
        <v>8.6490749564588736</v>
      </c>
      <c r="G129">
        <f t="shared" ca="1" si="7"/>
        <v>127</v>
      </c>
      <c r="H129">
        <f t="shared" ca="1" si="8"/>
        <v>1098.4325194702769</v>
      </c>
      <c r="I129">
        <f t="shared" ca="1" si="9"/>
        <v>40595.440622981019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7540</v>
      </c>
      <c r="B131" s="66">
        <v>7540</v>
      </c>
      <c r="D131">
        <f t="shared" ref="D131:D194" si="10">IFERROR( 100*A131/MAX(A$2:A$257), 0 )</f>
        <v>8.2591217289386911</v>
      </c>
      <c r="E131">
        <f t="shared" ref="E131:E194" si="11">IFERROR( 100*B131/MAX(B$2:B$257), 0 )</f>
        <v>8.2591217289386911</v>
      </c>
      <c r="G131">
        <f t="shared" ref="G131:G194" ca="1" si="12">CELL("row",D131)-2</f>
        <v>129</v>
      </c>
      <c r="H131">
        <f t="shared" ref="H131:H194" ca="1" si="13">D131*G131</f>
        <v>1065.4267030330911</v>
      </c>
      <c r="I131">
        <f t="shared" ref="I131:I194" ca="1" si="14">D131*((G131-$L$1)^2)</f>
        <v>41061.515062796621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9662</v>
      </c>
      <c r="B134" s="66">
        <v>9662</v>
      </c>
      <c r="D134">
        <f t="shared" si="10"/>
        <v>10.583505854775284</v>
      </c>
      <c r="E134">
        <f t="shared" si="11"/>
        <v>10.583505854775284</v>
      </c>
      <c r="G134">
        <f t="shared" ca="1" si="12"/>
        <v>132</v>
      </c>
      <c r="H134">
        <f t="shared" ca="1" si="13"/>
        <v>1397.0227728303375</v>
      </c>
      <c r="I134">
        <f t="shared" ca="1" si="14"/>
        <v>57190.262037605724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7127</v>
      </c>
      <c r="B136" s="66">
        <v>7127</v>
      </c>
      <c r="D136">
        <f t="shared" si="10"/>
        <v>7.8067321700458958</v>
      </c>
      <c r="E136">
        <f t="shared" si="11"/>
        <v>7.8067321700458958</v>
      </c>
      <c r="G136">
        <f t="shared" ca="1" si="12"/>
        <v>134</v>
      </c>
      <c r="H136">
        <f t="shared" ca="1" si="13"/>
        <v>1046.10211078615</v>
      </c>
      <c r="I136">
        <f t="shared" ca="1" si="14"/>
        <v>44512.082721942599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8135</v>
      </c>
      <c r="B139" s="66">
        <v>8135</v>
      </c>
      <c r="D139">
        <f t="shared" si="10"/>
        <v>8.9108693985300071</v>
      </c>
      <c r="E139">
        <f t="shared" si="11"/>
        <v>8.9108693985300071</v>
      </c>
      <c r="G139">
        <f t="shared" ca="1" si="12"/>
        <v>137</v>
      </c>
      <c r="H139">
        <f t="shared" ca="1" si="13"/>
        <v>1220.7891075986111</v>
      </c>
      <c r="I139">
        <f t="shared" ca="1" si="14"/>
        <v>54924.958788584037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7689</v>
      </c>
      <c r="B142" s="66">
        <v>7689</v>
      </c>
      <c r="D142">
        <f t="shared" si="10"/>
        <v>8.4223324898951724</v>
      </c>
      <c r="E142">
        <f t="shared" si="11"/>
        <v>8.4223324898951724</v>
      </c>
      <c r="G142">
        <f t="shared" ca="1" si="12"/>
        <v>140</v>
      </c>
      <c r="H142">
        <f t="shared" ca="1" si="13"/>
        <v>1179.1265485853241</v>
      </c>
      <c r="I142">
        <f t="shared" ca="1" si="14"/>
        <v>55956.930801064722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8799</v>
      </c>
      <c r="B144" s="66">
        <v>8799</v>
      </c>
      <c r="D144">
        <f t="shared" si="10"/>
        <v>9.6381978903092236</v>
      </c>
      <c r="E144">
        <f t="shared" si="11"/>
        <v>9.6381978903092236</v>
      </c>
      <c r="G144">
        <f t="shared" ca="1" si="12"/>
        <v>142</v>
      </c>
      <c r="H144">
        <f t="shared" ca="1" si="13"/>
        <v>1368.6241004239098</v>
      </c>
      <c r="I144">
        <f t="shared" ca="1" si="14"/>
        <v>67215.979289852767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7669</v>
      </c>
      <c r="B147" s="66">
        <v>7669</v>
      </c>
      <c r="D147">
        <f t="shared" si="10"/>
        <v>8.4004250052030276</v>
      </c>
      <c r="E147">
        <f t="shared" si="11"/>
        <v>8.4004250052030276</v>
      </c>
      <c r="G147">
        <f t="shared" ca="1" si="12"/>
        <v>145</v>
      </c>
      <c r="H147">
        <f t="shared" ca="1" si="13"/>
        <v>1218.0616257544391</v>
      </c>
      <c r="I147">
        <f t="shared" ca="1" si="14"/>
        <v>62868.575012568232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4660</v>
      </c>
      <c r="B149" s="66">
        <v>4660</v>
      </c>
      <c r="D149">
        <f t="shared" si="10"/>
        <v>5.1044439332698017</v>
      </c>
      <c r="E149">
        <f t="shared" si="11"/>
        <v>5.1044439332698017</v>
      </c>
      <c r="G149">
        <f t="shared" ca="1" si="12"/>
        <v>147</v>
      </c>
      <c r="H149">
        <f t="shared" ca="1" si="13"/>
        <v>750.35325819066088</v>
      </c>
      <c r="I149">
        <f t="shared" ca="1" si="14"/>
        <v>39988.292401526487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4416</v>
      </c>
      <c r="B152" s="66">
        <v>4416</v>
      </c>
      <c r="D152">
        <f t="shared" si="10"/>
        <v>4.8371726200256315</v>
      </c>
      <c r="E152">
        <f t="shared" si="11"/>
        <v>4.8371726200256315</v>
      </c>
      <c r="G152">
        <f t="shared" ca="1" si="12"/>
        <v>150</v>
      </c>
      <c r="H152">
        <f t="shared" ca="1" si="13"/>
        <v>725.57589300384473</v>
      </c>
      <c r="I152">
        <f t="shared" ca="1" si="14"/>
        <v>40506.847491781387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3059</v>
      </c>
      <c r="B154" s="66">
        <v>3059</v>
      </c>
      <c r="D154">
        <f t="shared" si="10"/>
        <v>3.3507497836635887</v>
      </c>
      <c r="E154">
        <f t="shared" si="11"/>
        <v>3.3507497836635887</v>
      </c>
      <c r="G154">
        <f t="shared" ca="1" si="12"/>
        <v>152</v>
      </c>
      <c r="H154">
        <f t="shared" ca="1" si="13"/>
        <v>509.31396711686546</v>
      </c>
      <c r="I154">
        <f t="shared" ca="1" si="14"/>
        <v>29299.341909002087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2138</v>
      </c>
      <c r="B157" s="66">
        <v>2138</v>
      </c>
      <c r="D157">
        <f t="shared" si="10"/>
        <v>2.3419101135903082</v>
      </c>
      <c r="E157">
        <f t="shared" si="11"/>
        <v>2.3419101135903082</v>
      </c>
      <c r="G157">
        <f t="shared" ca="1" si="12"/>
        <v>155</v>
      </c>
      <c r="H157">
        <f t="shared" ca="1" si="13"/>
        <v>362.99606760649777</v>
      </c>
      <c r="I157">
        <f t="shared" ca="1" si="14"/>
        <v>21812.960584077744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1771</v>
      </c>
      <c r="B160" s="66">
        <v>1771</v>
      </c>
      <c r="D160">
        <f t="shared" si="10"/>
        <v>1.939907769489446</v>
      </c>
      <c r="E160">
        <f t="shared" si="11"/>
        <v>1.939907769489446</v>
      </c>
      <c r="G160">
        <f t="shared" ca="1" si="12"/>
        <v>158</v>
      </c>
      <c r="H160">
        <f t="shared" ca="1" si="13"/>
        <v>306.50542757933249</v>
      </c>
      <c r="I160">
        <f t="shared" ca="1" si="14"/>
        <v>19209.422263127675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1224</v>
      </c>
      <c r="B162" s="66">
        <v>1224</v>
      </c>
      <c r="D162">
        <f t="shared" si="10"/>
        <v>1.3407380631592785</v>
      </c>
      <c r="E162">
        <f t="shared" si="11"/>
        <v>1.3407380631592785</v>
      </c>
      <c r="G162">
        <f t="shared" ca="1" si="12"/>
        <v>160</v>
      </c>
      <c r="H162">
        <f t="shared" ca="1" si="13"/>
        <v>214.51809010548456</v>
      </c>
      <c r="I162">
        <f t="shared" ca="1" si="14"/>
        <v>13815.333322501639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831</v>
      </c>
      <c r="B165" s="66">
        <v>831</v>
      </c>
      <c r="D165">
        <f t="shared" si="10"/>
        <v>0.91025598895862769</v>
      </c>
      <c r="E165">
        <f t="shared" si="11"/>
        <v>0.91025598895862769</v>
      </c>
      <c r="G165">
        <f t="shared" ca="1" si="12"/>
        <v>163</v>
      </c>
      <c r="H165">
        <f t="shared" ca="1" si="13"/>
        <v>148.37172620025632</v>
      </c>
      <c r="I165">
        <f t="shared" ca="1" si="14"/>
        <v>9942.1204420722079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200</v>
      </c>
      <c r="B167" s="66">
        <v>200</v>
      </c>
      <c r="D167">
        <f t="shared" si="10"/>
        <v>0.21907484692145071</v>
      </c>
      <c r="E167">
        <f t="shared" si="11"/>
        <v>0.21907484692145071</v>
      </c>
      <c r="G167">
        <f t="shared" ca="1" si="12"/>
        <v>165</v>
      </c>
      <c r="H167">
        <f t="shared" ca="1" si="13"/>
        <v>36.147349742039367</v>
      </c>
      <c r="I167">
        <f t="shared" ca="1" si="14"/>
        <v>2485.267095802807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125</v>
      </c>
      <c r="B170" s="66">
        <v>125</v>
      </c>
      <c r="D170">
        <f t="shared" si="10"/>
        <v>0.13692177932590668</v>
      </c>
      <c r="E170">
        <f t="shared" si="11"/>
        <v>0.13692177932590668</v>
      </c>
      <c r="G170">
        <f t="shared" ca="1" si="12"/>
        <v>168</v>
      </c>
      <c r="H170">
        <f t="shared" ca="1" si="13"/>
        <v>23.002858926752324</v>
      </c>
      <c r="I170">
        <f t="shared" ca="1" si="14"/>
        <v>1642.0254413925575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456</v>
      </c>
      <c r="B1" s="66" t="s">
        <v>457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68.713796006234375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1.3266909427257034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0.61928057350011234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4868</v>
      </c>
      <c r="B8" s="66">
        <v>4868</v>
      </c>
      <c r="D8">
        <f t="shared" si="0"/>
        <v>5.5240970007829961</v>
      </c>
      <c r="E8">
        <f t="shared" si="1"/>
        <v>5.5240970007829961</v>
      </c>
      <c r="G8">
        <f t="shared" ca="1" si="2"/>
        <v>6</v>
      </c>
      <c r="H8">
        <f t="shared" ca="1" si="3"/>
        <v>33.14458200469798</v>
      </c>
      <c r="I8">
        <f t="shared" ca="1" si="4"/>
        <v>21726.385143381824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6684</v>
      </c>
      <c r="B10" s="66">
        <v>6684</v>
      </c>
      <c r="D10">
        <f t="shared" si="0"/>
        <v>7.5848529895713943</v>
      </c>
      <c r="E10">
        <f t="shared" si="1"/>
        <v>7.5848529895713943</v>
      </c>
      <c r="G10">
        <f t="shared" ca="1" si="2"/>
        <v>8</v>
      </c>
      <c r="H10">
        <f t="shared" ca="1" si="3"/>
        <v>60.678823916571154</v>
      </c>
      <c r="I10">
        <f t="shared" ca="1" si="4"/>
        <v>27959.019813615865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11796</v>
      </c>
      <c r="B13" s="66">
        <v>11796</v>
      </c>
      <c r="D13">
        <f t="shared" si="0"/>
        <v>13.38583570690966</v>
      </c>
      <c r="E13">
        <f t="shared" si="1"/>
        <v>13.38583570690966</v>
      </c>
      <c r="G13">
        <f t="shared" ca="1" si="2"/>
        <v>11</v>
      </c>
      <c r="H13">
        <f t="shared" ca="1" si="3"/>
        <v>147.24419277600626</v>
      </c>
      <c r="I13">
        <f t="shared" ca="1" si="4"/>
        <v>44586.642550189143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12029</v>
      </c>
      <c r="B15" s="66">
        <v>12029</v>
      </c>
      <c r="D15">
        <f t="shared" si="0"/>
        <v>13.650238870669405</v>
      </c>
      <c r="E15">
        <f t="shared" si="1"/>
        <v>13.650238870669405</v>
      </c>
      <c r="G15">
        <f t="shared" ca="1" si="2"/>
        <v>13</v>
      </c>
      <c r="H15">
        <f t="shared" ca="1" si="3"/>
        <v>177.45310531870226</v>
      </c>
      <c r="I15">
        <f t="shared" ca="1" si="4"/>
        <v>42370.710904064625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13985</v>
      </c>
      <c r="B18" s="66">
        <v>13985</v>
      </c>
      <c r="D18">
        <f t="shared" si="0"/>
        <v>15.869863713219024</v>
      </c>
      <c r="E18">
        <f t="shared" si="1"/>
        <v>15.869863713219024</v>
      </c>
      <c r="G18">
        <f t="shared" ca="1" si="2"/>
        <v>16</v>
      </c>
      <c r="H18">
        <f t="shared" ca="1" si="3"/>
        <v>253.91781941150438</v>
      </c>
      <c r="I18">
        <f t="shared" ca="1" si="4"/>
        <v>44098.293166455602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20288</v>
      </c>
      <c r="B21" s="66">
        <v>20288</v>
      </c>
      <c r="D21">
        <f t="shared" si="0"/>
        <v>23.022366465054525</v>
      </c>
      <c r="E21">
        <f t="shared" si="1"/>
        <v>23.022366465054525</v>
      </c>
      <c r="G21">
        <f t="shared" ca="1" si="2"/>
        <v>19</v>
      </c>
      <c r="H21">
        <f t="shared" ca="1" si="3"/>
        <v>437.42496283603595</v>
      </c>
      <c r="I21">
        <f t="shared" ca="1" si="4"/>
        <v>56898.892664610088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50489</v>
      </c>
      <c r="B23" s="66">
        <v>50489</v>
      </c>
      <c r="D23">
        <f t="shared" si="0"/>
        <v>57.293782553930299</v>
      </c>
      <c r="E23">
        <f t="shared" si="1"/>
        <v>57.293782553930299</v>
      </c>
      <c r="G23">
        <f t="shared" ca="1" si="2"/>
        <v>21</v>
      </c>
      <c r="H23">
        <f t="shared" ca="1" si="3"/>
        <v>1203.1694336325363</v>
      </c>
      <c r="I23">
        <f t="shared" ca="1" si="4"/>
        <v>130435.38799322206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61245</v>
      </c>
      <c r="B26" s="66">
        <v>61245</v>
      </c>
      <c r="D26">
        <f t="shared" si="0"/>
        <v>69.49944963289947</v>
      </c>
      <c r="E26">
        <f t="shared" si="1"/>
        <v>69.49944963289947</v>
      </c>
      <c r="G26">
        <f t="shared" ca="1" si="2"/>
        <v>24</v>
      </c>
      <c r="H26">
        <f t="shared" ca="1" si="3"/>
        <v>1667.9867911895872</v>
      </c>
      <c r="I26">
        <f t="shared" ca="1" si="4"/>
        <v>138951.88659154926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66542</v>
      </c>
      <c r="B28" s="66">
        <v>66542</v>
      </c>
      <c r="D28">
        <f t="shared" si="0"/>
        <v>75.51036619270792</v>
      </c>
      <c r="E28">
        <f t="shared" si="1"/>
        <v>75.51036619270792</v>
      </c>
      <c r="G28">
        <f t="shared" ca="1" si="2"/>
        <v>26</v>
      </c>
      <c r="H28">
        <f t="shared" ca="1" si="3"/>
        <v>1963.2695210104059</v>
      </c>
      <c r="I28">
        <f t="shared" ca="1" si="4"/>
        <v>137766.27467000164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48511</v>
      </c>
      <c r="B31" s="66">
        <v>48511</v>
      </c>
      <c r="D31">
        <f t="shared" si="0"/>
        <v>55.049192605789635</v>
      </c>
      <c r="E31">
        <f t="shared" si="1"/>
        <v>55.049192605789635</v>
      </c>
      <c r="G31">
        <f t="shared" ca="1" si="2"/>
        <v>29</v>
      </c>
      <c r="H31">
        <f t="shared" ca="1" si="3"/>
        <v>1596.4265855678993</v>
      </c>
      <c r="I31">
        <f t="shared" ca="1" si="4"/>
        <v>86822.793496508457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59272</v>
      </c>
      <c r="B33" s="66">
        <v>59272</v>
      </c>
      <c r="D33">
        <f t="shared" si="0"/>
        <v>67.260533572393129</v>
      </c>
      <c r="E33">
        <f t="shared" si="1"/>
        <v>67.260533572393129</v>
      </c>
      <c r="G33">
        <f t="shared" ca="1" si="2"/>
        <v>31</v>
      </c>
      <c r="H33">
        <f t="shared" ca="1" si="3"/>
        <v>2085.0765407441868</v>
      </c>
      <c r="I33">
        <f t="shared" ca="1" si="4"/>
        <v>95666.702239022838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61154</v>
      </c>
      <c r="B36" s="66">
        <v>61154</v>
      </c>
      <c r="D36">
        <f t="shared" si="0"/>
        <v>69.396184877954681</v>
      </c>
      <c r="E36">
        <f t="shared" si="1"/>
        <v>69.396184877954681</v>
      </c>
      <c r="G36">
        <f t="shared" ca="1" si="2"/>
        <v>34</v>
      </c>
      <c r="H36">
        <f t="shared" ca="1" si="3"/>
        <v>2359.4702858504593</v>
      </c>
      <c r="I36">
        <f t="shared" ca="1" si="4"/>
        <v>83625.708337683347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61122</v>
      </c>
      <c r="B39" s="66">
        <v>61122</v>
      </c>
      <c r="D39">
        <f t="shared" si="0"/>
        <v>69.35987199709497</v>
      </c>
      <c r="E39">
        <f t="shared" si="1"/>
        <v>69.35987199709497</v>
      </c>
      <c r="G39">
        <f t="shared" ca="1" si="2"/>
        <v>37</v>
      </c>
      <c r="H39">
        <f t="shared" ca="1" si="3"/>
        <v>2566.3152638925139</v>
      </c>
      <c r="I39">
        <f t="shared" ca="1" si="4"/>
        <v>69759.721749369797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59973</v>
      </c>
      <c r="B41" s="66">
        <v>59973</v>
      </c>
      <c r="D41">
        <f t="shared" si="0"/>
        <v>68.056012618726101</v>
      </c>
      <c r="E41">
        <f t="shared" si="1"/>
        <v>68.056012618726101</v>
      </c>
      <c r="G41">
        <f t="shared" ca="1" si="2"/>
        <v>39</v>
      </c>
      <c r="H41">
        <f t="shared" ca="1" si="3"/>
        <v>2654.1844921303177</v>
      </c>
      <c r="I41">
        <f t="shared" ca="1" si="4"/>
        <v>60087.311853696418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64822</v>
      </c>
      <c r="B44" s="66">
        <v>64822</v>
      </c>
      <c r="D44">
        <f t="shared" si="0"/>
        <v>73.558548846498638</v>
      </c>
      <c r="E44">
        <f t="shared" si="1"/>
        <v>73.558548846498638</v>
      </c>
      <c r="G44">
        <f t="shared" ca="1" si="2"/>
        <v>42</v>
      </c>
      <c r="H44">
        <f t="shared" ca="1" si="3"/>
        <v>3089.4590515529426</v>
      </c>
      <c r="I44">
        <f t="shared" ca="1" si="4"/>
        <v>52493.358965762141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64285</v>
      </c>
      <c r="B46" s="66">
        <v>64285</v>
      </c>
      <c r="D46">
        <f t="shared" si="0"/>
        <v>72.949173314571681</v>
      </c>
      <c r="E46">
        <f t="shared" si="1"/>
        <v>72.949173314571681</v>
      </c>
      <c r="G46">
        <f t="shared" ca="1" si="2"/>
        <v>44</v>
      </c>
      <c r="H46">
        <f t="shared" ca="1" si="3"/>
        <v>3209.763625841154</v>
      </c>
      <c r="I46">
        <f t="shared" ca="1" si="4"/>
        <v>44555.291550029848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64296</v>
      </c>
      <c r="B49" s="66">
        <v>64296</v>
      </c>
      <c r="D49">
        <f t="shared" si="0"/>
        <v>72.961655867367199</v>
      </c>
      <c r="E49">
        <f t="shared" si="1"/>
        <v>72.961655867367199</v>
      </c>
      <c r="G49">
        <f t="shared" ca="1" si="2"/>
        <v>47</v>
      </c>
      <c r="H49">
        <f t="shared" ca="1" si="3"/>
        <v>3429.1978257662586</v>
      </c>
      <c r="I49">
        <f t="shared" ca="1" si="4"/>
        <v>34400.613566691034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61787</v>
      </c>
      <c r="B51" s="66">
        <v>61787</v>
      </c>
      <c r="D51">
        <f t="shared" si="0"/>
        <v>70.114499052460772</v>
      </c>
      <c r="E51">
        <f t="shared" si="1"/>
        <v>70.114499052460772</v>
      </c>
      <c r="G51">
        <f t="shared" ca="1" si="2"/>
        <v>49</v>
      </c>
      <c r="H51">
        <f t="shared" ca="1" si="3"/>
        <v>3435.6104535705776</v>
      </c>
      <c r="I51">
        <f t="shared" ca="1" si="4"/>
        <v>27248.860904749527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69073</v>
      </c>
      <c r="B54" s="66">
        <v>69073</v>
      </c>
      <c r="D54">
        <f t="shared" si="0"/>
        <v>78.382488113205412</v>
      </c>
      <c r="E54">
        <f t="shared" si="1"/>
        <v>78.382488113205412</v>
      </c>
      <c r="G54">
        <f t="shared" ca="1" si="2"/>
        <v>52</v>
      </c>
      <c r="H54">
        <f t="shared" ca="1" si="3"/>
        <v>4075.8893818866813</v>
      </c>
      <c r="I54">
        <f t="shared" ca="1" si="4"/>
        <v>21896.224629256372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73518</v>
      </c>
      <c r="B57" s="66">
        <v>73518</v>
      </c>
      <c r="D57">
        <f t="shared" si="0"/>
        <v>83.426574220124138</v>
      </c>
      <c r="E57">
        <f t="shared" si="1"/>
        <v>83.426574220124138</v>
      </c>
      <c r="G57">
        <f t="shared" ca="1" si="2"/>
        <v>55</v>
      </c>
      <c r="H57">
        <f t="shared" ca="1" si="3"/>
        <v>4588.4615821068273</v>
      </c>
      <c r="I57">
        <f t="shared" ca="1" si="4"/>
        <v>15689.885720879949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77502</v>
      </c>
      <c r="B59" s="66">
        <v>77502</v>
      </c>
      <c r="D59">
        <f t="shared" si="0"/>
        <v>87.947527887157719</v>
      </c>
      <c r="E59">
        <f t="shared" si="1"/>
        <v>87.947527887157719</v>
      </c>
      <c r="G59">
        <f t="shared" ca="1" si="2"/>
        <v>57</v>
      </c>
      <c r="H59">
        <f t="shared" ca="1" si="3"/>
        <v>5013.0090895679896</v>
      </c>
      <c r="I59">
        <f t="shared" ca="1" si="4"/>
        <v>12067.545628154241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73826</v>
      </c>
      <c r="B62" s="66">
        <v>73826</v>
      </c>
      <c r="D62">
        <f t="shared" si="0"/>
        <v>83.77608569839883</v>
      </c>
      <c r="E62">
        <f t="shared" si="1"/>
        <v>83.77608569839883</v>
      </c>
      <c r="G62">
        <f t="shared" ca="1" si="2"/>
        <v>60</v>
      </c>
      <c r="H62">
        <f t="shared" ca="1" si="3"/>
        <v>5026.5651419039295</v>
      </c>
      <c r="I62">
        <f t="shared" ca="1" si="4"/>
        <v>6361.1383635666471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83576</v>
      </c>
      <c r="B64" s="66">
        <v>83576</v>
      </c>
      <c r="D64">
        <f t="shared" si="0"/>
        <v>94.840166585340938</v>
      </c>
      <c r="E64">
        <f t="shared" si="1"/>
        <v>94.840166585340938</v>
      </c>
      <c r="G64">
        <f t="shared" ca="1" si="2"/>
        <v>62</v>
      </c>
      <c r="H64">
        <f t="shared" ca="1" si="3"/>
        <v>5880.0903282911386</v>
      </c>
      <c r="I64">
        <f t="shared" ca="1" si="4"/>
        <v>4274.9258970197952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78948</v>
      </c>
      <c r="B67" s="66">
        <v>78948</v>
      </c>
      <c r="D67">
        <f t="shared" ref="D67:D130" si="5">IFERROR(100*A67/MAX(A$2:A$257), 0 )</f>
        <v>89.588416191005749</v>
      </c>
      <c r="E67">
        <f t="shared" ref="E67:E130" si="6">IFERROR(100*B67/MAX(B$2:B$257), 0 )</f>
        <v>89.588416191005749</v>
      </c>
      <c r="G67">
        <f t="shared" ref="G67:G130" ca="1" si="7">CELL("row",D67)-2</f>
        <v>65</v>
      </c>
      <c r="H67">
        <f t="shared" ref="H67:H130" ca="1" si="8">D67*G67</f>
        <v>5823.2470524153732</v>
      </c>
      <c r="I67">
        <f t="shared" ref="I67:I130" ca="1" si="9">D67*((G67-$L$1)^2)</f>
        <v>1235.6285903765431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88123</v>
      </c>
      <c r="B69" s="66">
        <v>88123</v>
      </c>
      <c r="D69">
        <f t="shared" si="5"/>
        <v>100</v>
      </c>
      <c r="E69">
        <f t="shared" si="6"/>
        <v>100</v>
      </c>
      <c r="G69">
        <f t="shared" ca="1" si="7"/>
        <v>67</v>
      </c>
      <c r="H69">
        <f t="shared" ca="1" si="8"/>
        <v>6700</v>
      </c>
      <c r="I69">
        <f t="shared" ca="1" si="9"/>
        <v>293.70967509848941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80734</v>
      </c>
      <c r="B72" s="66">
        <v>80734</v>
      </c>
      <c r="D72">
        <f t="shared" si="5"/>
        <v>91.615128853988182</v>
      </c>
      <c r="E72">
        <f t="shared" si="6"/>
        <v>91.615128853988182</v>
      </c>
      <c r="G72">
        <f t="shared" ca="1" si="7"/>
        <v>70</v>
      </c>
      <c r="H72">
        <f t="shared" ca="1" si="8"/>
        <v>6413.0590197791726</v>
      </c>
      <c r="I72">
        <f t="shared" ca="1" si="9"/>
        <v>151.5608053403291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83402</v>
      </c>
      <c r="B75" s="66">
        <v>83402</v>
      </c>
      <c r="D75">
        <f t="shared" si="5"/>
        <v>94.642715295666278</v>
      </c>
      <c r="E75">
        <f t="shared" si="6"/>
        <v>94.642715295666278</v>
      </c>
      <c r="G75">
        <f t="shared" ca="1" si="7"/>
        <v>73</v>
      </c>
      <c r="H75">
        <f t="shared" ca="1" si="8"/>
        <v>6908.9182165836382</v>
      </c>
      <c r="I75">
        <f t="shared" ca="1" si="9"/>
        <v>1738.7328723285975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74339</v>
      </c>
      <c r="B77" s="66">
        <v>74339</v>
      </c>
      <c r="D77">
        <f t="shared" si="5"/>
        <v>84.358226569681008</v>
      </c>
      <c r="E77">
        <f t="shared" si="6"/>
        <v>84.358226569681008</v>
      </c>
      <c r="G77">
        <f t="shared" ca="1" si="7"/>
        <v>75</v>
      </c>
      <c r="H77">
        <f t="shared" ca="1" si="8"/>
        <v>6326.8669927260753</v>
      </c>
      <c r="I77">
        <f t="shared" ca="1" si="9"/>
        <v>3333.5301050261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78510</v>
      </c>
      <c r="B80" s="66">
        <v>78510</v>
      </c>
      <c r="D80">
        <f t="shared" si="5"/>
        <v>89.091383634238511</v>
      </c>
      <c r="E80">
        <f t="shared" si="6"/>
        <v>89.091383634238511</v>
      </c>
      <c r="G80">
        <f t="shared" ca="1" si="7"/>
        <v>78</v>
      </c>
      <c r="H80">
        <f t="shared" ca="1" si="8"/>
        <v>6949.1279234706035</v>
      </c>
      <c r="I80">
        <f t="shared" ca="1" si="9"/>
        <v>7682.669368986175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76416</v>
      </c>
      <c r="B82" s="66">
        <v>76416</v>
      </c>
      <c r="D82">
        <f t="shared" si="5"/>
        <v>86.7151594929814</v>
      </c>
      <c r="E82">
        <f t="shared" si="6"/>
        <v>86.7151594929814</v>
      </c>
      <c r="G82">
        <f t="shared" ca="1" si="7"/>
        <v>80</v>
      </c>
      <c r="H82">
        <f t="shared" ca="1" si="8"/>
        <v>6937.212759438512</v>
      </c>
      <c r="I82">
        <f t="shared" ca="1" si="9"/>
        <v>11045.638323026571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69591</v>
      </c>
      <c r="B85" s="66">
        <v>69591</v>
      </c>
      <c r="D85">
        <f t="shared" si="5"/>
        <v>78.97030287212192</v>
      </c>
      <c r="E85">
        <f t="shared" si="6"/>
        <v>78.97030287212192</v>
      </c>
      <c r="G85">
        <f t="shared" ca="1" si="7"/>
        <v>83</v>
      </c>
      <c r="H85">
        <f t="shared" ca="1" si="8"/>
        <v>6554.5351383861198</v>
      </c>
      <c r="I85">
        <f t="shared" ca="1" si="9"/>
        <v>16117.493285705645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69309</v>
      </c>
      <c r="B88" s="66">
        <v>69309</v>
      </c>
      <c r="D88">
        <f t="shared" si="5"/>
        <v>78.650295609545751</v>
      </c>
      <c r="E88">
        <f t="shared" si="6"/>
        <v>78.650295609545751</v>
      </c>
      <c r="G88">
        <f t="shared" ca="1" si="7"/>
        <v>86</v>
      </c>
      <c r="H88">
        <f t="shared" ca="1" si="8"/>
        <v>6763.9254224209344</v>
      </c>
      <c r="I88">
        <f t="shared" ca="1" si="9"/>
        <v>23501.7188675627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62790</v>
      </c>
      <c r="B90" s="66">
        <v>62790</v>
      </c>
      <c r="D90">
        <f t="shared" si="5"/>
        <v>71.25268091190722</v>
      </c>
      <c r="E90">
        <f t="shared" si="6"/>
        <v>71.25268091190722</v>
      </c>
      <c r="G90">
        <f t="shared" ca="1" si="7"/>
        <v>88</v>
      </c>
      <c r="H90">
        <f t="shared" ca="1" si="8"/>
        <v>6270.2359202478356</v>
      </c>
      <c r="I90">
        <f t="shared" ca="1" si="9"/>
        <v>26502.980780583017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56285</v>
      </c>
      <c r="B93" s="66">
        <v>56285</v>
      </c>
      <c r="D93">
        <f t="shared" si="5"/>
        <v>63.870953099644815</v>
      </c>
      <c r="E93">
        <f t="shared" si="6"/>
        <v>63.870953099644815</v>
      </c>
      <c r="G93">
        <f t="shared" ca="1" si="7"/>
        <v>91</v>
      </c>
      <c r="H93">
        <f t="shared" ca="1" si="8"/>
        <v>5812.2567320676781</v>
      </c>
      <c r="I93">
        <f t="shared" ca="1" si="9"/>
        <v>31723.098506072078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44751</v>
      </c>
      <c r="B95" s="66">
        <v>44751</v>
      </c>
      <c r="D95">
        <f t="shared" si="5"/>
        <v>50.78242910477401</v>
      </c>
      <c r="E95">
        <f t="shared" si="6"/>
        <v>50.78242910477401</v>
      </c>
      <c r="G95">
        <f t="shared" ca="1" si="7"/>
        <v>93</v>
      </c>
      <c r="H95">
        <f t="shared" ca="1" si="8"/>
        <v>4722.7659067439827</v>
      </c>
      <c r="I95">
        <f t="shared" ca="1" si="9"/>
        <v>29952.477324652602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39179</v>
      </c>
      <c r="B98" s="66">
        <v>39179</v>
      </c>
      <c r="D98">
        <f t="shared" si="5"/>
        <v>44.459448725077451</v>
      </c>
      <c r="E98">
        <f t="shared" si="6"/>
        <v>44.459448725077451</v>
      </c>
      <c r="G98">
        <f t="shared" ca="1" si="7"/>
        <v>96</v>
      </c>
      <c r="H98">
        <f t="shared" ca="1" si="8"/>
        <v>4268.1070776074357</v>
      </c>
      <c r="I98">
        <f t="shared" ca="1" si="9"/>
        <v>33101.701391654795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34971</v>
      </c>
      <c r="B100" s="66">
        <v>34971</v>
      </c>
      <c r="D100">
        <f t="shared" si="5"/>
        <v>39.684304892025921</v>
      </c>
      <c r="E100">
        <f t="shared" si="6"/>
        <v>39.684304892025921</v>
      </c>
      <c r="G100">
        <f t="shared" ca="1" si="7"/>
        <v>98</v>
      </c>
      <c r="H100">
        <f t="shared" ca="1" si="8"/>
        <v>3889.0618794185402</v>
      </c>
      <c r="I100">
        <f t="shared" ca="1" si="9"/>
        <v>34036.503843683611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30543</v>
      </c>
      <c r="B103" s="66">
        <v>30543</v>
      </c>
      <c r="D103">
        <f t="shared" si="5"/>
        <v>34.6595100030639</v>
      </c>
      <c r="E103">
        <f t="shared" si="6"/>
        <v>34.6595100030639</v>
      </c>
      <c r="G103">
        <f t="shared" ca="1" si="7"/>
        <v>101</v>
      </c>
      <c r="H103">
        <f t="shared" ca="1" si="8"/>
        <v>3500.6105103094537</v>
      </c>
      <c r="I103">
        <f t="shared" ca="1" si="9"/>
        <v>36129.037469914794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30208</v>
      </c>
      <c r="B106" s="66">
        <v>30208</v>
      </c>
      <c r="D106">
        <f t="shared" si="5"/>
        <v>34.279359531563834</v>
      </c>
      <c r="E106">
        <f t="shared" si="6"/>
        <v>34.279359531563834</v>
      </c>
      <c r="G106">
        <f t="shared" ca="1" si="7"/>
        <v>104</v>
      </c>
      <c r="H106">
        <f t="shared" ca="1" si="8"/>
        <v>3565.0533912826386</v>
      </c>
      <c r="I106">
        <f t="shared" ca="1" si="9"/>
        <v>42681.785614068373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28366</v>
      </c>
      <c r="B108" s="66">
        <v>28366</v>
      </c>
      <c r="D108">
        <f t="shared" si="5"/>
        <v>32.189099327076924</v>
      </c>
      <c r="E108">
        <f t="shared" si="6"/>
        <v>32.189099327076924</v>
      </c>
      <c r="G108">
        <f t="shared" ca="1" si="7"/>
        <v>106</v>
      </c>
      <c r="H108">
        <f t="shared" ca="1" si="8"/>
        <v>3412.0445286701538</v>
      </c>
      <c r="I108">
        <f t="shared" ca="1" si="9"/>
        <v>44751.249685594659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27570</v>
      </c>
      <c r="B111" s="66">
        <v>27570</v>
      </c>
      <c r="D111">
        <f t="shared" si="5"/>
        <v>31.285816415691702</v>
      </c>
      <c r="E111">
        <f t="shared" si="6"/>
        <v>31.285816415691702</v>
      </c>
      <c r="G111">
        <f t="shared" ca="1" si="7"/>
        <v>109</v>
      </c>
      <c r="H111">
        <f t="shared" ca="1" si="8"/>
        <v>3410.1539893103954</v>
      </c>
      <c r="I111">
        <f t="shared" ca="1" si="9"/>
        <v>50776.199020127082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25297</v>
      </c>
      <c r="B113" s="66">
        <v>25297</v>
      </c>
      <c r="D113">
        <f t="shared" si="5"/>
        <v>28.706467097125607</v>
      </c>
      <c r="E113">
        <f t="shared" si="6"/>
        <v>28.706467097125607</v>
      </c>
      <c r="G113">
        <f t="shared" ca="1" si="7"/>
        <v>111</v>
      </c>
      <c r="H113">
        <f t="shared" ca="1" si="8"/>
        <v>3186.4178477809423</v>
      </c>
      <c r="I113">
        <f t="shared" ca="1" si="9"/>
        <v>51330.695448832994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22962</v>
      </c>
      <c r="B116" s="66">
        <v>22962</v>
      </c>
      <c r="D116">
        <f t="shared" si="5"/>
        <v>26.05676157189383</v>
      </c>
      <c r="E116">
        <f t="shared" si="6"/>
        <v>26.05676157189383</v>
      </c>
      <c r="G116">
        <f t="shared" ca="1" si="7"/>
        <v>114</v>
      </c>
      <c r="H116">
        <f t="shared" ca="1" si="8"/>
        <v>2970.4708191958966</v>
      </c>
      <c r="I116">
        <f t="shared" ca="1" si="9"/>
        <v>53438.255993840045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22042</v>
      </c>
      <c r="B118" s="66">
        <v>22042</v>
      </c>
      <c r="D118">
        <f t="shared" si="5"/>
        <v>25.01276624717724</v>
      </c>
      <c r="E118">
        <f t="shared" si="6"/>
        <v>25.01276624717724</v>
      </c>
      <c r="G118">
        <f t="shared" ca="1" si="7"/>
        <v>116</v>
      </c>
      <c r="H118">
        <f t="shared" ca="1" si="8"/>
        <v>2901.48088467256</v>
      </c>
      <c r="I118">
        <f t="shared" ca="1" si="9"/>
        <v>55928.172341820224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20592</v>
      </c>
      <c r="B121" s="66">
        <v>20592</v>
      </c>
      <c r="D121">
        <f t="shared" si="5"/>
        <v>23.367338833221748</v>
      </c>
      <c r="E121">
        <f t="shared" si="6"/>
        <v>23.367338833221748</v>
      </c>
      <c r="G121">
        <f t="shared" ca="1" si="7"/>
        <v>119</v>
      </c>
      <c r="H121">
        <f t="shared" ca="1" si="8"/>
        <v>2780.7133211533878</v>
      </c>
      <c r="I121">
        <f t="shared" ca="1" si="9"/>
        <v>59089.043735252941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19629</v>
      </c>
      <c r="B124" s="66">
        <v>19629</v>
      </c>
      <c r="D124">
        <f t="shared" si="5"/>
        <v>22.274548074849925</v>
      </c>
      <c r="E124">
        <f t="shared" si="6"/>
        <v>22.274548074849925</v>
      </c>
      <c r="G124">
        <f t="shared" ca="1" si="7"/>
        <v>122</v>
      </c>
      <c r="H124">
        <f t="shared" ca="1" si="8"/>
        <v>2717.4948651316909</v>
      </c>
      <c r="I124">
        <f t="shared" ca="1" si="9"/>
        <v>63246.786960752455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17023</v>
      </c>
      <c r="B126" s="66">
        <v>17023</v>
      </c>
      <c r="D126">
        <f t="shared" si="5"/>
        <v>19.3173178398375</v>
      </c>
      <c r="E126">
        <f t="shared" si="6"/>
        <v>19.3173178398375</v>
      </c>
      <c r="G126">
        <f t="shared" ca="1" si="7"/>
        <v>124</v>
      </c>
      <c r="H126">
        <f t="shared" ca="1" si="8"/>
        <v>2395.3474121398499</v>
      </c>
      <c r="I126">
        <f t="shared" ca="1" si="9"/>
        <v>59044.625086278778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17254</v>
      </c>
      <c r="B129" s="66">
        <v>17254</v>
      </c>
      <c r="D129">
        <f t="shared" si="5"/>
        <v>19.579451448543512</v>
      </c>
      <c r="E129">
        <f t="shared" si="6"/>
        <v>19.579451448543512</v>
      </c>
      <c r="G129">
        <f t="shared" ca="1" si="7"/>
        <v>127</v>
      </c>
      <c r="H129">
        <f t="shared" ca="1" si="8"/>
        <v>2486.5903339650263</v>
      </c>
      <c r="I129">
        <f t="shared" ca="1" si="9"/>
        <v>66516.909674379378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18763</v>
      </c>
      <c r="B131" s="66">
        <v>18763</v>
      </c>
      <c r="D131">
        <f t="shared" ref="D131:D194" si="10">IFERROR(100*A131/MAX(A$2:A$257), 0 )</f>
        <v>21.291830736584092</v>
      </c>
      <c r="E131">
        <f t="shared" ref="E131:E194" si="11">IFERROR(100*B131/MAX(B$2:B$257), 0 )</f>
        <v>21.291830736584092</v>
      </c>
      <c r="G131">
        <f t="shared" ref="G131:G194" ca="1" si="12">CELL("row",D131)-2</f>
        <v>129</v>
      </c>
      <c r="H131">
        <f t="shared" ref="H131:H194" ca="1" si="13">D131*G131</f>
        <v>2746.6461650193478</v>
      </c>
      <c r="I131">
        <f t="shared" ref="I131:I194" ca="1" si="14">D131*((G131-$L$1)^2)</f>
        <v>77383.591562567948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17779</v>
      </c>
      <c r="B134" s="66">
        <v>17779</v>
      </c>
      <c r="D134">
        <f t="shared" si="10"/>
        <v>20.175209650148087</v>
      </c>
      <c r="E134">
        <f t="shared" si="11"/>
        <v>20.175209650148087</v>
      </c>
      <c r="G134">
        <f t="shared" ca="1" si="12"/>
        <v>132</v>
      </c>
      <c r="H134">
        <f t="shared" ca="1" si="13"/>
        <v>2663.1276738195475</v>
      </c>
      <c r="I134">
        <f t="shared" ca="1" si="14"/>
        <v>80804.612130552108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20201</v>
      </c>
      <c r="B136" s="66">
        <v>20201</v>
      </c>
      <c r="D136">
        <f t="shared" si="10"/>
        <v>22.923640820217198</v>
      </c>
      <c r="E136">
        <f t="shared" si="11"/>
        <v>22.923640820217198</v>
      </c>
      <c r="G136">
        <f t="shared" ca="1" si="12"/>
        <v>134</v>
      </c>
      <c r="H136">
        <f t="shared" ca="1" si="13"/>
        <v>3071.7678699091043</v>
      </c>
      <c r="I136">
        <f t="shared" ca="1" si="14"/>
        <v>97707.169085399495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18196</v>
      </c>
      <c r="B139" s="66">
        <v>18196</v>
      </c>
      <c r="D139">
        <f t="shared" si="10"/>
        <v>20.648411878851149</v>
      </c>
      <c r="E139">
        <f t="shared" si="11"/>
        <v>20.648411878851149</v>
      </c>
      <c r="G139">
        <f t="shared" ca="1" si="12"/>
        <v>137</v>
      </c>
      <c r="H139">
        <f t="shared" ca="1" si="13"/>
        <v>2828.8324274026077</v>
      </c>
      <c r="I139">
        <f t="shared" ca="1" si="14"/>
        <v>96283.661375984957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16067</v>
      </c>
      <c r="B142" s="66">
        <v>16067</v>
      </c>
      <c r="D142">
        <f t="shared" si="10"/>
        <v>18.23247052415374</v>
      </c>
      <c r="E142">
        <f t="shared" si="11"/>
        <v>18.23247052415374</v>
      </c>
      <c r="G142">
        <f t="shared" ca="1" si="12"/>
        <v>140</v>
      </c>
      <c r="H142">
        <f t="shared" ca="1" si="13"/>
        <v>2552.5458733815235</v>
      </c>
      <c r="I142">
        <f t="shared" ca="1" si="14"/>
        <v>92652.362618614425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13627</v>
      </c>
      <c r="B144" s="66">
        <v>13627</v>
      </c>
      <c r="D144">
        <f t="shared" si="10"/>
        <v>15.463613358601046</v>
      </c>
      <c r="E144">
        <f t="shared" si="11"/>
        <v>15.463613358601046</v>
      </c>
      <c r="G144">
        <f t="shared" ca="1" si="12"/>
        <v>142</v>
      </c>
      <c r="H144">
        <f t="shared" ca="1" si="13"/>
        <v>2195.8330969213484</v>
      </c>
      <c r="I144">
        <f t="shared" ca="1" si="14"/>
        <v>83053.021448296466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12005</v>
      </c>
      <c r="B147" s="66">
        <v>12005</v>
      </c>
      <c r="D147">
        <f t="shared" si="10"/>
        <v>13.623004210024625</v>
      </c>
      <c r="E147">
        <f t="shared" si="11"/>
        <v>13.623004210024625</v>
      </c>
      <c r="G147">
        <f t="shared" ca="1" si="12"/>
        <v>145</v>
      </c>
      <c r="H147">
        <f t="shared" ca="1" si="13"/>
        <v>1975.3356104535706</v>
      </c>
      <c r="I147">
        <f t="shared" ca="1" si="14"/>
        <v>79280.22986273728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9725</v>
      </c>
      <c r="B149" s="66">
        <v>9725</v>
      </c>
      <c r="D149">
        <f t="shared" si="10"/>
        <v>11.035711448770469</v>
      </c>
      <c r="E149">
        <f t="shared" si="11"/>
        <v>11.035711448770469</v>
      </c>
      <c r="G149">
        <f t="shared" ca="1" si="12"/>
        <v>147</v>
      </c>
      <c r="H149">
        <f t="shared" ca="1" si="13"/>
        <v>1622.2495829692589</v>
      </c>
      <c r="I149">
        <f t="shared" ca="1" si="14"/>
        <v>67634.892911274743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6843</v>
      </c>
      <c r="B152" s="66">
        <v>6843</v>
      </c>
      <c r="D152">
        <f t="shared" si="10"/>
        <v>7.7652826163430664</v>
      </c>
      <c r="E152">
        <f t="shared" si="11"/>
        <v>7.7652826163430664</v>
      </c>
      <c r="G152">
        <f t="shared" ca="1" si="12"/>
        <v>150</v>
      </c>
      <c r="H152">
        <f t="shared" ca="1" si="13"/>
        <v>1164.79239245146</v>
      </c>
      <c r="I152">
        <f t="shared" ca="1" si="14"/>
        <v>51308.693014692108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4240</v>
      </c>
      <c r="B154" s="66">
        <v>4240</v>
      </c>
      <c r="D154">
        <f t="shared" si="10"/>
        <v>4.8114567139112374</v>
      </c>
      <c r="E154">
        <f t="shared" si="11"/>
        <v>4.8114567139112374</v>
      </c>
      <c r="G154">
        <f t="shared" ca="1" si="12"/>
        <v>152</v>
      </c>
      <c r="H154">
        <f t="shared" ca="1" si="13"/>
        <v>731.34142051450806</v>
      </c>
      <c r="I154">
        <f t="shared" ca="1" si="14"/>
        <v>33375.111070810613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3711</v>
      </c>
      <c r="B157" s="66">
        <v>3711</v>
      </c>
      <c r="D157">
        <f t="shared" si="10"/>
        <v>4.2111594021991987</v>
      </c>
      <c r="E157">
        <f t="shared" si="11"/>
        <v>4.2111594021991987</v>
      </c>
      <c r="G157">
        <f t="shared" ca="1" si="12"/>
        <v>155</v>
      </c>
      <c r="H157">
        <f t="shared" ca="1" si="13"/>
        <v>652.72970734087585</v>
      </c>
      <c r="I157">
        <f t="shared" ca="1" si="14"/>
        <v>31353.382996170134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3387</v>
      </c>
      <c r="B160" s="66">
        <v>3387</v>
      </c>
      <c r="D160">
        <f t="shared" si="10"/>
        <v>3.843491483494661</v>
      </c>
      <c r="E160">
        <f t="shared" si="11"/>
        <v>3.843491483494661</v>
      </c>
      <c r="G160">
        <f t="shared" ca="1" si="12"/>
        <v>158</v>
      </c>
      <c r="H160">
        <f t="shared" ca="1" si="13"/>
        <v>607.27165439215639</v>
      </c>
      <c r="I160">
        <f t="shared" ca="1" si="14"/>
        <v>30640.414896665465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1852</v>
      </c>
      <c r="B162" s="66">
        <v>1852</v>
      </c>
      <c r="D162">
        <f t="shared" si="10"/>
        <v>2.1016079797555691</v>
      </c>
      <c r="E162">
        <f t="shared" si="11"/>
        <v>2.1016079797555691</v>
      </c>
      <c r="G162">
        <f t="shared" ca="1" si="12"/>
        <v>160</v>
      </c>
      <c r="H162">
        <f t="shared" ca="1" si="13"/>
        <v>336.25727676089105</v>
      </c>
      <c r="I162">
        <f t="shared" ca="1" si="14"/>
        <v>17513.058753473277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1549</v>
      </c>
      <c r="B165" s="66">
        <v>1549</v>
      </c>
      <c r="D165">
        <f t="shared" si="10"/>
        <v>1.7577703891152139</v>
      </c>
      <c r="E165">
        <f t="shared" si="11"/>
        <v>1.7577703891152139</v>
      </c>
      <c r="G165">
        <f t="shared" ca="1" si="12"/>
        <v>163</v>
      </c>
      <c r="H165">
        <f t="shared" ca="1" si="13"/>
        <v>286.51657342577988</v>
      </c>
      <c r="I165">
        <f t="shared" ca="1" si="14"/>
        <v>15626.382352218061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800</v>
      </c>
      <c r="B167" s="66">
        <v>800</v>
      </c>
      <c r="D167">
        <f t="shared" si="10"/>
        <v>0.90782202149268632</v>
      </c>
      <c r="E167">
        <f t="shared" si="11"/>
        <v>0.90782202149268632</v>
      </c>
      <c r="G167">
        <f t="shared" ca="1" si="12"/>
        <v>165</v>
      </c>
      <c r="H167">
        <f t="shared" ca="1" si="13"/>
        <v>149.79063354629324</v>
      </c>
      <c r="I167">
        <f t="shared" ca="1" si="14"/>
        <v>8416.4479915836237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1112</v>
      </c>
      <c r="B170" s="66">
        <v>1112</v>
      </c>
      <c r="D170">
        <f t="shared" si="10"/>
        <v>1.2618726098748341</v>
      </c>
      <c r="E170">
        <f t="shared" si="11"/>
        <v>1.2618726098748341</v>
      </c>
      <c r="G170">
        <f t="shared" ca="1" si="12"/>
        <v>168</v>
      </c>
      <c r="H170">
        <f t="shared" ca="1" si="13"/>
        <v>211.99459845897212</v>
      </c>
      <c r="I170">
        <f t="shared" ca="1" si="14"/>
        <v>12439.225102961434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243</v>
      </c>
      <c r="B173" s="66">
        <v>243</v>
      </c>
      <c r="D173">
        <f t="shared" si="10"/>
        <v>0.27575093902840347</v>
      </c>
      <c r="E173">
        <f t="shared" si="11"/>
        <v>0.27575093902840347</v>
      </c>
      <c r="G173">
        <f t="shared" ca="1" si="12"/>
        <v>171</v>
      </c>
      <c r="H173">
        <f t="shared" ca="1" si="13"/>
        <v>47.153410573856995</v>
      </c>
      <c r="I173">
        <f t="shared" ca="1" si="14"/>
        <v>2885.0352452496841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458</v>
      </c>
      <c r="B1" s="68" t="s">
        <v>459</v>
      </c>
      <c r="C1" s="32" t="s">
        <v>460</v>
      </c>
      <c r="D1" s="32" t="s">
        <v>461</v>
      </c>
      <c r="E1" s="32" t="s">
        <v>462</v>
      </c>
    </row>
    <row r="2" spans="1:5">
      <c r="A2" s="68">
        <v>0.160715</v>
      </c>
      <c r="B2" s="68">
        <v>0.65784500000000001</v>
      </c>
      <c r="C2" s="68">
        <v>0</v>
      </c>
      <c r="D2" s="68">
        <v>1</v>
      </c>
      <c r="E2" s="68" t="s">
        <v>463</v>
      </c>
    </row>
    <row r="3" spans="1:5">
      <c r="A3" s="68">
        <v>0.164775</v>
      </c>
      <c r="B3" s="68">
        <v>0.64830399999999999</v>
      </c>
      <c r="C3" s="68">
        <v>0.40837800000000002</v>
      </c>
      <c r="D3" s="89">
        <v>1</v>
      </c>
      <c r="E3" s="68" t="s">
        <v>464</v>
      </c>
    </row>
    <row r="4" spans="1:5">
      <c r="A4" s="68">
        <v>0.16880100000000001</v>
      </c>
      <c r="B4" s="68">
        <v>0.63905900000000004</v>
      </c>
      <c r="C4" s="68">
        <v>0.81258799999999998</v>
      </c>
      <c r="D4" s="89">
        <v>1</v>
      </c>
      <c r="E4" s="68" t="s">
        <v>465</v>
      </c>
    </row>
    <row r="5" spans="1:5">
      <c r="A5" s="89">
        <v>0.172766</v>
      </c>
      <c r="B5" s="89">
        <v>0.62954699999999997</v>
      </c>
      <c r="C5" s="89">
        <v>1.2173799999999999</v>
      </c>
      <c r="D5" s="89">
        <v>1</v>
      </c>
      <c r="E5" s="68" t="s">
        <v>466</v>
      </c>
    </row>
    <row r="6" spans="1:5">
      <c r="A6" s="68">
        <v>0.17677100000000001</v>
      </c>
      <c r="B6" s="68">
        <v>0.61945700000000004</v>
      </c>
      <c r="C6" s="68">
        <v>1.62707</v>
      </c>
      <c r="D6" s="68">
        <v>1</v>
      </c>
      <c r="E6" s="68" t="s">
        <v>467</v>
      </c>
    </row>
    <row r="7" spans="1:5">
      <c r="A7" s="68">
        <v>0.18096499999999999</v>
      </c>
      <c r="B7" s="68">
        <v>0.60832200000000003</v>
      </c>
      <c r="C7" s="68">
        <v>2.02834</v>
      </c>
      <c r="D7" s="68">
        <v>1</v>
      </c>
      <c r="E7" s="68" t="s">
        <v>468</v>
      </c>
    </row>
    <row r="8" spans="1:5">
      <c r="A8" s="68">
        <v>0.18545200000000001</v>
      </c>
      <c r="B8" s="68">
        <v>0.59594800000000003</v>
      </c>
      <c r="C8" s="68">
        <v>2.4379599999999999</v>
      </c>
      <c r="D8" s="68">
        <v>1</v>
      </c>
      <c r="E8" s="68" t="s">
        <v>469</v>
      </c>
    </row>
    <row r="9" spans="1:5">
      <c r="A9" s="68">
        <v>0.189856</v>
      </c>
      <c r="B9" s="68">
        <v>0.58366399999999996</v>
      </c>
      <c r="C9" s="68">
        <v>2.8439800000000002</v>
      </c>
      <c r="D9" s="68">
        <v>1</v>
      </c>
      <c r="E9" s="68" t="s">
        <v>470</v>
      </c>
    </row>
    <row r="10" spans="1:5">
      <c r="A10" s="68">
        <v>0.19412299999999999</v>
      </c>
      <c r="B10" s="68">
        <v>0.57269099999999995</v>
      </c>
      <c r="C10" s="68">
        <v>3.2520600000000002</v>
      </c>
      <c r="D10" s="68">
        <v>1</v>
      </c>
      <c r="E10" s="68" t="s">
        <v>471</v>
      </c>
    </row>
    <row r="11" spans="1:5">
      <c r="A11" s="68">
        <v>0.19839100000000001</v>
      </c>
      <c r="B11" s="68">
        <v>0.56202700000000005</v>
      </c>
      <c r="C11" s="68">
        <v>3.6582599999999998</v>
      </c>
      <c r="D11" s="68">
        <v>1</v>
      </c>
      <c r="E11" s="68" t="s">
        <v>472</v>
      </c>
    </row>
    <row r="12" spans="1:5">
      <c r="A12" s="68">
        <v>0.20267499999999999</v>
      </c>
      <c r="B12" s="68">
        <v>0.55179299999999998</v>
      </c>
      <c r="C12" s="68">
        <v>4.06358</v>
      </c>
      <c r="D12" s="68">
        <v>1</v>
      </c>
      <c r="E12" s="68" t="s">
        <v>473</v>
      </c>
    </row>
    <row r="13" spans="1:5">
      <c r="A13" s="68">
        <v>0.20707900000000001</v>
      </c>
      <c r="B13" s="68">
        <v>0.54169900000000004</v>
      </c>
      <c r="C13" s="68">
        <v>4.4658699999999998</v>
      </c>
      <c r="D13" s="68">
        <v>1</v>
      </c>
      <c r="E13" s="68" t="s">
        <v>474</v>
      </c>
    </row>
    <row r="14" spans="1:5">
      <c r="A14" s="68">
        <v>0.21160399999999999</v>
      </c>
      <c r="B14" s="68">
        <v>0.53126399999999996</v>
      </c>
      <c r="C14" s="68">
        <v>4.8743499999999997</v>
      </c>
      <c r="D14" s="68">
        <v>1</v>
      </c>
      <c r="E14" s="68" t="s">
        <v>475</v>
      </c>
    </row>
    <row r="15" spans="1:5">
      <c r="A15" s="68">
        <v>0.216033</v>
      </c>
      <c r="B15" s="68">
        <v>0.52116200000000001</v>
      </c>
      <c r="C15" s="68">
        <v>5.2773199999999996</v>
      </c>
      <c r="D15" s="68">
        <v>1</v>
      </c>
      <c r="E15" s="68" t="s">
        <v>476</v>
      </c>
    </row>
    <row r="16" spans="1:5">
      <c r="A16" s="68">
        <v>0.220473</v>
      </c>
      <c r="B16" s="68">
        <v>0.51043300000000003</v>
      </c>
      <c r="C16" s="68">
        <v>5.68804</v>
      </c>
      <c r="D16" s="68">
        <v>1</v>
      </c>
      <c r="E16" s="68" t="s">
        <v>477</v>
      </c>
    </row>
    <row r="17" spans="1:5">
      <c r="A17" s="68">
        <v>0.22468099999999999</v>
      </c>
      <c r="B17" s="68">
        <v>0.49931199999999998</v>
      </c>
      <c r="C17" s="68">
        <v>6.0945499999999999</v>
      </c>
      <c r="D17" s="68">
        <v>1</v>
      </c>
      <c r="E17" s="68" t="s">
        <v>478</v>
      </c>
    </row>
    <row r="18" spans="1:5">
      <c r="A18" s="68">
        <v>0.22880700000000001</v>
      </c>
      <c r="B18" s="68">
        <v>0.48814299999999999</v>
      </c>
      <c r="C18" s="68">
        <v>6.49831</v>
      </c>
      <c r="D18" s="68">
        <v>1</v>
      </c>
      <c r="E18" s="68" t="s">
        <v>479</v>
      </c>
    </row>
    <row r="19" spans="1:5">
      <c r="A19" s="68">
        <v>0.23252400000000001</v>
      </c>
      <c r="B19" s="68">
        <v>0.47839199999999998</v>
      </c>
      <c r="C19" s="68">
        <v>6.9035000000000002</v>
      </c>
      <c r="D19" s="68">
        <v>1</v>
      </c>
      <c r="E19" s="68" t="s">
        <v>480</v>
      </c>
    </row>
    <row r="20" spans="1:5">
      <c r="A20" s="68">
        <v>0.23630499999999999</v>
      </c>
      <c r="B20" s="68">
        <v>0.46958699999999998</v>
      </c>
      <c r="C20" s="68">
        <v>7.31297</v>
      </c>
      <c r="D20" s="68">
        <v>1</v>
      </c>
      <c r="E20" s="68" t="s">
        <v>481</v>
      </c>
    </row>
    <row r="21" spans="1:5">
      <c r="A21" s="68">
        <v>0.239921</v>
      </c>
      <c r="B21" s="68">
        <v>0.46102100000000001</v>
      </c>
      <c r="C21" s="68">
        <v>7.7200300000000004</v>
      </c>
      <c r="D21" s="68">
        <v>1</v>
      </c>
      <c r="E21" s="68" t="s">
        <v>482</v>
      </c>
    </row>
    <row r="22" spans="1:5">
      <c r="A22" s="68">
        <v>0.24311099999999999</v>
      </c>
      <c r="B22" s="68">
        <v>0.45310699999999998</v>
      </c>
      <c r="C22" s="68">
        <v>8.1242000000000001</v>
      </c>
      <c r="D22" s="68">
        <v>1</v>
      </c>
      <c r="E22" s="68" t="s">
        <v>483</v>
      </c>
    </row>
    <row r="23" spans="1:5">
      <c r="A23" s="68">
        <v>0.24617900000000001</v>
      </c>
      <c r="B23" s="68">
        <v>0.44634499999999999</v>
      </c>
      <c r="C23" s="68">
        <v>8.5300600000000006</v>
      </c>
      <c r="D23" s="68">
        <v>1</v>
      </c>
      <c r="E23" s="68" t="s">
        <v>484</v>
      </c>
    </row>
    <row r="24" spans="1:5">
      <c r="A24" s="68">
        <v>0.24906400000000001</v>
      </c>
      <c r="B24" s="68">
        <v>0.44044899999999998</v>
      </c>
      <c r="C24" s="68">
        <v>8.9361099999999993</v>
      </c>
      <c r="D24" s="68">
        <v>1</v>
      </c>
      <c r="E24" s="68" t="s">
        <v>485</v>
      </c>
    </row>
    <row r="25" spans="1:5">
      <c r="A25" s="68">
        <v>0.25182300000000002</v>
      </c>
      <c r="B25" s="68">
        <v>0.43518899999999999</v>
      </c>
      <c r="C25" s="68">
        <v>9.3447899999999997</v>
      </c>
      <c r="D25" s="68">
        <v>1</v>
      </c>
      <c r="E25" s="68" t="s">
        <v>486</v>
      </c>
    </row>
    <row r="26" spans="1:5">
      <c r="A26" s="68">
        <v>0.25471899999999997</v>
      </c>
      <c r="B26" s="68">
        <v>0.42996200000000001</v>
      </c>
      <c r="C26" s="68">
        <v>9.7494899999999998</v>
      </c>
      <c r="D26" s="68">
        <v>1</v>
      </c>
      <c r="E26" s="68" t="s">
        <v>487</v>
      </c>
    </row>
    <row r="27" spans="1:5">
      <c r="A27" s="68">
        <v>0.25756899999999999</v>
      </c>
      <c r="B27" s="68">
        <v>0.42471900000000001</v>
      </c>
      <c r="C27" s="68">
        <v>10.158200000000001</v>
      </c>
      <c r="D27" s="68">
        <v>1</v>
      </c>
      <c r="E27" s="68" t="s">
        <v>488</v>
      </c>
    </row>
    <row r="28" spans="1:5">
      <c r="A28" s="68">
        <v>0.26024999999999998</v>
      </c>
      <c r="B28" s="68">
        <v>0.41999300000000001</v>
      </c>
      <c r="C28" s="68">
        <v>10.5623</v>
      </c>
      <c r="D28" s="68">
        <v>1</v>
      </c>
      <c r="E28" s="68" t="s">
        <v>489</v>
      </c>
    </row>
    <row r="29" spans="1:5">
      <c r="A29" s="68">
        <v>0.262766</v>
      </c>
      <c r="B29" s="68">
        <v>0.415655</v>
      </c>
      <c r="C29" s="68">
        <v>10.9694</v>
      </c>
      <c r="D29" s="68">
        <v>1</v>
      </c>
      <c r="E29" s="68" t="s">
        <v>490</v>
      </c>
    </row>
    <row r="30" spans="1:5">
      <c r="A30" s="68">
        <v>0.26485300000000001</v>
      </c>
      <c r="B30" s="68">
        <v>0.412026</v>
      </c>
      <c r="C30" s="68">
        <v>11.3748</v>
      </c>
      <c r="D30" s="68">
        <v>1</v>
      </c>
      <c r="E30" s="68" t="s">
        <v>491</v>
      </c>
    </row>
    <row r="31" spans="1:5">
      <c r="A31" s="68">
        <v>0.26648100000000002</v>
      </c>
      <c r="B31" s="68">
        <v>0.408993</v>
      </c>
      <c r="C31" s="68">
        <v>11.7836</v>
      </c>
      <c r="D31" s="68">
        <v>1</v>
      </c>
      <c r="E31" s="68" t="s">
        <v>492</v>
      </c>
    </row>
    <row r="32" spans="1:5">
      <c r="A32" s="68">
        <v>0.26782400000000001</v>
      </c>
      <c r="B32" s="68">
        <v>0.40616999999999998</v>
      </c>
      <c r="C32" s="68">
        <v>12.1899</v>
      </c>
      <c r="D32" s="68">
        <v>1</v>
      </c>
      <c r="E32" s="68" t="s">
        <v>493</v>
      </c>
    </row>
    <row r="33" spans="1:5">
      <c r="A33" s="68">
        <v>0.268766</v>
      </c>
      <c r="B33" s="68">
        <v>0.403943</v>
      </c>
      <c r="C33" s="68">
        <v>12.5921</v>
      </c>
      <c r="D33" s="68">
        <v>1</v>
      </c>
      <c r="E33" s="68" t="s">
        <v>494</v>
      </c>
    </row>
    <row r="34" spans="1:5">
      <c r="A34" s="68">
        <v>0.26943800000000001</v>
      </c>
      <c r="B34" s="68">
        <v>0.40199200000000002</v>
      </c>
      <c r="C34" s="68">
        <v>12.998200000000001</v>
      </c>
      <c r="D34" s="68">
        <v>1</v>
      </c>
      <c r="E34" s="68" t="s">
        <v>495</v>
      </c>
    </row>
    <row r="35" spans="1:5">
      <c r="A35" s="68">
        <v>0.26995400000000003</v>
      </c>
      <c r="B35" s="68">
        <v>0.40060899999999999</v>
      </c>
      <c r="C35" s="68">
        <v>13.404999999999999</v>
      </c>
      <c r="D35" s="68">
        <v>1</v>
      </c>
      <c r="E35" s="68" t="s">
        <v>496</v>
      </c>
    </row>
    <row r="36" spans="1:5">
      <c r="A36" s="68">
        <v>0.27032899999999999</v>
      </c>
      <c r="B36" s="68">
        <v>0.39962599999999998</v>
      </c>
      <c r="C36" s="68">
        <v>13.8141</v>
      </c>
      <c r="D36" s="68">
        <v>1</v>
      </c>
      <c r="E36" s="68" t="s">
        <v>497</v>
      </c>
    </row>
    <row r="37" spans="1:5">
      <c r="A37" s="68">
        <v>0.27051700000000001</v>
      </c>
      <c r="B37" s="68">
        <v>0.39911600000000003</v>
      </c>
      <c r="C37" s="68">
        <v>14.2197</v>
      </c>
      <c r="D37" s="68">
        <v>1</v>
      </c>
      <c r="E37" s="68" t="s">
        <v>498</v>
      </c>
    </row>
    <row r="38" spans="1:5">
      <c r="A38" s="68">
        <v>0.27055699999999999</v>
      </c>
      <c r="B38" s="68">
        <v>0.39869399999999999</v>
      </c>
      <c r="C38" s="68">
        <v>14.627000000000001</v>
      </c>
      <c r="D38" s="68">
        <v>1</v>
      </c>
      <c r="E38" s="68" t="s">
        <v>499</v>
      </c>
    </row>
    <row r="39" spans="1:5">
      <c r="A39" s="68">
        <v>0.27022099999999999</v>
      </c>
      <c r="B39" s="68">
        <v>0.39853899999999998</v>
      </c>
      <c r="C39" s="68">
        <v>15.0351</v>
      </c>
      <c r="D39" s="68">
        <v>1</v>
      </c>
      <c r="E39" s="68" t="s">
        <v>500</v>
      </c>
    </row>
    <row r="40" spans="1:5">
      <c r="A40" s="68">
        <v>0.26966699999999999</v>
      </c>
      <c r="B40" s="68">
        <v>0.39864300000000003</v>
      </c>
      <c r="C40" s="68">
        <v>15.4404</v>
      </c>
      <c r="D40" s="68">
        <v>1</v>
      </c>
      <c r="E40" s="68" t="s">
        <v>501</v>
      </c>
    </row>
    <row r="41" spans="1:5">
      <c r="A41" s="68">
        <v>0.26880599999999999</v>
      </c>
      <c r="B41" s="68">
        <v>0.39920899999999998</v>
      </c>
      <c r="C41" s="68">
        <v>15.8466</v>
      </c>
      <c r="D41" s="68">
        <v>1</v>
      </c>
      <c r="E41" s="68" t="s">
        <v>502</v>
      </c>
    </row>
    <row r="42" spans="1:5">
      <c r="A42" s="68">
        <v>0.267598</v>
      </c>
      <c r="B42" s="68">
        <v>0.40043000000000001</v>
      </c>
      <c r="C42" s="68">
        <v>16.253</v>
      </c>
      <c r="D42" s="68">
        <v>1</v>
      </c>
      <c r="E42" s="68" t="s">
        <v>503</v>
      </c>
    </row>
    <row r="43" spans="1:5">
      <c r="A43" s="68">
        <v>0.26610699999999998</v>
      </c>
      <c r="B43" s="68">
        <v>0.402366</v>
      </c>
      <c r="C43" s="68">
        <v>16.657800000000002</v>
      </c>
      <c r="D43" s="68">
        <v>1</v>
      </c>
      <c r="E43" s="68" t="s">
        <v>504</v>
      </c>
    </row>
    <row r="44" spans="1:5">
      <c r="A44" s="68">
        <v>0.26464100000000002</v>
      </c>
      <c r="B44" s="68">
        <v>0.40342699999999998</v>
      </c>
      <c r="C44" s="68">
        <v>17.061800000000002</v>
      </c>
      <c r="D44" s="68">
        <v>1</v>
      </c>
      <c r="E44" s="68" t="s">
        <v>505</v>
      </c>
    </row>
    <row r="45" spans="1:5">
      <c r="A45" s="68">
        <v>0.263021</v>
      </c>
      <c r="B45" s="68">
        <v>0.40411000000000002</v>
      </c>
      <c r="C45" s="68">
        <v>17.466799999999999</v>
      </c>
      <c r="D45" s="68">
        <v>1</v>
      </c>
      <c r="E45" s="68" t="s">
        <v>506</v>
      </c>
    </row>
    <row r="46" spans="1:5">
      <c r="A46" s="68">
        <v>0.26121499999999997</v>
      </c>
      <c r="B46" s="68">
        <v>0.40500799999999998</v>
      </c>
      <c r="C46" s="68">
        <v>17.876100000000001</v>
      </c>
      <c r="D46" s="68">
        <v>1</v>
      </c>
      <c r="E46" s="68" t="s">
        <v>507</v>
      </c>
    </row>
    <row r="47" spans="1:5">
      <c r="A47" s="68">
        <v>0.25957999999999998</v>
      </c>
      <c r="B47" s="68">
        <v>0.40553400000000001</v>
      </c>
      <c r="C47" s="68">
        <v>18.281600000000001</v>
      </c>
      <c r="D47" s="68">
        <v>1</v>
      </c>
      <c r="E47" s="68" t="s">
        <v>508</v>
      </c>
    </row>
    <row r="48" spans="1:5">
      <c r="A48" s="68">
        <v>0.25794600000000001</v>
      </c>
      <c r="B48" s="68">
        <v>0.40571099999999999</v>
      </c>
      <c r="C48" s="68">
        <v>18.6875</v>
      </c>
      <c r="D48" s="68">
        <v>1</v>
      </c>
      <c r="E48" s="68" t="s">
        <v>509</v>
      </c>
    </row>
    <row r="49" spans="1:5">
      <c r="A49" s="68">
        <v>0.25628600000000001</v>
      </c>
      <c r="B49" s="68">
        <v>0.40585900000000003</v>
      </c>
      <c r="C49" s="68">
        <v>19.093699999999998</v>
      </c>
      <c r="D49" s="68">
        <v>1</v>
      </c>
      <c r="E49" s="68" t="s">
        <v>510</v>
      </c>
    </row>
    <row r="50" spans="1:5">
      <c r="A50" s="68">
        <v>0.25482700000000003</v>
      </c>
      <c r="B50" s="68">
        <v>0.40577000000000002</v>
      </c>
      <c r="C50" s="68">
        <v>19.501999999999999</v>
      </c>
      <c r="D50" s="68">
        <v>1</v>
      </c>
      <c r="E50" s="68" t="s">
        <v>511</v>
      </c>
    </row>
    <row r="51" spans="1:5">
      <c r="A51" s="68">
        <v>0.25345000000000001</v>
      </c>
      <c r="B51" s="68">
        <v>0.40609400000000001</v>
      </c>
      <c r="C51" s="68">
        <v>19.9068</v>
      </c>
      <c r="D51" s="68">
        <v>1</v>
      </c>
      <c r="E51" s="68" t="s">
        <v>512</v>
      </c>
    </row>
    <row r="52" spans="1:5">
      <c r="A52" s="68">
        <v>0.25210399999999999</v>
      </c>
      <c r="B52" s="68">
        <v>0.40754200000000002</v>
      </c>
      <c r="C52" s="68">
        <v>20.313500000000001</v>
      </c>
      <c r="D52" s="68">
        <v>1</v>
      </c>
      <c r="E52" s="68" t="s">
        <v>513</v>
      </c>
    </row>
    <row r="53" spans="1:5">
      <c r="A53" s="68">
        <v>0.25088300000000002</v>
      </c>
      <c r="B53" s="68">
        <v>0.40896900000000003</v>
      </c>
      <c r="C53" s="68">
        <v>20.719200000000001</v>
      </c>
      <c r="D53" s="68">
        <v>1</v>
      </c>
      <c r="E53" s="68" t="s">
        <v>514</v>
      </c>
    </row>
    <row r="54" spans="1:5">
      <c r="A54" s="68">
        <v>0.249996</v>
      </c>
      <c r="B54" s="68">
        <v>0.410306</v>
      </c>
      <c r="C54" s="68">
        <v>21.123999999999999</v>
      </c>
      <c r="D54" s="68">
        <v>1</v>
      </c>
      <c r="E54" s="68" t="s">
        <v>515</v>
      </c>
    </row>
    <row r="55" spans="1:5">
      <c r="A55" s="68">
        <v>0.24946299999999999</v>
      </c>
      <c r="B55" s="68">
        <v>0.41074899999999998</v>
      </c>
      <c r="C55" s="68">
        <v>21.531400000000001</v>
      </c>
      <c r="D55" s="68">
        <v>1</v>
      </c>
      <c r="E55" s="68" t="s">
        <v>516</v>
      </c>
    </row>
    <row r="56" spans="1:5">
      <c r="A56" s="68">
        <v>0.24932299999999999</v>
      </c>
      <c r="B56" s="68">
        <v>0.409497</v>
      </c>
      <c r="C56" s="68">
        <v>21.940300000000001</v>
      </c>
      <c r="D56" s="68">
        <v>1</v>
      </c>
      <c r="E56" s="68" t="s">
        <v>517</v>
      </c>
    </row>
    <row r="57" spans="1:5">
      <c r="A57" s="68">
        <v>0.24890100000000001</v>
      </c>
      <c r="B57" s="68">
        <v>0.40956700000000001</v>
      </c>
      <c r="C57" s="68">
        <v>22.342300000000002</v>
      </c>
      <c r="D57" s="68">
        <v>1</v>
      </c>
      <c r="E57" s="68" t="s">
        <v>518</v>
      </c>
    </row>
    <row r="58" spans="1:5">
      <c r="A58" s="68">
        <v>0.249024</v>
      </c>
      <c r="B58" s="68">
        <v>0.40896399999999999</v>
      </c>
      <c r="C58" s="68">
        <v>22.750399999999999</v>
      </c>
      <c r="D58" s="68">
        <v>1</v>
      </c>
      <c r="E58" s="68" t="s">
        <v>519</v>
      </c>
    </row>
    <row r="59" spans="1:5">
      <c r="A59" s="68">
        <v>0.24940000000000001</v>
      </c>
      <c r="B59" s="68">
        <v>0.40776499999999999</v>
      </c>
      <c r="C59" s="68">
        <v>23.153199999999998</v>
      </c>
      <c r="D59" s="68">
        <v>1</v>
      </c>
      <c r="E59" s="68" t="s">
        <v>520</v>
      </c>
    </row>
    <row r="60" spans="1:5">
      <c r="A60" s="68">
        <v>0.24999199999999999</v>
      </c>
      <c r="B60" s="68">
        <v>0.40528399999999998</v>
      </c>
      <c r="C60" s="68">
        <v>23.561499999999999</v>
      </c>
      <c r="D60" s="68">
        <v>1</v>
      </c>
      <c r="E60" s="68" t="s">
        <v>521</v>
      </c>
    </row>
    <row r="61" spans="1:5">
      <c r="A61" s="68">
        <v>0.25135400000000002</v>
      </c>
      <c r="B61" s="68">
        <v>0.401339</v>
      </c>
      <c r="C61" s="68">
        <v>23.9696</v>
      </c>
      <c r="D61" s="68">
        <v>1</v>
      </c>
      <c r="E61" s="68" t="s">
        <v>522</v>
      </c>
    </row>
    <row r="62" spans="1:5">
      <c r="A62" s="68">
        <v>0.25185200000000002</v>
      </c>
      <c r="B62" s="68">
        <v>0.39926299999999998</v>
      </c>
      <c r="C62" s="68">
        <v>24.375900000000001</v>
      </c>
      <c r="D62" s="68">
        <v>1</v>
      </c>
      <c r="E62" s="68" t="s">
        <v>523</v>
      </c>
    </row>
    <row r="63" spans="1:5">
      <c r="A63" s="68">
        <v>0.25355899999999998</v>
      </c>
      <c r="B63" s="68">
        <v>0.39552199999999998</v>
      </c>
      <c r="C63" s="68">
        <v>24.7836</v>
      </c>
      <c r="D63" s="68">
        <v>1</v>
      </c>
      <c r="E63" s="68" t="s">
        <v>524</v>
      </c>
    </row>
    <row r="64" spans="1:5">
      <c r="A64" s="68">
        <v>0.25509500000000002</v>
      </c>
      <c r="B64" s="68">
        <v>0.39225599999999999</v>
      </c>
      <c r="C64" s="68">
        <v>25.187799999999999</v>
      </c>
      <c r="D64" s="68">
        <v>1</v>
      </c>
      <c r="E64" s="68" t="s">
        <v>525</v>
      </c>
    </row>
    <row r="65" spans="1:5">
      <c r="A65" s="68">
        <v>0.25609999999999999</v>
      </c>
      <c r="B65" s="68">
        <v>0.38955299999999998</v>
      </c>
      <c r="C65" s="68">
        <v>25.592099999999999</v>
      </c>
      <c r="D65" s="68">
        <v>1</v>
      </c>
      <c r="E65" s="68" t="s">
        <v>526</v>
      </c>
    </row>
    <row r="66" spans="1:5">
      <c r="A66" s="68">
        <v>0.25832899999999998</v>
      </c>
      <c r="B66" s="68">
        <v>0.38440000000000002</v>
      </c>
      <c r="C66" s="68">
        <v>25.9986</v>
      </c>
      <c r="D66" s="68">
        <v>1</v>
      </c>
      <c r="E66" s="68" t="s">
        <v>527</v>
      </c>
    </row>
    <row r="67" spans="1:5">
      <c r="A67" s="68">
        <v>0.261963</v>
      </c>
      <c r="B67" s="68">
        <v>0.37576500000000002</v>
      </c>
      <c r="C67" s="68">
        <v>26.407900000000001</v>
      </c>
      <c r="D67" s="68">
        <v>1</v>
      </c>
      <c r="E67" s="68" t="s">
        <v>528</v>
      </c>
    </row>
    <row r="68" spans="1:5">
      <c r="A68" s="68">
        <v>0.26487300000000003</v>
      </c>
      <c r="B68" s="68">
        <v>0.36965599999999998</v>
      </c>
      <c r="C68" s="68">
        <v>26.814499999999999</v>
      </c>
      <c r="D68" s="68">
        <v>1</v>
      </c>
      <c r="E68" s="68" t="s">
        <v>529</v>
      </c>
    </row>
    <row r="69" spans="1:5">
      <c r="A69" s="68">
        <v>0.26807300000000001</v>
      </c>
      <c r="B69" s="68">
        <v>0.36392799999999997</v>
      </c>
      <c r="C69" s="68">
        <v>27.218599999999999</v>
      </c>
      <c r="D69" s="68">
        <v>1</v>
      </c>
      <c r="E69" s="68" t="s">
        <v>530</v>
      </c>
    </row>
    <row r="70" spans="1:5">
      <c r="A70" s="68">
        <v>0.27119700000000002</v>
      </c>
      <c r="B70" s="68">
        <v>0.358877</v>
      </c>
      <c r="C70" s="68">
        <v>27.6249</v>
      </c>
      <c r="D70" s="68">
        <v>1</v>
      </c>
      <c r="E70" s="68" t="s">
        <v>531</v>
      </c>
    </row>
    <row r="71" spans="1:5">
      <c r="A71" s="68">
        <v>0.274372</v>
      </c>
      <c r="B71" s="68">
        <v>0.35459299999999999</v>
      </c>
      <c r="C71" s="68">
        <v>28.0318</v>
      </c>
      <c r="D71" s="68">
        <v>1</v>
      </c>
      <c r="E71" s="68" t="s">
        <v>532</v>
      </c>
    </row>
    <row r="72" spans="1:5">
      <c r="A72" s="68">
        <v>0.27667000000000003</v>
      </c>
      <c r="B72" s="68">
        <v>0.35235</v>
      </c>
      <c r="C72" s="68">
        <v>28.4358</v>
      </c>
      <c r="D72" s="68">
        <v>1</v>
      </c>
      <c r="E72" s="68" t="s">
        <v>533</v>
      </c>
    </row>
    <row r="73" spans="1:5">
      <c r="A73" s="68">
        <v>0.28029799999999999</v>
      </c>
      <c r="B73" s="68">
        <v>0.34884700000000002</v>
      </c>
      <c r="C73" s="68">
        <v>28.845300000000002</v>
      </c>
      <c r="D73" s="68">
        <v>1</v>
      </c>
      <c r="E73" s="68" t="s">
        <v>534</v>
      </c>
    </row>
    <row r="74" spans="1:5">
      <c r="A74" s="68">
        <v>0.28256700000000001</v>
      </c>
      <c r="B74" s="68">
        <v>0.347468</v>
      </c>
      <c r="C74" s="68">
        <v>29.250299999999999</v>
      </c>
      <c r="D74" s="68">
        <v>1</v>
      </c>
      <c r="E74" s="68" t="s">
        <v>535</v>
      </c>
    </row>
    <row r="75" spans="1:5">
      <c r="A75" s="68">
        <v>0.285854</v>
      </c>
      <c r="B75" s="68">
        <v>0.34479799999999999</v>
      </c>
      <c r="C75" s="68">
        <v>29.6585</v>
      </c>
      <c r="D75" s="68">
        <v>1</v>
      </c>
      <c r="E75" s="68" t="s">
        <v>536</v>
      </c>
    </row>
    <row r="76" spans="1:5">
      <c r="A76" s="68">
        <v>0.28825499999999998</v>
      </c>
      <c r="B76" s="68">
        <v>0.34268700000000002</v>
      </c>
      <c r="C76" s="68">
        <v>30.063700000000001</v>
      </c>
      <c r="D76" s="68">
        <v>2</v>
      </c>
      <c r="E76" s="68" t="s">
        <v>537</v>
      </c>
    </row>
    <row r="77" spans="1:5">
      <c r="A77" s="68">
        <v>0.290682</v>
      </c>
      <c r="B77" s="68">
        <v>0.34009899999999998</v>
      </c>
      <c r="C77" s="68">
        <v>30.530100000000001</v>
      </c>
      <c r="D77" s="68">
        <v>2</v>
      </c>
      <c r="E77" s="68" t="s">
        <v>538</v>
      </c>
    </row>
    <row r="78" spans="1:5">
      <c r="A78" s="68">
        <v>0.29291200000000001</v>
      </c>
      <c r="B78" s="68">
        <v>0.33789799999999998</v>
      </c>
      <c r="C78" s="68">
        <v>30.922000000000001</v>
      </c>
      <c r="D78" s="68">
        <v>2</v>
      </c>
      <c r="E78" s="68" t="s">
        <v>539</v>
      </c>
    </row>
    <row r="79" spans="1:5">
      <c r="A79" s="68">
        <v>0.29475699999999999</v>
      </c>
      <c r="B79" s="68">
        <v>0.33588000000000001</v>
      </c>
      <c r="C79" s="68">
        <v>31.3292</v>
      </c>
      <c r="D79" s="68">
        <v>2</v>
      </c>
      <c r="E79" s="68" t="s">
        <v>540</v>
      </c>
    </row>
    <row r="80" spans="1:5">
      <c r="A80" s="68">
        <v>0.29641899999999999</v>
      </c>
      <c r="B80" s="68">
        <v>0.33460000000000001</v>
      </c>
      <c r="C80" s="68">
        <v>31.733699999999999</v>
      </c>
      <c r="D80" s="68">
        <v>2</v>
      </c>
      <c r="E80" s="68" t="s">
        <v>541</v>
      </c>
    </row>
    <row r="81" spans="1:5">
      <c r="A81" s="68">
        <v>0.29755999999999999</v>
      </c>
      <c r="B81" s="68">
        <v>0.33505099999999999</v>
      </c>
      <c r="C81" s="68">
        <v>32.138599999999997</v>
      </c>
      <c r="D81" s="68">
        <v>2</v>
      </c>
      <c r="E81" s="68" t="s">
        <v>542</v>
      </c>
    </row>
    <row r="82" spans="1:5">
      <c r="A82" s="68">
        <v>0.29853499999999999</v>
      </c>
      <c r="B82" s="68">
        <v>0.33534599999999998</v>
      </c>
      <c r="C82" s="68">
        <v>32.5471</v>
      </c>
      <c r="D82" s="68">
        <v>2</v>
      </c>
      <c r="E82" s="68" t="s">
        <v>543</v>
      </c>
    </row>
    <row r="83" spans="1:5">
      <c r="A83" s="68">
        <v>0.29922199999999999</v>
      </c>
      <c r="B83" s="68">
        <v>0.33579199999999998</v>
      </c>
      <c r="C83" s="68">
        <v>32.9544</v>
      </c>
      <c r="D83" s="68">
        <v>2</v>
      </c>
      <c r="E83" s="68" t="s">
        <v>544</v>
      </c>
    </row>
    <row r="84" spans="1:5">
      <c r="A84" s="68">
        <v>0.29982700000000001</v>
      </c>
      <c r="B84" s="68">
        <v>0.33661000000000002</v>
      </c>
      <c r="C84" s="68">
        <v>33.3596</v>
      </c>
      <c r="D84" s="68">
        <v>2</v>
      </c>
      <c r="E84" s="68" t="s">
        <v>545</v>
      </c>
    </row>
    <row r="85" spans="1:5">
      <c r="A85" s="68">
        <v>0.300209</v>
      </c>
      <c r="B85" s="68">
        <v>0.33802300000000002</v>
      </c>
      <c r="C85" s="68">
        <v>33.763199999999998</v>
      </c>
      <c r="D85" s="68">
        <v>2</v>
      </c>
      <c r="E85" s="68" t="s">
        <v>546</v>
      </c>
    </row>
    <row r="86" spans="1:5">
      <c r="A86" s="68">
        <v>0.30032300000000001</v>
      </c>
      <c r="B86" s="68">
        <v>0.339119</v>
      </c>
      <c r="C86" s="68">
        <v>34.170900000000003</v>
      </c>
      <c r="D86" s="68">
        <v>2</v>
      </c>
      <c r="E86" s="68" t="s">
        <v>547</v>
      </c>
    </row>
    <row r="87" spans="1:5">
      <c r="A87" s="68">
        <v>0.30019699999999999</v>
      </c>
      <c r="B87" s="68">
        <v>0.34035799999999999</v>
      </c>
      <c r="C87" s="68">
        <v>34.581299999999999</v>
      </c>
      <c r="D87" s="68">
        <v>2</v>
      </c>
      <c r="E87" s="68" t="s">
        <v>548</v>
      </c>
    </row>
    <row r="88" spans="1:5">
      <c r="A88" s="68">
        <v>0.29992999999999997</v>
      </c>
      <c r="B88" s="68">
        <v>0.34148899999999999</v>
      </c>
      <c r="C88" s="68">
        <v>34.985900000000001</v>
      </c>
      <c r="D88" s="68">
        <v>2</v>
      </c>
      <c r="E88" s="68" t="s">
        <v>549</v>
      </c>
    </row>
    <row r="89" spans="1:5">
      <c r="A89" s="68">
        <v>0.299043</v>
      </c>
      <c r="B89" s="68">
        <v>0.34271800000000002</v>
      </c>
      <c r="C89" s="68">
        <v>35.390700000000002</v>
      </c>
      <c r="D89" s="68">
        <v>2</v>
      </c>
      <c r="E89" s="68" t="s">
        <v>550</v>
      </c>
    </row>
    <row r="90" spans="1:5">
      <c r="A90" s="68">
        <v>0.29778900000000003</v>
      </c>
      <c r="B90" s="68">
        <v>0.344279</v>
      </c>
      <c r="C90" s="68">
        <v>35.795200000000001</v>
      </c>
      <c r="D90" s="68">
        <v>2</v>
      </c>
      <c r="E90" s="68" t="s">
        <v>551</v>
      </c>
    </row>
    <row r="91" spans="1:5">
      <c r="A91" s="68">
        <v>0.29574499999999998</v>
      </c>
      <c r="B91" s="68">
        <v>0.34698000000000001</v>
      </c>
      <c r="C91" s="68">
        <v>36.201599999999999</v>
      </c>
      <c r="D91" s="68">
        <v>2</v>
      </c>
      <c r="E91" s="68" t="s">
        <v>552</v>
      </c>
    </row>
    <row r="92" spans="1:5">
      <c r="A92" s="68">
        <v>0.29362500000000002</v>
      </c>
      <c r="B92" s="68">
        <v>0.349993</v>
      </c>
      <c r="C92" s="68">
        <v>36.608499999999999</v>
      </c>
      <c r="D92" s="68">
        <v>2</v>
      </c>
      <c r="E92" s="68" t="s">
        <v>553</v>
      </c>
    </row>
    <row r="93" spans="1:5">
      <c r="A93" s="68">
        <v>0.29152400000000001</v>
      </c>
      <c r="B93" s="68">
        <v>0.35330499999999998</v>
      </c>
      <c r="C93" s="68">
        <v>37.015900000000002</v>
      </c>
      <c r="D93" s="68">
        <v>2</v>
      </c>
      <c r="E93" s="68" t="s">
        <v>554</v>
      </c>
    </row>
    <row r="94" spans="1:5">
      <c r="A94" s="68">
        <v>0.28917599999999999</v>
      </c>
      <c r="B94" s="68">
        <v>0.357317</v>
      </c>
      <c r="C94" s="68">
        <v>37.4221</v>
      </c>
      <c r="D94" s="68">
        <v>2</v>
      </c>
      <c r="E94" s="68" t="s">
        <v>555</v>
      </c>
    </row>
    <row r="95" spans="1:5">
      <c r="A95" s="68">
        <v>0.28678300000000001</v>
      </c>
      <c r="B95" s="68">
        <v>0.36135200000000001</v>
      </c>
      <c r="C95" s="68">
        <v>37.8279</v>
      </c>
      <c r="D95" s="68">
        <v>2</v>
      </c>
      <c r="E95" s="68" t="s">
        <v>556</v>
      </c>
    </row>
    <row r="96" spans="1:5">
      <c r="A96" s="68">
        <v>0.284053</v>
      </c>
      <c r="B96" s="68">
        <v>0.36551499999999998</v>
      </c>
      <c r="C96" s="68">
        <v>38.2333</v>
      </c>
      <c r="D96" s="68">
        <v>2</v>
      </c>
      <c r="E96" s="68" t="s">
        <v>557</v>
      </c>
    </row>
    <row r="97" spans="1:5">
      <c r="A97" s="68">
        <v>0.28123300000000001</v>
      </c>
      <c r="B97" s="68">
        <v>0.369587</v>
      </c>
      <c r="C97" s="68">
        <v>38.640700000000002</v>
      </c>
      <c r="D97" s="68">
        <v>2</v>
      </c>
      <c r="E97" s="68" t="s">
        <v>558</v>
      </c>
    </row>
    <row r="98" spans="1:5">
      <c r="A98" s="68">
        <v>0.27855200000000002</v>
      </c>
      <c r="B98" s="68">
        <v>0.37349300000000002</v>
      </c>
      <c r="C98" s="68">
        <v>39.049500000000002</v>
      </c>
      <c r="D98" s="68">
        <v>2</v>
      </c>
      <c r="E98" s="68" t="s">
        <v>559</v>
      </c>
    </row>
    <row r="99" spans="1:5">
      <c r="A99" s="68">
        <v>0.27590100000000001</v>
      </c>
      <c r="B99" s="68">
        <v>0.37741599999999997</v>
      </c>
      <c r="C99" s="68">
        <v>39.453299999999999</v>
      </c>
      <c r="D99" s="68">
        <v>2</v>
      </c>
      <c r="E99" s="68" t="s">
        <v>560</v>
      </c>
    </row>
    <row r="100" spans="1:5">
      <c r="A100" s="68">
        <v>0.27287299999999998</v>
      </c>
      <c r="B100" s="68">
        <v>0.38203799999999999</v>
      </c>
      <c r="C100" s="68">
        <v>39.8581</v>
      </c>
      <c r="D100" s="68">
        <v>2</v>
      </c>
      <c r="E100" s="68" t="s">
        <v>561</v>
      </c>
    </row>
    <row r="101" spans="1:5">
      <c r="A101" s="68">
        <v>0.26978999999999997</v>
      </c>
      <c r="B101" s="68">
        <v>0.38713399999999998</v>
      </c>
      <c r="C101" s="68">
        <v>40.264400000000002</v>
      </c>
      <c r="D101" s="68">
        <v>2</v>
      </c>
      <c r="E101" s="68" t="s">
        <v>562</v>
      </c>
    </row>
    <row r="102" spans="1:5">
      <c r="A102" s="68">
        <v>0.26673599999999997</v>
      </c>
      <c r="B102" s="68">
        <v>0.39301199999999997</v>
      </c>
      <c r="C102" s="68">
        <v>40.67</v>
      </c>
      <c r="D102" s="68">
        <v>2</v>
      </c>
      <c r="E102" s="68" t="s">
        <v>563</v>
      </c>
    </row>
    <row r="103" spans="1:5">
      <c r="A103" s="68">
        <v>0.264042</v>
      </c>
      <c r="B103" s="68">
        <v>0.39889400000000003</v>
      </c>
      <c r="C103" s="68">
        <v>41.080300000000001</v>
      </c>
      <c r="D103" s="68">
        <v>2</v>
      </c>
      <c r="E103" s="68" t="s">
        <v>564</v>
      </c>
    </row>
    <row r="104" spans="1:5">
      <c r="A104" s="68">
        <v>0.26146200000000003</v>
      </c>
      <c r="B104" s="68">
        <v>0.40456399999999998</v>
      </c>
      <c r="C104" s="68">
        <v>41.484400000000001</v>
      </c>
      <c r="D104" s="68">
        <v>2</v>
      </c>
      <c r="E104" s="68" t="s">
        <v>565</v>
      </c>
    </row>
    <row r="105" spans="1:5">
      <c r="A105" s="68">
        <v>0.25892900000000002</v>
      </c>
      <c r="B105" s="68">
        <v>0.40996700000000003</v>
      </c>
      <c r="C105" s="68">
        <v>41.890599999999999</v>
      </c>
      <c r="D105" s="68">
        <v>2</v>
      </c>
      <c r="E105" s="68" t="s">
        <v>566</v>
      </c>
    </row>
    <row r="106" spans="1:5">
      <c r="A106" s="68">
        <v>0.25671699999999997</v>
      </c>
      <c r="B106" s="68">
        <v>0.41391699999999998</v>
      </c>
      <c r="C106" s="68">
        <v>42.296700000000001</v>
      </c>
      <c r="D106" s="68">
        <v>2</v>
      </c>
      <c r="E106" s="68" t="s">
        <v>567</v>
      </c>
    </row>
    <row r="107" spans="1:5">
      <c r="A107" s="68">
        <v>0.25446999999999997</v>
      </c>
      <c r="B107" s="68">
        <v>0.41765600000000003</v>
      </c>
      <c r="C107" s="68">
        <v>42.702800000000003</v>
      </c>
      <c r="D107" s="68">
        <v>2</v>
      </c>
      <c r="E107" s="68" t="s">
        <v>568</v>
      </c>
    </row>
    <row r="108" spans="1:5">
      <c r="A108" s="68">
        <v>0.25267299999999998</v>
      </c>
      <c r="B108" s="68">
        <v>0.42040699999999998</v>
      </c>
      <c r="C108" s="68">
        <v>43.107900000000001</v>
      </c>
      <c r="D108" s="68">
        <v>2</v>
      </c>
      <c r="E108" s="68" t="s">
        <v>569</v>
      </c>
    </row>
    <row r="109" spans="1:5">
      <c r="A109" s="68">
        <v>0.25123099999999998</v>
      </c>
      <c r="B109" s="68">
        <v>0.422321</v>
      </c>
      <c r="C109" s="68">
        <v>43.515700000000002</v>
      </c>
      <c r="D109" s="68">
        <v>2</v>
      </c>
      <c r="E109" s="68" t="s">
        <v>570</v>
      </c>
    </row>
    <row r="110" spans="1:5">
      <c r="A110" s="68">
        <v>0.24999399999999999</v>
      </c>
      <c r="B110" s="68">
        <v>0.42354399999999998</v>
      </c>
      <c r="C110" s="68">
        <v>43.919800000000002</v>
      </c>
      <c r="D110" s="68">
        <v>2</v>
      </c>
      <c r="E110" s="68" t="s">
        <v>571</v>
      </c>
    </row>
    <row r="111" spans="1:5">
      <c r="A111" s="68">
        <v>0.24879299999999999</v>
      </c>
      <c r="B111" s="68">
        <v>0.42482199999999998</v>
      </c>
      <c r="C111" s="68">
        <v>44.327199999999998</v>
      </c>
      <c r="D111" s="68">
        <v>2</v>
      </c>
      <c r="E111" s="68" t="s">
        <v>572</v>
      </c>
    </row>
    <row r="112" spans="1:5">
      <c r="A112" s="68">
        <v>0.247752</v>
      </c>
      <c r="B112" s="68">
        <v>0.42542799999999997</v>
      </c>
      <c r="C112" s="68">
        <v>44.733499999999999</v>
      </c>
      <c r="D112" s="68">
        <v>2</v>
      </c>
      <c r="E112" s="68" t="s">
        <v>573</v>
      </c>
    </row>
    <row r="113" spans="1:5">
      <c r="A113" s="68">
        <v>0.246945</v>
      </c>
      <c r="B113" s="68">
        <v>0.42517300000000002</v>
      </c>
      <c r="C113" s="68">
        <v>45.143500000000003</v>
      </c>
      <c r="D113" s="68">
        <v>2</v>
      </c>
      <c r="E113" s="68" t="s">
        <v>574</v>
      </c>
    </row>
    <row r="114" spans="1:5">
      <c r="A114" s="68">
        <v>0.24642600000000001</v>
      </c>
      <c r="B114" s="68">
        <v>0.42411799999999999</v>
      </c>
      <c r="C114" s="68">
        <v>45.549700000000001</v>
      </c>
      <c r="D114" s="68">
        <v>2</v>
      </c>
      <c r="E114" s="68" t="s">
        <v>575</v>
      </c>
    </row>
    <row r="115" spans="1:5">
      <c r="A115" s="68">
        <v>0.24576999999999999</v>
      </c>
      <c r="B115" s="68">
        <v>0.42314000000000002</v>
      </c>
      <c r="C115" s="68">
        <v>45.954000000000001</v>
      </c>
      <c r="D115" s="68">
        <v>2</v>
      </c>
      <c r="E115" s="68" t="s">
        <v>576</v>
      </c>
    </row>
    <row r="116" spans="1:5">
      <c r="A116" s="68">
        <v>0.24527299999999999</v>
      </c>
      <c r="B116" s="68">
        <v>0.421261</v>
      </c>
      <c r="C116" s="68">
        <v>46.3583</v>
      </c>
      <c r="D116" s="68">
        <v>2</v>
      </c>
      <c r="E116" s="68" t="s">
        <v>577</v>
      </c>
    </row>
    <row r="117" spans="1:5">
      <c r="A117" s="68">
        <v>0.24494199999999999</v>
      </c>
      <c r="B117" s="68">
        <v>0.41925000000000001</v>
      </c>
      <c r="C117" s="68">
        <v>46.765999999999998</v>
      </c>
      <c r="D117" s="68">
        <v>2</v>
      </c>
      <c r="E117" s="68" t="s">
        <v>578</v>
      </c>
    </row>
    <row r="118" spans="1:5">
      <c r="A118" s="68">
        <v>0.24483199999999999</v>
      </c>
      <c r="B118" s="68">
        <v>0.416856</v>
      </c>
      <c r="C118" s="68">
        <v>47.174799999999998</v>
      </c>
      <c r="D118" s="68">
        <v>2</v>
      </c>
      <c r="E118" s="68" t="s">
        <v>579</v>
      </c>
    </row>
    <row r="119" spans="1:5">
      <c r="A119" s="68">
        <v>0.24485199999999999</v>
      </c>
      <c r="B119" s="68">
        <v>0.414136</v>
      </c>
      <c r="C119" s="68">
        <v>47.581899999999997</v>
      </c>
      <c r="D119" s="68">
        <v>2</v>
      </c>
      <c r="E119" s="68" t="s">
        <v>580</v>
      </c>
    </row>
    <row r="120" spans="1:5">
      <c r="A120" s="68">
        <v>0.244779</v>
      </c>
      <c r="B120" s="68">
        <v>0.41154600000000002</v>
      </c>
      <c r="C120" s="68">
        <v>47.984999999999999</v>
      </c>
      <c r="D120" s="68">
        <v>2</v>
      </c>
      <c r="E120" s="68" t="s">
        <v>581</v>
      </c>
    </row>
    <row r="121" spans="1:5">
      <c r="A121" s="68">
        <v>0.24524199999999999</v>
      </c>
      <c r="B121" s="68">
        <v>0.40907100000000002</v>
      </c>
      <c r="C121" s="68">
        <v>48.387</v>
      </c>
      <c r="D121" s="68">
        <v>2</v>
      </c>
      <c r="E121" s="68" t="s">
        <v>582</v>
      </c>
    </row>
    <row r="122" spans="1:5">
      <c r="A122" s="68">
        <v>0.24598100000000001</v>
      </c>
      <c r="B122" s="68">
        <v>0.40702500000000003</v>
      </c>
      <c r="C122" s="68">
        <v>48.796199999999999</v>
      </c>
      <c r="D122" s="68">
        <v>2</v>
      </c>
      <c r="E122" s="68" t="s">
        <v>583</v>
      </c>
    </row>
    <row r="123" spans="1:5">
      <c r="A123" s="68">
        <v>0.24693000000000001</v>
      </c>
      <c r="B123" s="68">
        <v>0.40490399999999999</v>
      </c>
      <c r="C123" s="68">
        <v>49.2042</v>
      </c>
      <c r="D123" s="68">
        <v>2</v>
      </c>
      <c r="E123" s="68" t="s">
        <v>584</v>
      </c>
    </row>
    <row r="124" spans="1:5">
      <c r="A124" s="68">
        <v>0.24780199999999999</v>
      </c>
      <c r="B124" s="68">
        <v>0.403783</v>
      </c>
      <c r="C124" s="68">
        <v>49.610900000000001</v>
      </c>
      <c r="D124" s="68">
        <v>2</v>
      </c>
      <c r="E124" s="68" t="s">
        <v>585</v>
      </c>
    </row>
    <row r="125" spans="1:5">
      <c r="A125" s="68">
        <v>0.248608</v>
      </c>
      <c r="B125" s="68">
        <v>0.40236100000000002</v>
      </c>
      <c r="C125" s="68">
        <v>50.015300000000003</v>
      </c>
      <c r="D125" s="68">
        <v>2</v>
      </c>
      <c r="E125" s="68" t="s">
        <v>586</v>
      </c>
    </row>
    <row r="126" spans="1:5">
      <c r="A126" s="68">
        <v>0.249477</v>
      </c>
      <c r="B126" s="68">
        <v>0.40038600000000002</v>
      </c>
      <c r="C126" s="68">
        <v>50.421399999999998</v>
      </c>
      <c r="D126" s="68">
        <v>2</v>
      </c>
      <c r="E126" s="68" t="s">
        <v>587</v>
      </c>
    </row>
    <row r="127" spans="1:5">
      <c r="A127" s="68">
        <v>0.25025599999999998</v>
      </c>
      <c r="B127" s="68">
        <v>0.398428</v>
      </c>
      <c r="C127" s="68">
        <v>50.828099999999999</v>
      </c>
      <c r="D127" s="68">
        <v>2</v>
      </c>
      <c r="E127" s="68" t="s">
        <v>588</v>
      </c>
    </row>
    <row r="128" spans="1:5">
      <c r="A128" s="68">
        <v>0.25069399999999997</v>
      </c>
      <c r="B128" s="68">
        <v>0.39684999999999998</v>
      </c>
      <c r="C128" s="68">
        <v>51.233400000000003</v>
      </c>
      <c r="D128" s="68">
        <v>2</v>
      </c>
      <c r="E128" s="68" t="s">
        <v>589</v>
      </c>
    </row>
    <row r="129" spans="1:5">
      <c r="A129" s="68">
        <v>0.25121700000000002</v>
      </c>
      <c r="B129" s="68">
        <v>0.39544000000000001</v>
      </c>
      <c r="C129" s="68">
        <v>51.639099999999999</v>
      </c>
      <c r="D129" s="68">
        <v>2</v>
      </c>
      <c r="E129" s="68" t="s">
        <v>590</v>
      </c>
    </row>
    <row r="130" spans="1:5">
      <c r="A130" s="68">
        <v>0.25181500000000001</v>
      </c>
      <c r="B130" s="68">
        <v>0.39405400000000002</v>
      </c>
      <c r="C130" s="68">
        <v>52.048699999999997</v>
      </c>
      <c r="D130" s="68">
        <v>2</v>
      </c>
      <c r="E130" s="68" t="s">
        <v>591</v>
      </c>
    </row>
    <row r="131" spans="1:5">
      <c r="A131" s="68">
        <v>0.25254300000000002</v>
      </c>
      <c r="B131" s="68">
        <v>0.39238899999999999</v>
      </c>
      <c r="C131" s="68">
        <v>52.453600000000002</v>
      </c>
      <c r="D131" s="68">
        <v>2</v>
      </c>
      <c r="E131" s="68" t="s">
        <v>592</v>
      </c>
    </row>
    <row r="132" spans="1:5">
      <c r="A132" s="68">
        <v>0.25354500000000002</v>
      </c>
      <c r="B132" s="68">
        <v>0.39046999999999998</v>
      </c>
      <c r="C132" s="68">
        <v>52.860700000000001</v>
      </c>
      <c r="D132" s="68">
        <v>2</v>
      </c>
      <c r="E132" s="68" t="s">
        <v>593</v>
      </c>
    </row>
    <row r="133" spans="1:5">
      <c r="A133" s="68">
        <v>0.25417000000000001</v>
      </c>
      <c r="B133" s="68">
        <v>0.38891100000000001</v>
      </c>
      <c r="C133" s="68">
        <v>53.266800000000003</v>
      </c>
      <c r="D133" s="68">
        <v>2</v>
      </c>
      <c r="E133" s="68" t="s">
        <v>594</v>
      </c>
    </row>
    <row r="134" spans="1:5">
      <c r="A134" s="68">
        <v>0.25423299999999999</v>
      </c>
      <c r="B134" s="68">
        <v>0.38873799999999997</v>
      </c>
      <c r="C134" s="68">
        <v>53.673299999999998</v>
      </c>
      <c r="D134" s="68">
        <v>2</v>
      </c>
      <c r="E134" s="68" t="s">
        <v>595</v>
      </c>
    </row>
    <row r="135" spans="1:5">
      <c r="A135" s="68">
        <v>0.25419799999999998</v>
      </c>
      <c r="B135" s="68">
        <v>0.38879000000000002</v>
      </c>
      <c r="C135" s="68">
        <v>54.083500000000001</v>
      </c>
      <c r="D135" s="68">
        <v>2</v>
      </c>
      <c r="E135" s="68" t="s">
        <v>596</v>
      </c>
    </row>
    <row r="136" spans="1:5">
      <c r="A136" s="68">
        <v>0.25417600000000001</v>
      </c>
      <c r="B136" s="68">
        <v>0.38862099999999999</v>
      </c>
      <c r="C136" s="68">
        <v>54.485199999999999</v>
      </c>
      <c r="D136" s="68">
        <v>2</v>
      </c>
      <c r="E136" s="68" t="s">
        <v>597</v>
      </c>
    </row>
    <row r="137" spans="1:5">
      <c r="A137" s="68">
        <v>0.25399500000000003</v>
      </c>
      <c r="B137" s="68">
        <v>0.388959</v>
      </c>
      <c r="C137" s="68">
        <v>54.894799999999996</v>
      </c>
      <c r="D137" s="68">
        <v>2</v>
      </c>
      <c r="E137" s="68" t="s">
        <v>598</v>
      </c>
    </row>
    <row r="138" spans="1:5">
      <c r="A138" s="68">
        <v>0.25357800000000003</v>
      </c>
      <c r="B138" s="68">
        <v>0.39028099999999999</v>
      </c>
      <c r="C138" s="68">
        <v>55.2971</v>
      </c>
      <c r="D138" s="68">
        <v>2</v>
      </c>
      <c r="E138" s="68" t="s">
        <v>599</v>
      </c>
    </row>
    <row r="139" spans="1:5">
      <c r="A139" s="68">
        <v>0.25331799999999999</v>
      </c>
      <c r="B139" s="68">
        <v>0.39115100000000003</v>
      </c>
      <c r="C139" s="68">
        <v>55.7029</v>
      </c>
      <c r="D139" s="68">
        <v>2</v>
      </c>
      <c r="E139" s="68" t="s">
        <v>600</v>
      </c>
    </row>
    <row r="140" spans="1:5">
      <c r="A140" s="68">
        <v>0.25384299999999999</v>
      </c>
      <c r="B140" s="68">
        <v>0.39172200000000001</v>
      </c>
      <c r="C140" s="68">
        <v>56.108800000000002</v>
      </c>
      <c r="D140" s="68">
        <v>2</v>
      </c>
      <c r="E140" s="68" t="s">
        <v>601</v>
      </c>
    </row>
    <row r="141" spans="1:5">
      <c r="A141" s="68">
        <v>0.25502799999999998</v>
      </c>
      <c r="B141" s="68">
        <v>0.393704</v>
      </c>
      <c r="C141" s="68">
        <v>56.516300000000001</v>
      </c>
      <c r="D141" s="68">
        <v>2</v>
      </c>
      <c r="E141" s="68" t="s">
        <v>602</v>
      </c>
    </row>
    <row r="142" spans="1:5">
      <c r="A142" s="68">
        <v>0.25607099999999999</v>
      </c>
      <c r="B142" s="68">
        <v>0.39623000000000003</v>
      </c>
      <c r="C142" s="68">
        <v>56.927</v>
      </c>
      <c r="D142" s="68">
        <v>2</v>
      </c>
      <c r="E142" s="68" t="s">
        <v>603</v>
      </c>
    </row>
    <row r="143" spans="1:5">
      <c r="A143" s="68">
        <v>0.25654300000000002</v>
      </c>
      <c r="B143" s="68">
        <v>0.39933600000000002</v>
      </c>
      <c r="C143" s="68">
        <v>57.331699999999998</v>
      </c>
      <c r="D143" s="68">
        <v>2</v>
      </c>
      <c r="E143" s="68" t="s">
        <v>604</v>
      </c>
    </row>
    <row r="144" spans="1:5">
      <c r="A144" s="68">
        <v>0.25689000000000001</v>
      </c>
      <c r="B144" s="68">
        <v>0.40265499999999999</v>
      </c>
      <c r="C144" s="68">
        <v>57.735100000000003</v>
      </c>
      <c r="D144" s="68">
        <v>2</v>
      </c>
      <c r="E144" s="68" t="s">
        <v>605</v>
      </c>
    </row>
    <row r="145" spans="1:5">
      <c r="A145" s="68">
        <v>0.258212</v>
      </c>
      <c r="B145" s="68">
        <v>0.407082</v>
      </c>
      <c r="C145" s="68">
        <v>58.142200000000003</v>
      </c>
      <c r="D145" s="68">
        <v>2</v>
      </c>
      <c r="E145" s="68" t="s">
        <v>606</v>
      </c>
    </row>
    <row r="146" spans="1:5">
      <c r="A146" s="68">
        <v>0.25930900000000001</v>
      </c>
      <c r="B146" s="68">
        <v>0.40910800000000003</v>
      </c>
      <c r="C146" s="68">
        <v>58.547400000000003</v>
      </c>
      <c r="D146" s="68">
        <v>2</v>
      </c>
      <c r="E146" s="68" t="s">
        <v>607</v>
      </c>
    </row>
    <row r="147" spans="1:5">
      <c r="A147" s="68">
        <v>0.25991999999999998</v>
      </c>
      <c r="B147" s="68">
        <v>0.41055399999999997</v>
      </c>
      <c r="C147" s="68">
        <v>58.955300000000001</v>
      </c>
      <c r="D147" s="68">
        <v>2</v>
      </c>
      <c r="E147" s="68" t="s">
        <v>608</v>
      </c>
    </row>
    <row r="148" spans="1:5">
      <c r="A148" s="68">
        <v>0.258349</v>
      </c>
      <c r="B148" s="68">
        <v>0.41631299999999999</v>
      </c>
      <c r="C148" s="68">
        <v>59.361199999999997</v>
      </c>
      <c r="D148" s="68">
        <v>2</v>
      </c>
      <c r="E148" s="68" t="s">
        <v>609</v>
      </c>
    </row>
    <row r="149" spans="1:5">
      <c r="A149" s="68">
        <v>0.25286399999999998</v>
      </c>
      <c r="B149" s="68">
        <v>0.42264000000000002</v>
      </c>
      <c r="C149" s="68">
        <v>59.763599999999997</v>
      </c>
      <c r="D149" s="68">
        <v>2</v>
      </c>
      <c r="E149" s="68" t="s">
        <v>610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460</v>
      </c>
      <c r="B1" s="66" t="s">
        <v>611</v>
      </c>
      <c r="C1" s="66" t="s">
        <v>613</v>
      </c>
      <c r="D1" s="66" t="s">
        <v>614</v>
      </c>
      <c r="E1" s="66" t="s">
        <v>615</v>
      </c>
      <c r="F1" s="66" t="s">
        <v>403</v>
      </c>
      <c r="G1" s="66" t="s">
        <v>404</v>
      </c>
      <c r="H1" s="66" t="s">
        <v>616</v>
      </c>
      <c r="I1" s="66" t="s">
        <v>617</v>
      </c>
      <c r="J1" s="66" t="s">
        <v>618</v>
      </c>
      <c r="K1" s="66" t="s">
        <v>619</v>
      </c>
      <c r="L1" s="66" t="s">
        <v>620</v>
      </c>
      <c r="M1" s="66" t="s">
        <v>621</v>
      </c>
      <c r="N1" s="66"/>
    </row>
    <row r="2" spans="1:14">
      <c r="A2" s="75">
        <v>43628.369872685187</v>
      </c>
      <c r="B2" s="66" t="s">
        <v>612</v>
      </c>
      <c r="C2" s="66"/>
      <c r="D2" s="66"/>
      <c r="E2" s="66">
        <v>4.9234099999999996</v>
      </c>
      <c r="F2" s="66">
        <v>1.32626</v>
      </c>
      <c r="G2" s="66">
        <v>0.619618</v>
      </c>
      <c r="H2" s="66">
        <v>0</v>
      </c>
      <c r="I2" s="66">
        <v>88123</v>
      </c>
      <c r="J2" s="66">
        <v>67</v>
      </c>
      <c r="K2" s="66">
        <v>67</v>
      </c>
      <c r="L2" s="66">
        <v>0</v>
      </c>
      <c r="M2" s="66" t="s">
        <v>622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2019-06-12T00:53:28Z</cp:lastPrinted>
  <dcterms:created xsi:type="dcterms:W3CDTF">2010-10-29T12:53:05Z</dcterms:created>
  <dcterms:modified xsi:type="dcterms:W3CDTF">2019-06-12T00:53:38Z</dcterms:modified>
</cp:coreProperties>
</file>