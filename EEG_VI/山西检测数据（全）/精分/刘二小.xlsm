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<sst xmlns="http://schemas.openxmlformats.org/spreadsheetml/2006/main" count="628" uniqueCount="497">
  <si>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</si>
  <si>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</si>
  <si>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</si>
  <si>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</si>
  <si>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</si>
  <si>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</si>
  <si>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</si>
  <si>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</si>
  <si>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</si>
  <si>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</si>
  <si>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</si>
  <si>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</si>
  <si>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</si>
  <si>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</si>
  <si>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</si>
  <si>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</si>
  <si>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</si>
  <si>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</si>
  <si>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</si>
  <si>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</si>
  <si>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</si>
  <si>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</si>
  <si>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</si>
  <si>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</si>
  <si>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</si>
  <si>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</si>
  <si>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</si>
  <si>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</si>
  <si>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</si>
  <si>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</si>
  <si>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</si>
  <si>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</si>
  <si>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</si>
  <si>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</si>
  <si>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</si>
  <si>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</si>
  <si>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</si>
  <si>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</si>
  <si>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</si>
  <si>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</si>
  <si>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</si>
  <si>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</si>
  <si>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</si>
  <si>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</si>
  <si>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</si>
  <si>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</si>
  <si>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</si>
  <si>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</si>
  <si>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</si>
  <si>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</si>
  <si>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</si>
  <si>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</si>
  <si>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</si>
  <si>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</si>
  <si>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</si>
  <si>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</si>
  <si>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</si>
  <si>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</si>
  <si>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</si>
  <si>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</si>
  <si>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</si>
  <si>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</si>
  <si>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</si>
  <si>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</si>
  <si>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</si>
  <si>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</si>
  <si>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</si>
  <si>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</si>
  <si>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</si>
  <si>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</si>
  <si>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</si>
  <si>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</si>
  <si>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</si>
  <si>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</si>
  <si>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</si>
  <si>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</si>
  <si>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</si>
  <si>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</si>
  <si>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</si>
  <si>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</si>
  <si>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</si>
  <si>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</si>
  <si>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</si>
  <si>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</si>
  <si>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</si>
  <si>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</si>
  <si>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</si>
  <si>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</si>
  <si>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</si>
  <si>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</si>
  <si>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</si>
  <si>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</si>
  <si>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</si>
  <si>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</si>
  <si>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</si>
  <si>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</si>
  <si>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</si>
  <si>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</si>
  <si>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</si>
  <si>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</si>
  <si>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</si>
  <si>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</si>
  <si>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</si>
  <si>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</si>
  <si>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</si>
  <si>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</si>
  <si>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</si>
  <si>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</si>
  <si>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</si>
  <si>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</si>
  <si>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</si>
  <si>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</si>
  <si>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</si>
  <si>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</si>
  <si>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</si>
  <si>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</si>
  <si>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</si>
  <si>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</si>
  <si>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</si>
  <si>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</si>
  <si>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</si>
  <si>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</si>
  <si>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</si>
  <si>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</si>
  <si>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</si>
  <si>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</si>
  <si>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</si>
  <si>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</si>
  <si>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</si>
  <si>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</si>
  <si>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</si>
  <si>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</si>
  <si>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</si>
  <si>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</si>
  <si>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</si>
  <si>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</si>
  <si>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</si>
  <si>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</si>
  <si>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</si>
  <si>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</si>
  <si>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</si>
  <si>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</si>
  <si>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</si>
  <si>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</si>
  <si>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</si>
  <si>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</si>
  <si>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</si>
  <si>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</si>
  <si>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</si>
  <si>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</si>
  <si>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</si>
  <si>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</si>
  <si>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</si>
  <si>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</si>
  <si>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</si>
  <si>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</si>
  <si>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</si>
  <si>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</si>
  <si>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</si>
  <si>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</si>
  <si>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</si>
  <si>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</si>
  <si>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</si>
  <si>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</si>
  <si>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</si>
  <si>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</si>
  <si>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</si>
  <si>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</si>
  <si>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</si>
  <si>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</si>
  <si>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</si>
  <si>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</si>
  <si>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</si>
  <si>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</si>
  <si>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</si>
  <si>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</si>
  <si>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</si>
  <si>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</si>
  <si>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</si>
  <si>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</si>
  <si>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</si>
  <si>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</si>
  <si>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</si>
  <si>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</si>
  <si>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</si>
  <si>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</si>
  <si>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</si>
  <si>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</si>
  <si>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</si>
  <si>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</si>
  <si>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</si>
  <si>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</si>
  <si>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</si>
  <si>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</si>
  <si>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</si>
  <si>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</si>
  <si>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</si>
  <si>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</si>
  <si>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</si>
  <si>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</si>
  <si>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</si>
  <si>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</si>
  <si>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</si>
  <si>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</si>
  <si>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</si>
  <si>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</si>
  <si>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</si>
  <si>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</si>
  <si>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</si>
  <si>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</si>
  <si>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</si>
  <si>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</si>
  <si>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</si>
  <si>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</si>
  <si>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</si>
  <si>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</si>
  <si>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</si>
  <si>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</si>
  <si>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</si>
  <si>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</si>
  <si>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</si>
  <si>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</si>
  <si>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</si>
  <si>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</si>
  <si>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</si>
  <si>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</si>
  <si>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</si>
  <si>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</si>
  <si>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</si>
  <si>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</si>
  <si>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</si>
  <si>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</si>
  <si>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</si>
  <si>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</si>
  <si>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</si>
  <si>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</si>
  <si>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</si>
  <si>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</si>
  <si>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</si>
  <si>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</si>
  <si>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</si>
  <si>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</si>
  <si>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</si>
  <si>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</si>
  <si>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</si>
  <si>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</si>
  <si>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</si>
  <si>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</si>
  <si>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</si>
  <si>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</si>
  <si>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</si>
  <si>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</si>
  <si>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</si>
  <si>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</si>
  <si>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</si>
  <si>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</si>
  <si>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</si>
  <si>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</si>
  <si>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</si>
  <si>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</si>
  <si>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</si>
  <si>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</si>
  <si>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</si>
  <si>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</si>
  <si>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</si>
  <si>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</si>
  <si>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</si>
  <si>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</si>
  <si>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</si>
  <si>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</si>
  <si>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</si>
  <si>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</si>
  <si>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</si>
  <si>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</si>
  <si>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</si>
  <si>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</si>
  <si>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</si>
  <si>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</si>
  <si>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</si>
  <si>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</si>
  <si>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</si>
  <si>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</si>
  <si>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</si>
  <si>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</si>
  <si>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</si>
  <si>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</si>
  <si>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</si>
  <si>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</si>
  <si>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</si>
  <si>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</si>
  <si>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</si>
  <si>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</si>
  <si>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</si>
  <si>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</si>
  <si>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</si>
  <si>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</si>
  <si>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</si>
  <si>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</si>
  <si>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</si>
  <si>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</si>
  <si>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</si>
  <si>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</si>
  <si>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</si>
  <si>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</si>
  <si>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</si>
  <si>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</si>
  <si>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</si>
  <si>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</si>
  <si>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</si>
  <si>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</si>
  <si>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</si>
  <si>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</si>
  <si>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</si>
  <si>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</si>
  <si>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</si>
  <si>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</si>
  <si>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</si>
  <si>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</si>
  <si>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</si>
  <si>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</si>
  <si>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</si>
  <si>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</si>
  <si>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</si>
  <si>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</si>
  <si>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</si>
  <si>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</si>
  <si>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</si>
  <si>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</si>
  <si>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</si>
  <si>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</si>
  <si>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</si>
  <si>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</si>
  <si>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</si>
  <si>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</si>
  <si>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</si>
  <si>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</si>
  <si>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</si>
  <si>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</si>
  <si>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</si>
  <si>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</si>
  <si>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</si>
  <si>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</si>
  <si>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</si>
  <si>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</si>
  <si>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</si>
  <si>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</si>
  <si>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</si>
  <si>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</si>
  <si>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</si>
  <si>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</si>
  <si>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</si>
  <si>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</si>
  <si>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</si>
  <si>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</si>
  <si>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</si>
  <si>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</si>
  <si>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</si>
  <si>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</si>
  <si>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</si>
  <si>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</si>
  <si>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</si>
  <si>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</si>
  <si>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</si>
  <si>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</si>
  <si>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</si>
  <si>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</si>
  <si>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</si>
  <si>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</si>
  <si>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</si>
  <si>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</si>
  <si>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</si>
  <si>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</si>
  <si>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</si>
  <si>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</si>
  <si>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</si>
  <si>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</si>
  <si>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</si>
  <si>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</si>
  <si>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</si>
  <si>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</si>
  <si>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</si>
  <si>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</si>
  <si>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</si>
  <si>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</si>
  <si>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</si>
  <si>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</si>
  <si>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</si>
  <si>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</si>
  <si>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</si>
  <si>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</si>
  <si>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</si>
  <si>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</si>
  <si>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</si>
  <si>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</si>
  <si>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</si>
  <si>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</si>
  <si>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</si>
  <si>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</si>
  <si>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</si>
  <si>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</si>
  <si>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</si>
  <si>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</si>
  <si>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</si>
  <si>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</si>
  <si>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</si>
  <si>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</si>
  <si>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</si>
  <si>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</si>
  <si>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</si>
  <si>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[0.358896]</t>
  </si>
  <si>
    <t>1 [0.759489]</t>
  </si>
  <si>
    <t>1 [1.167223]</t>
  </si>
  <si>
    <t>1 [1.572130]</t>
  </si>
  <si>
    <t>1 [1.978456]</t>
  </si>
  <si>
    <t>1 [2.384224]</t>
  </si>
  <si>
    <t>1 [2.793635]</t>
  </si>
  <si>
    <t>1 [3.198354]</t>
  </si>
  <si>
    <t>1 [3.604495]</t>
  </si>
  <si>
    <t>1 [4.009325]</t>
  </si>
  <si>
    <t>1 [4.416959]</t>
  </si>
  <si>
    <t>1 [4.822730]</t>
  </si>
  <si>
    <t>1 [5.230697]</t>
  </si>
  <si>
    <t>1 [5.637514]</t>
  </si>
  <si>
    <t>1 [6.041948]</t>
  </si>
  <si>
    <t>1 [6.447491]</t>
  </si>
  <si>
    <t>1 [6.858526]</t>
  </si>
  <si>
    <t>1 [7.262192]</t>
  </si>
  <si>
    <t>1 [7.664831]</t>
  </si>
  <si>
    <t>1 [8.076841]</t>
  </si>
  <si>
    <t>1 [8.480747]</t>
  </si>
  <si>
    <t>1 [8.889834]</t>
  </si>
  <si>
    <t>1 [9.293585]</t>
  </si>
  <si>
    <t>1 [9.697127]</t>
  </si>
  <si>
    <t>1 [10.105130]</t>
  </si>
  <si>
    <t>1 [10.512546]</t>
  </si>
  <si>
    <t>1 [10.918456]</t>
  </si>
  <si>
    <t>1 [11.323735]</t>
  </si>
  <si>
    <t>1 [11.731172]</t>
  </si>
  <si>
    <t>1 [12.137096]</t>
  </si>
  <si>
    <t>1 [12.541428]</t>
  </si>
  <si>
    <t>1 [12.951308]</t>
  </si>
  <si>
    <t>1 [13.358298]</t>
  </si>
  <si>
    <t>1 [13.761340]</t>
  </si>
  <si>
    <t>1 [14.164640]</t>
  </si>
  <si>
    <t>1 [14.573418]</t>
  </si>
  <si>
    <t>1 [14.980079]</t>
  </si>
  <si>
    <t>2 [15.573453]</t>
  </si>
  <si>
    <t>2 [15.947545]</t>
  </si>
  <si>
    <t>2 [16.322463]</t>
  </si>
  <si>
    <t>2 [16.700366]</t>
  </si>
  <si>
    <t>2 [17.076112]</t>
  </si>
  <si>
    <t>2 [17.477653]</t>
  </si>
  <si>
    <t>2 [17.885016]</t>
  </si>
  <si>
    <t>2 [18.291993]</t>
  </si>
  <si>
    <t>2 [18.698513]</t>
  </si>
  <si>
    <t>2 [19.105465]</t>
  </si>
  <si>
    <t>2 [19.511382]</t>
  </si>
  <si>
    <t>2 [19.919278]</t>
  </si>
  <si>
    <t>2 [20.326780]</t>
  </si>
  <si>
    <t>2 [20.731415]</t>
  </si>
  <si>
    <t>2 [21.136555]</t>
  </si>
  <si>
    <t>2 [21.539745]</t>
  </si>
  <si>
    <t>2 [21.948286]</t>
  </si>
  <si>
    <t>2 [22.356755]</t>
  </si>
  <si>
    <t>2 [22.763520]</t>
  </si>
  <si>
    <t>2 [23.165705]</t>
  </si>
  <si>
    <t>2 [23.571167]</t>
  </si>
  <si>
    <t>2 [23.979982]</t>
  </si>
  <si>
    <t>2 [24.385420]</t>
  </si>
  <si>
    <t>2 [24.790578]</t>
  </si>
  <si>
    <t>2 [25.200834]</t>
  </si>
  <si>
    <t>2 [25.603785]</t>
  </si>
  <si>
    <t>2 [26.009401]</t>
  </si>
  <si>
    <t>2 [26.415182]</t>
  </si>
  <si>
    <t>2 [26.821503]</t>
  </si>
  <si>
    <t>2 [27.230310]</t>
  </si>
  <si>
    <t>2 [27.634116]</t>
  </si>
  <si>
    <t>2 [28.041338]</t>
  </si>
  <si>
    <t>2 [28.447182]</t>
  </si>
  <si>
    <t>2 [28.855203]</t>
  </si>
  <si>
    <t>2 [29.262383]</t>
  </si>
  <si>
    <t>2 [29.667531]</t>
  </si>
  <si>
    <t>2 [30.073163]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</si>
  <si>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</si>
  <si>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</si>
  <si>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</si>
  <si>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</si>
  <si>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</si>
  <si>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</si>
  <si>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</si>
  <si>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</si>
  <si>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</si>
  <si>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</si>
  <si>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</si>
  <si>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</si>
  <si>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</si>
  <si>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刘二小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</si>
</sst>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42.0961</c:v>
                </c:pt>
                <c:pt idx="1">
                  <c:v>30.3567</c:v>
                </c:pt>
                <c:pt idx="2">
                  <c:v>24.0518</c:v>
                </c:pt>
                <c:pt idx="3">
                  <c:v>30.256</c:v>
                </c:pt>
                <c:pt idx="4">
                  <c:v>69.846500000000006</c:v>
                </c:pt>
                <c:pt idx="5">
                  <c:v>71.524000000000001</c:v>
                </c:pt>
                <c:pt idx="6">
                  <c:v>28.634799999999998</c:v>
                </c:pt>
                <c:pt idx="7">
                  <c:v>70.659899999999993</c:v>
                </c:pt>
                <c:pt idx="8">
                  <c:v>15.3279</c:v>
                </c:pt>
                <c:pt idx="9">
                  <c:v>48.769799999999996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0.4855829411655514</c:v>
                </c:pt>
                <c:pt idx="1">
                  <c:v>0.25576105299773294</c:v>
                </c:pt>
                <c:pt idx="2">
                  <c:v>0.25865600583671566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1448</c:v>
                </c:pt>
                <c:pt idx="7">
                  <c:v>0</c:v>
                </c:pt>
                <c:pt idx="8">
                  <c:v>1891</c:v>
                </c:pt>
                <c:pt idx="9">
                  <c:v>0</c:v>
                </c:pt>
                <c:pt idx="10">
                  <c:v>0</c:v>
                </c:pt>
                <c:pt idx="11">
                  <c:v>3510</c:v>
                </c:pt>
                <c:pt idx="12">
                  <c:v>0</c:v>
                </c:pt>
                <c:pt idx="13">
                  <c:v>4069</c:v>
                </c:pt>
                <c:pt idx="14">
                  <c:v>0</c:v>
                </c:pt>
                <c:pt idx="15">
                  <c:v>0</c:v>
                </c:pt>
                <c:pt idx="16">
                  <c:v>5609</c:v>
                </c:pt>
                <c:pt idx="17">
                  <c:v>0</c:v>
                </c:pt>
                <c:pt idx="18">
                  <c:v>0</c:v>
                </c:pt>
                <c:pt idx="19">
                  <c:v>6423</c:v>
                </c:pt>
                <c:pt idx="20">
                  <c:v>0</c:v>
                </c:pt>
                <c:pt idx="21">
                  <c:v>11010</c:v>
                </c:pt>
                <c:pt idx="22">
                  <c:v>0</c:v>
                </c:pt>
                <c:pt idx="23">
                  <c:v>0</c:v>
                </c:pt>
                <c:pt idx="24">
                  <c:v>14563</c:v>
                </c:pt>
                <c:pt idx="25">
                  <c:v>0</c:v>
                </c:pt>
                <c:pt idx="26">
                  <c:v>21410</c:v>
                </c:pt>
                <c:pt idx="27">
                  <c:v>0</c:v>
                </c:pt>
                <c:pt idx="28">
                  <c:v>0</c:v>
                </c:pt>
                <c:pt idx="29">
                  <c:v>22534</c:v>
                </c:pt>
                <c:pt idx="30">
                  <c:v>0</c:v>
                </c:pt>
                <c:pt idx="31">
                  <c:v>22776</c:v>
                </c:pt>
                <c:pt idx="32">
                  <c:v>0</c:v>
                </c:pt>
                <c:pt idx="33">
                  <c:v>0</c:v>
                </c:pt>
                <c:pt idx="34">
                  <c:v>25575</c:v>
                </c:pt>
                <c:pt idx="35">
                  <c:v>0</c:v>
                </c:pt>
                <c:pt idx="36">
                  <c:v>0</c:v>
                </c:pt>
                <c:pt idx="37">
                  <c:v>26985</c:v>
                </c:pt>
                <c:pt idx="38">
                  <c:v>0</c:v>
                </c:pt>
                <c:pt idx="39">
                  <c:v>27304</c:v>
                </c:pt>
                <c:pt idx="40">
                  <c:v>0</c:v>
                </c:pt>
                <c:pt idx="41">
                  <c:v>0</c:v>
                </c:pt>
                <c:pt idx="42">
                  <c:v>32273</c:v>
                </c:pt>
                <c:pt idx="43">
                  <c:v>0</c:v>
                </c:pt>
                <c:pt idx="44">
                  <c:v>35985</c:v>
                </c:pt>
                <c:pt idx="45">
                  <c:v>0</c:v>
                </c:pt>
                <c:pt idx="46">
                  <c:v>0</c:v>
                </c:pt>
                <c:pt idx="47">
                  <c:v>43299</c:v>
                </c:pt>
                <c:pt idx="48">
                  <c:v>0</c:v>
                </c:pt>
                <c:pt idx="49">
                  <c:v>42535</c:v>
                </c:pt>
                <c:pt idx="50">
                  <c:v>0</c:v>
                </c:pt>
                <c:pt idx="51">
                  <c:v>0</c:v>
                </c:pt>
                <c:pt idx="52">
                  <c:v>48099</c:v>
                </c:pt>
                <c:pt idx="53">
                  <c:v>0</c:v>
                </c:pt>
                <c:pt idx="54">
                  <c:v>0</c:v>
                </c:pt>
                <c:pt idx="55">
                  <c:v>54002</c:v>
                </c:pt>
                <c:pt idx="56">
                  <c:v>0</c:v>
                </c:pt>
                <c:pt idx="57">
                  <c:v>54160</c:v>
                </c:pt>
                <c:pt idx="58">
                  <c:v>0</c:v>
                </c:pt>
                <c:pt idx="59">
                  <c:v>0</c:v>
                </c:pt>
                <c:pt idx="60">
                  <c:v>62459</c:v>
                </c:pt>
                <c:pt idx="61">
                  <c:v>0</c:v>
                </c:pt>
                <c:pt idx="62">
                  <c:v>63689</c:v>
                </c:pt>
                <c:pt idx="63">
                  <c:v>0</c:v>
                </c:pt>
                <c:pt idx="64">
                  <c:v>0</c:v>
                </c:pt>
                <c:pt idx="65">
                  <c:v>63297</c:v>
                </c:pt>
                <c:pt idx="66">
                  <c:v>0</c:v>
                </c:pt>
                <c:pt idx="67">
                  <c:v>67289</c:v>
                </c:pt>
                <c:pt idx="68">
                  <c:v>0</c:v>
                </c:pt>
                <c:pt idx="69">
                  <c:v>0</c:v>
                </c:pt>
                <c:pt idx="70">
                  <c:v>61911</c:v>
                </c:pt>
                <c:pt idx="71">
                  <c:v>0</c:v>
                </c:pt>
                <c:pt idx="72">
                  <c:v>0</c:v>
                </c:pt>
                <c:pt idx="73">
                  <c:v>64037</c:v>
                </c:pt>
                <c:pt idx="74">
                  <c:v>0</c:v>
                </c:pt>
                <c:pt idx="75">
                  <c:v>66679</c:v>
                </c:pt>
                <c:pt idx="76">
                  <c:v>0</c:v>
                </c:pt>
                <c:pt idx="77">
                  <c:v>0</c:v>
                </c:pt>
                <c:pt idx="78">
                  <c:v>70529</c:v>
                </c:pt>
                <c:pt idx="79">
                  <c:v>0</c:v>
                </c:pt>
                <c:pt idx="80">
                  <c:v>75351</c:v>
                </c:pt>
                <c:pt idx="81">
                  <c:v>0</c:v>
                </c:pt>
                <c:pt idx="82">
                  <c:v>0</c:v>
                </c:pt>
                <c:pt idx="83">
                  <c:v>78808</c:v>
                </c:pt>
                <c:pt idx="84">
                  <c:v>0</c:v>
                </c:pt>
                <c:pt idx="85">
                  <c:v>0</c:v>
                </c:pt>
                <c:pt idx="86">
                  <c:v>83634</c:v>
                </c:pt>
                <c:pt idx="87">
                  <c:v>0</c:v>
                </c:pt>
                <c:pt idx="88">
                  <c:v>89347</c:v>
                </c:pt>
                <c:pt idx="89">
                  <c:v>0</c:v>
                </c:pt>
                <c:pt idx="90">
                  <c:v>0</c:v>
                </c:pt>
                <c:pt idx="91">
                  <c:v>85117</c:v>
                </c:pt>
                <c:pt idx="92">
                  <c:v>0</c:v>
                </c:pt>
                <c:pt idx="93">
                  <c:v>90451</c:v>
                </c:pt>
                <c:pt idx="94">
                  <c:v>0</c:v>
                </c:pt>
                <c:pt idx="95">
                  <c:v>0</c:v>
                </c:pt>
                <c:pt idx="96">
                  <c:v>97714</c:v>
                </c:pt>
                <c:pt idx="97">
                  <c:v>0</c:v>
                </c:pt>
                <c:pt idx="98">
                  <c:v>104263</c:v>
                </c:pt>
                <c:pt idx="99">
                  <c:v>0</c:v>
                </c:pt>
                <c:pt idx="100">
                  <c:v>0</c:v>
                </c:pt>
                <c:pt idx="101">
                  <c:v>101784</c:v>
                </c:pt>
                <c:pt idx="102">
                  <c:v>0</c:v>
                </c:pt>
                <c:pt idx="103">
                  <c:v>0</c:v>
                </c:pt>
                <c:pt idx="104">
                  <c:v>100289</c:v>
                </c:pt>
                <c:pt idx="105">
                  <c:v>0</c:v>
                </c:pt>
                <c:pt idx="106">
                  <c:v>95563</c:v>
                </c:pt>
                <c:pt idx="107">
                  <c:v>0</c:v>
                </c:pt>
                <c:pt idx="108">
                  <c:v>0</c:v>
                </c:pt>
                <c:pt idx="109">
                  <c:v>96406</c:v>
                </c:pt>
                <c:pt idx="110">
                  <c:v>0</c:v>
                </c:pt>
                <c:pt idx="111">
                  <c:v>90397</c:v>
                </c:pt>
                <c:pt idx="112">
                  <c:v>0</c:v>
                </c:pt>
                <c:pt idx="113">
                  <c:v>0</c:v>
                </c:pt>
                <c:pt idx="114">
                  <c:v>86121</c:v>
                </c:pt>
                <c:pt idx="115">
                  <c:v>0</c:v>
                </c:pt>
                <c:pt idx="116">
                  <c:v>81028</c:v>
                </c:pt>
                <c:pt idx="117">
                  <c:v>0</c:v>
                </c:pt>
                <c:pt idx="118">
                  <c:v>0</c:v>
                </c:pt>
                <c:pt idx="119">
                  <c:v>81778</c:v>
                </c:pt>
                <c:pt idx="120">
                  <c:v>0</c:v>
                </c:pt>
                <c:pt idx="121">
                  <c:v>0</c:v>
                </c:pt>
                <c:pt idx="122">
                  <c:v>78534</c:v>
                </c:pt>
                <c:pt idx="123">
                  <c:v>0</c:v>
                </c:pt>
                <c:pt idx="124">
                  <c:v>74662</c:v>
                </c:pt>
                <c:pt idx="125">
                  <c:v>0</c:v>
                </c:pt>
                <c:pt idx="126">
                  <c:v>0</c:v>
                </c:pt>
                <c:pt idx="127">
                  <c:v>73380</c:v>
                </c:pt>
                <c:pt idx="128">
                  <c:v>0</c:v>
                </c:pt>
                <c:pt idx="129">
                  <c:v>74032</c:v>
                </c:pt>
                <c:pt idx="130">
                  <c:v>0</c:v>
                </c:pt>
                <c:pt idx="131">
                  <c:v>0</c:v>
                </c:pt>
                <c:pt idx="132">
                  <c:v>73910</c:v>
                </c:pt>
                <c:pt idx="133">
                  <c:v>0</c:v>
                </c:pt>
                <c:pt idx="134">
                  <c:v>74609</c:v>
                </c:pt>
                <c:pt idx="135">
                  <c:v>0</c:v>
                </c:pt>
                <c:pt idx="136">
                  <c:v>0</c:v>
                </c:pt>
                <c:pt idx="137">
                  <c:v>72517</c:v>
                </c:pt>
                <c:pt idx="138">
                  <c:v>0</c:v>
                </c:pt>
                <c:pt idx="139">
                  <c:v>0</c:v>
                </c:pt>
                <c:pt idx="140">
                  <c:v>61049</c:v>
                </c:pt>
                <c:pt idx="141">
                  <c:v>0</c:v>
                </c:pt>
                <c:pt idx="142">
                  <c:v>45652</c:v>
                </c:pt>
                <c:pt idx="143">
                  <c:v>0</c:v>
                </c:pt>
                <c:pt idx="144">
                  <c:v>0</c:v>
                </c:pt>
                <c:pt idx="145">
                  <c:v>33823</c:v>
                </c:pt>
                <c:pt idx="146">
                  <c:v>0</c:v>
                </c:pt>
                <c:pt idx="147">
                  <c:v>21135</c:v>
                </c:pt>
                <c:pt idx="148">
                  <c:v>0</c:v>
                </c:pt>
                <c:pt idx="149">
                  <c:v>0</c:v>
                </c:pt>
                <c:pt idx="150">
                  <c:v>16382</c:v>
                </c:pt>
                <c:pt idx="151">
                  <c:v>0</c:v>
                </c:pt>
                <c:pt idx="152">
                  <c:v>12556</c:v>
                </c:pt>
                <c:pt idx="153">
                  <c:v>0</c:v>
                </c:pt>
                <c:pt idx="154">
                  <c:v>0</c:v>
                </c:pt>
                <c:pt idx="155">
                  <c:v>10711</c:v>
                </c:pt>
                <c:pt idx="156">
                  <c:v>0</c:v>
                </c:pt>
                <c:pt idx="157">
                  <c:v>0</c:v>
                </c:pt>
                <c:pt idx="158">
                  <c:v>6932</c:v>
                </c:pt>
                <c:pt idx="159">
                  <c:v>0</c:v>
                </c:pt>
                <c:pt idx="160">
                  <c:v>5381</c:v>
                </c:pt>
                <c:pt idx="161">
                  <c:v>0</c:v>
                </c:pt>
                <c:pt idx="162">
                  <c:v>0</c:v>
                </c:pt>
                <c:pt idx="163">
                  <c:v>4498</c:v>
                </c:pt>
                <c:pt idx="164">
                  <c:v>0</c:v>
                </c:pt>
                <c:pt idx="165">
                  <c:v>3057</c:v>
                </c:pt>
                <c:pt idx="166">
                  <c:v>0</c:v>
                </c:pt>
                <c:pt idx="167">
                  <c:v>0</c:v>
                </c:pt>
                <c:pt idx="168">
                  <c:v>1846</c:v>
                </c:pt>
                <c:pt idx="169">
                  <c:v>0</c:v>
                </c:pt>
                <c:pt idx="170">
                  <c:v>0</c:v>
                </c:pt>
                <c:pt idx="171">
                  <c:v>576</c:v>
                </c:pt>
                <c:pt idx="172">
                  <c:v>0</c:v>
                </c:pt>
                <c:pt idx="173">
                  <c:v>407</c:v>
                </c:pt>
                <c:pt idx="174">
                  <c:v>0</c:v>
                </c:pt>
                <c:pt idx="175">
                  <c:v>0</c:v>
                </c:pt>
                <c:pt idx="176">
                  <c:v>387</c:v>
                </c:pt>
                <c:pt idx="177">
                  <c:v>0</c:v>
                </c:pt>
                <c:pt idx="178">
                  <c:v>42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5"/>
                <c:pt idx="0">
                  <c:v>2.7318599999999997</c:v>
                </c:pt>
                <c:pt idx="1">
                  <c:v>2.8113700000000001</c:v>
                </c:pt>
                <c:pt idx="2">
                  <c:v>2.8892099999999998</c:v>
                </c:pt>
                <c:pt idx="3">
                  <c:v>2.96922</c:v>
                </c:pt>
                <c:pt idx="4">
                  <c:v>3.0527500000000001</c:v>
                </c:pt>
                <c:pt idx="5">
                  <c:v>3.1375999999999999</c:v>
                </c:pt>
                <c:pt idx="6">
                  <c:v>3.21895</c:v>
                </c:pt>
                <c:pt idx="7">
                  <c:v>3.2973300000000001</c:v>
                </c:pt>
                <c:pt idx="8">
                  <c:v>3.3716299999999997</c:v>
                </c:pt>
                <c:pt idx="9">
                  <c:v>3.4414600000000002</c:v>
                </c:pt>
                <c:pt idx="10">
                  <c:v>3.5065800000000005</c:v>
                </c:pt>
                <c:pt idx="11">
                  <c:v>3.56595</c:v>
                </c:pt>
                <c:pt idx="12">
                  <c:v>3.6263200000000002</c:v>
                </c:pt>
                <c:pt idx="13">
                  <c:v>3.6739699999999997</c:v>
                </c:pt>
                <c:pt idx="14">
                  <c:v>3.7313900000000002</c:v>
                </c:pt>
                <c:pt idx="15">
                  <c:v>3.78146</c:v>
                </c:pt>
                <c:pt idx="16">
                  <c:v>3.8260100000000001</c:v>
                </c:pt>
                <c:pt idx="17">
                  <c:v>3.86863</c:v>
                </c:pt>
                <c:pt idx="18">
                  <c:v>3.9078299999999997</c:v>
                </c:pt>
                <c:pt idx="19">
                  <c:v>3.9415899999999997</c:v>
                </c:pt>
                <c:pt idx="20">
                  <c:v>3.9758900000000001</c:v>
                </c:pt>
                <c:pt idx="21">
                  <c:v>4.0112899999999998</c:v>
                </c:pt>
                <c:pt idx="22">
                  <c:v>4.0407599999999997</c:v>
                </c:pt>
                <c:pt idx="23">
                  <c:v>4.0625299999999998</c:v>
                </c:pt>
                <c:pt idx="24">
                  <c:v>4.0791300000000001</c:v>
                </c:pt>
                <c:pt idx="25">
                  <c:v>4.0937600000000005</c:v>
                </c:pt>
                <c:pt idx="26">
                  <c:v>4.1044599999999996</c:v>
                </c:pt>
                <c:pt idx="27">
                  <c:v>4.1115000000000004</c:v>
                </c:pt>
                <c:pt idx="28">
                  <c:v>4.1185999999999998</c:v>
                </c:pt>
                <c:pt idx="29">
                  <c:v>4.1245599999999998</c:v>
                </c:pt>
                <c:pt idx="30">
                  <c:v>4.1244700000000005</c:v>
                </c:pt>
                <c:pt idx="31">
                  <c:v>4.12202</c:v>
                </c:pt>
                <c:pt idx="32">
                  <c:v>4.1200200000000002</c:v>
                </c:pt>
                <c:pt idx="33">
                  <c:v>4.1187500000000004</c:v>
                </c:pt>
                <c:pt idx="34">
                  <c:v>4.1142699999999994</c:v>
                </c:pt>
                <c:pt idx="35">
                  <c:v>4.1072100000000002</c:v>
                </c:pt>
                <c:pt idx="36">
                  <c:v>4.1039099999999999</c:v>
                </c:pt>
                <c:pt idx="37">
                  <c:v>4.0994799999999998</c:v>
                </c:pt>
                <c:pt idx="38">
                  <c:v>4.0857900000000003</c:v>
                </c:pt>
                <c:pt idx="39">
                  <c:v>4.0764300000000002</c:v>
                </c:pt>
                <c:pt idx="40">
                  <c:v>4.07151</c:v>
                </c:pt>
                <c:pt idx="41">
                  <c:v>4.0668800000000003</c:v>
                </c:pt>
                <c:pt idx="42">
                  <c:v>4.0601099999999999</c:v>
                </c:pt>
                <c:pt idx="43">
                  <c:v>4.05626</c:v>
                </c:pt>
                <c:pt idx="44">
                  <c:v>4.05579</c:v>
                </c:pt>
                <c:pt idx="45">
                  <c:v>4.0523699999999998</c:v>
                </c:pt>
                <c:pt idx="46">
                  <c:v>4.04406</c:v>
                </c:pt>
                <c:pt idx="47">
                  <c:v>4.0377700000000001</c:v>
                </c:pt>
                <c:pt idx="48">
                  <c:v>4.0350999999999999</c:v>
                </c:pt>
                <c:pt idx="49">
                  <c:v>4.0322100000000001</c:v>
                </c:pt>
                <c:pt idx="50">
                  <c:v>4.0305800000000005</c:v>
                </c:pt>
                <c:pt idx="51">
                  <c:v>4.0314399999999999</c:v>
                </c:pt>
                <c:pt idx="52">
                  <c:v>4.0315399999999997</c:v>
                </c:pt>
                <c:pt idx="53">
                  <c:v>4.0266500000000001</c:v>
                </c:pt>
                <c:pt idx="54">
                  <c:v>4.0200000000000005</c:v>
                </c:pt>
                <c:pt idx="55">
                  <c:v>4.0156299999999998</c:v>
                </c:pt>
                <c:pt idx="56">
                  <c:v>4.0121200000000004</c:v>
                </c:pt>
                <c:pt idx="57">
                  <c:v>4.0047199999999998</c:v>
                </c:pt>
                <c:pt idx="58">
                  <c:v>3.99675</c:v>
                </c:pt>
                <c:pt idx="59">
                  <c:v>3.99465</c:v>
                </c:pt>
                <c:pt idx="60">
                  <c:v>3.9924200000000001</c:v>
                </c:pt>
                <c:pt idx="61">
                  <c:v>3.9862799999999998</c:v>
                </c:pt>
                <c:pt idx="62">
                  <c:v>3.9810400000000001</c:v>
                </c:pt>
                <c:pt idx="63">
                  <c:v>3.9825500000000003</c:v>
                </c:pt>
                <c:pt idx="64">
                  <c:v>3.9876399999999999</c:v>
                </c:pt>
                <c:pt idx="65">
                  <c:v>3.9883099999999998</c:v>
                </c:pt>
                <c:pt idx="66">
                  <c:v>3.9860699999999998</c:v>
                </c:pt>
                <c:pt idx="67">
                  <c:v>3.9920899999999997</c:v>
                </c:pt>
                <c:pt idx="68">
                  <c:v>3.9953499999999997</c:v>
                </c:pt>
                <c:pt idx="69">
                  <c:v>3.98672</c:v>
                </c:pt>
                <c:pt idx="70">
                  <c:v>3.9724500000000003</c:v>
                </c:pt>
                <c:pt idx="71">
                  <c:v>3.9593099999999999</c:v>
                </c:pt>
                <c:pt idx="72">
                  <c:v>3.9626099999999997</c:v>
                </c:pt>
                <c:pt idx="73">
                  <c:v>3.96516</c:v>
                </c:pt>
                <c:pt idx="74">
                  <c:v>3.9750100000000002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50.904700000000005</c:v>
                </c:pt>
                <c:pt idx="1">
                  <c:v>49.769799999999996</c:v>
                </c:pt>
                <c:pt idx="2">
                  <c:v>48.630099999999999</c:v>
                </c:pt>
                <c:pt idx="3">
                  <c:v>47.548999999999999</c:v>
                </c:pt>
                <c:pt idx="4">
                  <c:v>46.445700000000002</c:v>
                </c:pt>
                <c:pt idx="5">
                  <c:v>45.287799999999997</c:v>
                </c:pt>
                <c:pt idx="6">
                  <c:v>44.364199999999997</c:v>
                </c:pt>
                <c:pt idx="7">
                  <c:v>43.693799999999996</c:v>
                </c:pt>
                <c:pt idx="8">
                  <c:v>43.149700000000003</c:v>
                </c:pt>
                <c:pt idx="9">
                  <c:v>42.6068</c:v>
                </c:pt>
                <c:pt idx="10">
                  <c:v>42.175699999999999</c:v>
                </c:pt>
                <c:pt idx="11">
                  <c:v>41.981999999999999</c:v>
                </c:pt>
                <c:pt idx="12">
                  <c:v>41.7851</c:v>
                </c:pt>
                <c:pt idx="13">
                  <c:v>41.729799999999997</c:v>
                </c:pt>
                <c:pt idx="14">
                  <c:v>41.540799999999997</c:v>
                </c:pt>
                <c:pt idx="15">
                  <c:v>41.578400000000002</c:v>
                </c:pt>
                <c:pt idx="16">
                  <c:v>41.662399999999998</c:v>
                </c:pt>
                <c:pt idx="17">
                  <c:v>41.677399999999999</c:v>
                </c:pt>
                <c:pt idx="18">
                  <c:v>41.742699999999999</c:v>
                </c:pt>
                <c:pt idx="19">
                  <c:v>41.875900000000001</c:v>
                </c:pt>
                <c:pt idx="20">
                  <c:v>41.970400000000005</c:v>
                </c:pt>
                <c:pt idx="21">
                  <c:v>41.974299999999999</c:v>
                </c:pt>
                <c:pt idx="22">
                  <c:v>41.985599999999998</c:v>
                </c:pt>
                <c:pt idx="23">
                  <c:v>42.050599999999996</c:v>
                </c:pt>
                <c:pt idx="24">
                  <c:v>42.1008</c:v>
                </c:pt>
                <c:pt idx="25">
                  <c:v>42.100300000000004</c:v>
                </c:pt>
                <c:pt idx="26">
                  <c:v>42.079899999999995</c:v>
                </c:pt>
                <c:pt idx="27">
                  <c:v>42.064599999999999</c:v>
                </c:pt>
                <c:pt idx="28">
                  <c:v>41.997299999999996</c:v>
                </c:pt>
                <c:pt idx="29">
                  <c:v>41.940300000000001</c:v>
                </c:pt>
                <c:pt idx="30">
                  <c:v>41.941000000000003</c:v>
                </c:pt>
                <c:pt idx="31">
                  <c:v>41.990699999999997</c:v>
                </c:pt>
                <c:pt idx="32">
                  <c:v>42.0334</c:v>
                </c:pt>
                <c:pt idx="33">
                  <c:v>42.052399999999999</c:v>
                </c:pt>
                <c:pt idx="34">
                  <c:v>42.097000000000001</c:v>
                </c:pt>
                <c:pt idx="35">
                  <c:v>42.147500000000001</c:v>
                </c:pt>
                <c:pt idx="36">
                  <c:v>42.140899999999995</c:v>
                </c:pt>
                <c:pt idx="37">
                  <c:v>42.1768</c:v>
                </c:pt>
                <c:pt idx="38">
                  <c:v>42.279899999999998</c:v>
                </c:pt>
                <c:pt idx="39">
                  <c:v>42.3307</c:v>
                </c:pt>
                <c:pt idx="40">
                  <c:v>42.356200000000001</c:v>
                </c:pt>
                <c:pt idx="41">
                  <c:v>42.400999999999996</c:v>
                </c:pt>
                <c:pt idx="42">
                  <c:v>42.471800000000002</c:v>
                </c:pt>
                <c:pt idx="43">
                  <c:v>42.521300000000004</c:v>
                </c:pt>
                <c:pt idx="44">
                  <c:v>42.606100000000005</c:v>
                </c:pt>
                <c:pt idx="45">
                  <c:v>42.785000000000004</c:v>
                </c:pt>
                <c:pt idx="46">
                  <c:v>43.027000000000001</c:v>
                </c:pt>
                <c:pt idx="47">
                  <c:v>43.18</c:v>
                </c:pt>
                <c:pt idx="48">
                  <c:v>43.2669</c:v>
                </c:pt>
                <c:pt idx="49">
                  <c:v>43.313600000000001</c:v>
                </c:pt>
                <c:pt idx="50">
                  <c:v>43.3292</c:v>
                </c:pt>
                <c:pt idx="51">
                  <c:v>43.292900000000003</c:v>
                </c:pt>
                <c:pt idx="52">
                  <c:v>43.291699999999999</c:v>
                </c:pt>
                <c:pt idx="53">
                  <c:v>43.381500000000003</c:v>
                </c:pt>
                <c:pt idx="54">
                  <c:v>43.488199999999999</c:v>
                </c:pt>
                <c:pt idx="55">
                  <c:v>43.5304</c:v>
                </c:pt>
                <c:pt idx="56">
                  <c:v>43.536099999999998</c:v>
                </c:pt>
                <c:pt idx="57">
                  <c:v>43.622300000000003</c:v>
                </c:pt>
                <c:pt idx="58">
                  <c:v>43.736899999999999</c:v>
                </c:pt>
                <c:pt idx="59">
                  <c:v>43.846000000000004</c:v>
                </c:pt>
                <c:pt idx="60">
                  <c:v>44.0274</c:v>
                </c:pt>
                <c:pt idx="61">
                  <c:v>44.358699999999999</c:v>
                </c:pt>
                <c:pt idx="62">
                  <c:v>44.685900000000004</c:v>
                </c:pt>
                <c:pt idx="63">
                  <c:v>44.9452</c:v>
                </c:pt>
                <c:pt idx="64">
                  <c:v>45.244399999999999</c:v>
                </c:pt>
                <c:pt idx="65">
                  <c:v>45.514600000000002</c:v>
                </c:pt>
                <c:pt idx="66">
                  <c:v>45.769399999999997</c:v>
                </c:pt>
                <c:pt idx="67">
                  <c:v>45.960599999999999</c:v>
                </c:pt>
                <c:pt idx="68">
                  <c:v>46.1858</c:v>
                </c:pt>
                <c:pt idx="69">
                  <c:v>46.3658</c:v>
                </c:pt>
                <c:pt idx="70">
                  <c:v>46.432899999999997</c:v>
                </c:pt>
                <c:pt idx="71">
                  <c:v>46.3902</c:v>
                </c:pt>
                <c:pt idx="72">
                  <c:v>46.162700000000001</c:v>
                </c:pt>
                <c:pt idx="73">
                  <c:v>45.526200000000003</c:v>
                </c:pt>
                <c:pt idx="74">
                  <c:v>45.390999999999998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8"/>
                <c:pt idx="0">
                  <c:v>2.7318599999999997</c:v>
                </c:pt>
                <c:pt idx="1">
                  <c:v>2.8113700000000001</c:v>
                </c:pt>
                <c:pt idx="2">
                  <c:v>2.8892099999999998</c:v>
                </c:pt>
                <c:pt idx="3">
                  <c:v>2.96922</c:v>
                </c:pt>
                <c:pt idx="4">
                  <c:v>3.0527500000000001</c:v>
                </c:pt>
                <c:pt idx="5">
                  <c:v>3.1375999999999999</c:v>
                </c:pt>
                <c:pt idx="6">
                  <c:v>3.21895</c:v>
                </c:pt>
                <c:pt idx="7">
                  <c:v>3.2973300000000001</c:v>
                </c:pt>
                <c:pt idx="8">
                  <c:v>3.3716299999999997</c:v>
                </c:pt>
                <c:pt idx="9">
                  <c:v>3.4414600000000002</c:v>
                </c:pt>
                <c:pt idx="10">
                  <c:v>3.5065800000000005</c:v>
                </c:pt>
                <c:pt idx="11">
                  <c:v>3.56595</c:v>
                </c:pt>
                <c:pt idx="12">
                  <c:v>3.6263200000000002</c:v>
                </c:pt>
                <c:pt idx="13">
                  <c:v>3.6739699999999997</c:v>
                </c:pt>
                <c:pt idx="14">
                  <c:v>3.7313900000000002</c:v>
                </c:pt>
                <c:pt idx="15">
                  <c:v>3.78146</c:v>
                </c:pt>
                <c:pt idx="16">
                  <c:v>3.8260100000000001</c:v>
                </c:pt>
                <c:pt idx="17">
                  <c:v>3.86863</c:v>
                </c:pt>
                <c:pt idx="18">
                  <c:v>3.9078299999999997</c:v>
                </c:pt>
                <c:pt idx="19">
                  <c:v>3.9415899999999997</c:v>
                </c:pt>
                <c:pt idx="20">
                  <c:v>3.9758900000000001</c:v>
                </c:pt>
                <c:pt idx="21">
                  <c:v>4.0112899999999998</c:v>
                </c:pt>
                <c:pt idx="22">
                  <c:v>4.0407599999999997</c:v>
                </c:pt>
                <c:pt idx="23">
                  <c:v>4.0625299999999998</c:v>
                </c:pt>
                <c:pt idx="24">
                  <c:v>4.0791300000000001</c:v>
                </c:pt>
                <c:pt idx="25">
                  <c:v>4.0937600000000005</c:v>
                </c:pt>
                <c:pt idx="26">
                  <c:v>4.1044599999999996</c:v>
                </c:pt>
                <c:pt idx="27">
                  <c:v>4.1115000000000004</c:v>
                </c:pt>
                <c:pt idx="28">
                  <c:v>4.1185999999999998</c:v>
                </c:pt>
                <c:pt idx="29">
                  <c:v>4.1245599999999998</c:v>
                </c:pt>
                <c:pt idx="30">
                  <c:v>4.1244700000000005</c:v>
                </c:pt>
                <c:pt idx="31">
                  <c:v>4.12202</c:v>
                </c:pt>
                <c:pt idx="32">
                  <c:v>4.1200200000000002</c:v>
                </c:pt>
                <c:pt idx="33">
                  <c:v>4.1187500000000004</c:v>
                </c:pt>
                <c:pt idx="34">
                  <c:v>4.1142699999999994</c:v>
                </c:pt>
                <c:pt idx="35">
                  <c:v>4.1072100000000002</c:v>
                </c:pt>
                <c:pt idx="36">
                  <c:v>4.1039099999999999</c:v>
                </c:pt>
                <c:pt idx="37">
                  <c:v>4.0994799999999998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50.904700000000005</c:v>
                </c:pt>
                <c:pt idx="1">
                  <c:v>49.769799999999996</c:v>
                </c:pt>
                <c:pt idx="2">
                  <c:v>48.630099999999999</c:v>
                </c:pt>
                <c:pt idx="3">
                  <c:v>47.548999999999999</c:v>
                </c:pt>
                <c:pt idx="4">
                  <c:v>46.445700000000002</c:v>
                </c:pt>
                <c:pt idx="5">
                  <c:v>45.287799999999997</c:v>
                </c:pt>
                <c:pt idx="6">
                  <c:v>44.364199999999997</c:v>
                </c:pt>
                <c:pt idx="7">
                  <c:v>43.693799999999996</c:v>
                </c:pt>
                <c:pt idx="8">
                  <c:v>43.149700000000003</c:v>
                </c:pt>
                <c:pt idx="9">
                  <c:v>42.6068</c:v>
                </c:pt>
                <c:pt idx="10">
                  <c:v>42.175699999999999</c:v>
                </c:pt>
                <c:pt idx="11">
                  <c:v>41.981999999999999</c:v>
                </c:pt>
                <c:pt idx="12">
                  <c:v>41.7851</c:v>
                </c:pt>
                <c:pt idx="13">
                  <c:v>41.729799999999997</c:v>
                </c:pt>
                <c:pt idx="14">
                  <c:v>41.540799999999997</c:v>
                </c:pt>
                <c:pt idx="15">
                  <c:v>41.578400000000002</c:v>
                </c:pt>
                <c:pt idx="16">
                  <c:v>41.662399999999998</c:v>
                </c:pt>
                <c:pt idx="17">
                  <c:v>41.677399999999999</c:v>
                </c:pt>
                <c:pt idx="18">
                  <c:v>41.742699999999999</c:v>
                </c:pt>
                <c:pt idx="19">
                  <c:v>41.875900000000001</c:v>
                </c:pt>
                <c:pt idx="20">
                  <c:v>41.970400000000005</c:v>
                </c:pt>
                <c:pt idx="21">
                  <c:v>41.974299999999999</c:v>
                </c:pt>
                <c:pt idx="22">
                  <c:v>41.985599999999998</c:v>
                </c:pt>
                <c:pt idx="23">
                  <c:v>42.050599999999996</c:v>
                </c:pt>
                <c:pt idx="24">
                  <c:v>42.1008</c:v>
                </c:pt>
                <c:pt idx="25">
                  <c:v>42.100300000000004</c:v>
                </c:pt>
                <c:pt idx="26">
                  <c:v>42.079899999999995</c:v>
                </c:pt>
                <c:pt idx="27">
                  <c:v>42.064599999999999</c:v>
                </c:pt>
                <c:pt idx="28">
                  <c:v>41.997299999999996</c:v>
                </c:pt>
                <c:pt idx="29">
                  <c:v>41.940300000000001</c:v>
                </c:pt>
                <c:pt idx="30">
                  <c:v>41.941000000000003</c:v>
                </c:pt>
                <c:pt idx="31">
                  <c:v>41.990699999999997</c:v>
                </c:pt>
                <c:pt idx="32">
                  <c:v>42.0334</c:v>
                </c:pt>
                <c:pt idx="33">
                  <c:v>42.052399999999999</c:v>
                </c:pt>
                <c:pt idx="34">
                  <c:v>42.097000000000001</c:v>
                </c:pt>
                <c:pt idx="35">
                  <c:v>42.147500000000001</c:v>
                </c:pt>
                <c:pt idx="36">
                  <c:v>42.140899999999995</c:v>
                </c:pt>
                <c:pt idx="37">
                  <c:v>42.1768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4.0994799999999998</c:v>
                </c:pt>
                <c:pt idx="1">
                  <c:v>4.0857900000000003</c:v>
                </c:pt>
                <c:pt idx="2">
                  <c:v>4.0764300000000002</c:v>
                </c:pt>
                <c:pt idx="3">
                  <c:v>4.07151</c:v>
                </c:pt>
                <c:pt idx="4">
                  <c:v>4.0668800000000003</c:v>
                </c:pt>
                <c:pt idx="5">
                  <c:v>4.0601099999999999</c:v>
                </c:pt>
                <c:pt idx="6">
                  <c:v>4.05626</c:v>
                </c:pt>
                <c:pt idx="7">
                  <c:v>4.05579</c:v>
                </c:pt>
                <c:pt idx="8">
                  <c:v>4.0523699999999998</c:v>
                </c:pt>
                <c:pt idx="9">
                  <c:v>4.04406</c:v>
                </c:pt>
                <c:pt idx="10">
                  <c:v>4.0377700000000001</c:v>
                </c:pt>
                <c:pt idx="11">
                  <c:v>4.0350999999999999</c:v>
                </c:pt>
                <c:pt idx="12">
                  <c:v>4.0322100000000001</c:v>
                </c:pt>
                <c:pt idx="13">
                  <c:v>4.0305800000000005</c:v>
                </c:pt>
                <c:pt idx="14">
                  <c:v>4.0314399999999999</c:v>
                </c:pt>
                <c:pt idx="15">
                  <c:v>4.0315399999999997</c:v>
                </c:pt>
                <c:pt idx="16">
                  <c:v>4.0266500000000001</c:v>
                </c:pt>
                <c:pt idx="17">
                  <c:v>4.0200000000000005</c:v>
                </c:pt>
                <c:pt idx="18">
                  <c:v>4.0156299999999998</c:v>
                </c:pt>
                <c:pt idx="19">
                  <c:v>4.0121200000000004</c:v>
                </c:pt>
                <c:pt idx="20">
                  <c:v>4.0047199999999998</c:v>
                </c:pt>
                <c:pt idx="21">
                  <c:v>3.99675</c:v>
                </c:pt>
                <c:pt idx="22">
                  <c:v>3.99465</c:v>
                </c:pt>
                <c:pt idx="23">
                  <c:v>3.9924200000000001</c:v>
                </c:pt>
                <c:pt idx="24">
                  <c:v>3.9862799999999998</c:v>
                </c:pt>
                <c:pt idx="25">
                  <c:v>3.9810400000000001</c:v>
                </c:pt>
                <c:pt idx="26">
                  <c:v>3.9825500000000003</c:v>
                </c:pt>
                <c:pt idx="27">
                  <c:v>3.9876399999999999</c:v>
                </c:pt>
                <c:pt idx="28">
                  <c:v>3.9883099999999998</c:v>
                </c:pt>
                <c:pt idx="29">
                  <c:v>3.9860699999999998</c:v>
                </c:pt>
                <c:pt idx="30">
                  <c:v>3.9920899999999997</c:v>
                </c:pt>
                <c:pt idx="31">
                  <c:v>3.9953499999999997</c:v>
                </c:pt>
                <c:pt idx="32">
                  <c:v>3.98672</c:v>
                </c:pt>
                <c:pt idx="33">
                  <c:v>3.9724500000000003</c:v>
                </c:pt>
                <c:pt idx="34">
                  <c:v>3.9593099999999999</c:v>
                </c:pt>
                <c:pt idx="35">
                  <c:v>3.9626099999999997</c:v>
                </c:pt>
                <c:pt idx="36">
                  <c:v>3.96516</c:v>
                </c:pt>
                <c:pt idx="37">
                  <c:v>3.9750100000000002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42.1768</c:v>
                </c:pt>
                <c:pt idx="1">
                  <c:v>42.279899999999998</c:v>
                </c:pt>
                <c:pt idx="2">
                  <c:v>42.3307</c:v>
                </c:pt>
                <c:pt idx="3">
                  <c:v>42.356200000000001</c:v>
                </c:pt>
                <c:pt idx="4">
                  <c:v>42.400999999999996</c:v>
                </c:pt>
                <c:pt idx="5">
                  <c:v>42.471800000000002</c:v>
                </c:pt>
                <c:pt idx="6">
                  <c:v>42.521300000000004</c:v>
                </c:pt>
                <c:pt idx="7">
                  <c:v>42.606100000000005</c:v>
                </c:pt>
                <c:pt idx="8">
                  <c:v>42.785000000000004</c:v>
                </c:pt>
                <c:pt idx="9">
                  <c:v>43.027000000000001</c:v>
                </c:pt>
                <c:pt idx="10">
                  <c:v>43.18</c:v>
                </c:pt>
                <c:pt idx="11">
                  <c:v>43.2669</c:v>
                </c:pt>
                <c:pt idx="12">
                  <c:v>43.313600000000001</c:v>
                </c:pt>
                <c:pt idx="13">
                  <c:v>43.3292</c:v>
                </c:pt>
                <c:pt idx="14">
                  <c:v>43.292900000000003</c:v>
                </c:pt>
                <c:pt idx="15">
                  <c:v>43.291699999999999</c:v>
                </c:pt>
                <c:pt idx="16">
                  <c:v>43.381500000000003</c:v>
                </c:pt>
                <c:pt idx="17">
                  <c:v>43.488199999999999</c:v>
                </c:pt>
                <c:pt idx="18">
                  <c:v>43.5304</c:v>
                </c:pt>
                <c:pt idx="19">
                  <c:v>43.536099999999998</c:v>
                </c:pt>
                <c:pt idx="20">
                  <c:v>43.622300000000003</c:v>
                </c:pt>
                <c:pt idx="21">
                  <c:v>43.736899999999999</c:v>
                </c:pt>
                <c:pt idx="22">
                  <c:v>43.846000000000004</c:v>
                </c:pt>
                <c:pt idx="23">
                  <c:v>44.0274</c:v>
                </c:pt>
                <c:pt idx="24">
                  <c:v>44.358699999999999</c:v>
                </c:pt>
                <c:pt idx="25">
                  <c:v>44.685900000000004</c:v>
                </c:pt>
                <c:pt idx="26">
                  <c:v>44.9452</c:v>
                </c:pt>
                <c:pt idx="27">
                  <c:v>45.244399999999999</c:v>
                </c:pt>
                <c:pt idx="28">
                  <c:v>45.514600000000002</c:v>
                </c:pt>
                <c:pt idx="29">
                  <c:v>45.769399999999997</c:v>
                </c:pt>
                <c:pt idx="30">
                  <c:v>45.960599999999999</c:v>
                </c:pt>
                <c:pt idx="31">
                  <c:v>46.1858</c:v>
                </c:pt>
                <c:pt idx="32">
                  <c:v>46.3658</c:v>
                </c:pt>
                <c:pt idx="33">
                  <c:v>46.432899999999997</c:v>
                </c:pt>
                <c:pt idx="34">
                  <c:v>46.3902</c:v>
                </c:pt>
                <c:pt idx="35">
                  <c:v>46.162700000000001</c:v>
                </c:pt>
                <c:pt idx="36">
                  <c:v>45.526200000000003</c:v>
                </c:pt>
                <c:pt idx="37">
                  <c:v>45.390999999999998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3.7266010810810819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43.103210810810815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4.018265945945946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43.98219729729729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4.018265945945946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43.98219729729729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0.1417602021864158</c:v>
                </c:pt>
                <c:pt idx="1">
                  <c:v>0.32742934974854365</c:v>
                </c:pt>
                <c:pt idx="2">
                  <c:v>0.53081044806504052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0.35889599999999999</c:v>
                </c:pt>
                <c:pt idx="2">
                  <c:v>0.75948899999999997</c:v>
                </c:pt>
                <c:pt idx="3">
                  <c:v>1.1672199999999999</c:v>
                </c:pt>
                <c:pt idx="4">
                  <c:v>1.57213</c:v>
                </c:pt>
                <c:pt idx="5">
                  <c:v>1.9784600000000001</c:v>
                </c:pt>
                <c:pt idx="6">
                  <c:v>2.38422</c:v>
                </c:pt>
                <c:pt idx="7">
                  <c:v>2.7936399999999999</c:v>
                </c:pt>
                <c:pt idx="8">
                  <c:v>3.19835</c:v>
                </c:pt>
                <c:pt idx="9">
                  <c:v>3.6044900000000002</c:v>
                </c:pt>
                <c:pt idx="10">
                  <c:v>4.0093300000000003</c:v>
                </c:pt>
                <c:pt idx="11">
                  <c:v>4.4169600000000004</c:v>
                </c:pt>
                <c:pt idx="12">
                  <c:v>4.82273</c:v>
                </c:pt>
                <c:pt idx="13">
                  <c:v>5.2306999999999997</c:v>
                </c:pt>
                <c:pt idx="14">
                  <c:v>5.6375099999999998</c:v>
                </c:pt>
                <c:pt idx="15">
                  <c:v>6.0419499999999999</c:v>
                </c:pt>
                <c:pt idx="16">
                  <c:v>6.4474900000000002</c:v>
                </c:pt>
                <c:pt idx="17">
                  <c:v>6.85853</c:v>
                </c:pt>
                <c:pt idx="18">
                  <c:v>7.2621900000000004</c:v>
                </c:pt>
                <c:pt idx="19">
                  <c:v>7.6648300000000003</c:v>
                </c:pt>
                <c:pt idx="20">
                  <c:v>8.0768400000000007</c:v>
                </c:pt>
                <c:pt idx="21">
                  <c:v>8.4807500000000005</c:v>
                </c:pt>
                <c:pt idx="22">
                  <c:v>8.8898299999999999</c:v>
                </c:pt>
                <c:pt idx="23">
                  <c:v>9.29359</c:v>
                </c:pt>
                <c:pt idx="24">
                  <c:v>9.6971299999999996</c:v>
                </c:pt>
                <c:pt idx="25">
                  <c:v>10.1051</c:v>
                </c:pt>
                <c:pt idx="26">
                  <c:v>10.512499999999999</c:v>
                </c:pt>
                <c:pt idx="27">
                  <c:v>10.9185</c:v>
                </c:pt>
                <c:pt idx="28">
                  <c:v>11.323700000000001</c:v>
                </c:pt>
                <c:pt idx="29">
                  <c:v>11.731199999999999</c:v>
                </c:pt>
                <c:pt idx="30">
                  <c:v>12.1371</c:v>
                </c:pt>
                <c:pt idx="31">
                  <c:v>12.541399999999999</c:v>
                </c:pt>
                <c:pt idx="32">
                  <c:v>12.9513</c:v>
                </c:pt>
                <c:pt idx="33">
                  <c:v>13.3583</c:v>
                </c:pt>
                <c:pt idx="34">
                  <c:v>13.7613</c:v>
                </c:pt>
                <c:pt idx="35">
                  <c:v>14.1646</c:v>
                </c:pt>
                <c:pt idx="36">
                  <c:v>14.573399999999999</c:v>
                </c:pt>
                <c:pt idx="37">
                  <c:v>14.9801</c:v>
                </c:pt>
                <c:pt idx="38">
                  <c:v>15.573499999999999</c:v>
                </c:pt>
                <c:pt idx="39">
                  <c:v>15.9475</c:v>
                </c:pt>
                <c:pt idx="40">
                  <c:v>16.322500000000002</c:v>
                </c:pt>
                <c:pt idx="41">
                  <c:v>16.700399999999998</c:v>
                </c:pt>
                <c:pt idx="42">
                  <c:v>17.0761</c:v>
                </c:pt>
                <c:pt idx="43">
                  <c:v>17.477699999999999</c:v>
                </c:pt>
                <c:pt idx="44">
                  <c:v>17.885000000000002</c:v>
                </c:pt>
                <c:pt idx="45">
                  <c:v>18.292000000000002</c:v>
                </c:pt>
                <c:pt idx="46">
                  <c:v>18.698499999999999</c:v>
                </c:pt>
                <c:pt idx="47">
                  <c:v>19.105499999999999</c:v>
                </c:pt>
                <c:pt idx="48">
                  <c:v>19.511399999999998</c:v>
                </c:pt>
                <c:pt idx="49">
                  <c:v>19.9193</c:v>
                </c:pt>
                <c:pt idx="50">
                  <c:v>20.326799999999999</c:v>
                </c:pt>
                <c:pt idx="51">
                  <c:v>20.731400000000001</c:v>
                </c:pt>
                <c:pt idx="52">
                  <c:v>21.136600000000001</c:v>
                </c:pt>
                <c:pt idx="53">
                  <c:v>21.5397</c:v>
                </c:pt>
                <c:pt idx="54">
                  <c:v>21.9483</c:v>
                </c:pt>
                <c:pt idx="55">
                  <c:v>22.3568</c:v>
                </c:pt>
                <c:pt idx="56">
                  <c:v>22.763500000000001</c:v>
                </c:pt>
                <c:pt idx="57">
                  <c:v>23.165700000000001</c:v>
                </c:pt>
                <c:pt idx="58">
                  <c:v>23.571200000000001</c:v>
                </c:pt>
                <c:pt idx="59">
                  <c:v>23.98</c:v>
                </c:pt>
                <c:pt idx="60">
                  <c:v>24.385400000000001</c:v>
                </c:pt>
                <c:pt idx="61">
                  <c:v>24.790600000000001</c:v>
                </c:pt>
                <c:pt idx="62">
                  <c:v>25.200800000000001</c:v>
                </c:pt>
                <c:pt idx="63">
                  <c:v>25.6038</c:v>
                </c:pt>
                <c:pt idx="64">
                  <c:v>26.009399999999999</c:v>
                </c:pt>
                <c:pt idx="65">
                  <c:v>26.415199999999999</c:v>
                </c:pt>
                <c:pt idx="66">
                  <c:v>26.8215</c:v>
                </c:pt>
                <c:pt idx="67">
                  <c:v>27.2303</c:v>
                </c:pt>
                <c:pt idx="68">
                  <c:v>27.6341</c:v>
                </c:pt>
                <c:pt idx="69">
                  <c:v>28.0413</c:v>
                </c:pt>
                <c:pt idx="70">
                  <c:v>28.447199999999999</c:v>
                </c:pt>
                <c:pt idx="71">
                  <c:v>28.8552</c:v>
                </c:pt>
                <c:pt idx="72">
                  <c:v>29.2624</c:v>
                </c:pt>
                <c:pt idx="73">
                  <c:v>29.6675</c:v>
                </c:pt>
                <c:pt idx="74">
                  <c:v>30.0732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5"/>
                <c:pt idx="0">
                  <c:v>2.7318599999999997</c:v>
                </c:pt>
                <c:pt idx="1">
                  <c:v>2.8113700000000001</c:v>
                </c:pt>
                <c:pt idx="2">
                  <c:v>2.8892099999999998</c:v>
                </c:pt>
                <c:pt idx="3">
                  <c:v>2.96922</c:v>
                </c:pt>
                <c:pt idx="4">
                  <c:v>3.0527500000000001</c:v>
                </c:pt>
                <c:pt idx="5">
                  <c:v>3.1375999999999999</c:v>
                </c:pt>
                <c:pt idx="6">
                  <c:v>3.21895</c:v>
                </c:pt>
                <c:pt idx="7">
                  <c:v>3.2973300000000001</c:v>
                </c:pt>
                <c:pt idx="8">
                  <c:v>3.3716299999999997</c:v>
                </c:pt>
                <c:pt idx="9">
                  <c:v>3.4414600000000002</c:v>
                </c:pt>
                <c:pt idx="10">
                  <c:v>3.5065800000000005</c:v>
                </c:pt>
                <c:pt idx="11">
                  <c:v>3.56595</c:v>
                </c:pt>
                <c:pt idx="12">
                  <c:v>3.6263200000000002</c:v>
                </c:pt>
                <c:pt idx="13">
                  <c:v>3.6739699999999997</c:v>
                </c:pt>
                <c:pt idx="14">
                  <c:v>3.7313900000000002</c:v>
                </c:pt>
                <c:pt idx="15">
                  <c:v>3.78146</c:v>
                </c:pt>
                <c:pt idx="16">
                  <c:v>3.8260100000000001</c:v>
                </c:pt>
                <c:pt idx="17">
                  <c:v>3.86863</c:v>
                </c:pt>
                <c:pt idx="18">
                  <c:v>3.9078299999999997</c:v>
                </c:pt>
                <c:pt idx="19">
                  <c:v>3.9415899999999997</c:v>
                </c:pt>
                <c:pt idx="20">
                  <c:v>3.9758900000000001</c:v>
                </c:pt>
                <c:pt idx="21">
                  <c:v>4.0112899999999998</c:v>
                </c:pt>
                <c:pt idx="22">
                  <c:v>4.0407599999999997</c:v>
                </c:pt>
                <c:pt idx="23">
                  <c:v>4.0625299999999998</c:v>
                </c:pt>
                <c:pt idx="24">
                  <c:v>4.0791300000000001</c:v>
                </c:pt>
                <c:pt idx="25">
                  <c:v>4.0937600000000005</c:v>
                </c:pt>
                <c:pt idx="26">
                  <c:v>4.1044599999999996</c:v>
                </c:pt>
                <c:pt idx="27">
                  <c:v>4.1115000000000004</c:v>
                </c:pt>
                <c:pt idx="28">
                  <c:v>4.1185999999999998</c:v>
                </c:pt>
                <c:pt idx="29">
                  <c:v>4.1245599999999998</c:v>
                </c:pt>
                <c:pt idx="30">
                  <c:v>4.1244700000000005</c:v>
                </c:pt>
                <c:pt idx="31">
                  <c:v>4.12202</c:v>
                </c:pt>
                <c:pt idx="32">
                  <c:v>4.1200200000000002</c:v>
                </c:pt>
                <c:pt idx="33">
                  <c:v>4.1187500000000004</c:v>
                </c:pt>
                <c:pt idx="34">
                  <c:v>4.1142699999999994</c:v>
                </c:pt>
                <c:pt idx="35">
                  <c:v>4.1072100000000002</c:v>
                </c:pt>
                <c:pt idx="36">
                  <c:v>4.1039099999999999</c:v>
                </c:pt>
                <c:pt idx="37">
                  <c:v>4.0994799999999998</c:v>
                </c:pt>
                <c:pt idx="38">
                  <c:v>4.0857900000000003</c:v>
                </c:pt>
                <c:pt idx="39">
                  <c:v>4.0764300000000002</c:v>
                </c:pt>
                <c:pt idx="40">
                  <c:v>4.07151</c:v>
                </c:pt>
                <c:pt idx="41">
                  <c:v>4.0668800000000003</c:v>
                </c:pt>
                <c:pt idx="42">
                  <c:v>4.0601099999999999</c:v>
                </c:pt>
                <c:pt idx="43">
                  <c:v>4.05626</c:v>
                </c:pt>
                <c:pt idx="44">
                  <c:v>4.05579</c:v>
                </c:pt>
                <c:pt idx="45">
                  <c:v>4.0523699999999998</c:v>
                </c:pt>
                <c:pt idx="46">
                  <c:v>4.04406</c:v>
                </c:pt>
                <c:pt idx="47">
                  <c:v>4.0377700000000001</c:v>
                </c:pt>
                <c:pt idx="48">
                  <c:v>4.0350999999999999</c:v>
                </c:pt>
                <c:pt idx="49">
                  <c:v>4.0322100000000001</c:v>
                </c:pt>
                <c:pt idx="50">
                  <c:v>4.0305800000000005</c:v>
                </c:pt>
                <c:pt idx="51">
                  <c:v>4.0314399999999999</c:v>
                </c:pt>
                <c:pt idx="52">
                  <c:v>4.0315399999999997</c:v>
                </c:pt>
                <c:pt idx="53">
                  <c:v>4.0266500000000001</c:v>
                </c:pt>
                <c:pt idx="54">
                  <c:v>4.0200000000000005</c:v>
                </c:pt>
                <c:pt idx="55">
                  <c:v>4.0156299999999998</c:v>
                </c:pt>
                <c:pt idx="56">
                  <c:v>4.0121200000000004</c:v>
                </c:pt>
                <c:pt idx="57">
                  <c:v>4.0047199999999998</c:v>
                </c:pt>
                <c:pt idx="58">
                  <c:v>3.99675</c:v>
                </c:pt>
                <c:pt idx="59">
                  <c:v>3.99465</c:v>
                </c:pt>
                <c:pt idx="60">
                  <c:v>3.9924200000000001</c:v>
                </c:pt>
                <c:pt idx="61">
                  <c:v>3.9862799999999998</c:v>
                </c:pt>
                <c:pt idx="62">
                  <c:v>3.9810400000000001</c:v>
                </c:pt>
                <c:pt idx="63">
                  <c:v>3.9825500000000003</c:v>
                </c:pt>
                <c:pt idx="64">
                  <c:v>3.9876399999999999</c:v>
                </c:pt>
                <c:pt idx="65">
                  <c:v>3.9883099999999998</c:v>
                </c:pt>
                <c:pt idx="66">
                  <c:v>3.9860699999999998</c:v>
                </c:pt>
                <c:pt idx="67">
                  <c:v>3.9920899999999997</c:v>
                </c:pt>
                <c:pt idx="68">
                  <c:v>3.9953499999999997</c:v>
                </c:pt>
                <c:pt idx="69">
                  <c:v>3.98672</c:v>
                </c:pt>
                <c:pt idx="70">
                  <c:v>3.9724500000000003</c:v>
                </c:pt>
                <c:pt idx="71">
                  <c:v>3.9593099999999999</c:v>
                </c:pt>
                <c:pt idx="72">
                  <c:v>3.9626099999999997</c:v>
                </c:pt>
                <c:pt idx="73">
                  <c:v>3.96516</c:v>
                </c:pt>
                <c:pt idx="74">
                  <c:v>3.9750100000000002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0.35889599999999999</c:v>
                </c:pt>
                <c:pt idx="2">
                  <c:v>0.75948899999999997</c:v>
                </c:pt>
                <c:pt idx="3">
                  <c:v>1.1672199999999999</c:v>
                </c:pt>
                <c:pt idx="4">
                  <c:v>1.57213</c:v>
                </c:pt>
                <c:pt idx="5">
                  <c:v>1.9784600000000001</c:v>
                </c:pt>
                <c:pt idx="6">
                  <c:v>2.38422</c:v>
                </c:pt>
                <c:pt idx="7">
                  <c:v>2.7936399999999999</c:v>
                </c:pt>
                <c:pt idx="8">
                  <c:v>3.19835</c:v>
                </c:pt>
                <c:pt idx="9">
                  <c:v>3.6044900000000002</c:v>
                </c:pt>
                <c:pt idx="10">
                  <c:v>4.0093300000000003</c:v>
                </c:pt>
                <c:pt idx="11">
                  <c:v>4.4169600000000004</c:v>
                </c:pt>
                <c:pt idx="12">
                  <c:v>4.82273</c:v>
                </c:pt>
                <c:pt idx="13">
                  <c:v>5.2306999999999997</c:v>
                </c:pt>
                <c:pt idx="14">
                  <c:v>5.6375099999999998</c:v>
                </c:pt>
                <c:pt idx="15">
                  <c:v>6.0419499999999999</c:v>
                </c:pt>
                <c:pt idx="16">
                  <c:v>6.4474900000000002</c:v>
                </c:pt>
                <c:pt idx="17">
                  <c:v>6.85853</c:v>
                </c:pt>
                <c:pt idx="18">
                  <c:v>7.2621900000000004</c:v>
                </c:pt>
                <c:pt idx="19">
                  <c:v>7.6648300000000003</c:v>
                </c:pt>
                <c:pt idx="20">
                  <c:v>8.0768400000000007</c:v>
                </c:pt>
                <c:pt idx="21">
                  <c:v>8.4807500000000005</c:v>
                </c:pt>
                <c:pt idx="22">
                  <c:v>8.8898299999999999</c:v>
                </c:pt>
                <c:pt idx="23">
                  <c:v>9.29359</c:v>
                </c:pt>
                <c:pt idx="24">
                  <c:v>9.6971299999999996</c:v>
                </c:pt>
                <c:pt idx="25">
                  <c:v>10.1051</c:v>
                </c:pt>
                <c:pt idx="26">
                  <c:v>10.512499999999999</c:v>
                </c:pt>
                <c:pt idx="27">
                  <c:v>10.9185</c:v>
                </c:pt>
                <c:pt idx="28">
                  <c:v>11.323700000000001</c:v>
                </c:pt>
                <c:pt idx="29">
                  <c:v>11.731199999999999</c:v>
                </c:pt>
                <c:pt idx="30">
                  <c:v>12.1371</c:v>
                </c:pt>
                <c:pt idx="31">
                  <c:v>12.541399999999999</c:v>
                </c:pt>
                <c:pt idx="32">
                  <c:v>12.9513</c:v>
                </c:pt>
                <c:pt idx="33">
                  <c:v>13.3583</c:v>
                </c:pt>
                <c:pt idx="34">
                  <c:v>13.7613</c:v>
                </c:pt>
                <c:pt idx="35">
                  <c:v>14.1646</c:v>
                </c:pt>
                <c:pt idx="36">
                  <c:v>14.573399999999999</c:v>
                </c:pt>
                <c:pt idx="37">
                  <c:v>14.9801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8"/>
                <c:pt idx="0">
                  <c:v>2.7318599999999997</c:v>
                </c:pt>
                <c:pt idx="1">
                  <c:v>2.8113700000000001</c:v>
                </c:pt>
                <c:pt idx="2">
                  <c:v>2.8892099999999998</c:v>
                </c:pt>
                <c:pt idx="3">
                  <c:v>2.96922</c:v>
                </c:pt>
                <c:pt idx="4">
                  <c:v>3.0527500000000001</c:v>
                </c:pt>
                <c:pt idx="5">
                  <c:v>3.1375999999999999</c:v>
                </c:pt>
                <c:pt idx="6">
                  <c:v>3.21895</c:v>
                </c:pt>
                <c:pt idx="7">
                  <c:v>3.2973300000000001</c:v>
                </c:pt>
                <c:pt idx="8">
                  <c:v>3.3716299999999997</c:v>
                </c:pt>
                <c:pt idx="9">
                  <c:v>3.4414600000000002</c:v>
                </c:pt>
                <c:pt idx="10">
                  <c:v>3.5065800000000005</c:v>
                </c:pt>
                <c:pt idx="11">
                  <c:v>3.56595</c:v>
                </c:pt>
                <c:pt idx="12">
                  <c:v>3.6263200000000002</c:v>
                </c:pt>
                <c:pt idx="13">
                  <c:v>3.6739699999999997</c:v>
                </c:pt>
                <c:pt idx="14">
                  <c:v>3.7313900000000002</c:v>
                </c:pt>
                <c:pt idx="15">
                  <c:v>3.78146</c:v>
                </c:pt>
                <c:pt idx="16">
                  <c:v>3.8260100000000001</c:v>
                </c:pt>
                <c:pt idx="17">
                  <c:v>3.86863</c:v>
                </c:pt>
                <c:pt idx="18">
                  <c:v>3.9078299999999997</c:v>
                </c:pt>
                <c:pt idx="19">
                  <c:v>3.9415899999999997</c:v>
                </c:pt>
                <c:pt idx="20">
                  <c:v>3.9758900000000001</c:v>
                </c:pt>
                <c:pt idx="21">
                  <c:v>4.0112899999999998</c:v>
                </c:pt>
                <c:pt idx="22">
                  <c:v>4.0407599999999997</c:v>
                </c:pt>
                <c:pt idx="23">
                  <c:v>4.0625299999999998</c:v>
                </c:pt>
                <c:pt idx="24">
                  <c:v>4.0791300000000001</c:v>
                </c:pt>
                <c:pt idx="25">
                  <c:v>4.0937600000000005</c:v>
                </c:pt>
                <c:pt idx="26">
                  <c:v>4.1044599999999996</c:v>
                </c:pt>
                <c:pt idx="27">
                  <c:v>4.1115000000000004</c:v>
                </c:pt>
                <c:pt idx="28">
                  <c:v>4.1185999999999998</c:v>
                </c:pt>
                <c:pt idx="29">
                  <c:v>4.1245599999999998</c:v>
                </c:pt>
                <c:pt idx="30">
                  <c:v>4.1244700000000005</c:v>
                </c:pt>
                <c:pt idx="31">
                  <c:v>4.12202</c:v>
                </c:pt>
                <c:pt idx="32">
                  <c:v>4.1200200000000002</c:v>
                </c:pt>
                <c:pt idx="33">
                  <c:v>4.1187500000000004</c:v>
                </c:pt>
                <c:pt idx="34">
                  <c:v>4.1142699999999994</c:v>
                </c:pt>
                <c:pt idx="35">
                  <c:v>4.1072100000000002</c:v>
                </c:pt>
                <c:pt idx="36">
                  <c:v>4.1039099999999999</c:v>
                </c:pt>
                <c:pt idx="37">
                  <c:v>4.0994799999999998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14.9801</c:v>
                </c:pt>
                <c:pt idx="1">
                  <c:v>15.573499999999999</c:v>
                </c:pt>
                <c:pt idx="2">
                  <c:v>15.9475</c:v>
                </c:pt>
                <c:pt idx="3">
                  <c:v>16.322500000000002</c:v>
                </c:pt>
                <c:pt idx="4">
                  <c:v>16.700399999999998</c:v>
                </c:pt>
                <c:pt idx="5">
                  <c:v>17.0761</c:v>
                </c:pt>
                <c:pt idx="6">
                  <c:v>17.477699999999999</c:v>
                </c:pt>
                <c:pt idx="7">
                  <c:v>17.885000000000002</c:v>
                </c:pt>
                <c:pt idx="8">
                  <c:v>18.292000000000002</c:v>
                </c:pt>
                <c:pt idx="9">
                  <c:v>18.698499999999999</c:v>
                </c:pt>
                <c:pt idx="10">
                  <c:v>19.105499999999999</c:v>
                </c:pt>
                <c:pt idx="11">
                  <c:v>19.511399999999998</c:v>
                </c:pt>
                <c:pt idx="12">
                  <c:v>19.9193</c:v>
                </c:pt>
                <c:pt idx="13">
                  <c:v>20.326799999999999</c:v>
                </c:pt>
                <c:pt idx="14">
                  <c:v>20.731400000000001</c:v>
                </c:pt>
                <c:pt idx="15">
                  <c:v>21.136600000000001</c:v>
                </c:pt>
                <c:pt idx="16">
                  <c:v>21.5397</c:v>
                </c:pt>
                <c:pt idx="17">
                  <c:v>21.9483</c:v>
                </c:pt>
                <c:pt idx="18">
                  <c:v>22.3568</c:v>
                </c:pt>
                <c:pt idx="19">
                  <c:v>22.763500000000001</c:v>
                </c:pt>
                <c:pt idx="20">
                  <c:v>23.165700000000001</c:v>
                </c:pt>
                <c:pt idx="21">
                  <c:v>23.571200000000001</c:v>
                </c:pt>
                <c:pt idx="22">
                  <c:v>23.98</c:v>
                </c:pt>
                <c:pt idx="23">
                  <c:v>24.385400000000001</c:v>
                </c:pt>
                <c:pt idx="24">
                  <c:v>24.790600000000001</c:v>
                </c:pt>
                <c:pt idx="25">
                  <c:v>25.200800000000001</c:v>
                </c:pt>
                <c:pt idx="26">
                  <c:v>25.6038</c:v>
                </c:pt>
                <c:pt idx="27">
                  <c:v>26.009399999999999</c:v>
                </c:pt>
                <c:pt idx="28">
                  <c:v>26.415199999999999</c:v>
                </c:pt>
                <c:pt idx="29">
                  <c:v>26.8215</c:v>
                </c:pt>
                <c:pt idx="30">
                  <c:v>27.2303</c:v>
                </c:pt>
                <c:pt idx="31">
                  <c:v>27.6341</c:v>
                </c:pt>
                <c:pt idx="32">
                  <c:v>28.0413</c:v>
                </c:pt>
                <c:pt idx="33">
                  <c:v>28.447199999999999</c:v>
                </c:pt>
                <c:pt idx="34">
                  <c:v>28.8552</c:v>
                </c:pt>
                <c:pt idx="35">
                  <c:v>29.2624</c:v>
                </c:pt>
                <c:pt idx="36">
                  <c:v>29.6675</c:v>
                </c:pt>
                <c:pt idx="37">
                  <c:v>30.0732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4.0994799999999998</c:v>
                </c:pt>
                <c:pt idx="1">
                  <c:v>4.0857900000000003</c:v>
                </c:pt>
                <c:pt idx="2">
                  <c:v>4.0764300000000002</c:v>
                </c:pt>
                <c:pt idx="3">
                  <c:v>4.07151</c:v>
                </c:pt>
                <c:pt idx="4">
                  <c:v>4.0668800000000003</c:v>
                </c:pt>
                <c:pt idx="5">
                  <c:v>4.0601099999999999</c:v>
                </c:pt>
                <c:pt idx="6">
                  <c:v>4.05626</c:v>
                </c:pt>
                <c:pt idx="7">
                  <c:v>4.05579</c:v>
                </c:pt>
                <c:pt idx="8">
                  <c:v>4.0523699999999998</c:v>
                </c:pt>
                <c:pt idx="9">
                  <c:v>4.04406</c:v>
                </c:pt>
                <c:pt idx="10">
                  <c:v>4.0377700000000001</c:v>
                </c:pt>
                <c:pt idx="11">
                  <c:v>4.0350999999999999</c:v>
                </c:pt>
                <c:pt idx="12">
                  <c:v>4.0322100000000001</c:v>
                </c:pt>
                <c:pt idx="13">
                  <c:v>4.0305800000000005</c:v>
                </c:pt>
                <c:pt idx="14">
                  <c:v>4.0314399999999999</c:v>
                </c:pt>
                <c:pt idx="15">
                  <c:v>4.0315399999999997</c:v>
                </c:pt>
                <c:pt idx="16">
                  <c:v>4.0266500000000001</c:v>
                </c:pt>
                <c:pt idx="17">
                  <c:v>4.0200000000000005</c:v>
                </c:pt>
                <c:pt idx="18">
                  <c:v>4.0156299999999998</c:v>
                </c:pt>
                <c:pt idx="19">
                  <c:v>4.0121200000000004</c:v>
                </c:pt>
                <c:pt idx="20">
                  <c:v>4.0047199999999998</c:v>
                </c:pt>
                <c:pt idx="21">
                  <c:v>3.99675</c:v>
                </c:pt>
                <c:pt idx="22">
                  <c:v>3.99465</c:v>
                </c:pt>
                <c:pt idx="23">
                  <c:v>3.9924200000000001</c:v>
                </c:pt>
                <c:pt idx="24">
                  <c:v>3.9862799999999998</c:v>
                </c:pt>
                <c:pt idx="25">
                  <c:v>3.9810400000000001</c:v>
                </c:pt>
                <c:pt idx="26">
                  <c:v>3.9825500000000003</c:v>
                </c:pt>
                <c:pt idx="27">
                  <c:v>3.9876399999999999</c:v>
                </c:pt>
                <c:pt idx="28">
                  <c:v>3.9883099999999998</c:v>
                </c:pt>
                <c:pt idx="29">
                  <c:v>3.9860699999999998</c:v>
                </c:pt>
                <c:pt idx="30">
                  <c:v>3.9920899999999997</c:v>
                </c:pt>
                <c:pt idx="31">
                  <c:v>3.9953499999999997</c:v>
                </c:pt>
                <c:pt idx="32">
                  <c:v>3.98672</c:v>
                </c:pt>
                <c:pt idx="33">
                  <c:v>3.9724500000000003</c:v>
                </c:pt>
                <c:pt idx="34">
                  <c:v>3.9593099999999999</c:v>
                </c:pt>
                <c:pt idx="35">
                  <c:v>3.9626099999999997</c:v>
                </c:pt>
                <c:pt idx="36">
                  <c:v>3.96516</c:v>
                </c:pt>
                <c:pt idx="37">
                  <c:v>3.9750100000000002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7.5183</c:v>
                </c:pt>
                <c:pt idx="1">
                  <c:v>22.5549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3.7266010810810819</c:v>
                </c:pt>
                <c:pt idx="1">
                  <c:v>4.018265945945946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0.35889599999999999</c:v>
                </c:pt>
                <c:pt idx="2">
                  <c:v>0.75948899999999997</c:v>
                </c:pt>
                <c:pt idx="3">
                  <c:v>1.1672199999999999</c:v>
                </c:pt>
                <c:pt idx="4">
                  <c:v>1.57213</c:v>
                </c:pt>
                <c:pt idx="5">
                  <c:v>1.9784600000000001</c:v>
                </c:pt>
                <c:pt idx="6">
                  <c:v>2.38422</c:v>
                </c:pt>
                <c:pt idx="7">
                  <c:v>2.7936399999999999</c:v>
                </c:pt>
                <c:pt idx="8">
                  <c:v>3.19835</c:v>
                </c:pt>
                <c:pt idx="9">
                  <c:v>3.6044900000000002</c:v>
                </c:pt>
                <c:pt idx="10">
                  <c:v>4.0093300000000003</c:v>
                </c:pt>
                <c:pt idx="11">
                  <c:v>4.4169600000000004</c:v>
                </c:pt>
                <c:pt idx="12">
                  <c:v>4.82273</c:v>
                </c:pt>
                <c:pt idx="13">
                  <c:v>5.2306999999999997</c:v>
                </c:pt>
                <c:pt idx="14">
                  <c:v>5.6375099999999998</c:v>
                </c:pt>
                <c:pt idx="15">
                  <c:v>6.0419499999999999</c:v>
                </c:pt>
                <c:pt idx="16">
                  <c:v>6.4474900000000002</c:v>
                </c:pt>
                <c:pt idx="17">
                  <c:v>6.85853</c:v>
                </c:pt>
                <c:pt idx="18">
                  <c:v>7.2621900000000004</c:v>
                </c:pt>
                <c:pt idx="19">
                  <c:v>7.6648300000000003</c:v>
                </c:pt>
                <c:pt idx="20">
                  <c:v>8.0768400000000007</c:v>
                </c:pt>
                <c:pt idx="21">
                  <c:v>8.4807500000000005</c:v>
                </c:pt>
                <c:pt idx="22">
                  <c:v>8.8898299999999999</c:v>
                </c:pt>
                <c:pt idx="23">
                  <c:v>9.29359</c:v>
                </c:pt>
                <c:pt idx="24">
                  <c:v>9.6971299999999996</c:v>
                </c:pt>
                <c:pt idx="25">
                  <c:v>10.1051</c:v>
                </c:pt>
                <c:pt idx="26">
                  <c:v>10.512499999999999</c:v>
                </c:pt>
                <c:pt idx="27">
                  <c:v>10.9185</c:v>
                </c:pt>
                <c:pt idx="28">
                  <c:v>11.323700000000001</c:v>
                </c:pt>
                <c:pt idx="29">
                  <c:v>11.731199999999999</c:v>
                </c:pt>
                <c:pt idx="30">
                  <c:v>12.1371</c:v>
                </c:pt>
                <c:pt idx="31">
                  <c:v>12.541399999999999</c:v>
                </c:pt>
                <c:pt idx="32">
                  <c:v>12.9513</c:v>
                </c:pt>
                <c:pt idx="33">
                  <c:v>13.3583</c:v>
                </c:pt>
                <c:pt idx="34">
                  <c:v>13.7613</c:v>
                </c:pt>
                <c:pt idx="35">
                  <c:v>14.1646</c:v>
                </c:pt>
                <c:pt idx="36">
                  <c:v>14.573399999999999</c:v>
                </c:pt>
                <c:pt idx="37">
                  <c:v>14.9801</c:v>
                </c:pt>
                <c:pt idx="38">
                  <c:v>15.573499999999999</c:v>
                </c:pt>
                <c:pt idx="39">
                  <c:v>15.9475</c:v>
                </c:pt>
                <c:pt idx="40">
                  <c:v>16.322500000000002</c:v>
                </c:pt>
                <c:pt idx="41">
                  <c:v>16.700399999999998</c:v>
                </c:pt>
                <c:pt idx="42">
                  <c:v>17.0761</c:v>
                </c:pt>
                <c:pt idx="43">
                  <c:v>17.477699999999999</c:v>
                </c:pt>
                <c:pt idx="44">
                  <c:v>17.885000000000002</c:v>
                </c:pt>
                <c:pt idx="45">
                  <c:v>18.292000000000002</c:v>
                </c:pt>
                <c:pt idx="46">
                  <c:v>18.698499999999999</c:v>
                </c:pt>
                <c:pt idx="47">
                  <c:v>19.105499999999999</c:v>
                </c:pt>
                <c:pt idx="48">
                  <c:v>19.511399999999998</c:v>
                </c:pt>
                <c:pt idx="49">
                  <c:v>19.9193</c:v>
                </c:pt>
                <c:pt idx="50">
                  <c:v>20.326799999999999</c:v>
                </c:pt>
                <c:pt idx="51">
                  <c:v>20.731400000000001</c:v>
                </c:pt>
                <c:pt idx="52">
                  <c:v>21.136600000000001</c:v>
                </c:pt>
                <c:pt idx="53">
                  <c:v>21.5397</c:v>
                </c:pt>
                <c:pt idx="54">
                  <c:v>21.9483</c:v>
                </c:pt>
                <c:pt idx="55">
                  <c:v>22.3568</c:v>
                </c:pt>
                <c:pt idx="56">
                  <c:v>22.763500000000001</c:v>
                </c:pt>
                <c:pt idx="57">
                  <c:v>23.165700000000001</c:v>
                </c:pt>
                <c:pt idx="58">
                  <c:v>23.571200000000001</c:v>
                </c:pt>
                <c:pt idx="59">
                  <c:v>23.98</c:v>
                </c:pt>
                <c:pt idx="60">
                  <c:v>24.385400000000001</c:v>
                </c:pt>
                <c:pt idx="61">
                  <c:v>24.790600000000001</c:v>
                </c:pt>
                <c:pt idx="62">
                  <c:v>25.200800000000001</c:v>
                </c:pt>
                <c:pt idx="63">
                  <c:v>25.6038</c:v>
                </c:pt>
                <c:pt idx="64">
                  <c:v>26.009399999999999</c:v>
                </c:pt>
                <c:pt idx="65">
                  <c:v>26.415199999999999</c:v>
                </c:pt>
                <c:pt idx="66">
                  <c:v>26.8215</c:v>
                </c:pt>
                <c:pt idx="67">
                  <c:v>27.2303</c:v>
                </c:pt>
                <c:pt idx="68">
                  <c:v>27.6341</c:v>
                </c:pt>
                <c:pt idx="69">
                  <c:v>28.0413</c:v>
                </c:pt>
                <c:pt idx="70">
                  <c:v>28.447199999999999</c:v>
                </c:pt>
                <c:pt idx="71">
                  <c:v>28.8552</c:v>
                </c:pt>
                <c:pt idx="72">
                  <c:v>29.2624</c:v>
                </c:pt>
                <c:pt idx="73">
                  <c:v>29.6675</c:v>
                </c:pt>
                <c:pt idx="74">
                  <c:v>30.0732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50.904700000000005</c:v>
                </c:pt>
                <c:pt idx="1">
                  <c:v>49.769799999999996</c:v>
                </c:pt>
                <c:pt idx="2">
                  <c:v>48.630099999999999</c:v>
                </c:pt>
                <c:pt idx="3">
                  <c:v>47.548999999999999</c:v>
                </c:pt>
                <c:pt idx="4">
                  <c:v>46.445700000000002</c:v>
                </c:pt>
                <c:pt idx="5">
                  <c:v>45.287799999999997</c:v>
                </c:pt>
                <c:pt idx="6">
                  <c:v>44.364199999999997</c:v>
                </c:pt>
                <c:pt idx="7">
                  <c:v>43.693799999999996</c:v>
                </c:pt>
                <c:pt idx="8">
                  <c:v>43.149700000000003</c:v>
                </c:pt>
                <c:pt idx="9">
                  <c:v>42.6068</c:v>
                </c:pt>
                <c:pt idx="10">
                  <c:v>42.175699999999999</c:v>
                </c:pt>
                <c:pt idx="11">
                  <c:v>41.981999999999999</c:v>
                </c:pt>
                <c:pt idx="12">
                  <c:v>41.7851</c:v>
                </c:pt>
                <c:pt idx="13">
                  <c:v>41.729799999999997</c:v>
                </c:pt>
                <c:pt idx="14">
                  <c:v>41.540799999999997</c:v>
                </c:pt>
                <c:pt idx="15">
                  <c:v>41.578400000000002</c:v>
                </c:pt>
                <c:pt idx="16">
                  <c:v>41.662399999999998</c:v>
                </c:pt>
                <c:pt idx="17">
                  <c:v>41.677399999999999</c:v>
                </c:pt>
                <c:pt idx="18">
                  <c:v>41.742699999999999</c:v>
                </c:pt>
                <c:pt idx="19">
                  <c:v>41.875900000000001</c:v>
                </c:pt>
                <c:pt idx="20">
                  <c:v>41.970400000000005</c:v>
                </c:pt>
                <c:pt idx="21">
                  <c:v>41.974299999999999</c:v>
                </c:pt>
                <c:pt idx="22">
                  <c:v>41.985599999999998</c:v>
                </c:pt>
                <c:pt idx="23">
                  <c:v>42.050599999999996</c:v>
                </c:pt>
                <c:pt idx="24">
                  <c:v>42.1008</c:v>
                </c:pt>
                <c:pt idx="25">
                  <c:v>42.100300000000004</c:v>
                </c:pt>
                <c:pt idx="26">
                  <c:v>42.079899999999995</c:v>
                </c:pt>
                <c:pt idx="27">
                  <c:v>42.064599999999999</c:v>
                </c:pt>
                <c:pt idx="28">
                  <c:v>41.997299999999996</c:v>
                </c:pt>
                <c:pt idx="29">
                  <c:v>41.940300000000001</c:v>
                </c:pt>
                <c:pt idx="30">
                  <c:v>41.941000000000003</c:v>
                </c:pt>
                <c:pt idx="31">
                  <c:v>41.990699999999997</c:v>
                </c:pt>
                <c:pt idx="32">
                  <c:v>42.0334</c:v>
                </c:pt>
                <c:pt idx="33">
                  <c:v>42.052399999999999</c:v>
                </c:pt>
                <c:pt idx="34">
                  <c:v>42.097000000000001</c:v>
                </c:pt>
                <c:pt idx="35">
                  <c:v>42.147500000000001</c:v>
                </c:pt>
                <c:pt idx="36">
                  <c:v>42.140899999999995</c:v>
                </c:pt>
                <c:pt idx="37">
                  <c:v>42.1768</c:v>
                </c:pt>
                <c:pt idx="38">
                  <c:v>42.279899999999998</c:v>
                </c:pt>
                <c:pt idx="39">
                  <c:v>42.3307</c:v>
                </c:pt>
                <c:pt idx="40">
                  <c:v>42.356200000000001</c:v>
                </c:pt>
                <c:pt idx="41">
                  <c:v>42.400999999999996</c:v>
                </c:pt>
                <c:pt idx="42">
                  <c:v>42.471800000000002</c:v>
                </c:pt>
                <c:pt idx="43">
                  <c:v>42.521300000000004</c:v>
                </c:pt>
                <c:pt idx="44">
                  <c:v>42.606100000000005</c:v>
                </c:pt>
                <c:pt idx="45">
                  <c:v>42.785000000000004</c:v>
                </c:pt>
                <c:pt idx="46">
                  <c:v>43.027000000000001</c:v>
                </c:pt>
                <c:pt idx="47">
                  <c:v>43.18</c:v>
                </c:pt>
                <c:pt idx="48">
                  <c:v>43.2669</c:v>
                </c:pt>
                <c:pt idx="49">
                  <c:v>43.313600000000001</c:v>
                </c:pt>
                <c:pt idx="50">
                  <c:v>43.3292</c:v>
                </c:pt>
                <c:pt idx="51">
                  <c:v>43.292900000000003</c:v>
                </c:pt>
                <c:pt idx="52">
                  <c:v>43.291699999999999</c:v>
                </c:pt>
                <c:pt idx="53">
                  <c:v>43.381500000000003</c:v>
                </c:pt>
                <c:pt idx="54">
                  <c:v>43.488199999999999</c:v>
                </c:pt>
                <c:pt idx="55">
                  <c:v>43.5304</c:v>
                </c:pt>
                <c:pt idx="56">
                  <c:v>43.536099999999998</c:v>
                </c:pt>
                <c:pt idx="57">
                  <c:v>43.622300000000003</c:v>
                </c:pt>
                <c:pt idx="58">
                  <c:v>43.736899999999999</c:v>
                </c:pt>
                <c:pt idx="59">
                  <c:v>43.846000000000004</c:v>
                </c:pt>
                <c:pt idx="60">
                  <c:v>44.0274</c:v>
                </c:pt>
                <c:pt idx="61">
                  <c:v>44.358699999999999</c:v>
                </c:pt>
                <c:pt idx="62">
                  <c:v>44.685900000000004</c:v>
                </c:pt>
                <c:pt idx="63">
                  <c:v>44.9452</c:v>
                </c:pt>
                <c:pt idx="64">
                  <c:v>45.244399999999999</c:v>
                </c:pt>
                <c:pt idx="65">
                  <c:v>45.514600000000002</c:v>
                </c:pt>
                <c:pt idx="66">
                  <c:v>45.769399999999997</c:v>
                </c:pt>
                <c:pt idx="67">
                  <c:v>45.960599999999999</c:v>
                </c:pt>
                <c:pt idx="68">
                  <c:v>46.1858</c:v>
                </c:pt>
                <c:pt idx="69">
                  <c:v>46.3658</c:v>
                </c:pt>
                <c:pt idx="70">
                  <c:v>46.432899999999997</c:v>
                </c:pt>
                <c:pt idx="71">
                  <c:v>46.3902</c:v>
                </c:pt>
                <c:pt idx="72">
                  <c:v>46.162700000000001</c:v>
                </c:pt>
                <c:pt idx="73">
                  <c:v>45.526200000000003</c:v>
                </c:pt>
                <c:pt idx="74">
                  <c:v>45.390999999999998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0.35889599999999999</c:v>
                </c:pt>
                <c:pt idx="2">
                  <c:v>0.75948899999999997</c:v>
                </c:pt>
                <c:pt idx="3">
                  <c:v>1.1672199999999999</c:v>
                </c:pt>
                <c:pt idx="4">
                  <c:v>1.57213</c:v>
                </c:pt>
                <c:pt idx="5">
                  <c:v>1.9784600000000001</c:v>
                </c:pt>
                <c:pt idx="6">
                  <c:v>2.38422</c:v>
                </c:pt>
                <c:pt idx="7">
                  <c:v>2.7936399999999999</c:v>
                </c:pt>
                <c:pt idx="8">
                  <c:v>3.19835</c:v>
                </c:pt>
                <c:pt idx="9">
                  <c:v>3.6044900000000002</c:v>
                </c:pt>
                <c:pt idx="10">
                  <c:v>4.0093300000000003</c:v>
                </c:pt>
                <c:pt idx="11">
                  <c:v>4.4169600000000004</c:v>
                </c:pt>
                <c:pt idx="12">
                  <c:v>4.82273</c:v>
                </c:pt>
                <c:pt idx="13">
                  <c:v>5.2306999999999997</c:v>
                </c:pt>
                <c:pt idx="14">
                  <c:v>5.6375099999999998</c:v>
                </c:pt>
                <c:pt idx="15">
                  <c:v>6.0419499999999999</c:v>
                </c:pt>
                <c:pt idx="16">
                  <c:v>6.4474900000000002</c:v>
                </c:pt>
                <c:pt idx="17">
                  <c:v>6.85853</c:v>
                </c:pt>
                <c:pt idx="18">
                  <c:v>7.2621900000000004</c:v>
                </c:pt>
                <c:pt idx="19">
                  <c:v>7.6648300000000003</c:v>
                </c:pt>
                <c:pt idx="20">
                  <c:v>8.0768400000000007</c:v>
                </c:pt>
                <c:pt idx="21">
                  <c:v>8.4807500000000005</c:v>
                </c:pt>
                <c:pt idx="22">
                  <c:v>8.8898299999999999</c:v>
                </c:pt>
                <c:pt idx="23">
                  <c:v>9.29359</c:v>
                </c:pt>
                <c:pt idx="24">
                  <c:v>9.6971299999999996</c:v>
                </c:pt>
                <c:pt idx="25">
                  <c:v>10.1051</c:v>
                </c:pt>
                <c:pt idx="26">
                  <c:v>10.512499999999999</c:v>
                </c:pt>
                <c:pt idx="27">
                  <c:v>10.9185</c:v>
                </c:pt>
                <c:pt idx="28">
                  <c:v>11.323700000000001</c:v>
                </c:pt>
                <c:pt idx="29">
                  <c:v>11.731199999999999</c:v>
                </c:pt>
                <c:pt idx="30">
                  <c:v>12.1371</c:v>
                </c:pt>
                <c:pt idx="31">
                  <c:v>12.541399999999999</c:v>
                </c:pt>
                <c:pt idx="32">
                  <c:v>12.9513</c:v>
                </c:pt>
                <c:pt idx="33">
                  <c:v>13.3583</c:v>
                </c:pt>
                <c:pt idx="34">
                  <c:v>13.7613</c:v>
                </c:pt>
                <c:pt idx="35">
                  <c:v>14.1646</c:v>
                </c:pt>
                <c:pt idx="36">
                  <c:v>14.573399999999999</c:v>
                </c:pt>
                <c:pt idx="37">
                  <c:v>14.9801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50.904700000000005</c:v>
                </c:pt>
                <c:pt idx="1">
                  <c:v>49.769799999999996</c:v>
                </c:pt>
                <c:pt idx="2">
                  <c:v>48.630099999999999</c:v>
                </c:pt>
                <c:pt idx="3">
                  <c:v>47.548999999999999</c:v>
                </c:pt>
                <c:pt idx="4">
                  <c:v>46.445700000000002</c:v>
                </c:pt>
                <c:pt idx="5">
                  <c:v>45.287799999999997</c:v>
                </c:pt>
                <c:pt idx="6">
                  <c:v>44.364199999999997</c:v>
                </c:pt>
                <c:pt idx="7">
                  <c:v>43.693799999999996</c:v>
                </c:pt>
                <c:pt idx="8">
                  <c:v>43.149700000000003</c:v>
                </c:pt>
                <c:pt idx="9">
                  <c:v>42.6068</c:v>
                </c:pt>
                <c:pt idx="10">
                  <c:v>42.175699999999999</c:v>
                </c:pt>
                <c:pt idx="11">
                  <c:v>41.981999999999999</c:v>
                </c:pt>
                <c:pt idx="12">
                  <c:v>41.7851</c:v>
                </c:pt>
                <c:pt idx="13">
                  <c:v>41.729799999999997</c:v>
                </c:pt>
                <c:pt idx="14">
                  <c:v>41.540799999999997</c:v>
                </c:pt>
                <c:pt idx="15">
                  <c:v>41.578400000000002</c:v>
                </c:pt>
                <c:pt idx="16">
                  <c:v>41.662399999999998</c:v>
                </c:pt>
                <c:pt idx="17">
                  <c:v>41.677399999999999</c:v>
                </c:pt>
                <c:pt idx="18">
                  <c:v>41.742699999999999</c:v>
                </c:pt>
                <c:pt idx="19">
                  <c:v>41.875900000000001</c:v>
                </c:pt>
                <c:pt idx="20">
                  <c:v>41.970400000000005</c:v>
                </c:pt>
                <c:pt idx="21">
                  <c:v>41.974299999999999</c:v>
                </c:pt>
                <c:pt idx="22">
                  <c:v>41.985599999999998</c:v>
                </c:pt>
                <c:pt idx="23">
                  <c:v>42.050599999999996</c:v>
                </c:pt>
                <c:pt idx="24">
                  <c:v>42.1008</c:v>
                </c:pt>
                <c:pt idx="25">
                  <c:v>42.100300000000004</c:v>
                </c:pt>
                <c:pt idx="26">
                  <c:v>42.079899999999995</c:v>
                </c:pt>
                <c:pt idx="27">
                  <c:v>42.064599999999999</c:v>
                </c:pt>
                <c:pt idx="28">
                  <c:v>41.997299999999996</c:v>
                </c:pt>
                <c:pt idx="29">
                  <c:v>41.940300000000001</c:v>
                </c:pt>
                <c:pt idx="30">
                  <c:v>41.941000000000003</c:v>
                </c:pt>
                <c:pt idx="31">
                  <c:v>41.990699999999997</c:v>
                </c:pt>
                <c:pt idx="32">
                  <c:v>42.0334</c:v>
                </c:pt>
                <c:pt idx="33">
                  <c:v>42.052399999999999</c:v>
                </c:pt>
                <c:pt idx="34">
                  <c:v>42.097000000000001</c:v>
                </c:pt>
                <c:pt idx="35">
                  <c:v>42.147500000000001</c:v>
                </c:pt>
                <c:pt idx="36">
                  <c:v>42.140899999999995</c:v>
                </c:pt>
                <c:pt idx="37">
                  <c:v>42.1768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14.9801</c:v>
                </c:pt>
                <c:pt idx="1">
                  <c:v>15.573499999999999</c:v>
                </c:pt>
                <c:pt idx="2">
                  <c:v>15.9475</c:v>
                </c:pt>
                <c:pt idx="3">
                  <c:v>16.322500000000002</c:v>
                </c:pt>
                <c:pt idx="4">
                  <c:v>16.700399999999998</c:v>
                </c:pt>
                <c:pt idx="5">
                  <c:v>17.0761</c:v>
                </c:pt>
                <c:pt idx="6">
                  <c:v>17.477699999999999</c:v>
                </c:pt>
                <c:pt idx="7">
                  <c:v>17.885000000000002</c:v>
                </c:pt>
                <c:pt idx="8">
                  <c:v>18.292000000000002</c:v>
                </c:pt>
                <c:pt idx="9">
                  <c:v>18.698499999999999</c:v>
                </c:pt>
                <c:pt idx="10">
                  <c:v>19.105499999999999</c:v>
                </c:pt>
                <c:pt idx="11">
                  <c:v>19.511399999999998</c:v>
                </c:pt>
                <c:pt idx="12">
                  <c:v>19.9193</c:v>
                </c:pt>
                <c:pt idx="13">
                  <c:v>20.326799999999999</c:v>
                </c:pt>
                <c:pt idx="14">
                  <c:v>20.731400000000001</c:v>
                </c:pt>
                <c:pt idx="15">
                  <c:v>21.136600000000001</c:v>
                </c:pt>
                <c:pt idx="16">
                  <c:v>21.5397</c:v>
                </c:pt>
                <c:pt idx="17">
                  <c:v>21.9483</c:v>
                </c:pt>
                <c:pt idx="18">
                  <c:v>22.3568</c:v>
                </c:pt>
                <c:pt idx="19">
                  <c:v>22.763500000000001</c:v>
                </c:pt>
                <c:pt idx="20">
                  <c:v>23.165700000000001</c:v>
                </c:pt>
                <c:pt idx="21">
                  <c:v>23.571200000000001</c:v>
                </c:pt>
                <c:pt idx="22">
                  <c:v>23.98</c:v>
                </c:pt>
                <c:pt idx="23">
                  <c:v>24.385400000000001</c:v>
                </c:pt>
                <c:pt idx="24">
                  <c:v>24.790600000000001</c:v>
                </c:pt>
                <c:pt idx="25">
                  <c:v>25.200800000000001</c:v>
                </c:pt>
                <c:pt idx="26">
                  <c:v>25.6038</c:v>
                </c:pt>
                <c:pt idx="27">
                  <c:v>26.009399999999999</c:v>
                </c:pt>
                <c:pt idx="28">
                  <c:v>26.415199999999999</c:v>
                </c:pt>
                <c:pt idx="29">
                  <c:v>26.8215</c:v>
                </c:pt>
                <c:pt idx="30">
                  <c:v>27.2303</c:v>
                </c:pt>
                <c:pt idx="31">
                  <c:v>27.6341</c:v>
                </c:pt>
                <c:pt idx="32">
                  <c:v>28.0413</c:v>
                </c:pt>
                <c:pt idx="33">
                  <c:v>28.447199999999999</c:v>
                </c:pt>
                <c:pt idx="34">
                  <c:v>28.8552</c:v>
                </c:pt>
                <c:pt idx="35">
                  <c:v>29.2624</c:v>
                </c:pt>
                <c:pt idx="36">
                  <c:v>29.6675</c:v>
                </c:pt>
                <c:pt idx="37">
                  <c:v>30.0732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42.1768</c:v>
                </c:pt>
                <c:pt idx="1">
                  <c:v>42.279899999999998</c:v>
                </c:pt>
                <c:pt idx="2">
                  <c:v>42.3307</c:v>
                </c:pt>
                <c:pt idx="3">
                  <c:v>42.356200000000001</c:v>
                </c:pt>
                <c:pt idx="4">
                  <c:v>42.400999999999996</c:v>
                </c:pt>
                <c:pt idx="5">
                  <c:v>42.471800000000002</c:v>
                </c:pt>
                <c:pt idx="6">
                  <c:v>42.521300000000004</c:v>
                </c:pt>
                <c:pt idx="7">
                  <c:v>42.606100000000005</c:v>
                </c:pt>
                <c:pt idx="8">
                  <c:v>42.785000000000004</c:v>
                </c:pt>
                <c:pt idx="9">
                  <c:v>43.027000000000001</c:v>
                </c:pt>
                <c:pt idx="10">
                  <c:v>43.18</c:v>
                </c:pt>
                <c:pt idx="11">
                  <c:v>43.2669</c:v>
                </c:pt>
                <c:pt idx="12">
                  <c:v>43.313600000000001</c:v>
                </c:pt>
                <c:pt idx="13">
                  <c:v>43.3292</c:v>
                </c:pt>
                <c:pt idx="14">
                  <c:v>43.292900000000003</c:v>
                </c:pt>
                <c:pt idx="15">
                  <c:v>43.291699999999999</c:v>
                </c:pt>
                <c:pt idx="16">
                  <c:v>43.381500000000003</c:v>
                </c:pt>
                <c:pt idx="17">
                  <c:v>43.488199999999999</c:v>
                </c:pt>
                <c:pt idx="18">
                  <c:v>43.5304</c:v>
                </c:pt>
                <c:pt idx="19">
                  <c:v>43.536099999999998</c:v>
                </c:pt>
                <c:pt idx="20">
                  <c:v>43.622300000000003</c:v>
                </c:pt>
                <c:pt idx="21">
                  <c:v>43.736899999999999</c:v>
                </c:pt>
                <c:pt idx="22">
                  <c:v>43.846000000000004</c:v>
                </c:pt>
                <c:pt idx="23">
                  <c:v>44.0274</c:v>
                </c:pt>
                <c:pt idx="24">
                  <c:v>44.358699999999999</c:v>
                </c:pt>
                <c:pt idx="25">
                  <c:v>44.685900000000004</c:v>
                </c:pt>
                <c:pt idx="26">
                  <c:v>44.9452</c:v>
                </c:pt>
                <c:pt idx="27">
                  <c:v>45.244399999999999</c:v>
                </c:pt>
                <c:pt idx="28">
                  <c:v>45.514600000000002</c:v>
                </c:pt>
                <c:pt idx="29">
                  <c:v>45.769399999999997</c:v>
                </c:pt>
                <c:pt idx="30">
                  <c:v>45.960599999999999</c:v>
                </c:pt>
                <c:pt idx="31">
                  <c:v>46.1858</c:v>
                </c:pt>
                <c:pt idx="32">
                  <c:v>46.3658</c:v>
                </c:pt>
                <c:pt idx="33">
                  <c:v>46.432899999999997</c:v>
                </c:pt>
                <c:pt idx="34">
                  <c:v>46.3902</c:v>
                </c:pt>
                <c:pt idx="35">
                  <c:v>46.162700000000001</c:v>
                </c:pt>
                <c:pt idx="36">
                  <c:v>45.526200000000003</c:v>
                </c:pt>
                <c:pt idx="37">
                  <c:v>45.390999999999998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7.5183</c:v>
                </c:pt>
                <c:pt idx="1">
                  <c:v>22.5549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43.103210810810815</c:v>
                </c:pt>
                <c:pt idx="1">
                  <c:v>43.98219729729729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34.823599999999999</c:v>
                </c:pt>
                <c:pt idx="1">
                  <c:v>29.42</c:v>
                </c:pt>
                <c:pt idx="2">
                  <c:v>18.77</c:v>
                </c:pt>
                <c:pt idx="3">
                  <c:v>26.6328</c:v>
                </c:pt>
                <c:pt idx="4">
                  <c:v>70.6096</c:v>
                </c:pt>
                <c:pt idx="5">
                  <c:v>71.330100000000002</c:v>
                </c:pt>
                <c:pt idx="6">
                  <c:v>22.009399999999999</c:v>
                </c:pt>
                <c:pt idx="7">
                  <c:v>71.263000000000005</c:v>
                </c:pt>
                <c:pt idx="8">
                  <c:v>15.508100000000001</c:v>
                </c:pt>
                <c:pt idx="9">
                  <c:v>31.498699999999999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43.591999999999999</c:v>
                </c:pt>
                <c:pt idx="1">
                  <c:v>30.9114</c:v>
                </c:pt>
                <c:pt idx="2">
                  <c:v>25.040800000000001</c:v>
                </c:pt>
                <c:pt idx="3">
                  <c:v>34.556800000000003</c:v>
                </c:pt>
                <c:pt idx="4">
                  <c:v>68.3977</c:v>
                </c:pt>
                <c:pt idx="5">
                  <c:v>71.536500000000004</c:v>
                </c:pt>
                <c:pt idx="6">
                  <c:v>29.174499999999998</c:v>
                </c:pt>
                <c:pt idx="7">
                  <c:v>70.382000000000005</c:v>
                </c:pt>
                <c:pt idx="8">
                  <c:v>14.870900000000001</c:v>
                </c:pt>
                <c:pt idx="9">
                  <c:v>63.067999999999998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0.53594680545881135</c:v>
                </c:pt>
                <c:pt idx="1">
                  <c:v>0.24983679755445831</c:v>
                </c:pt>
                <c:pt idx="2">
                  <c:v>0.21421639698673028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1140</c:v>
                </c:pt>
                <c:pt idx="7">
                  <c:v>0</c:v>
                </c:pt>
                <c:pt idx="8">
                  <c:v>1209</c:v>
                </c:pt>
                <c:pt idx="9">
                  <c:v>0</c:v>
                </c:pt>
                <c:pt idx="10">
                  <c:v>0</c:v>
                </c:pt>
                <c:pt idx="11">
                  <c:v>2873</c:v>
                </c:pt>
                <c:pt idx="12">
                  <c:v>0</c:v>
                </c:pt>
                <c:pt idx="13">
                  <c:v>3569</c:v>
                </c:pt>
                <c:pt idx="14">
                  <c:v>0</c:v>
                </c:pt>
                <c:pt idx="15">
                  <c:v>0</c:v>
                </c:pt>
                <c:pt idx="16">
                  <c:v>4883</c:v>
                </c:pt>
                <c:pt idx="17">
                  <c:v>0</c:v>
                </c:pt>
                <c:pt idx="18">
                  <c:v>0</c:v>
                </c:pt>
                <c:pt idx="19">
                  <c:v>5150</c:v>
                </c:pt>
                <c:pt idx="20">
                  <c:v>0</c:v>
                </c:pt>
                <c:pt idx="21">
                  <c:v>8237</c:v>
                </c:pt>
                <c:pt idx="22">
                  <c:v>0</c:v>
                </c:pt>
                <c:pt idx="23">
                  <c:v>0</c:v>
                </c:pt>
                <c:pt idx="24">
                  <c:v>9217</c:v>
                </c:pt>
                <c:pt idx="25">
                  <c:v>0</c:v>
                </c:pt>
                <c:pt idx="26">
                  <c:v>13452</c:v>
                </c:pt>
                <c:pt idx="27">
                  <c:v>0</c:v>
                </c:pt>
                <c:pt idx="28">
                  <c:v>0</c:v>
                </c:pt>
                <c:pt idx="29">
                  <c:v>11586</c:v>
                </c:pt>
                <c:pt idx="30">
                  <c:v>0</c:v>
                </c:pt>
                <c:pt idx="31">
                  <c:v>15044</c:v>
                </c:pt>
                <c:pt idx="32">
                  <c:v>0</c:v>
                </c:pt>
                <c:pt idx="33">
                  <c:v>0</c:v>
                </c:pt>
                <c:pt idx="34">
                  <c:v>15958</c:v>
                </c:pt>
                <c:pt idx="35">
                  <c:v>0</c:v>
                </c:pt>
                <c:pt idx="36">
                  <c:v>0</c:v>
                </c:pt>
                <c:pt idx="37">
                  <c:v>18548</c:v>
                </c:pt>
                <c:pt idx="38">
                  <c:v>0</c:v>
                </c:pt>
                <c:pt idx="39">
                  <c:v>20057</c:v>
                </c:pt>
                <c:pt idx="40">
                  <c:v>0</c:v>
                </c:pt>
                <c:pt idx="41">
                  <c:v>0</c:v>
                </c:pt>
                <c:pt idx="42">
                  <c:v>25136</c:v>
                </c:pt>
                <c:pt idx="43">
                  <c:v>0</c:v>
                </c:pt>
                <c:pt idx="44">
                  <c:v>28497</c:v>
                </c:pt>
                <c:pt idx="45">
                  <c:v>0</c:v>
                </c:pt>
                <c:pt idx="46">
                  <c:v>0</c:v>
                </c:pt>
                <c:pt idx="47">
                  <c:v>31540</c:v>
                </c:pt>
                <c:pt idx="48">
                  <c:v>0</c:v>
                </c:pt>
                <c:pt idx="49">
                  <c:v>32539</c:v>
                </c:pt>
                <c:pt idx="50">
                  <c:v>0</c:v>
                </c:pt>
                <c:pt idx="51">
                  <c:v>0</c:v>
                </c:pt>
                <c:pt idx="52">
                  <c:v>34462</c:v>
                </c:pt>
                <c:pt idx="53">
                  <c:v>0</c:v>
                </c:pt>
                <c:pt idx="54">
                  <c:v>0</c:v>
                </c:pt>
                <c:pt idx="55">
                  <c:v>39578</c:v>
                </c:pt>
                <c:pt idx="56">
                  <c:v>0</c:v>
                </c:pt>
                <c:pt idx="57">
                  <c:v>39494</c:v>
                </c:pt>
                <c:pt idx="58">
                  <c:v>0</c:v>
                </c:pt>
                <c:pt idx="59">
                  <c:v>0</c:v>
                </c:pt>
                <c:pt idx="60">
                  <c:v>45228</c:v>
                </c:pt>
                <c:pt idx="61">
                  <c:v>0</c:v>
                </c:pt>
                <c:pt idx="62">
                  <c:v>46208</c:v>
                </c:pt>
                <c:pt idx="63">
                  <c:v>0</c:v>
                </c:pt>
                <c:pt idx="64">
                  <c:v>0</c:v>
                </c:pt>
                <c:pt idx="65">
                  <c:v>44691</c:v>
                </c:pt>
                <c:pt idx="66">
                  <c:v>0</c:v>
                </c:pt>
                <c:pt idx="67">
                  <c:v>47834</c:v>
                </c:pt>
                <c:pt idx="68">
                  <c:v>0</c:v>
                </c:pt>
                <c:pt idx="69">
                  <c:v>0</c:v>
                </c:pt>
                <c:pt idx="70">
                  <c:v>43776</c:v>
                </c:pt>
                <c:pt idx="71">
                  <c:v>0</c:v>
                </c:pt>
                <c:pt idx="72">
                  <c:v>0</c:v>
                </c:pt>
                <c:pt idx="73">
                  <c:v>45129</c:v>
                </c:pt>
                <c:pt idx="74">
                  <c:v>0</c:v>
                </c:pt>
                <c:pt idx="75">
                  <c:v>43869</c:v>
                </c:pt>
                <c:pt idx="76">
                  <c:v>0</c:v>
                </c:pt>
                <c:pt idx="77">
                  <c:v>0</c:v>
                </c:pt>
                <c:pt idx="78">
                  <c:v>44050</c:v>
                </c:pt>
                <c:pt idx="79">
                  <c:v>0</c:v>
                </c:pt>
                <c:pt idx="80">
                  <c:v>43705</c:v>
                </c:pt>
                <c:pt idx="81">
                  <c:v>0</c:v>
                </c:pt>
                <c:pt idx="82">
                  <c:v>0</c:v>
                </c:pt>
                <c:pt idx="83">
                  <c:v>43192</c:v>
                </c:pt>
                <c:pt idx="84">
                  <c:v>0</c:v>
                </c:pt>
                <c:pt idx="85">
                  <c:v>0</c:v>
                </c:pt>
                <c:pt idx="86">
                  <c:v>42094</c:v>
                </c:pt>
                <c:pt idx="87">
                  <c:v>0</c:v>
                </c:pt>
                <c:pt idx="88">
                  <c:v>44373</c:v>
                </c:pt>
                <c:pt idx="89">
                  <c:v>0</c:v>
                </c:pt>
                <c:pt idx="90">
                  <c:v>0</c:v>
                </c:pt>
                <c:pt idx="91">
                  <c:v>41632</c:v>
                </c:pt>
                <c:pt idx="92">
                  <c:v>0</c:v>
                </c:pt>
                <c:pt idx="93">
                  <c:v>41216</c:v>
                </c:pt>
                <c:pt idx="94">
                  <c:v>0</c:v>
                </c:pt>
                <c:pt idx="95">
                  <c:v>0</c:v>
                </c:pt>
                <c:pt idx="96">
                  <c:v>40423</c:v>
                </c:pt>
                <c:pt idx="97">
                  <c:v>0</c:v>
                </c:pt>
                <c:pt idx="98">
                  <c:v>41928</c:v>
                </c:pt>
                <c:pt idx="99">
                  <c:v>0</c:v>
                </c:pt>
                <c:pt idx="100">
                  <c:v>0</c:v>
                </c:pt>
                <c:pt idx="101">
                  <c:v>37708</c:v>
                </c:pt>
                <c:pt idx="102">
                  <c:v>0</c:v>
                </c:pt>
                <c:pt idx="103">
                  <c:v>0</c:v>
                </c:pt>
                <c:pt idx="104">
                  <c:v>38255</c:v>
                </c:pt>
                <c:pt idx="105">
                  <c:v>0</c:v>
                </c:pt>
                <c:pt idx="106">
                  <c:v>32563</c:v>
                </c:pt>
                <c:pt idx="107">
                  <c:v>0</c:v>
                </c:pt>
                <c:pt idx="108">
                  <c:v>0</c:v>
                </c:pt>
                <c:pt idx="109">
                  <c:v>34200</c:v>
                </c:pt>
                <c:pt idx="110">
                  <c:v>0</c:v>
                </c:pt>
                <c:pt idx="111">
                  <c:v>29910</c:v>
                </c:pt>
                <c:pt idx="112">
                  <c:v>0</c:v>
                </c:pt>
                <c:pt idx="113">
                  <c:v>0</c:v>
                </c:pt>
                <c:pt idx="114">
                  <c:v>28507</c:v>
                </c:pt>
                <c:pt idx="115">
                  <c:v>0</c:v>
                </c:pt>
                <c:pt idx="116">
                  <c:v>28193</c:v>
                </c:pt>
                <c:pt idx="117">
                  <c:v>0</c:v>
                </c:pt>
                <c:pt idx="118">
                  <c:v>0</c:v>
                </c:pt>
                <c:pt idx="119">
                  <c:v>26932</c:v>
                </c:pt>
                <c:pt idx="120">
                  <c:v>0</c:v>
                </c:pt>
                <c:pt idx="121">
                  <c:v>0</c:v>
                </c:pt>
                <c:pt idx="122">
                  <c:v>26054</c:v>
                </c:pt>
                <c:pt idx="123">
                  <c:v>0</c:v>
                </c:pt>
                <c:pt idx="124">
                  <c:v>24608</c:v>
                </c:pt>
                <c:pt idx="125">
                  <c:v>0</c:v>
                </c:pt>
                <c:pt idx="126">
                  <c:v>0</c:v>
                </c:pt>
                <c:pt idx="127">
                  <c:v>22626</c:v>
                </c:pt>
                <c:pt idx="128">
                  <c:v>0</c:v>
                </c:pt>
                <c:pt idx="129">
                  <c:v>21987</c:v>
                </c:pt>
                <c:pt idx="130">
                  <c:v>0</c:v>
                </c:pt>
                <c:pt idx="131">
                  <c:v>0</c:v>
                </c:pt>
                <c:pt idx="132">
                  <c:v>20347</c:v>
                </c:pt>
                <c:pt idx="133">
                  <c:v>0</c:v>
                </c:pt>
                <c:pt idx="134">
                  <c:v>19327</c:v>
                </c:pt>
                <c:pt idx="135">
                  <c:v>0</c:v>
                </c:pt>
                <c:pt idx="136">
                  <c:v>0</c:v>
                </c:pt>
                <c:pt idx="137">
                  <c:v>19278</c:v>
                </c:pt>
                <c:pt idx="138">
                  <c:v>0</c:v>
                </c:pt>
                <c:pt idx="139">
                  <c:v>0</c:v>
                </c:pt>
                <c:pt idx="140">
                  <c:v>17606</c:v>
                </c:pt>
                <c:pt idx="141">
                  <c:v>0</c:v>
                </c:pt>
                <c:pt idx="142">
                  <c:v>12940</c:v>
                </c:pt>
                <c:pt idx="143">
                  <c:v>0</c:v>
                </c:pt>
                <c:pt idx="144">
                  <c:v>0</c:v>
                </c:pt>
                <c:pt idx="145">
                  <c:v>8286</c:v>
                </c:pt>
                <c:pt idx="146">
                  <c:v>0</c:v>
                </c:pt>
                <c:pt idx="147">
                  <c:v>6314</c:v>
                </c:pt>
                <c:pt idx="148">
                  <c:v>0</c:v>
                </c:pt>
                <c:pt idx="149">
                  <c:v>0</c:v>
                </c:pt>
                <c:pt idx="150">
                  <c:v>4820</c:v>
                </c:pt>
                <c:pt idx="151">
                  <c:v>0</c:v>
                </c:pt>
                <c:pt idx="152">
                  <c:v>3926</c:v>
                </c:pt>
                <c:pt idx="153">
                  <c:v>0</c:v>
                </c:pt>
                <c:pt idx="154">
                  <c:v>0</c:v>
                </c:pt>
                <c:pt idx="155">
                  <c:v>3554</c:v>
                </c:pt>
                <c:pt idx="156">
                  <c:v>0</c:v>
                </c:pt>
                <c:pt idx="157">
                  <c:v>0</c:v>
                </c:pt>
                <c:pt idx="158">
                  <c:v>2215</c:v>
                </c:pt>
                <c:pt idx="159">
                  <c:v>0</c:v>
                </c:pt>
                <c:pt idx="160">
                  <c:v>1863</c:v>
                </c:pt>
                <c:pt idx="161">
                  <c:v>0</c:v>
                </c:pt>
                <c:pt idx="162">
                  <c:v>0</c:v>
                </c:pt>
                <c:pt idx="163">
                  <c:v>1969</c:v>
                </c:pt>
                <c:pt idx="164">
                  <c:v>0</c:v>
                </c:pt>
                <c:pt idx="165">
                  <c:v>1363</c:v>
                </c:pt>
                <c:pt idx="166">
                  <c:v>0</c:v>
                </c:pt>
                <c:pt idx="167">
                  <c:v>0</c:v>
                </c:pt>
                <c:pt idx="168">
                  <c:v>1036</c:v>
                </c:pt>
                <c:pt idx="169">
                  <c:v>0</c:v>
                </c:pt>
                <c:pt idx="170">
                  <c:v>0</c:v>
                </c:pt>
                <c:pt idx="171">
                  <c:v>409</c:v>
                </c:pt>
                <c:pt idx="172">
                  <c:v>0</c:v>
                </c:pt>
                <c:pt idx="173">
                  <c:v>27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308</c:v>
                </c:pt>
                <c:pt idx="7">
                  <c:v>0</c:v>
                </c:pt>
                <c:pt idx="8">
                  <c:v>699</c:v>
                </c:pt>
                <c:pt idx="9">
                  <c:v>0</c:v>
                </c:pt>
                <c:pt idx="10">
                  <c:v>0</c:v>
                </c:pt>
                <c:pt idx="11">
                  <c:v>637</c:v>
                </c:pt>
                <c:pt idx="12">
                  <c:v>0</c:v>
                </c:pt>
                <c:pt idx="13">
                  <c:v>506</c:v>
                </c:pt>
                <c:pt idx="14">
                  <c:v>0</c:v>
                </c:pt>
                <c:pt idx="15">
                  <c:v>0</c:v>
                </c:pt>
                <c:pt idx="16">
                  <c:v>726</c:v>
                </c:pt>
                <c:pt idx="17">
                  <c:v>0</c:v>
                </c:pt>
                <c:pt idx="18">
                  <c:v>0</c:v>
                </c:pt>
                <c:pt idx="19">
                  <c:v>1286</c:v>
                </c:pt>
                <c:pt idx="20">
                  <c:v>0</c:v>
                </c:pt>
                <c:pt idx="21">
                  <c:v>2792</c:v>
                </c:pt>
                <c:pt idx="22">
                  <c:v>0</c:v>
                </c:pt>
                <c:pt idx="23">
                  <c:v>0</c:v>
                </c:pt>
                <c:pt idx="24">
                  <c:v>5434</c:v>
                </c:pt>
                <c:pt idx="25">
                  <c:v>0</c:v>
                </c:pt>
                <c:pt idx="26">
                  <c:v>8041</c:v>
                </c:pt>
                <c:pt idx="27">
                  <c:v>0</c:v>
                </c:pt>
                <c:pt idx="28">
                  <c:v>0</c:v>
                </c:pt>
                <c:pt idx="29">
                  <c:v>11103</c:v>
                </c:pt>
                <c:pt idx="30">
                  <c:v>0</c:v>
                </c:pt>
                <c:pt idx="31">
                  <c:v>7804</c:v>
                </c:pt>
                <c:pt idx="32">
                  <c:v>0</c:v>
                </c:pt>
                <c:pt idx="33">
                  <c:v>0</c:v>
                </c:pt>
                <c:pt idx="34">
                  <c:v>9741</c:v>
                </c:pt>
                <c:pt idx="35">
                  <c:v>0</c:v>
                </c:pt>
                <c:pt idx="36">
                  <c:v>0</c:v>
                </c:pt>
                <c:pt idx="37">
                  <c:v>8604</c:v>
                </c:pt>
                <c:pt idx="38">
                  <c:v>0</c:v>
                </c:pt>
                <c:pt idx="39">
                  <c:v>7350</c:v>
                </c:pt>
                <c:pt idx="40">
                  <c:v>0</c:v>
                </c:pt>
                <c:pt idx="41">
                  <c:v>0</c:v>
                </c:pt>
                <c:pt idx="42">
                  <c:v>7249</c:v>
                </c:pt>
                <c:pt idx="43">
                  <c:v>0</c:v>
                </c:pt>
                <c:pt idx="44">
                  <c:v>7574</c:v>
                </c:pt>
                <c:pt idx="45">
                  <c:v>0</c:v>
                </c:pt>
                <c:pt idx="46">
                  <c:v>0</c:v>
                </c:pt>
                <c:pt idx="47">
                  <c:v>11968</c:v>
                </c:pt>
                <c:pt idx="48">
                  <c:v>0</c:v>
                </c:pt>
                <c:pt idx="49">
                  <c:v>10146</c:v>
                </c:pt>
                <c:pt idx="50">
                  <c:v>0</c:v>
                </c:pt>
                <c:pt idx="51">
                  <c:v>0</c:v>
                </c:pt>
                <c:pt idx="52">
                  <c:v>13776</c:v>
                </c:pt>
                <c:pt idx="53">
                  <c:v>0</c:v>
                </c:pt>
                <c:pt idx="54">
                  <c:v>0</c:v>
                </c:pt>
                <c:pt idx="55">
                  <c:v>14542</c:v>
                </c:pt>
                <c:pt idx="56">
                  <c:v>0</c:v>
                </c:pt>
                <c:pt idx="57">
                  <c:v>14824</c:v>
                </c:pt>
                <c:pt idx="58">
                  <c:v>0</c:v>
                </c:pt>
                <c:pt idx="59">
                  <c:v>0</c:v>
                </c:pt>
                <c:pt idx="60">
                  <c:v>17383</c:v>
                </c:pt>
                <c:pt idx="61">
                  <c:v>0</c:v>
                </c:pt>
                <c:pt idx="62">
                  <c:v>17844</c:v>
                </c:pt>
                <c:pt idx="63">
                  <c:v>0</c:v>
                </c:pt>
                <c:pt idx="64">
                  <c:v>0</c:v>
                </c:pt>
                <c:pt idx="65">
                  <c:v>18768</c:v>
                </c:pt>
                <c:pt idx="66">
                  <c:v>0</c:v>
                </c:pt>
                <c:pt idx="67">
                  <c:v>19884</c:v>
                </c:pt>
                <c:pt idx="68">
                  <c:v>0</c:v>
                </c:pt>
                <c:pt idx="69">
                  <c:v>0</c:v>
                </c:pt>
                <c:pt idx="70">
                  <c:v>18330</c:v>
                </c:pt>
                <c:pt idx="71">
                  <c:v>0</c:v>
                </c:pt>
                <c:pt idx="72">
                  <c:v>0</c:v>
                </c:pt>
                <c:pt idx="73">
                  <c:v>19227</c:v>
                </c:pt>
                <c:pt idx="74">
                  <c:v>0</c:v>
                </c:pt>
                <c:pt idx="75">
                  <c:v>23110</c:v>
                </c:pt>
                <c:pt idx="76">
                  <c:v>0</c:v>
                </c:pt>
                <c:pt idx="77">
                  <c:v>0</c:v>
                </c:pt>
                <c:pt idx="78">
                  <c:v>26673</c:v>
                </c:pt>
                <c:pt idx="79">
                  <c:v>0</c:v>
                </c:pt>
                <c:pt idx="80">
                  <c:v>32001</c:v>
                </c:pt>
                <c:pt idx="81">
                  <c:v>0</c:v>
                </c:pt>
                <c:pt idx="82">
                  <c:v>0</c:v>
                </c:pt>
                <c:pt idx="83">
                  <c:v>36112</c:v>
                </c:pt>
                <c:pt idx="84">
                  <c:v>0</c:v>
                </c:pt>
                <c:pt idx="85">
                  <c:v>0</c:v>
                </c:pt>
                <c:pt idx="86">
                  <c:v>42355</c:v>
                </c:pt>
                <c:pt idx="87">
                  <c:v>0</c:v>
                </c:pt>
                <c:pt idx="88">
                  <c:v>45417</c:v>
                </c:pt>
                <c:pt idx="89">
                  <c:v>0</c:v>
                </c:pt>
                <c:pt idx="90">
                  <c:v>0</c:v>
                </c:pt>
                <c:pt idx="91">
                  <c:v>44199</c:v>
                </c:pt>
                <c:pt idx="92">
                  <c:v>0</c:v>
                </c:pt>
                <c:pt idx="93">
                  <c:v>49788</c:v>
                </c:pt>
                <c:pt idx="94">
                  <c:v>0</c:v>
                </c:pt>
                <c:pt idx="95">
                  <c:v>0</c:v>
                </c:pt>
                <c:pt idx="96">
                  <c:v>58196</c:v>
                </c:pt>
                <c:pt idx="97">
                  <c:v>0</c:v>
                </c:pt>
                <c:pt idx="98">
                  <c:v>63285</c:v>
                </c:pt>
                <c:pt idx="99">
                  <c:v>0</c:v>
                </c:pt>
                <c:pt idx="100">
                  <c:v>0</c:v>
                </c:pt>
                <c:pt idx="101">
                  <c:v>64796</c:v>
                </c:pt>
                <c:pt idx="102">
                  <c:v>0</c:v>
                </c:pt>
                <c:pt idx="103">
                  <c:v>0</c:v>
                </c:pt>
                <c:pt idx="104">
                  <c:v>62936</c:v>
                </c:pt>
                <c:pt idx="105">
                  <c:v>0</c:v>
                </c:pt>
                <c:pt idx="106">
                  <c:v>63784</c:v>
                </c:pt>
                <c:pt idx="107">
                  <c:v>0</c:v>
                </c:pt>
                <c:pt idx="108">
                  <c:v>0</c:v>
                </c:pt>
                <c:pt idx="109">
                  <c:v>62825</c:v>
                </c:pt>
                <c:pt idx="110">
                  <c:v>0</c:v>
                </c:pt>
                <c:pt idx="111">
                  <c:v>61206</c:v>
                </c:pt>
                <c:pt idx="112">
                  <c:v>0</c:v>
                </c:pt>
                <c:pt idx="113">
                  <c:v>0</c:v>
                </c:pt>
                <c:pt idx="114">
                  <c:v>58368</c:v>
                </c:pt>
                <c:pt idx="115">
                  <c:v>0</c:v>
                </c:pt>
                <c:pt idx="116">
                  <c:v>53486</c:v>
                </c:pt>
                <c:pt idx="117">
                  <c:v>0</c:v>
                </c:pt>
                <c:pt idx="118">
                  <c:v>0</c:v>
                </c:pt>
                <c:pt idx="119">
                  <c:v>55693</c:v>
                </c:pt>
                <c:pt idx="120">
                  <c:v>0</c:v>
                </c:pt>
                <c:pt idx="121">
                  <c:v>0</c:v>
                </c:pt>
                <c:pt idx="122">
                  <c:v>53119</c:v>
                </c:pt>
                <c:pt idx="123">
                  <c:v>0</c:v>
                </c:pt>
                <c:pt idx="124">
                  <c:v>50932</c:v>
                </c:pt>
                <c:pt idx="125">
                  <c:v>0</c:v>
                </c:pt>
                <c:pt idx="126">
                  <c:v>0</c:v>
                </c:pt>
                <c:pt idx="127">
                  <c:v>51481</c:v>
                </c:pt>
                <c:pt idx="128">
                  <c:v>0</c:v>
                </c:pt>
                <c:pt idx="129">
                  <c:v>52899</c:v>
                </c:pt>
                <c:pt idx="130">
                  <c:v>0</c:v>
                </c:pt>
                <c:pt idx="131">
                  <c:v>0</c:v>
                </c:pt>
                <c:pt idx="132">
                  <c:v>54341</c:v>
                </c:pt>
                <c:pt idx="133">
                  <c:v>0</c:v>
                </c:pt>
                <c:pt idx="134">
                  <c:v>56163</c:v>
                </c:pt>
                <c:pt idx="135">
                  <c:v>0</c:v>
                </c:pt>
                <c:pt idx="136">
                  <c:v>0</c:v>
                </c:pt>
                <c:pt idx="137">
                  <c:v>54037</c:v>
                </c:pt>
                <c:pt idx="138">
                  <c:v>0</c:v>
                </c:pt>
                <c:pt idx="139">
                  <c:v>0</c:v>
                </c:pt>
                <c:pt idx="140">
                  <c:v>44439</c:v>
                </c:pt>
                <c:pt idx="141">
                  <c:v>0</c:v>
                </c:pt>
                <c:pt idx="142">
                  <c:v>33247</c:v>
                </c:pt>
                <c:pt idx="143">
                  <c:v>0</c:v>
                </c:pt>
                <c:pt idx="144">
                  <c:v>0</c:v>
                </c:pt>
                <c:pt idx="145">
                  <c:v>26507</c:v>
                </c:pt>
                <c:pt idx="146">
                  <c:v>0</c:v>
                </c:pt>
                <c:pt idx="147">
                  <c:v>15363</c:v>
                </c:pt>
                <c:pt idx="148">
                  <c:v>0</c:v>
                </c:pt>
                <c:pt idx="149">
                  <c:v>0</c:v>
                </c:pt>
                <c:pt idx="150">
                  <c:v>11887</c:v>
                </c:pt>
                <c:pt idx="151">
                  <c:v>0</c:v>
                </c:pt>
                <c:pt idx="152">
                  <c:v>8950</c:v>
                </c:pt>
                <c:pt idx="153">
                  <c:v>0</c:v>
                </c:pt>
                <c:pt idx="154">
                  <c:v>0</c:v>
                </c:pt>
                <c:pt idx="155">
                  <c:v>7404</c:v>
                </c:pt>
                <c:pt idx="156">
                  <c:v>0</c:v>
                </c:pt>
                <c:pt idx="157">
                  <c:v>0</c:v>
                </c:pt>
                <c:pt idx="158">
                  <c:v>4823</c:v>
                </c:pt>
                <c:pt idx="159">
                  <c:v>0</c:v>
                </c:pt>
                <c:pt idx="160">
                  <c:v>3547</c:v>
                </c:pt>
                <c:pt idx="161">
                  <c:v>0</c:v>
                </c:pt>
                <c:pt idx="162">
                  <c:v>0</c:v>
                </c:pt>
                <c:pt idx="163">
                  <c:v>2856</c:v>
                </c:pt>
                <c:pt idx="164">
                  <c:v>0</c:v>
                </c:pt>
                <c:pt idx="165">
                  <c:v>1838</c:v>
                </c:pt>
                <c:pt idx="166">
                  <c:v>0</c:v>
                </c:pt>
                <c:pt idx="167">
                  <c:v>0</c:v>
                </c:pt>
                <c:pt idx="168">
                  <c:v>810</c:v>
                </c:pt>
                <c:pt idx="169">
                  <c:v>0</c:v>
                </c:pt>
                <c:pt idx="170">
                  <c:v>0</c:v>
                </c:pt>
                <c:pt idx="171">
                  <c:v>240</c:v>
                </c:pt>
                <c:pt idx="172">
                  <c:v>0</c:v>
                </c:pt>
                <c:pt idx="173">
                  <c:v>380</c:v>
                </c:pt>
                <c:pt idx="174">
                  <c:v>0</c:v>
                </c:pt>
                <c:pt idx="175">
                  <c:v>0</c:v>
                </c:pt>
                <c:pt idx="176">
                  <c:v>387</c:v>
                </c:pt>
                <c:pt idx="177">
                  <c:v>0</c:v>
                </c:pt>
                <c:pt idx="178">
                  <c:v>42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0.1764456765410567</c:v>
                </c:pt>
                <c:pt idx="1">
                  <c:v>0.31787537473060501</c:v>
                </c:pt>
                <c:pt idx="2">
                  <c:v>0.5056789487283383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0.45232199399587697</c:v>
                </c:pt>
                <c:pt idx="1">
                  <c:v>0.25327426792289259</c:v>
                </c:pt>
                <c:pt idx="2">
                  <c:v>0.29440373808123038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2.9599625000000005</c:v>
                </c:pt>
                <c:pt idx="1">
                  <c:v>14.381795</c:v>
                </c:pt>
                <c:pt idx="2">
                  <c:v>32.07105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0.35889599999999999</c:v>
                </c:pt>
                <c:pt idx="2">
                  <c:v>0.75948899999999997</c:v>
                </c:pt>
                <c:pt idx="3">
                  <c:v>1.1672199999999999</c:v>
                </c:pt>
                <c:pt idx="4">
                  <c:v>1.57213</c:v>
                </c:pt>
                <c:pt idx="5">
                  <c:v>1.9784600000000001</c:v>
                </c:pt>
                <c:pt idx="6">
                  <c:v>2.38422</c:v>
                </c:pt>
                <c:pt idx="7">
                  <c:v>2.7936399999999999</c:v>
                </c:pt>
                <c:pt idx="8">
                  <c:v>3.19835</c:v>
                </c:pt>
                <c:pt idx="9">
                  <c:v>3.6044900000000002</c:v>
                </c:pt>
                <c:pt idx="10">
                  <c:v>4.0093300000000003</c:v>
                </c:pt>
                <c:pt idx="11">
                  <c:v>4.4169600000000004</c:v>
                </c:pt>
                <c:pt idx="12">
                  <c:v>4.82273</c:v>
                </c:pt>
                <c:pt idx="13">
                  <c:v>5.2306999999999997</c:v>
                </c:pt>
                <c:pt idx="14">
                  <c:v>5.6375099999999998</c:v>
                </c:pt>
                <c:pt idx="15">
                  <c:v>6.0419499999999999</c:v>
                </c:pt>
                <c:pt idx="16">
                  <c:v>6.4474900000000002</c:v>
                </c:pt>
                <c:pt idx="17">
                  <c:v>6.85853</c:v>
                </c:pt>
                <c:pt idx="18">
                  <c:v>7.2621900000000004</c:v>
                </c:pt>
                <c:pt idx="19">
                  <c:v>7.6648300000000003</c:v>
                </c:pt>
                <c:pt idx="20">
                  <c:v>8.0768400000000007</c:v>
                </c:pt>
                <c:pt idx="21">
                  <c:v>8.4807500000000005</c:v>
                </c:pt>
                <c:pt idx="22">
                  <c:v>8.8898299999999999</c:v>
                </c:pt>
                <c:pt idx="23">
                  <c:v>9.29359</c:v>
                </c:pt>
                <c:pt idx="24">
                  <c:v>9.6971299999999996</c:v>
                </c:pt>
                <c:pt idx="25">
                  <c:v>10.1051</c:v>
                </c:pt>
                <c:pt idx="26">
                  <c:v>10.512499999999999</c:v>
                </c:pt>
                <c:pt idx="27">
                  <c:v>10.9185</c:v>
                </c:pt>
                <c:pt idx="28">
                  <c:v>11.323700000000001</c:v>
                </c:pt>
                <c:pt idx="29">
                  <c:v>11.731199999999999</c:v>
                </c:pt>
                <c:pt idx="30">
                  <c:v>12.1371</c:v>
                </c:pt>
                <c:pt idx="31">
                  <c:v>12.541399999999999</c:v>
                </c:pt>
                <c:pt idx="32">
                  <c:v>12.9513</c:v>
                </c:pt>
                <c:pt idx="33">
                  <c:v>13.3583</c:v>
                </c:pt>
                <c:pt idx="34">
                  <c:v>13.7613</c:v>
                </c:pt>
                <c:pt idx="35">
                  <c:v>14.1646</c:v>
                </c:pt>
                <c:pt idx="36">
                  <c:v>14.573399999999999</c:v>
                </c:pt>
                <c:pt idx="37">
                  <c:v>14.9801</c:v>
                </c:pt>
                <c:pt idx="38">
                  <c:v>15.573499999999999</c:v>
                </c:pt>
                <c:pt idx="39">
                  <c:v>15.9475</c:v>
                </c:pt>
                <c:pt idx="40">
                  <c:v>16.322500000000002</c:v>
                </c:pt>
                <c:pt idx="41">
                  <c:v>16.700399999999998</c:v>
                </c:pt>
                <c:pt idx="42">
                  <c:v>17.0761</c:v>
                </c:pt>
                <c:pt idx="43">
                  <c:v>17.477699999999999</c:v>
                </c:pt>
                <c:pt idx="44">
                  <c:v>17.885000000000002</c:v>
                </c:pt>
                <c:pt idx="45">
                  <c:v>18.292000000000002</c:v>
                </c:pt>
                <c:pt idx="46">
                  <c:v>18.698499999999999</c:v>
                </c:pt>
                <c:pt idx="47">
                  <c:v>19.105499999999999</c:v>
                </c:pt>
                <c:pt idx="48">
                  <c:v>19.511399999999998</c:v>
                </c:pt>
                <c:pt idx="49">
                  <c:v>19.9193</c:v>
                </c:pt>
                <c:pt idx="50">
                  <c:v>20.326799999999999</c:v>
                </c:pt>
                <c:pt idx="51">
                  <c:v>20.731400000000001</c:v>
                </c:pt>
                <c:pt idx="52">
                  <c:v>21.136600000000001</c:v>
                </c:pt>
                <c:pt idx="53">
                  <c:v>21.5397</c:v>
                </c:pt>
                <c:pt idx="54">
                  <c:v>21.9483</c:v>
                </c:pt>
                <c:pt idx="55">
                  <c:v>22.3568</c:v>
                </c:pt>
                <c:pt idx="56">
                  <c:v>22.763500000000001</c:v>
                </c:pt>
                <c:pt idx="57">
                  <c:v>23.165700000000001</c:v>
                </c:pt>
                <c:pt idx="58">
                  <c:v>23.571200000000001</c:v>
                </c:pt>
                <c:pt idx="59">
                  <c:v>23.98</c:v>
                </c:pt>
                <c:pt idx="60">
                  <c:v>24.385400000000001</c:v>
                </c:pt>
                <c:pt idx="61">
                  <c:v>24.790600000000001</c:v>
                </c:pt>
                <c:pt idx="62">
                  <c:v>25.200800000000001</c:v>
                </c:pt>
                <c:pt idx="63">
                  <c:v>25.6038</c:v>
                </c:pt>
                <c:pt idx="64">
                  <c:v>26.009399999999999</c:v>
                </c:pt>
                <c:pt idx="65">
                  <c:v>26.415199999999999</c:v>
                </c:pt>
                <c:pt idx="66">
                  <c:v>26.8215</c:v>
                </c:pt>
                <c:pt idx="67">
                  <c:v>27.2303</c:v>
                </c:pt>
                <c:pt idx="68">
                  <c:v>27.6341</c:v>
                </c:pt>
                <c:pt idx="69">
                  <c:v>28.0413</c:v>
                </c:pt>
                <c:pt idx="70">
                  <c:v>28.447199999999999</c:v>
                </c:pt>
                <c:pt idx="71">
                  <c:v>28.8552</c:v>
                </c:pt>
                <c:pt idx="72">
                  <c:v>29.2624</c:v>
                </c:pt>
                <c:pt idx="73">
                  <c:v>29.6675</c:v>
                </c:pt>
                <c:pt idx="74">
                  <c:v>30.0732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5"/>
                <c:pt idx="0">
                  <c:v>2.7318599999999997</c:v>
                </c:pt>
                <c:pt idx="1">
                  <c:v>2.8113700000000001</c:v>
                </c:pt>
                <c:pt idx="2">
                  <c:v>2.8892099999999998</c:v>
                </c:pt>
                <c:pt idx="3">
                  <c:v>2.96922</c:v>
                </c:pt>
                <c:pt idx="4">
                  <c:v>3.0527500000000001</c:v>
                </c:pt>
                <c:pt idx="5">
                  <c:v>3.1375999999999999</c:v>
                </c:pt>
                <c:pt idx="6">
                  <c:v>3.21895</c:v>
                </c:pt>
                <c:pt idx="7">
                  <c:v>3.2973300000000001</c:v>
                </c:pt>
                <c:pt idx="8">
                  <c:v>3.3716299999999997</c:v>
                </c:pt>
                <c:pt idx="9">
                  <c:v>3.4414600000000002</c:v>
                </c:pt>
                <c:pt idx="10">
                  <c:v>3.5065800000000005</c:v>
                </c:pt>
                <c:pt idx="11">
                  <c:v>3.56595</c:v>
                </c:pt>
                <c:pt idx="12">
                  <c:v>3.6263200000000002</c:v>
                </c:pt>
                <c:pt idx="13">
                  <c:v>3.6739699999999997</c:v>
                </c:pt>
                <c:pt idx="14">
                  <c:v>3.7313900000000002</c:v>
                </c:pt>
                <c:pt idx="15">
                  <c:v>3.78146</c:v>
                </c:pt>
                <c:pt idx="16">
                  <c:v>3.8260100000000001</c:v>
                </c:pt>
                <c:pt idx="17">
                  <c:v>3.86863</c:v>
                </c:pt>
                <c:pt idx="18">
                  <c:v>3.9078299999999997</c:v>
                </c:pt>
                <c:pt idx="19">
                  <c:v>3.9415899999999997</c:v>
                </c:pt>
                <c:pt idx="20">
                  <c:v>3.9758900000000001</c:v>
                </c:pt>
                <c:pt idx="21">
                  <c:v>4.0112899999999998</c:v>
                </c:pt>
                <c:pt idx="22">
                  <c:v>4.0407599999999997</c:v>
                </c:pt>
                <c:pt idx="23">
                  <c:v>4.0625299999999998</c:v>
                </c:pt>
                <c:pt idx="24">
                  <c:v>4.0791300000000001</c:v>
                </c:pt>
                <c:pt idx="25">
                  <c:v>4.0937600000000005</c:v>
                </c:pt>
                <c:pt idx="26">
                  <c:v>4.1044599999999996</c:v>
                </c:pt>
                <c:pt idx="27">
                  <c:v>4.1115000000000004</c:v>
                </c:pt>
                <c:pt idx="28">
                  <c:v>4.1185999999999998</c:v>
                </c:pt>
                <c:pt idx="29">
                  <c:v>4.1245599999999998</c:v>
                </c:pt>
                <c:pt idx="30">
                  <c:v>4.1244700000000005</c:v>
                </c:pt>
                <c:pt idx="31">
                  <c:v>4.12202</c:v>
                </c:pt>
                <c:pt idx="32">
                  <c:v>4.1200200000000002</c:v>
                </c:pt>
                <c:pt idx="33">
                  <c:v>4.1187500000000004</c:v>
                </c:pt>
                <c:pt idx="34">
                  <c:v>4.1142699999999994</c:v>
                </c:pt>
                <c:pt idx="35">
                  <c:v>4.1072100000000002</c:v>
                </c:pt>
                <c:pt idx="36">
                  <c:v>4.1039099999999999</c:v>
                </c:pt>
                <c:pt idx="37">
                  <c:v>4.0994799999999998</c:v>
                </c:pt>
                <c:pt idx="38">
                  <c:v>4.0857900000000003</c:v>
                </c:pt>
                <c:pt idx="39">
                  <c:v>4.0764300000000002</c:v>
                </c:pt>
                <c:pt idx="40">
                  <c:v>4.07151</c:v>
                </c:pt>
                <c:pt idx="41">
                  <c:v>4.0668800000000003</c:v>
                </c:pt>
                <c:pt idx="42">
                  <c:v>4.0601099999999999</c:v>
                </c:pt>
                <c:pt idx="43">
                  <c:v>4.05626</c:v>
                </c:pt>
                <c:pt idx="44">
                  <c:v>4.05579</c:v>
                </c:pt>
                <c:pt idx="45">
                  <c:v>4.0523699999999998</c:v>
                </c:pt>
                <c:pt idx="46">
                  <c:v>4.04406</c:v>
                </c:pt>
                <c:pt idx="47">
                  <c:v>4.0377700000000001</c:v>
                </c:pt>
                <c:pt idx="48">
                  <c:v>4.0350999999999999</c:v>
                </c:pt>
                <c:pt idx="49">
                  <c:v>4.0322100000000001</c:v>
                </c:pt>
                <c:pt idx="50">
                  <c:v>4.0305800000000005</c:v>
                </c:pt>
                <c:pt idx="51">
                  <c:v>4.0314399999999999</c:v>
                </c:pt>
                <c:pt idx="52">
                  <c:v>4.0315399999999997</c:v>
                </c:pt>
                <c:pt idx="53">
                  <c:v>4.0266500000000001</c:v>
                </c:pt>
                <c:pt idx="54">
                  <c:v>4.0200000000000005</c:v>
                </c:pt>
                <c:pt idx="55">
                  <c:v>4.0156299999999998</c:v>
                </c:pt>
                <c:pt idx="56">
                  <c:v>4.0121200000000004</c:v>
                </c:pt>
                <c:pt idx="57">
                  <c:v>4.0047199999999998</c:v>
                </c:pt>
                <c:pt idx="58">
                  <c:v>3.99675</c:v>
                </c:pt>
                <c:pt idx="59">
                  <c:v>3.99465</c:v>
                </c:pt>
                <c:pt idx="60">
                  <c:v>3.9924200000000001</c:v>
                </c:pt>
                <c:pt idx="61">
                  <c:v>3.9862799999999998</c:v>
                </c:pt>
                <c:pt idx="62">
                  <c:v>3.9810400000000001</c:v>
                </c:pt>
                <c:pt idx="63">
                  <c:v>3.9825500000000003</c:v>
                </c:pt>
                <c:pt idx="64">
                  <c:v>3.9876399999999999</c:v>
                </c:pt>
                <c:pt idx="65">
                  <c:v>3.9883099999999998</c:v>
                </c:pt>
                <c:pt idx="66">
                  <c:v>3.9860699999999998</c:v>
                </c:pt>
                <c:pt idx="67">
                  <c:v>3.9920899999999997</c:v>
                </c:pt>
                <c:pt idx="68">
                  <c:v>3.9953499999999997</c:v>
                </c:pt>
                <c:pt idx="69">
                  <c:v>3.98672</c:v>
                </c:pt>
                <c:pt idx="70">
                  <c:v>3.9724500000000003</c:v>
                </c:pt>
                <c:pt idx="71">
                  <c:v>3.9593099999999999</c:v>
                </c:pt>
                <c:pt idx="72">
                  <c:v>3.9626099999999997</c:v>
                </c:pt>
                <c:pt idx="73">
                  <c:v>3.96516</c:v>
                </c:pt>
                <c:pt idx="74">
                  <c:v>3.9750100000000002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0.35889599999999999</c:v>
                </c:pt>
                <c:pt idx="2">
                  <c:v>0.75948899999999997</c:v>
                </c:pt>
                <c:pt idx="3">
                  <c:v>1.1672199999999999</c:v>
                </c:pt>
                <c:pt idx="4">
                  <c:v>1.57213</c:v>
                </c:pt>
                <c:pt idx="5">
                  <c:v>1.9784600000000001</c:v>
                </c:pt>
                <c:pt idx="6">
                  <c:v>2.38422</c:v>
                </c:pt>
                <c:pt idx="7">
                  <c:v>2.7936399999999999</c:v>
                </c:pt>
                <c:pt idx="8">
                  <c:v>3.19835</c:v>
                </c:pt>
                <c:pt idx="9">
                  <c:v>3.6044900000000002</c:v>
                </c:pt>
                <c:pt idx="10">
                  <c:v>4.0093300000000003</c:v>
                </c:pt>
                <c:pt idx="11">
                  <c:v>4.4169600000000004</c:v>
                </c:pt>
                <c:pt idx="12">
                  <c:v>4.82273</c:v>
                </c:pt>
                <c:pt idx="13">
                  <c:v>5.2306999999999997</c:v>
                </c:pt>
                <c:pt idx="14">
                  <c:v>5.6375099999999998</c:v>
                </c:pt>
                <c:pt idx="15">
                  <c:v>6.0419499999999999</c:v>
                </c:pt>
                <c:pt idx="16">
                  <c:v>6.4474900000000002</c:v>
                </c:pt>
                <c:pt idx="17">
                  <c:v>6.85853</c:v>
                </c:pt>
                <c:pt idx="18">
                  <c:v>7.2621900000000004</c:v>
                </c:pt>
                <c:pt idx="19">
                  <c:v>7.6648300000000003</c:v>
                </c:pt>
                <c:pt idx="20">
                  <c:v>8.0768400000000007</c:v>
                </c:pt>
                <c:pt idx="21">
                  <c:v>8.4807500000000005</c:v>
                </c:pt>
                <c:pt idx="22">
                  <c:v>8.8898299999999999</c:v>
                </c:pt>
                <c:pt idx="23">
                  <c:v>9.29359</c:v>
                </c:pt>
                <c:pt idx="24">
                  <c:v>9.6971299999999996</c:v>
                </c:pt>
                <c:pt idx="25">
                  <c:v>10.1051</c:v>
                </c:pt>
                <c:pt idx="26">
                  <c:v>10.512499999999999</c:v>
                </c:pt>
                <c:pt idx="27">
                  <c:v>10.9185</c:v>
                </c:pt>
                <c:pt idx="28">
                  <c:v>11.323700000000001</c:v>
                </c:pt>
                <c:pt idx="29">
                  <c:v>11.731199999999999</c:v>
                </c:pt>
                <c:pt idx="30">
                  <c:v>12.1371</c:v>
                </c:pt>
                <c:pt idx="31">
                  <c:v>12.541399999999999</c:v>
                </c:pt>
                <c:pt idx="32">
                  <c:v>12.9513</c:v>
                </c:pt>
                <c:pt idx="33">
                  <c:v>13.3583</c:v>
                </c:pt>
                <c:pt idx="34">
                  <c:v>13.7613</c:v>
                </c:pt>
                <c:pt idx="35">
                  <c:v>14.1646</c:v>
                </c:pt>
                <c:pt idx="36">
                  <c:v>14.573399999999999</c:v>
                </c:pt>
                <c:pt idx="37">
                  <c:v>14.9801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8"/>
                <c:pt idx="0">
                  <c:v>2.7318599999999997</c:v>
                </c:pt>
                <c:pt idx="1">
                  <c:v>2.8113700000000001</c:v>
                </c:pt>
                <c:pt idx="2">
                  <c:v>2.8892099999999998</c:v>
                </c:pt>
                <c:pt idx="3">
                  <c:v>2.96922</c:v>
                </c:pt>
                <c:pt idx="4">
                  <c:v>3.0527500000000001</c:v>
                </c:pt>
                <c:pt idx="5">
                  <c:v>3.1375999999999999</c:v>
                </c:pt>
                <c:pt idx="6">
                  <c:v>3.21895</c:v>
                </c:pt>
                <c:pt idx="7">
                  <c:v>3.2973300000000001</c:v>
                </c:pt>
                <c:pt idx="8">
                  <c:v>3.3716299999999997</c:v>
                </c:pt>
                <c:pt idx="9">
                  <c:v>3.4414600000000002</c:v>
                </c:pt>
                <c:pt idx="10">
                  <c:v>3.5065800000000005</c:v>
                </c:pt>
                <c:pt idx="11">
                  <c:v>3.56595</c:v>
                </c:pt>
                <c:pt idx="12">
                  <c:v>3.6263200000000002</c:v>
                </c:pt>
                <c:pt idx="13">
                  <c:v>3.6739699999999997</c:v>
                </c:pt>
                <c:pt idx="14">
                  <c:v>3.7313900000000002</c:v>
                </c:pt>
                <c:pt idx="15">
                  <c:v>3.78146</c:v>
                </c:pt>
                <c:pt idx="16">
                  <c:v>3.8260100000000001</c:v>
                </c:pt>
                <c:pt idx="17">
                  <c:v>3.86863</c:v>
                </c:pt>
                <c:pt idx="18">
                  <c:v>3.9078299999999997</c:v>
                </c:pt>
                <c:pt idx="19">
                  <c:v>3.9415899999999997</c:v>
                </c:pt>
                <c:pt idx="20">
                  <c:v>3.9758900000000001</c:v>
                </c:pt>
                <c:pt idx="21">
                  <c:v>4.0112899999999998</c:v>
                </c:pt>
                <c:pt idx="22">
                  <c:v>4.0407599999999997</c:v>
                </c:pt>
                <c:pt idx="23">
                  <c:v>4.0625299999999998</c:v>
                </c:pt>
                <c:pt idx="24">
                  <c:v>4.0791300000000001</c:v>
                </c:pt>
                <c:pt idx="25">
                  <c:v>4.0937600000000005</c:v>
                </c:pt>
                <c:pt idx="26">
                  <c:v>4.1044599999999996</c:v>
                </c:pt>
                <c:pt idx="27">
                  <c:v>4.1115000000000004</c:v>
                </c:pt>
                <c:pt idx="28">
                  <c:v>4.1185999999999998</c:v>
                </c:pt>
                <c:pt idx="29">
                  <c:v>4.1245599999999998</c:v>
                </c:pt>
                <c:pt idx="30">
                  <c:v>4.1244700000000005</c:v>
                </c:pt>
                <c:pt idx="31">
                  <c:v>4.12202</c:v>
                </c:pt>
                <c:pt idx="32">
                  <c:v>4.1200200000000002</c:v>
                </c:pt>
                <c:pt idx="33">
                  <c:v>4.1187500000000004</c:v>
                </c:pt>
                <c:pt idx="34">
                  <c:v>4.1142699999999994</c:v>
                </c:pt>
                <c:pt idx="35">
                  <c:v>4.1072100000000002</c:v>
                </c:pt>
                <c:pt idx="36">
                  <c:v>4.1039099999999999</c:v>
                </c:pt>
                <c:pt idx="37">
                  <c:v>4.0994799999999998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14.9801</c:v>
                </c:pt>
                <c:pt idx="1">
                  <c:v>15.573499999999999</c:v>
                </c:pt>
                <c:pt idx="2">
                  <c:v>15.9475</c:v>
                </c:pt>
                <c:pt idx="3">
                  <c:v>16.322500000000002</c:v>
                </c:pt>
                <c:pt idx="4">
                  <c:v>16.700399999999998</c:v>
                </c:pt>
                <c:pt idx="5">
                  <c:v>17.0761</c:v>
                </c:pt>
                <c:pt idx="6">
                  <c:v>17.477699999999999</c:v>
                </c:pt>
                <c:pt idx="7">
                  <c:v>17.885000000000002</c:v>
                </c:pt>
                <c:pt idx="8">
                  <c:v>18.292000000000002</c:v>
                </c:pt>
                <c:pt idx="9">
                  <c:v>18.698499999999999</c:v>
                </c:pt>
                <c:pt idx="10">
                  <c:v>19.105499999999999</c:v>
                </c:pt>
                <c:pt idx="11">
                  <c:v>19.511399999999998</c:v>
                </c:pt>
                <c:pt idx="12">
                  <c:v>19.9193</c:v>
                </c:pt>
                <c:pt idx="13">
                  <c:v>20.326799999999999</c:v>
                </c:pt>
                <c:pt idx="14">
                  <c:v>20.731400000000001</c:v>
                </c:pt>
                <c:pt idx="15">
                  <c:v>21.136600000000001</c:v>
                </c:pt>
                <c:pt idx="16">
                  <c:v>21.5397</c:v>
                </c:pt>
                <c:pt idx="17">
                  <c:v>21.9483</c:v>
                </c:pt>
                <c:pt idx="18">
                  <c:v>22.3568</c:v>
                </c:pt>
                <c:pt idx="19">
                  <c:v>22.763500000000001</c:v>
                </c:pt>
                <c:pt idx="20">
                  <c:v>23.165700000000001</c:v>
                </c:pt>
                <c:pt idx="21">
                  <c:v>23.571200000000001</c:v>
                </c:pt>
                <c:pt idx="22">
                  <c:v>23.98</c:v>
                </c:pt>
                <c:pt idx="23">
                  <c:v>24.385400000000001</c:v>
                </c:pt>
                <c:pt idx="24">
                  <c:v>24.790600000000001</c:v>
                </c:pt>
                <c:pt idx="25">
                  <c:v>25.200800000000001</c:v>
                </c:pt>
                <c:pt idx="26">
                  <c:v>25.6038</c:v>
                </c:pt>
                <c:pt idx="27">
                  <c:v>26.009399999999999</c:v>
                </c:pt>
                <c:pt idx="28">
                  <c:v>26.415199999999999</c:v>
                </c:pt>
                <c:pt idx="29">
                  <c:v>26.8215</c:v>
                </c:pt>
                <c:pt idx="30">
                  <c:v>27.2303</c:v>
                </c:pt>
                <c:pt idx="31">
                  <c:v>27.6341</c:v>
                </c:pt>
                <c:pt idx="32">
                  <c:v>28.0413</c:v>
                </c:pt>
                <c:pt idx="33">
                  <c:v>28.447199999999999</c:v>
                </c:pt>
                <c:pt idx="34">
                  <c:v>28.8552</c:v>
                </c:pt>
                <c:pt idx="35">
                  <c:v>29.2624</c:v>
                </c:pt>
                <c:pt idx="36">
                  <c:v>29.6675</c:v>
                </c:pt>
                <c:pt idx="37">
                  <c:v>30.0732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4.0994799999999998</c:v>
                </c:pt>
                <c:pt idx="1">
                  <c:v>4.0857900000000003</c:v>
                </c:pt>
                <c:pt idx="2">
                  <c:v>4.0764300000000002</c:v>
                </c:pt>
                <c:pt idx="3">
                  <c:v>4.07151</c:v>
                </c:pt>
                <c:pt idx="4">
                  <c:v>4.0668800000000003</c:v>
                </c:pt>
                <c:pt idx="5">
                  <c:v>4.0601099999999999</c:v>
                </c:pt>
                <c:pt idx="6">
                  <c:v>4.05626</c:v>
                </c:pt>
                <c:pt idx="7">
                  <c:v>4.05579</c:v>
                </c:pt>
                <c:pt idx="8">
                  <c:v>4.0523699999999998</c:v>
                </c:pt>
                <c:pt idx="9">
                  <c:v>4.04406</c:v>
                </c:pt>
                <c:pt idx="10">
                  <c:v>4.0377700000000001</c:v>
                </c:pt>
                <c:pt idx="11">
                  <c:v>4.0350999999999999</c:v>
                </c:pt>
                <c:pt idx="12">
                  <c:v>4.0322100000000001</c:v>
                </c:pt>
                <c:pt idx="13">
                  <c:v>4.0305800000000005</c:v>
                </c:pt>
                <c:pt idx="14">
                  <c:v>4.0314399999999999</c:v>
                </c:pt>
                <c:pt idx="15">
                  <c:v>4.0315399999999997</c:v>
                </c:pt>
                <c:pt idx="16">
                  <c:v>4.0266500000000001</c:v>
                </c:pt>
                <c:pt idx="17">
                  <c:v>4.0200000000000005</c:v>
                </c:pt>
                <c:pt idx="18">
                  <c:v>4.0156299999999998</c:v>
                </c:pt>
                <c:pt idx="19">
                  <c:v>4.0121200000000004</c:v>
                </c:pt>
                <c:pt idx="20">
                  <c:v>4.0047199999999998</c:v>
                </c:pt>
                <c:pt idx="21">
                  <c:v>3.99675</c:v>
                </c:pt>
                <c:pt idx="22">
                  <c:v>3.99465</c:v>
                </c:pt>
                <c:pt idx="23">
                  <c:v>3.9924200000000001</c:v>
                </c:pt>
                <c:pt idx="24">
                  <c:v>3.9862799999999998</c:v>
                </c:pt>
                <c:pt idx="25">
                  <c:v>3.9810400000000001</c:v>
                </c:pt>
                <c:pt idx="26">
                  <c:v>3.9825500000000003</c:v>
                </c:pt>
                <c:pt idx="27">
                  <c:v>3.9876399999999999</c:v>
                </c:pt>
                <c:pt idx="28">
                  <c:v>3.9883099999999998</c:v>
                </c:pt>
                <c:pt idx="29">
                  <c:v>3.9860699999999998</c:v>
                </c:pt>
                <c:pt idx="30">
                  <c:v>3.9920899999999997</c:v>
                </c:pt>
                <c:pt idx="31">
                  <c:v>3.9953499999999997</c:v>
                </c:pt>
                <c:pt idx="32">
                  <c:v>3.98672</c:v>
                </c:pt>
                <c:pt idx="33">
                  <c:v>3.9724500000000003</c:v>
                </c:pt>
                <c:pt idx="34">
                  <c:v>3.9593099999999999</c:v>
                </c:pt>
                <c:pt idx="35">
                  <c:v>3.9626099999999997</c:v>
                </c:pt>
                <c:pt idx="36">
                  <c:v>3.96516</c:v>
                </c:pt>
                <c:pt idx="37">
                  <c:v>3.9750100000000002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7.5183</c:v>
                </c:pt>
                <c:pt idx="1">
                  <c:v>22.5549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3.7266010810810819</c:v>
                </c:pt>
                <c:pt idx="1">
                  <c:v>4.018265945945946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0.35889599999999999</c:v>
                </c:pt>
                <c:pt idx="2">
                  <c:v>0.75948899999999997</c:v>
                </c:pt>
                <c:pt idx="3">
                  <c:v>1.1672199999999999</c:v>
                </c:pt>
                <c:pt idx="4">
                  <c:v>1.57213</c:v>
                </c:pt>
                <c:pt idx="5">
                  <c:v>1.9784600000000001</c:v>
                </c:pt>
                <c:pt idx="6">
                  <c:v>2.38422</c:v>
                </c:pt>
                <c:pt idx="7">
                  <c:v>2.7936399999999999</c:v>
                </c:pt>
                <c:pt idx="8">
                  <c:v>3.19835</c:v>
                </c:pt>
                <c:pt idx="9">
                  <c:v>3.6044900000000002</c:v>
                </c:pt>
                <c:pt idx="10">
                  <c:v>4.0093300000000003</c:v>
                </c:pt>
                <c:pt idx="11">
                  <c:v>4.4169600000000004</c:v>
                </c:pt>
                <c:pt idx="12">
                  <c:v>4.82273</c:v>
                </c:pt>
                <c:pt idx="13">
                  <c:v>5.2306999999999997</c:v>
                </c:pt>
                <c:pt idx="14">
                  <c:v>5.6375099999999998</c:v>
                </c:pt>
                <c:pt idx="15">
                  <c:v>6.0419499999999999</c:v>
                </c:pt>
                <c:pt idx="16">
                  <c:v>6.4474900000000002</c:v>
                </c:pt>
                <c:pt idx="17">
                  <c:v>6.85853</c:v>
                </c:pt>
                <c:pt idx="18">
                  <c:v>7.2621900000000004</c:v>
                </c:pt>
                <c:pt idx="19">
                  <c:v>7.6648300000000003</c:v>
                </c:pt>
                <c:pt idx="20">
                  <c:v>8.0768400000000007</c:v>
                </c:pt>
                <c:pt idx="21">
                  <c:v>8.4807500000000005</c:v>
                </c:pt>
                <c:pt idx="22">
                  <c:v>8.8898299999999999</c:v>
                </c:pt>
                <c:pt idx="23">
                  <c:v>9.29359</c:v>
                </c:pt>
                <c:pt idx="24">
                  <c:v>9.6971299999999996</c:v>
                </c:pt>
                <c:pt idx="25">
                  <c:v>10.1051</c:v>
                </c:pt>
                <c:pt idx="26">
                  <c:v>10.512499999999999</c:v>
                </c:pt>
                <c:pt idx="27">
                  <c:v>10.9185</c:v>
                </c:pt>
                <c:pt idx="28">
                  <c:v>11.323700000000001</c:v>
                </c:pt>
                <c:pt idx="29">
                  <c:v>11.731199999999999</c:v>
                </c:pt>
                <c:pt idx="30">
                  <c:v>12.1371</c:v>
                </c:pt>
                <c:pt idx="31">
                  <c:v>12.541399999999999</c:v>
                </c:pt>
                <c:pt idx="32">
                  <c:v>12.9513</c:v>
                </c:pt>
                <c:pt idx="33">
                  <c:v>13.3583</c:v>
                </c:pt>
                <c:pt idx="34">
                  <c:v>13.7613</c:v>
                </c:pt>
                <c:pt idx="35">
                  <c:v>14.1646</c:v>
                </c:pt>
                <c:pt idx="36">
                  <c:v>14.573399999999999</c:v>
                </c:pt>
                <c:pt idx="37">
                  <c:v>14.9801</c:v>
                </c:pt>
                <c:pt idx="38">
                  <c:v>15.573499999999999</c:v>
                </c:pt>
                <c:pt idx="39">
                  <c:v>15.9475</c:v>
                </c:pt>
                <c:pt idx="40">
                  <c:v>16.322500000000002</c:v>
                </c:pt>
                <c:pt idx="41">
                  <c:v>16.700399999999998</c:v>
                </c:pt>
                <c:pt idx="42">
                  <c:v>17.0761</c:v>
                </c:pt>
                <c:pt idx="43">
                  <c:v>17.477699999999999</c:v>
                </c:pt>
                <c:pt idx="44">
                  <c:v>17.885000000000002</c:v>
                </c:pt>
                <c:pt idx="45">
                  <c:v>18.292000000000002</c:v>
                </c:pt>
                <c:pt idx="46">
                  <c:v>18.698499999999999</c:v>
                </c:pt>
                <c:pt idx="47">
                  <c:v>19.105499999999999</c:v>
                </c:pt>
                <c:pt idx="48">
                  <c:v>19.511399999999998</c:v>
                </c:pt>
                <c:pt idx="49">
                  <c:v>19.9193</c:v>
                </c:pt>
                <c:pt idx="50">
                  <c:v>20.326799999999999</c:v>
                </c:pt>
                <c:pt idx="51">
                  <c:v>20.731400000000001</c:v>
                </c:pt>
                <c:pt idx="52">
                  <c:v>21.136600000000001</c:v>
                </c:pt>
                <c:pt idx="53">
                  <c:v>21.5397</c:v>
                </c:pt>
                <c:pt idx="54">
                  <c:v>21.9483</c:v>
                </c:pt>
                <c:pt idx="55">
                  <c:v>22.3568</c:v>
                </c:pt>
                <c:pt idx="56">
                  <c:v>22.763500000000001</c:v>
                </c:pt>
                <c:pt idx="57">
                  <c:v>23.165700000000001</c:v>
                </c:pt>
                <c:pt idx="58">
                  <c:v>23.571200000000001</c:v>
                </c:pt>
                <c:pt idx="59">
                  <c:v>23.98</c:v>
                </c:pt>
                <c:pt idx="60">
                  <c:v>24.385400000000001</c:v>
                </c:pt>
                <c:pt idx="61">
                  <c:v>24.790600000000001</c:v>
                </c:pt>
                <c:pt idx="62">
                  <c:v>25.200800000000001</c:v>
                </c:pt>
                <c:pt idx="63">
                  <c:v>25.6038</c:v>
                </c:pt>
                <c:pt idx="64">
                  <c:v>26.009399999999999</c:v>
                </c:pt>
                <c:pt idx="65">
                  <c:v>26.415199999999999</c:v>
                </c:pt>
                <c:pt idx="66">
                  <c:v>26.8215</c:v>
                </c:pt>
                <c:pt idx="67">
                  <c:v>27.2303</c:v>
                </c:pt>
                <c:pt idx="68">
                  <c:v>27.6341</c:v>
                </c:pt>
                <c:pt idx="69">
                  <c:v>28.0413</c:v>
                </c:pt>
                <c:pt idx="70">
                  <c:v>28.447199999999999</c:v>
                </c:pt>
                <c:pt idx="71">
                  <c:v>28.8552</c:v>
                </c:pt>
                <c:pt idx="72">
                  <c:v>29.2624</c:v>
                </c:pt>
                <c:pt idx="73">
                  <c:v>29.6675</c:v>
                </c:pt>
                <c:pt idx="74">
                  <c:v>30.0732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50.904700000000005</c:v>
                </c:pt>
                <c:pt idx="1">
                  <c:v>49.769799999999996</c:v>
                </c:pt>
                <c:pt idx="2">
                  <c:v>48.630099999999999</c:v>
                </c:pt>
                <c:pt idx="3">
                  <c:v>47.548999999999999</c:v>
                </c:pt>
                <c:pt idx="4">
                  <c:v>46.445700000000002</c:v>
                </c:pt>
                <c:pt idx="5">
                  <c:v>45.287799999999997</c:v>
                </c:pt>
                <c:pt idx="6">
                  <c:v>44.364199999999997</c:v>
                </c:pt>
                <c:pt idx="7">
                  <c:v>43.693799999999996</c:v>
                </c:pt>
                <c:pt idx="8">
                  <c:v>43.149700000000003</c:v>
                </c:pt>
                <c:pt idx="9">
                  <c:v>42.6068</c:v>
                </c:pt>
                <c:pt idx="10">
                  <c:v>42.175699999999999</c:v>
                </c:pt>
                <c:pt idx="11">
                  <c:v>41.981999999999999</c:v>
                </c:pt>
                <c:pt idx="12">
                  <c:v>41.7851</c:v>
                </c:pt>
                <c:pt idx="13">
                  <c:v>41.729799999999997</c:v>
                </c:pt>
                <c:pt idx="14">
                  <c:v>41.540799999999997</c:v>
                </c:pt>
                <c:pt idx="15">
                  <c:v>41.578400000000002</c:v>
                </c:pt>
                <c:pt idx="16">
                  <c:v>41.662399999999998</c:v>
                </c:pt>
                <c:pt idx="17">
                  <c:v>41.677399999999999</c:v>
                </c:pt>
                <c:pt idx="18">
                  <c:v>41.742699999999999</c:v>
                </c:pt>
                <c:pt idx="19">
                  <c:v>41.875900000000001</c:v>
                </c:pt>
                <c:pt idx="20">
                  <c:v>41.970400000000005</c:v>
                </c:pt>
                <c:pt idx="21">
                  <c:v>41.974299999999999</c:v>
                </c:pt>
                <c:pt idx="22">
                  <c:v>41.985599999999998</c:v>
                </c:pt>
                <c:pt idx="23">
                  <c:v>42.050599999999996</c:v>
                </c:pt>
                <c:pt idx="24">
                  <c:v>42.1008</c:v>
                </c:pt>
                <c:pt idx="25">
                  <c:v>42.100300000000004</c:v>
                </c:pt>
                <c:pt idx="26">
                  <c:v>42.079899999999995</c:v>
                </c:pt>
                <c:pt idx="27">
                  <c:v>42.064599999999999</c:v>
                </c:pt>
                <c:pt idx="28">
                  <c:v>41.997299999999996</c:v>
                </c:pt>
                <c:pt idx="29">
                  <c:v>41.940300000000001</c:v>
                </c:pt>
                <c:pt idx="30">
                  <c:v>41.941000000000003</c:v>
                </c:pt>
                <c:pt idx="31">
                  <c:v>41.990699999999997</c:v>
                </c:pt>
                <c:pt idx="32">
                  <c:v>42.0334</c:v>
                </c:pt>
                <c:pt idx="33">
                  <c:v>42.052399999999999</c:v>
                </c:pt>
                <c:pt idx="34">
                  <c:v>42.097000000000001</c:v>
                </c:pt>
                <c:pt idx="35">
                  <c:v>42.147500000000001</c:v>
                </c:pt>
                <c:pt idx="36">
                  <c:v>42.140899999999995</c:v>
                </c:pt>
                <c:pt idx="37">
                  <c:v>42.1768</c:v>
                </c:pt>
                <c:pt idx="38">
                  <c:v>42.279899999999998</c:v>
                </c:pt>
                <c:pt idx="39">
                  <c:v>42.3307</c:v>
                </c:pt>
                <c:pt idx="40">
                  <c:v>42.356200000000001</c:v>
                </c:pt>
                <c:pt idx="41">
                  <c:v>42.400999999999996</c:v>
                </c:pt>
                <c:pt idx="42">
                  <c:v>42.471800000000002</c:v>
                </c:pt>
                <c:pt idx="43">
                  <c:v>42.521300000000004</c:v>
                </c:pt>
                <c:pt idx="44">
                  <c:v>42.606100000000005</c:v>
                </c:pt>
                <c:pt idx="45">
                  <c:v>42.785000000000004</c:v>
                </c:pt>
                <c:pt idx="46">
                  <c:v>43.027000000000001</c:v>
                </c:pt>
                <c:pt idx="47">
                  <c:v>43.18</c:v>
                </c:pt>
                <c:pt idx="48">
                  <c:v>43.2669</c:v>
                </c:pt>
                <c:pt idx="49">
                  <c:v>43.313600000000001</c:v>
                </c:pt>
                <c:pt idx="50">
                  <c:v>43.3292</c:v>
                </c:pt>
                <c:pt idx="51">
                  <c:v>43.292900000000003</c:v>
                </c:pt>
                <c:pt idx="52">
                  <c:v>43.291699999999999</c:v>
                </c:pt>
                <c:pt idx="53">
                  <c:v>43.381500000000003</c:v>
                </c:pt>
                <c:pt idx="54">
                  <c:v>43.488199999999999</c:v>
                </c:pt>
                <c:pt idx="55">
                  <c:v>43.5304</c:v>
                </c:pt>
                <c:pt idx="56">
                  <c:v>43.536099999999998</c:v>
                </c:pt>
                <c:pt idx="57">
                  <c:v>43.622300000000003</c:v>
                </c:pt>
                <c:pt idx="58">
                  <c:v>43.736899999999999</c:v>
                </c:pt>
                <c:pt idx="59">
                  <c:v>43.846000000000004</c:v>
                </c:pt>
                <c:pt idx="60">
                  <c:v>44.0274</c:v>
                </c:pt>
                <c:pt idx="61">
                  <c:v>44.358699999999999</c:v>
                </c:pt>
                <c:pt idx="62">
                  <c:v>44.685900000000004</c:v>
                </c:pt>
                <c:pt idx="63">
                  <c:v>44.9452</c:v>
                </c:pt>
                <c:pt idx="64">
                  <c:v>45.244399999999999</c:v>
                </c:pt>
                <c:pt idx="65">
                  <c:v>45.514600000000002</c:v>
                </c:pt>
                <c:pt idx="66">
                  <c:v>45.769399999999997</c:v>
                </c:pt>
                <c:pt idx="67">
                  <c:v>45.960599999999999</c:v>
                </c:pt>
                <c:pt idx="68">
                  <c:v>46.1858</c:v>
                </c:pt>
                <c:pt idx="69">
                  <c:v>46.3658</c:v>
                </c:pt>
                <c:pt idx="70">
                  <c:v>46.432899999999997</c:v>
                </c:pt>
                <c:pt idx="71">
                  <c:v>46.3902</c:v>
                </c:pt>
                <c:pt idx="72">
                  <c:v>46.162700000000001</c:v>
                </c:pt>
                <c:pt idx="73">
                  <c:v>45.526200000000003</c:v>
                </c:pt>
                <c:pt idx="74">
                  <c:v>45.390999999999998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0.35889599999999999</c:v>
                </c:pt>
                <c:pt idx="2">
                  <c:v>0.75948899999999997</c:v>
                </c:pt>
                <c:pt idx="3">
                  <c:v>1.1672199999999999</c:v>
                </c:pt>
                <c:pt idx="4">
                  <c:v>1.57213</c:v>
                </c:pt>
                <c:pt idx="5">
                  <c:v>1.9784600000000001</c:v>
                </c:pt>
                <c:pt idx="6">
                  <c:v>2.38422</c:v>
                </c:pt>
                <c:pt idx="7">
                  <c:v>2.7936399999999999</c:v>
                </c:pt>
                <c:pt idx="8">
                  <c:v>3.19835</c:v>
                </c:pt>
                <c:pt idx="9">
                  <c:v>3.6044900000000002</c:v>
                </c:pt>
                <c:pt idx="10">
                  <c:v>4.0093300000000003</c:v>
                </c:pt>
                <c:pt idx="11">
                  <c:v>4.4169600000000004</c:v>
                </c:pt>
                <c:pt idx="12">
                  <c:v>4.82273</c:v>
                </c:pt>
                <c:pt idx="13">
                  <c:v>5.2306999999999997</c:v>
                </c:pt>
                <c:pt idx="14">
                  <c:v>5.6375099999999998</c:v>
                </c:pt>
                <c:pt idx="15">
                  <c:v>6.0419499999999999</c:v>
                </c:pt>
                <c:pt idx="16">
                  <c:v>6.4474900000000002</c:v>
                </c:pt>
                <c:pt idx="17">
                  <c:v>6.85853</c:v>
                </c:pt>
                <c:pt idx="18">
                  <c:v>7.2621900000000004</c:v>
                </c:pt>
                <c:pt idx="19">
                  <c:v>7.6648300000000003</c:v>
                </c:pt>
                <c:pt idx="20">
                  <c:v>8.0768400000000007</c:v>
                </c:pt>
                <c:pt idx="21">
                  <c:v>8.4807500000000005</c:v>
                </c:pt>
                <c:pt idx="22">
                  <c:v>8.8898299999999999</c:v>
                </c:pt>
                <c:pt idx="23">
                  <c:v>9.29359</c:v>
                </c:pt>
                <c:pt idx="24">
                  <c:v>9.6971299999999996</c:v>
                </c:pt>
                <c:pt idx="25">
                  <c:v>10.1051</c:v>
                </c:pt>
                <c:pt idx="26">
                  <c:v>10.512499999999999</c:v>
                </c:pt>
                <c:pt idx="27">
                  <c:v>10.9185</c:v>
                </c:pt>
                <c:pt idx="28">
                  <c:v>11.323700000000001</c:v>
                </c:pt>
                <c:pt idx="29">
                  <c:v>11.731199999999999</c:v>
                </c:pt>
                <c:pt idx="30">
                  <c:v>12.1371</c:v>
                </c:pt>
                <c:pt idx="31">
                  <c:v>12.541399999999999</c:v>
                </c:pt>
                <c:pt idx="32">
                  <c:v>12.9513</c:v>
                </c:pt>
                <c:pt idx="33">
                  <c:v>13.3583</c:v>
                </c:pt>
                <c:pt idx="34">
                  <c:v>13.7613</c:v>
                </c:pt>
                <c:pt idx="35">
                  <c:v>14.1646</c:v>
                </c:pt>
                <c:pt idx="36">
                  <c:v>14.573399999999999</c:v>
                </c:pt>
                <c:pt idx="37">
                  <c:v>14.9801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50.904700000000005</c:v>
                </c:pt>
                <c:pt idx="1">
                  <c:v>49.769799999999996</c:v>
                </c:pt>
                <c:pt idx="2">
                  <c:v>48.630099999999999</c:v>
                </c:pt>
                <c:pt idx="3">
                  <c:v>47.548999999999999</c:v>
                </c:pt>
                <c:pt idx="4">
                  <c:v>46.445700000000002</c:v>
                </c:pt>
                <c:pt idx="5">
                  <c:v>45.287799999999997</c:v>
                </c:pt>
                <c:pt idx="6">
                  <c:v>44.364199999999997</c:v>
                </c:pt>
                <c:pt idx="7">
                  <c:v>43.693799999999996</c:v>
                </c:pt>
                <c:pt idx="8">
                  <c:v>43.149700000000003</c:v>
                </c:pt>
                <c:pt idx="9">
                  <c:v>42.6068</c:v>
                </c:pt>
                <c:pt idx="10">
                  <c:v>42.175699999999999</c:v>
                </c:pt>
                <c:pt idx="11">
                  <c:v>41.981999999999999</c:v>
                </c:pt>
                <c:pt idx="12">
                  <c:v>41.7851</c:v>
                </c:pt>
                <c:pt idx="13">
                  <c:v>41.729799999999997</c:v>
                </c:pt>
                <c:pt idx="14">
                  <c:v>41.540799999999997</c:v>
                </c:pt>
                <c:pt idx="15">
                  <c:v>41.578400000000002</c:v>
                </c:pt>
                <c:pt idx="16">
                  <c:v>41.662399999999998</c:v>
                </c:pt>
                <c:pt idx="17">
                  <c:v>41.677399999999999</c:v>
                </c:pt>
                <c:pt idx="18">
                  <c:v>41.742699999999999</c:v>
                </c:pt>
                <c:pt idx="19">
                  <c:v>41.875900000000001</c:v>
                </c:pt>
                <c:pt idx="20">
                  <c:v>41.970400000000005</c:v>
                </c:pt>
                <c:pt idx="21">
                  <c:v>41.974299999999999</c:v>
                </c:pt>
                <c:pt idx="22">
                  <c:v>41.985599999999998</c:v>
                </c:pt>
                <c:pt idx="23">
                  <c:v>42.050599999999996</c:v>
                </c:pt>
                <c:pt idx="24">
                  <c:v>42.1008</c:v>
                </c:pt>
                <c:pt idx="25">
                  <c:v>42.100300000000004</c:v>
                </c:pt>
                <c:pt idx="26">
                  <c:v>42.079899999999995</c:v>
                </c:pt>
                <c:pt idx="27">
                  <c:v>42.064599999999999</c:v>
                </c:pt>
                <c:pt idx="28">
                  <c:v>41.997299999999996</c:v>
                </c:pt>
                <c:pt idx="29">
                  <c:v>41.940300000000001</c:v>
                </c:pt>
                <c:pt idx="30">
                  <c:v>41.941000000000003</c:v>
                </c:pt>
                <c:pt idx="31">
                  <c:v>41.990699999999997</c:v>
                </c:pt>
                <c:pt idx="32">
                  <c:v>42.0334</c:v>
                </c:pt>
                <c:pt idx="33">
                  <c:v>42.052399999999999</c:v>
                </c:pt>
                <c:pt idx="34">
                  <c:v>42.097000000000001</c:v>
                </c:pt>
                <c:pt idx="35">
                  <c:v>42.147500000000001</c:v>
                </c:pt>
                <c:pt idx="36">
                  <c:v>42.140899999999995</c:v>
                </c:pt>
                <c:pt idx="37">
                  <c:v>42.1768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14.9801</c:v>
                </c:pt>
                <c:pt idx="1">
                  <c:v>15.573499999999999</c:v>
                </c:pt>
                <c:pt idx="2">
                  <c:v>15.9475</c:v>
                </c:pt>
                <c:pt idx="3">
                  <c:v>16.322500000000002</c:v>
                </c:pt>
                <c:pt idx="4">
                  <c:v>16.700399999999998</c:v>
                </c:pt>
                <c:pt idx="5">
                  <c:v>17.0761</c:v>
                </c:pt>
                <c:pt idx="6">
                  <c:v>17.477699999999999</c:v>
                </c:pt>
                <c:pt idx="7">
                  <c:v>17.885000000000002</c:v>
                </c:pt>
                <c:pt idx="8">
                  <c:v>18.292000000000002</c:v>
                </c:pt>
                <c:pt idx="9">
                  <c:v>18.698499999999999</c:v>
                </c:pt>
                <c:pt idx="10">
                  <c:v>19.105499999999999</c:v>
                </c:pt>
                <c:pt idx="11">
                  <c:v>19.511399999999998</c:v>
                </c:pt>
                <c:pt idx="12">
                  <c:v>19.9193</c:v>
                </c:pt>
                <c:pt idx="13">
                  <c:v>20.326799999999999</c:v>
                </c:pt>
                <c:pt idx="14">
                  <c:v>20.731400000000001</c:v>
                </c:pt>
                <c:pt idx="15">
                  <c:v>21.136600000000001</c:v>
                </c:pt>
                <c:pt idx="16">
                  <c:v>21.5397</c:v>
                </c:pt>
                <c:pt idx="17">
                  <c:v>21.9483</c:v>
                </c:pt>
                <c:pt idx="18">
                  <c:v>22.3568</c:v>
                </c:pt>
                <c:pt idx="19">
                  <c:v>22.763500000000001</c:v>
                </c:pt>
                <c:pt idx="20">
                  <c:v>23.165700000000001</c:v>
                </c:pt>
                <c:pt idx="21">
                  <c:v>23.571200000000001</c:v>
                </c:pt>
                <c:pt idx="22">
                  <c:v>23.98</c:v>
                </c:pt>
                <c:pt idx="23">
                  <c:v>24.385400000000001</c:v>
                </c:pt>
                <c:pt idx="24">
                  <c:v>24.790600000000001</c:v>
                </c:pt>
                <c:pt idx="25">
                  <c:v>25.200800000000001</c:v>
                </c:pt>
                <c:pt idx="26">
                  <c:v>25.6038</c:v>
                </c:pt>
                <c:pt idx="27">
                  <c:v>26.009399999999999</c:v>
                </c:pt>
                <c:pt idx="28">
                  <c:v>26.415199999999999</c:v>
                </c:pt>
                <c:pt idx="29">
                  <c:v>26.8215</c:v>
                </c:pt>
                <c:pt idx="30">
                  <c:v>27.2303</c:v>
                </c:pt>
                <c:pt idx="31">
                  <c:v>27.6341</c:v>
                </c:pt>
                <c:pt idx="32">
                  <c:v>28.0413</c:v>
                </c:pt>
                <c:pt idx="33">
                  <c:v>28.447199999999999</c:v>
                </c:pt>
                <c:pt idx="34">
                  <c:v>28.8552</c:v>
                </c:pt>
                <c:pt idx="35">
                  <c:v>29.2624</c:v>
                </c:pt>
                <c:pt idx="36">
                  <c:v>29.6675</c:v>
                </c:pt>
                <c:pt idx="37">
                  <c:v>30.0732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42.1768</c:v>
                </c:pt>
                <c:pt idx="1">
                  <c:v>42.279899999999998</c:v>
                </c:pt>
                <c:pt idx="2">
                  <c:v>42.3307</c:v>
                </c:pt>
                <c:pt idx="3">
                  <c:v>42.356200000000001</c:v>
                </c:pt>
                <c:pt idx="4">
                  <c:v>42.400999999999996</c:v>
                </c:pt>
                <c:pt idx="5">
                  <c:v>42.471800000000002</c:v>
                </c:pt>
                <c:pt idx="6">
                  <c:v>42.521300000000004</c:v>
                </c:pt>
                <c:pt idx="7">
                  <c:v>42.606100000000005</c:v>
                </c:pt>
                <c:pt idx="8">
                  <c:v>42.785000000000004</c:v>
                </c:pt>
                <c:pt idx="9">
                  <c:v>43.027000000000001</c:v>
                </c:pt>
                <c:pt idx="10">
                  <c:v>43.18</c:v>
                </c:pt>
                <c:pt idx="11">
                  <c:v>43.2669</c:v>
                </c:pt>
                <c:pt idx="12">
                  <c:v>43.313600000000001</c:v>
                </c:pt>
                <c:pt idx="13">
                  <c:v>43.3292</c:v>
                </c:pt>
                <c:pt idx="14">
                  <c:v>43.292900000000003</c:v>
                </c:pt>
                <c:pt idx="15">
                  <c:v>43.291699999999999</c:v>
                </c:pt>
                <c:pt idx="16">
                  <c:v>43.381500000000003</c:v>
                </c:pt>
                <c:pt idx="17">
                  <c:v>43.488199999999999</c:v>
                </c:pt>
                <c:pt idx="18">
                  <c:v>43.5304</c:v>
                </c:pt>
                <c:pt idx="19">
                  <c:v>43.536099999999998</c:v>
                </c:pt>
                <c:pt idx="20">
                  <c:v>43.622300000000003</c:v>
                </c:pt>
                <c:pt idx="21">
                  <c:v>43.736899999999999</c:v>
                </c:pt>
                <c:pt idx="22">
                  <c:v>43.846000000000004</c:v>
                </c:pt>
                <c:pt idx="23">
                  <c:v>44.0274</c:v>
                </c:pt>
                <c:pt idx="24">
                  <c:v>44.358699999999999</c:v>
                </c:pt>
                <c:pt idx="25">
                  <c:v>44.685900000000004</c:v>
                </c:pt>
                <c:pt idx="26">
                  <c:v>44.9452</c:v>
                </c:pt>
                <c:pt idx="27">
                  <c:v>45.244399999999999</c:v>
                </c:pt>
                <c:pt idx="28">
                  <c:v>45.514600000000002</c:v>
                </c:pt>
                <c:pt idx="29">
                  <c:v>45.769399999999997</c:v>
                </c:pt>
                <c:pt idx="30">
                  <c:v>45.960599999999999</c:v>
                </c:pt>
                <c:pt idx="31">
                  <c:v>46.1858</c:v>
                </c:pt>
                <c:pt idx="32">
                  <c:v>46.3658</c:v>
                </c:pt>
                <c:pt idx="33">
                  <c:v>46.432899999999997</c:v>
                </c:pt>
                <c:pt idx="34">
                  <c:v>46.3902</c:v>
                </c:pt>
                <c:pt idx="35">
                  <c:v>46.162700000000001</c:v>
                </c:pt>
                <c:pt idx="36">
                  <c:v>45.526200000000003</c:v>
                </c:pt>
                <c:pt idx="37">
                  <c:v>45.390999999999998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7.5183</c:v>
                </c:pt>
                <c:pt idx="1">
                  <c:v>22.5549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43.103210810810815</c:v>
                </c:pt>
                <c:pt idx="1">
                  <c:v>43.98219729729729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5"/>
                <c:pt idx="0">
                  <c:v>2.7318599999999997</c:v>
                </c:pt>
                <c:pt idx="1">
                  <c:v>2.8113700000000001</c:v>
                </c:pt>
                <c:pt idx="2">
                  <c:v>2.8892099999999998</c:v>
                </c:pt>
                <c:pt idx="3">
                  <c:v>2.96922</c:v>
                </c:pt>
                <c:pt idx="4">
                  <c:v>3.0527500000000001</c:v>
                </c:pt>
                <c:pt idx="5">
                  <c:v>3.1375999999999999</c:v>
                </c:pt>
                <c:pt idx="6">
                  <c:v>3.21895</c:v>
                </c:pt>
                <c:pt idx="7">
                  <c:v>3.2973300000000001</c:v>
                </c:pt>
                <c:pt idx="8">
                  <c:v>3.3716299999999997</c:v>
                </c:pt>
                <c:pt idx="9">
                  <c:v>3.4414600000000002</c:v>
                </c:pt>
                <c:pt idx="10">
                  <c:v>3.5065800000000005</c:v>
                </c:pt>
                <c:pt idx="11">
                  <c:v>3.56595</c:v>
                </c:pt>
                <c:pt idx="12">
                  <c:v>3.6263200000000002</c:v>
                </c:pt>
                <c:pt idx="13">
                  <c:v>3.6739699999999997</c:v>
                </c:pt>
                <c:pt idx="14">
                  <c:v>3.7313900000000002</c:v>
                </c:pt>
                <c:pt idx="15">
                  <c:v>3.78146</c:v>
                </c:pt>
                <c:pt idx="16">
                  <c:v>3.8260100000000001</c:v>
                </c:pt>
                <c:pt idx="17">
                  <c:v>3.86863</c:v>
                </c:pt>
                <c:pt idx="18">
                  <c:v>3.9078299999999997</c:v>
                </c:pt>
                <c:pt idx="19">
                  <c:v>3.9415899999999997</c:v>
                </c:pt>
                <c:pt idx="20">
                  <c:v>3.9758900000000001</c:v>
                </c:pt>
                <c:pt idx="21">
                  <c:v>4.0112899999999998</c:v>
                </c:pt>
                <c:pt idx="22">
                  <c:v>4.0407599999999997</c:v>
                </c:pt>
                <c:pt idx="23">
                  <c:v>4.0625299999999998</c:v>
                </c:pt>
                <c:pt idx="24">
                  <c:v>4.0791300000000001</c:v>
                </c:pt>
                <c:pt idx="25">
                  <c:v>4.0937600000000005</c:v>
                </c:pt>
                <c:pt idx="26">
                  <c:v>4.1044599999999996</c:v>
                </c:pt>
                <c:pt idx="27">
                  <c:v>4.1115000000000004</c:v>
                </c:pt>
                <c:pt idx="28">
                  <c:v>4.1185999999999998</c:v>
                </c:pt>
                <c:pt idx="29">
                  <c:v>4.1245599999999998</c:v>
                </c:pt>
                <c:pt idx="30">
                  <c:v>4.1244700000000005</c:v>
                </c:pt>
                <c:pt idx="31">
                  <c:v>4.12202</c:v>
                </c:pt>
                <c:pt idx="32">
                  <c:v>4.1200200000000002</c:v>
                </c:pt>
                <c:pt idx="33">
                  <c:v>4.1187500000000004</c:v>
                </c:pt>
                <c:pt idx="34">
                  <c:v>4.1142699999999994</c:v>
                </c:pt>
                <c:pt idx="35">
                  <c:v>4.1072100000000002</c:v>
                </c:pt>
                <c:pt idx="36">
                  <c:v>4.1039099999999999</c:v>
                </c:pt>
                <c:pt idx="37">
                  <c:v>4.0994799999999998</c:v>
                </c:pt>
                <c:pt idx="38">
                  <c:v>4.0857900000000003</c:v>
                </c:pt>
                <c:pt idx="39">
                  <c:v>4.0764300000000002</c:v>
                </c:pt>
                <c:pt idx="40">
                  <c:v>4.07151</c:v>
                </c:pt>
                <c:pt idx="41">
                  <c:v>4.0668800000000003</c:v>
                </c:pt>
                <c:pt idx="42">
                  <c:v>4.0601099999999999</c:v>
                </c:pt>
                <c:pt idx="43">
                  <c:v>4.05626</c:v>
                </c:pt>
                <c:pt idx="44">
                  <c:v>4.05579</c:v>
                </c:pt>
                <c:pt idx="45">
                  <c:v>4.0523699999999998</c:v>
                </c:pt>
                <c:pt idx="46">
                  <c:v>4.04406</c:v>
                </c:pt>
                <c:pt idx="47">
                  <c:v>4.0377700000000001</c:v>
                </c:pt>
                <c:pt idx="48">
                  <c:v>4.0350999999999999</c:v>
                </c:pt>
                <c:pt idx="49">
                  <c:v>4.0322100000000001</c:v>
                </c:pt>
                <c:pt idx="50">
                  <c:v>4.0305800000000005</c:v>
                </c:pt>
                <c:pt idx="51">
                  <c:v>4.0314399999999999</c:v>
                </c:pt>
                <c:pt idx="52">
                  <c:v>4.0315399999999997</c:v>
                </c:pt>
                <c:pt idx="53">
                  <c:v>4.0266500000000001</c:v>
                </c:pt>
                <c:pt idx="54">
                  <c:v>4.0200000000000005</c:v>
                </c:pt>
                <c:pt idx="55">
                  <c:v>4.0156299999999998</c:v>
                </c:pt>
                <c:pt idx="56">
                  <c:v>4.0121200000000004</c:v>
                </c:pt>
                <c:pt idx="57">
                  <c:v>4.0047199999999998</c:v>
                </c:pt>
                <c:pt idx="58">
                  <c:v>3.99675</c:v>
                </c:pt>
                <c:pt idx="59">
                  <c:v>3.99465</c:v>
                </c:pt>
                <c:pt idx="60">
                  <c:v>3.9924200000000001</c:v>
                </c:pt>
                <c:pt idx="61">
                  <c:v>3.9862799999999998</c:v>
                </c:pt>
                <c:pt idx="62">
                  <c:v>3.9810400000000001</c:v>
                </c:pt>
                <c:pt idx="63">
                  <c:v>3.9825500000000003</c:v>
                </c:pt>
                <c:pt idx="64">
                  <c:v>3.9876399999999999</c:v>
                </c:pt>
                <c:pt idx="65">
                  <c:v>3.9883099999999998</c:v>
                </c:pt>
                <c:pt idx="66">
                  <c:v>3.9860699999999998</c:v>
                </c:pt>
                <c:pt idx="67">
                  <c:v>3.9920899999999997</c:v>
                </c:pt>
                <c:pt idx="68">
                  <c:v>3.9953499999999997</c:v>
                </c:pt>
                <c:pt idx="69">
                  <c:v>3.98672</c:v>
                </c:pt>
                <c:pt idx="70">
                  <c:v>3.9724500000000003</c:v>
                </c:pt>
                <c:pt idx="71">
                  <c:v>3.9593099999999999</c:v>
                </c:pt>
                <c:pt idx="72">
                  <c:v>3.9626099999999997</c:v>
                </c:pt>
                <c:pt idx="73">
                  <c:v>3.96516</c:v>
                </c:pt>
                <c:pt idx="74">
                  <c:v>3.9750100000000002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50.904700000000005</c:v>
                </c:pt>
                <c:pt idx="1">
                  <c:v>49.769799999999996</c:v>
                </c:pt>
                <c:pt idx="2">
                  <c:v>48.630099999999999</c:v>
                </c:pt>
                <c:pt idx="3">
                  <c:v>47.548999999999999</c:v>
                </c:pt>
                <c:pt idx="4">
                  <c:v>46.445700000000002</c:v>
                </c:pt>
                <c:pt idx="5">
                  <c:v>45.287799999999997</c:v>
                </c:pt>
                <c:pt idx="6">
                  <c:v>44.364199999999997</c:v>
                </c:pt>
                <c:pt idx="7">
                  <c:v>43.693799999999996</c:v>
                </c:pt>
                <c:pt idx="8">
                  <c:v>43.149700000000003</c:v>
                </c:pt>
                <c:pt idx="9">
                  <c:v>42.6068</c:v>
                </c:pt>
                <c:pt idx="10">
                  <c:v>42.175699999999999</c:v>
                </c:pt>
                <c:pt idx="11">
                  <c:v>41.981999999999999</c:v>
                </c:pt>
                <c:pt idx="12">
                  <c:v>41.7851</c:v>
                </c:pt>
                <c:pt idx="13">
                  <c:v>41.729799999999997</c:v>
                </c:pt>
                <c:pt idx="14">
                  <c:v>41.540799999999997</c:v>
                </c:pt>
                <c:pt idx="15">
                  <c:v>41.578400000000002</c:v>
                </c:pt>
                <c:pt idx="16">
                  <c:v>41.662399999999998</c:v>
                </c:pt>
                <c:pt idx="17">
                  <c:v>41.677399999999999</c:v>
                </c:pt>
                <c:pt idx="18">
                  <c:v>41.742699999999999</c:v>
                </c:pt>
                <c:pt idx="19">
                  <c:v>41.875900000000001</c:v>
                </c:pt>
                <c:pt idx="20">
                  <c:v>41.970400000000005</c:v>
                </c:pt>
                <c:pt idx="21">
                  <c:v>41.974299999999999</c:v>
                </c:pt>
                <c:pt idx="22">
                  <c:v>41.985599999999998</c:v>
                </c:pt>
                <c:pt idx="23">
                  <c:v>42.050599999999996</c:v>
                </c:pt>
                <c:pt idx="24">
                  <c:v>42.1008</c:v>
                </c:pt>
                <c:pt idx="25">
                  <c:v>42.100300000000004</c:v>
                </c:pt>
                <c:pt idx="26">
                  <c:v>42.079899999999995</c:v>
                </c:pt>
                <c:pt idx="27">
                  <c:v>42.064599999999999</c:v>
                </c:pt>
                <c:pt idx="28">
                  <c:v>41.997299999999996</c:v>
                </c:pt>
                <c:pt idx="29">
                  <c:v>41.940300000000001</c:v>
                </c:pt>
                <c:pt idx="30">
                  <c:v>41.941000000000003</c:v>
                </c:pt>
                <c:pt idx="31">
                  <c:v>41.990699999999997</c:v>
                </c:pt>
                <c:pt idx="32">
                  <c:v>42.0334</c:v>
                </c:pt>
                <c:pt idx="33">
                  <c:v>42.052399999999999</c:v>
                </c:pt>
                <c:pt idx="34">
                  <c:v>42.097000000000001</c:v>
                </c:pt>
                <c:pt idx="35">
                  <c:v>42.147500000000001</c:v>
                </c:pt>
                <c:pt idx="36">
                  <c:v>42.140899999999995</c:v>
                </c:pt>
                <c:pt idx="37">
                  <c:v>42.1768</c:v>
                </c:pt>
                <c:pt idx="38">
                  <c:v>42.279899999999998</c:v>
                </c:pt>
                <c:pt idx="39">
                  <c:v>42.3307</c:v>
                </c:pt>
                <c:pt idx="40">
                  <c:v>42.356200000000001</c:v>
                </c:pt>
                <c:pt idx="41">
                  <c:v>42.400999999999996</c:v>
                </c:pt>
                <c:pt idx="42">
                  <c:v>42.471800000000002</c:v>
                </c:pt>
                <c:pt idx="43">
                  <c:v>42.521300000000004</c:v>
                </c:pt>
                <c:pt idx="44">
                  <c:v>42.606100000000005</c:v>
                </c:pt>
                <c:pt idx="45">
                  <c:v>42.785000000000004</c:v>
                </c:pt>
                <c:pt idx="46">
                  <c:v>43.027000000000001</c:v>
                </c:pt>
                <c:pt idx="47">
                  <c:v>43.18</c:v>
                </c:pt>
                <c:pt idx="48">
                  <c:v>43.2669</c:v>
                </c:pt>
                <c:pt idx="49">
                  <c:v>43.313600000000001</c:v>
                </c:pt>
                <c:pt idx="50">
                  <c:v>43.3292</c:v>
                </c:pt>
                <c:pt idx="51">
                  <c:v>43.292900000000003</c:v>
                </c:pt>
                <c:pt idx="52">
                  <c:v>43.291699999999999</c:v>
                </c:pt>
                <c:pt idx="53">
                  <c:v>43.381500000000003</c:v>
                </c:pt>
                <c:pt idx="54">
                  <c:v>43.488199999999999</c:v>
                </c:pt>
                <c:pt idx="55">
                  <c:v>43.5304</c:v>
                </c:pt>
                <c:pt idx="56">
                  <c:v>43.536099999999998</c:v>
                </c:pt>
                <c:pt idx="57">
                  <c:v>43.622300000000003</c:v>
                </c:pt>
                <c:pt idx="58">
                  <c:v>43.736899999999999</c:v>
                </c:pt>
                <c:pt idx="59">
                  <c:v>43.846000000000004</c:v>
                </c:pt>
                <c:pt idx="60">
                  <c:v>44.0274</c:v>
                </c:pt>
                <c:pt idx="61">
                  <c:v>44.358699999999999</c:v>
                </c:pt>
                <c:pt idx="62">
                  <c:v>44.685900000000004</c:v>
                </c:pt>
                <c:pt idx="63">
                  <c:v>44.9452</c:v>
                </c:pt>
                <c:pt idx="64">
                  <c:v>45.244399999999999</c:v>
                </c:pt>
                <c:pt idx="65">
                  <c:v>45.514600000000002</c:v>
                </c:pt>
                <c:pt idx="66">
                  <c:v>45.769399999999997</c:v>
                </c:pt>
                <c:pt idx="67">
                  <c:v>45.960599999999999</c:v>
                </c:pt>
                <c:pt idx="68">
                  <c:v>46.1858</c:v>
                </c:pt>
                <c:pt idx="69">
                  <c:v>46.3658</c:v>
                </c:pt>
                <c:pt idx="70">
                  <c:v>46.432899999999997</c:v>
                </c:pt>
                <c:pt idx="71">
                  <c:v>46.3902</c:v>
                </c:pt>
                <c:pt idx="72">
                  <c:v>46.162700000000001</c:v>
                </c:pt>
                <c:pt idx="73">
                  <c:v>45.526200000000003</c:v>
                </c:pt>
                <c:pt idx="74">
                  <c:v>45.390999999999998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8"/>
                <c:pt idx="0">
                  <c:v>2.7318599999999997</c:v>
                </c:pt>
                <c:pt idx="1">
                  <c:v>2.8113700000000001</c:v>
                </c:pt>
                <c:pt idx="2">
                  <c:v>2.8892099999999998</c:v>
                </c:pt>
                <c:pt idx="3">
                  <c:v>2.96922</c:v>
                </c:pt>
                <c:pt idx="4">
                  <c:v>3.0527500000000001</c:v>
                </c:pt>
                <c:pt idx="5">
                  <c:v>3.1375999999999999</c:v>
                </c:pt>
                <c:pt idx="6">
                  <c:v>3.21895</c:v>
                </c:pt>
                <c:pt idx="7">
                  <c:v>3.2973300000000001</c:v>
                </c:pt>
                <c:pt idx="8">
                  <c:v>3.3716299999999997</c:v>
                </c:pt>
                <c:pt idx="9">
                  <c:v>3.4414600000000002</c:v>
                </c:pt>
                <c:pt idx="10">
                  <c:v>3.5065800000000005</c:v>
                </c:pt>
                <c:pt idx="11">
                  <c:v>3.56595</c:v>
                </c:pt>
                <c:pt idx="12">
                  <c:v>3.6263200000000002</c:v>
                </c:pt>
                <c:pt idx="13">
                  <c:v>3.6739699999999997</c:v>
                </c:pt>
                <c:pt idx="14">
                  <c:v>3.7313900000000002</c:v>
                </c:pt>
                <c:pt idx="15">
                  <c:v>3.78146</c:v>
                </c:pt>
                <c:pt idx="16">
                  <c:v>3.8260100000000001</c:v>
                </c:pt>
                <c:pt idx="17">
                  <c:v>3.86863</c:v>
                </c:pt>
                <c:pt idx="18">
                  <c:v>3.9078299999999997</c:v>
                </c:pt>
                <c:pt idx="19">
                  <c:v>3.9415899999999997</c:v>
                </c:pt>
                <c:pt idx="20">
                  <c:v>3.9758900000000001</c:v>
                </c:pt>
                <c:pt idx="21">
                  <c:v>4.0112899999999998</c:v>
                </c:pt>
                <c:pt idx="22">
                  <c:v>4.0407599999999997</c:v>
                </c:pt>
                <c:pt idx="23">
                  <c:v>4.0625299999999998</c:v>
                </c:pt>
                <c:pt idx="24">
                  <c:v>4.0791300000000001</c:v>
                </c:pt>
                <c:pt idx="25">
                  <c:v>4.0937600000000005</c:v>
                </c:pt>
                <c:pt idx="26">
                  <c:v>4.1044599999999996</c:v>
                </c:pt>
                <c:pt idx="27">
                  <c:v>4.1115000000000004</c:v>
                </c:pt>
                <c:pt idx="28">
                  <c:v>4.1185999999999998</c:v>
                </c:pt>
                <c:pt idx="29">
                  <c:v>4.1245599999999998</c:v>
                </c:pt>
                <c:pt idx="30">
                  <c:v>4.1244700000000005</c:v>
                </c:pt>
                <c:pt idx="31">
                  <c:v>4.12202</c:v>
                </c:pt>
                <c:pt idx="32">
                  <c:v>4.1200200000000002</c:v>
                </c:pt>
                <c:pt idx="33">
                  <c:v>4.1187500000000004</c:v>
                </c:pt>
                <c:pt idx="34">
                  <c:v>4.1142699999999994</c:v>
                </c:pt>
                <c:pt idx="35">
                  <c:v>4.1072100000000002</c:v>
                </c:pt>
                <c:pt idx="36">
                  <c:v>4.1039099999999999</c:v>
                </c:pt>
                <c:pt idx="37">
                  <c:v>4.0994799999999998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50.904700000000005</c:v>
                </c:pt>
                <c:pt idx="1">
                  <c:v>49.769799999999996</c:v>
                </c:pt>
                <c:pt idx="2">
                  <c:v>48.630099999999999</c:v>
                </c:pt>
                <c:pt idx="3">
                  <c:v>47.548999999999999</c:v>
                </c:pt>
                <c:pt idx="4">
                  <c:v>46.445700000000002</c:v>
                </c:pt>
                <c:pt idx="5">
                  <c:v>45.287799999999997</c:v>
                </c:pt>
                <c:pt idx="6">
                  <c:v>44.364199999999997</c:v>
                </c:pt>
                <c:pt idx="7">
                  <c:v>43.693799999999996</c:v>
                </c:pt>
                <c:pt idx="8">
                  <c:v>43.149700000000003</c:v>
                </c:pt>
                <c:pt idx="9">
                  <c:v>42.6068</c:v>
                </c:pt>
                <c:pt idx="10">
                  <c:v>42.175699999999999</c:v>
                </c:pt>
                <c:pt idx="11">
                  <c:v>41.981999999999999</c:v>
                </c:pt>
                <c:pt idx="12">
                  <c:v>41.7851</c:v>
                </c:pt>
                <c:pt idx="13">
                  <c:v>41.729799999999997</c:v>
                </c:pt>
                <c:pt idx="14">
                  <c:v>41.540799999999997</c:v>
                </c:pt>
                <c:pt idx="15">
                  <c:v>41.578400000000002</c:v>
                </c:pt>
                <c:pt idx="16">
                  <c:v>41.662399999999998</c:v>
                </c:pt>
                <c:pt idx="17">
                  <c:v>41.677399999999999</c:v>
                </c:pt>
                <c:pt idx="18">
                  <c:v>41.742699999999999</c:v>
                </c:pt>
                <c:pt idx="19">
                  <c:v>41.875900000000001</c:v>
                </c:pt>
                <c:pt idx="20">
                  <c:v>41.970400000000005</c:v>
                </c:pt>
                <c:pt idx="21">
                  <c:v>41.974299999999999</c:v>
                </c:pt>
                <c:pt idx="22">
                  <c:v>41.985599999999998</c:v>
                </c:pt>
                <c:pt idx="23">
                  <c:v>42.050599999999996</c:v>
                </c:pt>
                <c:pt idx="24">
                  <c:v>42.1008</c:v>
                </c:pt>
                <c:pt idx="25">
                  <c:v>42.100300000000004</c:v>
                </c:pt>
                <c:pt idx="26">
                  <c:v>42.079899999999995</c:v>
                </c:pt>
                <c:pt idx="27">
                  <c:v>42.064599999999999</c:v>
                </c:pt>
                <c:pt idx="28">
                  <c:v>41.997299999999996</c:v>
                </c:pt>
                <c:pt idx="29">
                  <c:v>41.940300000000001</c:v>
                </c:pt>
                <c:pt idx="30">
                  <c:v>41.941000000000003</c:v>
                </c:pt>
                <c:pt idx="31">
                  <c:v>41.990699999999997</c:v>
                </c:pt>
                <c:pt idx="32">
                  <c:v>42.0334</c:v>
                </c:pt>
                <c:pt idx="33">
                  <c:v>42.052399999999999</c:v>
                </c:pt>
                <c:pt idx="34">
                  <c:v>42.097000000000001</c:v>
                </c:pt>
                <c:pt idx="35">
                  <c:v>42.147500000000001</c:v>
                </c:pt>
                <c:pt idx="36">
                  <c:v>42.140899999999995</c:v>
                </c:pt>
                <c:pt idx="37">
                  <c:v>42.1768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4.0994799999999998</c:v>
                </c:pt>
                <c:pt idx="1">
                  <c:v>4.0857900000000003</c:v>
                </c:pt>
                <c:pt idx="2">
                  <c:v>4.0764300000000002</c:v>
                </c:pt>
                <c:pt idx="3">
                  <c:v>4.07151</c:v>
                </c:pt>
                <c:pt idx="4">
                  <c:v>4.0668800000000003</c:v>
                </c:pt>
                <c:pt idx="5">
                  <c:v>4.0601099999999999</c:v>
                </c:pt>
                <c:pt idx="6">
                  <c:v>4.05626</c:v>
                </c:pt>
                <c:pt idx="7">
                  <c:v>4.05579</c:v>
                </c:pt>
                <c:pt idx="8">
                  <c:v>4.0523699999999998</c:v>
                </c:pt>
                <c:pt idx="9">
                  <c:v>4.04406</c:v>
                </c:pt>
                <c:pt idx="10">
                  <c:v>4.0377700000000001</c:v>
                </c:pt>
                <c:pt idx="11">
                  <c:v>4.0350999999999999</c:v>
                </c:pt>
                <c:pt idx="12">
                  <c:v>4.0322100000000001</c:v>
                </c:pt>
                <c:pt idx="13">
                  <c:v>4.0305800000000005</c:v>
                </c:pt>
                <c:pt idx="14">
                  <c:v>4.0314399999999999</c:v>
                </c:pt>
                <c:pt idx="15">
                  <c:v>4.0315399999999997</c:v>
                </c:pt>
                <c:pt idx="16">
                  <c:v>4.0266500000000001</c:v>
                </c:pt>
                <c:pt idx="17">
                  <c:v>4.0200000000000005</c:v>
                </c:pt>
                <c:pt idx="18">
                  <c:v>4.0156299999999998</c:v>
                </c:pt>
                <c:pt idx="19">
                  <c:v>4.0121200000000004</c:v>
                </c:pt>
                <c:pt idx="20">
                  <c:v>4.0047199999999998</c:v>
                </c:pt>
                <c:pt idx="21">
                  <c:v>3.99675</c:v>
                </c:pt>
                <c:pt idx="22">
                  <c:v>3.99465</c:v>
                </c:pt>
                <c:pt idx="23">
                  <c:v>3.9924200000000001</c:v>
                </c:pt>
                <c:pt idx="24">
                  <c:v>3.9862799999999998</c:v>
                </c:pt>
                <c:pt idx="25">
                  <c:v>3.9810400000000001</c:v>
                </c:pt>
                <c:pt idx="26">
                  <c:v>3.9825500000000003</c:v>
                </c:pt>
                <c:pt idx="27">
                  <c:v>3.9876399999999999</c:v>
                </c:pt>
                <c:pt idx="28">
                  <c:v>3.9883099999999998</c:v>
                </c:pt>
                <c:pt idx="29">
                  <c:v>3.9860699999999998</c:v>
                </c:pt>
                <c:pt idx="30">
                  <c:v>3.9920899999999997</c:v>
                </c:pt>
                <c:pt idx="31">
                  <c:v>3.9953499999999997</c:v>
                </c:pt>
                <c:pt idx="32">
                  <c:v>3.98672</c:v>
                </c:pt>
                <c:pt idx="33">
                  <c:v>3.9724500000000003</c:v>
                </c:pt>
                <c:pt idx="34">
                  <c:v>3.9593099999999999</c:v>
                </c:pt>
                <c:pt idx="35">
                  <c:v>3.9626099999999997</c:v>
                </c:pt>
                <c:pt idx="36">
                  <c:v>3.96516</c:v>
                </c:pt>
                <c:pt idx="37">
                  <c:v>3.9750100000000002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42.1768</c:v>
                </c:pt>
                <c:pt idx="1">
                  <c:v>42.279899999999998</c:v>
                </c:pt>
                <c:pt idx="2">
                  <c:v>42.3307</c:v>
                </c:pt>
                <c:pt idx="3">
                  <c:v>42.356200000000001</c:v>
                </c:pt>
                <c:pt idx="4">
                  <c:v>42.400999999999996</c:v>
                </c:pt>
                <c:pt idx="5">
                  <c:v>42.471800000000002</c:v>
                </c:pt>
                <c:pt idx="6">
                  <c:v>42.521300000000004</c:v>
                </c:pt>
                <c:pt idx="7">
                  <c:v>42.606100000000005</c:v>
                </c:pt>
                <c:pt idx="8">
                  <c:v>42.785000000000004</c:v>
                </c:pt>
                <c:pt idx="9">
                  <c:v>43.027000000000001</c:v>
                </c:pt>
                <c:pt idx="10">
                  <c:v>43.18</c:v>
                </c:pt>
                <c:pt idx="11">
                  <c:v>43.2669</c:v>
                </c:pt>
                <c:pt idx="12">
                  <c:v>43.313600000000001</c:v>
                </c:pt>
                <c:pt idx="13">
                  <c:v>43.3292</c:v>
                </c:pt>
                <c:pt idx="14">
                  <c:v>43.292900000000003</c:v>
                </c:pt>
                <c:pt idx="15">
                  <c:v>43.291699999999999</c:v>
                </c:pt>
                <c:pt idx="16">
                  <c:v>43.381500000000003</c:v>
                </c:pt>
                <c:pt idx="17">
                  <c:v>43.488199999999999</c:v>
                </c:pt>
                <c:pt idx="18">
                  <c:v>43.5304</c:v>
                </c:pt>
                <c:pt idx="19">
                  <c:v>43.536099999999998</c:v>
                </c:pt>
                <c:pt idx="20">
                  <c:v>43.622300000000003</c:v>
                </c:pt>
                <c:pt idx="21">
                  <c:v>43.736899999999999</c:v>
                </c:pt>
                <c:pt idx="22">
                  <c:v>43.846000000000004</c:v>
                </c:pt>
                <c:pt idx="23">
                  <c:v>44.0274</c:v>
                </c:pt>
                <c:pt idx="24">
                  <c:v>44.358699999999999</c:v>
                </c:pt>
                <c:pt idx="25">
                  <c:v>44.685900000000004</c:v>
                </c:pt>
                <c:pt idx="26">
                  <c:v>44.9452</c:v>
                </c:pt>
                <c:pt idx="27">
                  <c:v>45.244399999999999</c:v>
                </c:pt>
                <c:pt idx="28">
                  <c:v>45.514600000000002</c:v>
                </c:pt>
                <c:pt idx="29">
                  <c:v>45.769399999999997</c:v>
                </c:pt>
                <c:pt idx="30">
                  <c:v>45.960599999999999</c:v>
                </c:pt>
                <c:pt idx="31">
                  <c:v>46.1858</c:v>
                </c:pt>
                <c:pt idx="32">
                  <c:v>46.3658</c:v>
                </c:pt>
                <c:pt idx="33">
                  <c:v>46.432899999999997</c:v>
                </c:pt>
                <c:pt idx="34">
                  <c:v>46.3902</c:v>
                </c:pt>
                <c:pt idx="35">
                  <c:v>46.162700000000001</c:v>
                </c:pt>
                <c:pt idx="36">
                  <c:v>45.526200000000003</c:v>
                </c:pt>
                <c:pt idx="37">
                  <c:v>45.390999999999998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2.7318599999999997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50.904700000000005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3.7266010810810819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43.103210810810815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4.018265945945946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43.98219729729729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4.018265945945946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43.98219729729729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496</v>
      </c>
      <c r="D5" s="191"/>
      <c r="E5" s="191"/>
      <c r="F5" s="192"/>
      <c r="G5" s="48" t="str">
        <f>lang!B27</f>
        <v>编号</v>
      </c>
      <c r="H5" s="190">
        <v>5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495</v>
      </c>
      <c r="D6" s="145"/>
      <c r="E6" s="145"/>
      <c r="F6" s="146"/>
      <c r="G6" s="49" t="str">
        <f>lang!B28</f>
        <v xml:space="preserve"> 日期</v>
      </c>
      <c r="H6" s="129">
        <f>FH_info!A2</f>
        <v>43615.65289351852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37</v>
      </c>
      <c r="D7" s="148"/>
      <c r="E7" s="148"/>
      <c r="F7" s="149"/>
      <c r="G7" s="50" t="str">
        <f>lang!B29</f>
        <v>误差率（%）</v>
      </c>
      <c r="H7" s="132">
        <f>M!B17*1</f>
        <v>15.909599999999999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42.0961</v>
      </c>
      <c r="O8" s="59">
        <f>M!C5*1</f>
        <v>8.0284099999999992</v>
      </c>
      <c r="P8" s="59">
        <f>M!D5*1</f>
        <v>19.0716</v>
      </c>
      <c r="Q8" s="59">
        <f>M!E5*1</f>
        <v>20</v>
      </c>
      <c r="R8" s="59">
        <f>M!F5*1</f>
        <v>20.242599999999999</v>
      </c>
      <c r="S8" s="59">
        <f>M!G5*1</f>
        <v>50</v>
      </c>
      <c r="T8" s="59">
        <f>M!H5*1</f>
        <v>51.851999999999997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30.3567</v>
      </c>
      <c r="O9" s="59">
        <f>M!C6*1</f>
        <v>1.39916</v>
      </c>
      <c r="P9" s="59">
        <f>M!D6*1</f>
        <v>4.6090600000000004</v>
      </c>
      <c r="Q9" s="59">
        <f>M!E6*1</f>
        <v>20</v>
      </c>
      <c r="R9" s="59">
        <f>M!F6*1</f>
        <v>28.0932</v>
      </c>
      <c r="S9" s="59">
        <f>M!G6*1</f>
        <v>40</v>
      </c>
      <c r="T9" s="59">
        <f>M!H6*1</f>
        <v>33.8476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20.242599999999999</v>
      </c>
      <c r="D10" s="99">
        <f>N8</f>
        <v>42.0961</v>
      </c>
      <c r="E10" s="100">
        <f>T8</f>
        <v>51.851999999999997</v>
      </c>
      <c r="F10" s="91">
        <f>P8</f>
        <v>19.0716</v>
      </c>
      <c r="G10" s="81" t="str">
        <f>CONCATENATE(M9,"
(20 ~ 40)")</f>
        <v>压力
(20 ~ 40)</v>
      </c>
      <c r="H10" s="98">
        <f>R9</f>
        <v>28.0932</v>
      </c>
      <c r="I10" s="108">
        <f>N9</f>
        <v>30.3567</v>
      </c>
      <c r="J10" s="98">
        <f>T9</f>
        <v>33.8476</v>
      </c>
      <c r="K10" s="92">
        <f>P9</f>
        <v>4.6090600000000004</v>
      </c>
      <c r="L10" s="6"/>
      <c r="M10" s="27" t="str">
        <f>lang!B16</f>
        <v>焦虑</v>
      </c>
      <c r="N10" s="59">
        <f>M!B7*1</f>
        <v>24.0518</v>
      </c>
      <c r="O10" s="59">
        <f>M!C7*1</f>
        <v>8.0831300000000006</v>
      </c>
      <c r="P10" s="59">
        <f>M!D7*1</f>
        <v>33.607199999999999</v>
      </c>
      <c r="Q10" s="59">
        <f>M!E7*1</f>
        <v>15</v>
      </c>
      <c r="R10" s="59">
        <f>M!F7*1</f>
        <v>2.1363300000000001</v>
      </c>
      <c r="S10" s="59">
        <f>M!G7*1</f>
        <v>40</v>
      </c>
      <c r="T10" s="59">
        <f>M!H7*1</f>
        <v>39.247799999999998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2.1363300000000001</v>
      </c>
      <c r="D11" s="102">
        <f>N10</f>
        <v>24.0518</v>
      </c>
      <c r="E11" s="103">
        <f>T10</f>
        <v>39.247799999999998</v>
      </c>
      <c r="F11" s="94">
        <f>P10</f>
        <v>33.607199999999999</v>
      </c>
      <c r="G11" s="52" t="str">
        <f>CONCATENATE(M11,"
(20 ~ 50)")</f>
        <v>可疑
(20 ~ 50)</v>
      </c>
      <c r="H11" s="101">
        <f>R11</f>
        <v>24.164899999999999</v>
      </c>
      <c r="I11" s="104">
        <f>N11</f>
        <v>30.256</v>
      </c>
      <c r="J11" s="101">
        <f>T11</f>
        <v>36.747300000000003</v>
      </c>
      <c r="K11" s="95">
        <f>P11</f>
        <v>13.6256</v>
      </c>
      <c r="L11" s="4"/>
      <c r="M11" s="27" t="str">
        <f>lang!B17</f>
        <v>可疑</v>
      </c>
      <c r="N11" s="59">
        <f>M!B8*1</f>
        <v>30.256</v>
      </c>
      <c r="O11" s="59">
        <f>M!C8*1</f>
        <v>4.1225699999999996</v>
      </c>
      <c r="P11" s="59">
        <f>M!D8*1</f>
        <v>13.6256</v>
      </c>
      <c r="Q11" s="59">
        <f>M!E8*1</f>
        <v>20</v>
      </c>
      <c r="R11" s="59">
        <f>M!F8*1</f>
        <v>24.164899999999999</v>
      </c>
      <c r="S11" s="59">
        <f>M!G8*1</f>
        <v>50</v>
      </c>
      <c r="T11" s="59">
        <f>M!H8*1</f>
        <v>36.747300000000003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62.510399999999997</v>
      </c>
      <c r="D12" s="104">
        <f>N12</f>
        <v>69.846500000000006</v>
      </c>
      <c r="E12" s="101">
        <f>T12</f>
        <v>74.722200000000001</v>
      </c>
      <c r="F12" s="93">
        <f>P12</f>
        <v>3.4874499999999999</v>
      </c>
      <c r="G12" s="52" t="str">
        <f>CONCATENATE(M13,"
(40 ~ 100)")</f>
        <v>自信
(40 ~ 100)</v>
      </c>
      <c r="H12" s="101">
        <f>R13</f>
        <v>60.101799999999997</v>
      </c>
      <c r="I12" s="104">
        <f>N13</f>
        <v>71.524000000000001</v>
      </c>
      <c r="J12" s="101">
        <f>T13</f>
        <v>79.539500000000004</v>
      </c>
      <c r="K12" s="95">
        <f>P13</f>
        <v>5.5606900000000001</v>
      </c>
      <c r="L12" s="4"/>
      <c r="M12" s="27" t="str">
        <f>lang!B18</f>
        <v>平衡</v>
      </c>
      <c r="N12" s="59">
        <f>M!B9*1</f>
        <v>69.846500000000006</v>
      </c>
      <c r="O12" s="59">
        <f>M!C9*1</f>
        <v>2.4358599999999999</v>
      </c>
      <c r="P12" s="59">
        <f>M!D9*1</f>
        <v>3.4874499999999999</v>
      </c>
      <c r="Q12" s="59">
        <f>M!E9*1</f>
        <v>50</v>
      </c>
      <c r="R12" s="59">
        <f>M!F9*1</f>
        <v>62.510399999999997</v>
      </c>
      <c r="S12" s="59">
        <f>M!G9*1</f>
        <v>100</v>
      </c>
      <c r="T12" s="59">
        <f>M!H9*1</f>
        <v>74.722200000000001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12.376300000000001</v>
      </c>
      <c r="D13" s="102">
        <f>N14</f>
        <v>28.634799999999998</v>
      </c>
      <c r="E13" s="103">
        <f>T14</f>
        <v>30.546299999999999</v>
      </c>
      <c r="F13" s="94">
        <f>P14</f>
        <v>18.646699999999999</v>
      </c>
      <c r="G13" s="52" t="str">
        <f>CONCATENATE(M15,"
(50 ~ 100)")</f>
        <v>自我调节
(50 ~ 100)</v>
      </c>
      <c r="H13" s="101">
        <f>R15</f>
        <v>64.797899999999998</v>
      </c>
      <c r="I13" s="104">
        <f>N15</f>
        <v>70.659899999999993</v>
      </c>
      <c r="J13" s="101">
        <f>T15</f>
        <v>75.101399999999998</v>
      </c>
      <c r="K13" s="95">
        <f>P15</f>
        <v>3.0070700000000001</v>
      </c>
      <c r="L13" s="4"/>
      <c r="M13" s="27" t="str">
        <f>lang!B19</f>
        <v>自信</v>
      </c>
      <c r="N13" s="59">
        <f>M!B10*1</f>
        <v>71.524000000000001</v>
      </c>
      <c r="O13" s="59">
        <f>M!C10*1</f>
        <v>3.97723</v>
      </c>
      <c r="P13" s="59">
        <f>M!D10*1</f>
        <v>5.5606900000000001</v>
      </c>
      <c r="Q13" s="59">
        <f>M!E10*1</f>
        <v>40</v>
      </c>
      <c r="R13" s="59">
        <f>M!F10*1</f>
        <v>60.101799999999997</v>
      </c>
      <c r="S13" s="59">
        <f>M!G10*1</f>
        <v>100</v>
      </c>
      <c r="T13" s="59">
        <f>M!H10*1</f>
        <v>79.539500000000004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12.8659</v>
      </c>
      <c r="D14" s="106">
        <f>N16</f>
        <v>15.3279</v>
      </c>
      <c r="E14" s="107">
        <f>T16</f>
        <v>45.121099999999998</v>
      </c>
      <c r="F14" s="96">
        <f>P16</f>
        <v>31.817699999999999</v>
      </c>
      <c r="G14" s="112" t="str">
        <f>CONCATENATE(M17,"
(10 ~ 50)")</f>
        <v>神经质
(10 ~ 50)</v>
      </c>
      <c r="H14" s="105">
        <f>R17</f>
        <v>2.8301500000000002</v>
      </c>
      <c r="I14" s="106">
        <f>N17</f>
        <v>48.769799999999996</v>
      </c>
      <c r="J14" s="107">
        <f>T17</f>
        <v>71.620099999999994</v>
      </c>
      <c r="K14" s="97">
        <f>P17</f>
        <v>25.662800000000001</v>
      </c>
      <c r="M14" s="27" t="str">
        <f>lang!B20</f>
        <v>活力</v>
      </c>
      <c r="N14" s="59">
        <f>M!B11*1</f>
        <v>28.634799999999998</v>
      </c>
      <c r="O14" s="59">
        <f>M!C11*1</f>
        <v>5.3394599999999999</v>
      </c>
      <c r="P14" s="59">
        <f>M!D11*1</f>
        <v>18.646699999999999</v>
      </c>
      <c r="Q14" s="59">
        <f>M!E11*1</f>
        <v>10</v>
      </c>
      <c r="R14" s="59">
        <f>M!F11*1</f>
        <v>12.376300000000001</v>
      </c>
      <c r="S14" s="59">
        <f>M!G11*1</f>
        <v>50</v>
      </c>
      <c r="T14" s="59">
        <f>M!H11*1</f>
        <v>30.546299999999999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70.659899999999993</v>
      </c>
      <c r="O15" s="59">
        <f>M!C12*1</f>
        <v>2.1248</v>
      </c>
      <c r="P15" s="59">
        <f>M!D12*1</f>
        <v>3.0070700000000001</v>
      </c>
      <c r="Q15" s="59">
        <f>M!E12*1</f>
        <v>50</v>
      </c>
      <c r="R15" s="59">
        <f>M!F12*1</f>
        <v>64.797899999999998</v>
      </c>
      <c r="S15" s="59">
        <f>M!G12*1</f>
        <v>100</v>
      </c>
      <c r="T15" s="59">
        <f>M!H12*1</f>
        <v>75.101399999999998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15.3279</v>
      </c>
      <c r="O16" s="59">
        <f>M!C13*1</f>
        <v>4.8769799999999996</v>
      </c>
      <c r="P16" s="59">
        <f>M!D13*1</f>
        <v>31.817699999999999</v>
      </c>
      <c r="Q16" s="59">
        <f>M!E13*1</f>
        <v>10</v>
      </c>
      <c r="R16" s="59">
        <f>M!F13*1</f>
        <v>12.8659</v>
      </c>
      <c r="S16" s="59">
        <f>M!G13*1</f>
        <v>25</v>
      </c>
      <c r="T16" s="59">
        <f>M!H13*1</f>
        <v>45.121099999999998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48.769799999999996</v>
      </c>
      <c r="O17" s="59">
        <f>M!C14*1</f>
        <v>12.515700000000001</v>
      </c>
      <c r="P17" s="59">
        <f>M!D14*1</f>
        <v>25.662800000000001</v>
      </c>
      <c r="Q17" s="59">
        <f>M!E14*1</f>
        <v>10</v>
      </c>
      <c r="R17" s="59">
        <f>M!F14*1</f>
        <v>2.8301500000000002</v>
      </c>
      <c r="S17" s="59">
        <f>M!G14*1</f>
        <v>50</v>
      </c>
      <c r="T17" s="59">
        <f>M!H14*1</f>
        <v>71.620099999999994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60.166299999999993</v>
      </c>
      <c r="O18" s="22">
        <f>N18/(N18+N19+N20)</f>
        <v>0.4855829411655514</v>
      </c>
      <c r="P18" s="65">
        <f>SUM(P12:P15)/4</f>
        <v>7.6754774999999995</v>
      </c>
      <c r="Q18" s="22">
        <f>P18/(P18+P19+P20)</f>
        <v>0.1417602021864158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31.690149999999999</v>
      </c>
      <c r="O19" s="22">
        <f>N19/(N18+N19+N20)</f>
        <v>0.25576105299773294</v>
      </c>
      <c r="P19" s="18">
        <f>SUM(P8:P11)/4</f>
        <v>17.728365</v>
      </c>
      <c r="Q19" s="22">
        <f>P19/(P18+P19+P20)</f>
        <v>0.32742934974854365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32.048850000000002</v>
      </c>
      <c r="O20" s="22">
        <f>N20/(N18+N19+N20)</f>
        <v>0.25865600583671566</v>
      </c>
      <c r="P20" s="18">
        <f>(P16+P17)/2</f>
        <v>28.74025</v>
      </c>
      <c r="Q20" s="22">
        <f>P20/(P18+P19+P20)</f>
        <v>0.53081044806504052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-2.0376621621621627E-2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1.8115057815125324</v>
      </c>
      <c r="D25" s="44" t="str">
        <f>lang!B11</f>
        <v>频率方差</v>
      </c>
      <c r="E25" s="182">
        <f ca="1">FH!L3</f>
        <v>0.61803464006529629</v>
      </c>
      <c r="F25" s="183"/>
      <c r="G25" s="174" t="str">
        <f>lang!B12</f>
        <v>生理变化率</v>
      </c>
      <c r="H25" s="175"/>
      <c r="I25" s="62" t="str">
        <f ca="1">CONCATENATE(info!M7,"-",info!M8)</f>
        <v>41.5-50.9</v>
      </c>
      <c r="J25" s="42" t="str">
        <f>lang!B13</f>
        <v>千卡l/分钟</v>
      </c>
      <c r="K25" s="41" t="str">
        <f ca="1">CONCATENATE(info!M5,"-",info!M6)</f>
        <v>2.7-4.1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55.001400000000004</v>
      </c>
      <c r="F28" s="121"/>
      <c r="G28" s="135" t="str">
        <f>lang!B33</f>
        <v>稳定性</v>
      </c>
      <c r="H28" s="136"/>
      <c r="I28" s="137"/>
      <c r="J28" s="138">
        <f>M!B19*100</f>
        <v>62.215499999999999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43615.65289351852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8.7683999999999997</v>
      </c>
      <c r="O7" s="59">
        <f t="shared" ref="O7:T7" si="2">AG7-X7</f>
        <v>-5.2893799999999995</v>
      </c>
      <c r="P7" s="59">
        <f t="shared" si="2"/>
        <v>-16.897089999999999</v>
      </c>
      <c r="Q7" s="59">
        <f t="shared" si="2"/>
        <v>0</v>
      </c>
      <c r="R7" s="59">
        <f t="shared" si="2"/>
        <v>20.549299999999999</v>
      </c>
      <c r="S7" s="59">
        <f t="shared" si="2"/>
        <v>0</v>
      </c>
      <c r="T7" s="59">
        <f t="shared" si="2"/>
        <v>-0.46239999999999526</v>
      </c>
      <c r="U7" s="14"/>
      <c r="V7" s="27" t="str">
        <f>M7</f>
        <v>攻击性</v>
      </c>
      <c r="W7" s="59">
        <f>'M1'!B5*1</f>
        <v>34.823599999999999</v>
      </c>
      <c r="X7" s="59">
        <f>'M1'!C5*1</f>
        <v>8.2464499999999994</v>
      </c>
      <c r="Y7" s="59">
        <f>'M1'!D5*1</f>
        <v>23.680599999999998</v>
      </c>
      <c r="Z7" s="59">
        <f>'M1'!E5*1</f>
        <v>20</v>
      </c>
      <c r="AA7" s="59">
        <f>'M1'!F5*1</f>
        <v>20.242599999999999</v>
      </c>
      <c r="AB7" s="59">
        <f>'M1'!G5*1</f>
        <v>50</v>
      </c>
      <c r="AC7" s="59">
        <f>'M1'!H5*1</f>
        <v>51.851999999999997</v>
      </c>
      <c r="AE7" s="27" t="str">
        <f>V7</f>
        <v>攻击性</v>
      </c>
      <c r="AF7" s="59">
        <f>'M2'!B5*1</f>
        <v>43.591999999999999</v>
      </c>
      <c r="AG7" s="59">
        <f>'M2'!C5*1</f>
        <v>2.9570699999999999</v>
      </c>
      <c r="AH7" s="59">
        <f>'M2'!D5*1</f>
        <v>6.7835099999999997</v>
      </c>
      <c r="AI7" s="59">
        <f>'M2'!E5*1</f>
        <v>20</v>
      </c>
      <c r="AJ7" s="59">
        <f>'M2'!F5*1</f>
        <v>40.791899999999998</v>
      </c>
      <c r="AK7" s="59">
        <f>'M2'!G5*1</f>
        <v>50</v>
      </c>
      <c r="AL7" s="59">
        <f>'M2'!H5*1</f>
        <v>51.389600000000002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1.4913999999999987</v>
      </c>
      <c r="O8" s="59">
        <f t="shared" ref="O8:O16" si="5">AG8-X8</f>
        <v>0.51313900000000001</v>
      </c>
      <c r="P8" s="59">
        <f t="shared" ref="P8:P16" si="6">AH8-Y8</f>
        <v>1.55003</v>
      </c>
      <c r="Q8" s="59">
        <f t="shared" ref="Q8:Q16" si="7">AI8-Z8</f>
        <v>0</v>
      </c>
      <c r="R8" s="59">
        <f t="shared" ref="R8:R16" si="8">AJ8-AA8</f>
        <v>1.4710999999999999</v>
      </c>
      <c r="S8" s="59">
        <f t="shared" ref="S8:S16" si="9">AK8-AB8</f>
        <v>0</v>
      </c>
      <c r="T8" s="59">
        <f t="shared" ref="T8:T16" si="10">AL8-AC8</f>
        <v>3.1061000000000014</v>
      </c>
      <c r="U8" s="15"/>
      <c r="V8" s="27" t="str">
        <f t="shared" ref="V8:V16" si="11">M8</f>
        <v>压力</v>
      </c>
      <c r="W8" s="59">
        <f>'M1'!B6*1</f>
        <v>29.42</v>
      </c>
      <c r="X8" s="59">
        <f>'M1'!C6*1</f>
        <v>0.67073099999999997</v>
      </c>
      <c r="Y8" s="59">
        <f>'M1'!D6*1</f>
        <v>2.2798500000000002</v>
      </c>
      <c r="Z8" s="59">
        <f>'M1'!E6*1</f>
        <v>20</v>
      </c>
      <c r="AA8" s="59">
        <f>'M1'!F6*1</f>
        <v>28.0932</v>
      </c>
      <c r="AB8" s="59">
        <f>'M1'!G6*1</f>
        <v>40</v>
      </c>
      <c r="AC8" s="59">
        <f>'M1'!H6*1</f>
        <v>30.741499999999998</v>
      </c>
      <c r="AE8" s="27" t="str">
        <f t="shared" ref="AE8:AE16" si="12">V8</f>
        <v>压力</v>
      </c>
      <c r="AF8" s="59">
        <f>'M2'!B6*1</f>
        <v>30.9114</v>
      </c>
      <c r="AG8" s="59">
        <f>'M2'!C6*1</f>
        <v>1.18387</v>
      </c>
      <c r="AH8" s="59">
        <f>'M2'!D6*1</f>
        <v>3.8298800000000002</v>
      </c>
      <c r="AI8" s="59">
        <f>'M2'!E6*1</f>
        <v>20</v>
      </c>
      <c r="AJ8" s="59">
        <f>'M2'!F6*1</f>
        <v>29.564299999999999</v>
      </c>
      <c r="AK8" s="59">
        <f>'M2'!G6*1</f>
        <v>40</v>
      </c>
      <c r="AL8" s="59">
        <f>'M2'!H6*1</f>
        <v>33.8476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20.549299999999999</v>
      </c>
      <c r="D9" s="78">
        <f>N7</f>
        <v>8.7683999999999997</v>
      </c>
      <c r="E9" s="79">
        <f>T7</f>
        <v>-0.46239999999999526</v>
      </c>
      <c r="F9" s="79">
        <f>P7</f>
        <v>-16.897089999999999</v>
      </c>
      <c r="G9" s="80" t="str">
        <f>CONCATENATE(M8,"
(20 ~ 40)")</f>
        <v>压力
(20 ~ 40)</v>
      </c>
      <c r="H9" s="77">
        <f>R8</f>
        <v>1.4710999999999999</v>
      </c>
      <c r="I9" s="81">
        <f>N8</f>
        <v>1.4913999999999987</v>
      </c>
      <c r="J9" s="77">
        <f>T8</f>
        <v>3.1061000000000014</v>
      </c>
      <c r="K9" s="82">
        <f>P8</f>
        <v>1.55003</v>
      </c>
      <c r="L9" s="6"/>
      <c r="M9" s="27" t="str">
        <f>lang!B16</f>
        <v>焦虑</v>
      </c>
      <c r="N9" s="59">
        <f t="shared" si="4"/>
        <v>6.2708000000000013</v>
      </c>
      <c r="O9" s="59">
        <f t="shared" si="5"/>
        <v>3.0172100000000004</v>
      </c>
      <c r="P9" s="59">
        <f t="shared" si="6"/>
        <v>3.6090000000000018</v>
      </c>
      <c r="Q9" s="59">
        <f t="shared" si="7"/>
        <v>0</v>
      </c>
      <c r="R9" s="59">
        <f t="shared" si="8"/>
        <v>-9.063369999999999</v>
      </c>
      <c r="S9" s="59">
        <f t="shared" si="9"/>
        <v>0</v>
      </c>
      <c r="T9" s="59">
        <f t="shared" si="10"/>
        <v>-1.9741</v>
      </c>
      <c r="U9" s="14"/>
      <c r="V9" s="27" t="str">
        <f t="shared" si="11"/>
        <v>焦虑</v>
      </c>
      <c r="W9" s="59">
        <f>'M1'!B7*1</f>
        <v>18.77</v>
      </c>
      <c r="X9" s="59">
        <f>'M1'!C7*1</f>
        <v>6.3262900000000002</v>
      </c>
      <c r="Y9" s="59">
        <f>'M1'!D7*1</f>
        <v>33.7042</v>
      </c>
      <c r="Z9" s="59">
        <f>'M1'!E7*1</f>
        <v>15</v>
      </c>
      <c r="AA9" s="59">
        <f>'M1'!F7*1</f>
        <v>11.1997</v>
      </c>
      <c r="AB9" s="59">
        <f>'M1'!G7*1</f>
        <v>40</v>
      </c>
      <c r="AC9" s="59">
        <f>'M1'!H7*1</f>
        <v>39.247799999999998</v>
      </c>
      <c r="AE9" s="27" t="str">
        <f t="shared" si="12"/>
        <v>焦虑</v>
      </c>
      <c r="AF9" s="59">
        <f>'M2'!B7*1</f>
        <v>25.040800000000001</v>
      </c>
      <c r="AG9" s="59">
        <f>'M2'!C7*1</f>
        <v>9.3435000000000006</v>
      </c>
      <c r="AH9" s="59">
        <f>'M2'!D7*1</f>
        <v>37.313200000000002</v>
      </c>
      <c r="AI9" s="59">
        <f>'M2'!E7*1</f>
        <v>15</v>
      </c>
      <c r="AJ9" s="59">
        <f>'M2'!F7*1</f>
        <v>2.1363300000000001</v>
      </c>
      <c r="AK9" s="59">
        <f>'M2'!G7*1</f>
        <v>40</v>
      </c>
      <c r="AL9" s="59">
        <f>'M2'!H7*1</f>
        <v>37.273699999999998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-9.063369999999999</v>
      </c>
      <c r="D10" s="51">
        <f>N9</f>
        <v>6.2708000000000013</v>
      </c>
      <c r="E10" s="53">
        <f>T9</f>
        <v>-1.9741</v>
      </c>
      <c r="F10" s="53">
        <f>P9</f>
        <v>3.6090000000000018</v>
      </c>
      <c r="G10" s="73" t="str">
        <f>CONCATENATE(M10,"
(20 ~ 50)")</f>
        <v>可疑
(20 ~ 50)</v>
      </c>
      <c r="H10" s="24">
        <f>R10</f>
        <v>0.96170000000000044</v>
      </c>
      <c r="I10" s="52">
        <f>N10</f>
        <v>7.924000000000003</v>
      </c>
      <c r="J10" s="24">
        <f>T10</f>
        <v>2.5772000000000048</v>
      </c>
      <c r="K10" s="25">
        <f>P10</f>
        <v>-2.2029999999999106E-2</v>
      </c>
      <c r="L10" s="4"/>
      <c r="M10" s="27" t="str">
        <f>lang!B17</f>
        <v>可疑</v>
      </c>
      <c r="N10" s="59">
        <f t="shared" si="4"/>
        <v>7.924000000000003</v>
      </c>
      <c r="O10" s="59">
        <f t="shared" si="5"/>
        <v>0.75488</v>
      </c>
      <c r="P10" s="59">
        <f t="shared" si="6"/>
        <v>-2.2029999999999106E-2</v>
      </c>
      <c r="Q10" s="59">
        <f t="shared" si="7"/>
        <v>0</v>
      </c>
      <c r="R10" s="59">
        <f t="shared" si="8"/>
        <v>0.96170000000000044</v>
      </c>
      <c r="S10" s="59">
        <f t="shared" si="9"/>
        <v>0</v>
      </c>
      <c r="T10" s="59">
        <f t="shared" si="10"/>
        <v>2.5772000000000048</v>
      </c>
      <c r="U10" s="14"/>
      <c r="V10" s="27" t="str">
        <f t="shared" si="11"/>
        <v>可疑</v>
      </c>
      <c r="W10" s="59">
        <f>'M1'!B8*1</f>
        <v>26.6328</v>
      </c>
      <c r="X10" s="59">
        <f>'M1'!C8*1</f>
        <v>2.5627800000000001</v>
      </c>
      <c r="Y10" s="59">
        <f>'M1'!D8*1</f>
        <v>9.6226199999999995</v>
      </c>
      <c r="Z10" s="59">
        <f>'M1'!E8*1</f>
        <v>20</v>
      </c>
      <c r="AA10" s="59">
        <f>'M1'!F8*1</f>
        <v>24.164899999999999</v>
      </c>
      <c r="AB10" s="59">
        <f>'M1'!G8*1</f>
        <v>50</v>
      </c>
      <c r="AC10" s="59">
        <f>'M1'!H8*1</f>
        <v>34.170099999999998</v>
      </c>
      <c r="AE10" s="27" t="str">
        <f t="shared" si="12"/>
        <v>可疑</v>
      </c>
      <c r="AF10" s="59">
        <f>'M2'!B8*1</f>
        <v>34.556800000000003</v>
      </c>
      <c r="AG10" s="59">
        <f>'M2'!C8*1</f>
        <v>3.3176600000000001</v>
      </c>
      <c r="AH10" s="59">
        <f>'M2'!D8*1</f>
        <v>9.6005900000000004</v>
      </c>
      <c r="AI10" s="59">
        <f>'M2'!E8*1</f>
        <v>20</v>
      </c>
      <c r="AJ10" s="59">
        <f>'M2'!F8*1</f>
        <v>25.1266</v>
      </c>
      <c r="AK10" s="59">
        <f>'M2'!G8*1</f>
        <v>50</v>
      </c>
      <c r="AL10" s="59">
        <f>'M2'!H8*1</f>
        <v>36.747300000000003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-0.43650000000000233</v>
      </c>
      <c r="D11" s="52">
        <f>N11</f>
        <v>-2.2119</v>
      </c>
      <c r="E11" s="24">
        <f>T11</f>
        <v>-1.936000000000007</v>
      </c>
      <c r="F11" s="24">
        <f>P11</f>
        <v>-0.22285000000000021</v>
      </c>
      <c r="G11" s="73" t="str">
        <f>CONCATENATE(M12,"
(40 ~ 100)")</f>
        <v>自信
(40 ~ 100)</v>
      </c>
      <c r="H11" s="24">
        <f>R12</f>
        <v>9.4809000000000054</v>
      </c>
      <c r="I11" s="52">
        <f>N12</f>
        <v>0.20640000000000214</v>
      </c>
      <c r="J11" s="24">
        <f>T12</f>
        <v>5.5927000000000078</v>
      </c>
      <c r="K11" s="25">
        <f>P12</f>
        <v>-1.1619899999999994</v>
      </c>
      <c r="L11" s="4"/>
      <c r="M11" s="27" t="str">
        <f>lang!B18</f>
        <v>平衡</v>
      </c>
      <c r="N11" s="59">
        <f t="shared" si="4"/>
        <v>-2.2119</v>
      </c>
      <c r="O11" s="59">
        <f t="shared" si="5"/>
        <v>-0.22231999999999985</v>
      </c>
      <c r="P11" s="59">
        <f t="shared" si="6"/>
        <v>-0.22285000000000021</v>
      </c>
      <c r="Q11" s="59">
        <f t="shared" si="7"/>
        <v>0</v>
      </c>
      <c r="R11" s="59">
        <f t="shared" si="8"/>
        <v>-0.43650000000000233</v>
      </c>
      <c r="S11" s="59">
        <f t="shared" si="9"/>
        <v>0</v>
      </c>
      <c r="T11" s="59">
        <f t="shared" si="10"/>
        <v>-1.936000000000007</v>
      </c>
      <c r="U11" s="14"/>
      <c r="V11" s="27" t="str">
        <f t="shared" si="11"/>
        <v>平衡</v>
      </c>
      <c r="W11" s="59">
        <f>'M1'!B9*1</f>
        <v>70.6096</v>
      </c>
      <c r="X11" s="59">
        <f>'M1'!C9*1</f>
        <v>2.23122</v>
      </c>
      <c r="Y11" s="59">
        <f>'M1'!D9*1</f>
        <v>3.1599400000000002</v>
      </c>
      <c r="Z11" s="59">
        <f>'M1'!E9*1</f>
        <v>50</v>
      </c>
      <c r="AA11" s="59">
        <f>'M1'!F9*1</f>
        <v>62.946899999999999</v>
      </c>
      <c r="AB11" s="59">
        <f>'M1'!G9*1</f>
        <v>100</v>
      </c>
      <c r="AC11" s="59">
        <f>'M1'!H9*1</f>
        <v>74.722200000000001</v>
      </c>
      <c r="AE11" s="27" t="str">
        <f t="shared" si="12"/>
        <v>平衡</v>
      </c>
      <c r="AF11" s="59">
        <f>'M2'!B9*1</f>
        <v>68.3977</v>
      </c>
      <c r="AG11" s="59">
        <f>'M2'!C9*1</f>
        <v>2.0089000000000001</v>
      </c>
      <c r="AH11" s="59">
        <f>'M2'!D9*1</f>
        <v>2.93709</v>
      </c>
      <c r="AI11" s="59">
        <f>'M2'!E9*1</f>
        <v>50</v>
      </c>
      <c r="AJ11" s="59">
        <f>'M2'!F9*1</f>
        <v>62.510399999999997</v>
      </c>
      <c r="AK11" s="59">
        <f>'M2'!G9*1</f>
        <v>100</v>
      </c>
      <c r="AL11" s="59">
        <f>'M2'!H9*1</f>
        <v>72.786199999999994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15.2392</v>
      </c>
      <c r="D12" s="51">
        <f>N13</f>
        <v>7.1650999999999989</v>
      </c>
      <c r="E12" s="53">
        <f>T13</f>
        <v>0.42569999999999908</v>
      </c>
      <c r="F12" s="53">
        <f>P13</f>
        <v>-24.002220000000001</v>
      </c>
      <c r="G12" s="73" t="str">
        <f>CONCATENATE(M14,"
(50 ~ 100)")</f>
        <v>自我调节
(50 ~ 100)</v>
      </c>
      <c r="H12" s="24">
        <f>R14</f>
        <v>2.9398999999999944</v>
      </c>
      <c r="I12" s="52">
        <f>N14</f>
        <v>-0.88100000000000023</v>
      </c>
      <c r="J12" s="24">
        <f>T14</f>
        <v>1.1050999999999931</v>
      </c>
      <c r="K12" s="25">
        <f>P14</f>
        <v>-1.2329400000000001</v>
      </c>
      <c r="L12" s="4"/>
      <c r="M12" s="27" t="str">
        <f>lang!B19</f>
        <v>自信</v>
      </c>
      <c r="N12" s="59">
        <f t="shared" si="4"/>
        <v>0.20640000000000214</v>
      </c>
      <c r="O12" s="59">
        <f t="shared" si="5"/>
        <v>-0.81955</v>
      </c>
      <c r="P12" s="59">
        <f t="shared" si="6"/>
        <v>-1.1619899999999994</v>
      </c>
      <c r="Q12" s="59">
        <f t="shared" si="7"/>
        <v>0</v>
      </c>
      <c r="R12" s="59">
        <f t="shared" si="8"/>
        <v>9.4809000000000054</v>
      </c>
      <c r="S12" s="59">
        <f t="shared" si="9"/>
        <v>0</v>
      </c>
      <c r="T12" s="59">
        <f t="shared" si="10"/>
        <v>5.5927000000000078</v>
      </c>
      <c r="U12" s="15"/>
      <c r="V12" s="27" t="str">
        <f t="shared" si="11"/>
        <v>自信</v>
      </c>
      <c r="W12" s="59">
        <f>'M1'!B10*1</f>
        <v>71.330100000000002</v>
      </c>
      <c r="X12" s="59">
        <f>'M1'!C10*1</f>
        <v>4.0445000000000002</v>
      </c>
      <c r="Y12" s="59">
        <f>'M1'!D10*1</f>
        <v>5.6701199999999998</v>
      </c>
      <c r="Z12" s="59">
        <f>'M1'!E10*1</f>
        <v>40</v>
      </c>
      <c r="AA12" s="59">
        <f>'M1'!F10*1</f>
        <v>60.101799999999997</v>
      </c>
      <c r="AB12" s="59">
        <f>'M1'!G10*1</f>
        <v>100</v>
      </c>
      <c r="AC12" s="59">
        <f>'M1'!H10*1</f>
        <v>73.946799999999996</v>
      </c>
      <c r="AE12" s="27" t="str">
        <f t="shared" si="12"/>
        <v>自信</v>
      </c>
      <c r="AF12" s="59">
        <f>'M2'!B10*1</f>
        <v>71.536500000000004</v>
      </c>
      <c r="AG12" s="59">
        <f>'M2'!C10*1</f>
        <v>3.2249500000000002</v>
      </c>
      <c r="AH12" s="59">
        <f>'M2'!D10*1</f>
        <v>4.5081300000000004</v>
      </c>
      <c r="AI12" s="59">
        <f>'M2'!E10*1</f>
        <v>40</v>
      </c>
      <c r="AJ12" s="59">
        <f>'M2'!F10*1</f>
        <v>69.582700000000003</v>
      </c>
      <c r="AK12" s="59">
        <f>'M2'!G10*1</f>
        <v>100</v>
      </c>
      <c r="AL12" s="59">
        <f>'M2'!H10*1</f>
        <v>79.539500000000004</v>
      </c>
    </row>
    <row r="13" spans="2:38" ht="25.5" customHeight="1" thickBot="1">
      <c r="B13" s="72" t="str">
        <f>CONCATENATE(M15,"
(10 ~ 25)")</f>
        <v>抑郁
(10 ~ 25)</v>
      </c>
      <c r="C13" s="54">
        <f>R15</f>
        <v>0.38460000000000072</v>
      </c>
      <c r="D13" s="55">
        <f>N15</f>
        <v>-0.63719999999999999</v>
      </c>
      <c r="E13" s="56">
        <f>T15</f>
        <v>18.242999999999999</v>
      </c>
      <c r="F13" s="56">
        <f>P15</f>
        <v>22.099399999999999</v>
      </c>
      <c r="G13" s="74" t="str">
        <f>CONCATENATE(M16,"
(10 ~ 50)")</f>
        <v>神经质
(10 ~ 50)</v>
      </c>
      <c r="H13" s="54">
        <f>R16</f>
        <v>3.2349999999999657E-2</v>
      </c>
      <c r="I13" s="55">
        <f>N16</f>
        <v>31.569299999999998</v>
      </c>
      <c r="J13" s="56">
        <f>T16</f>
        <v>24.294599999999996</v>
      </c>
      <c r="K13" s="57">
        <f>P16</f>
        <v>-13.0687</v>
      </c>
      <c r="M13" s="27" t="str">
        <f>lang!B20</f>
        <v>活力</v>
      </c>
      <c r="N13" s="59">
        <f t="shared" si="4"/>
        <v>7.1650999999999989</v>
      </c>
      <c r="O13" s="59">
        <f t="shared" si="5"/>
        <v>-5.1304239999999997</v>
      </c>
      <c r="P13" s="59">
        <f t="shared" si="6"/>
        <v>-24.002220000000001</v>
      </c>
      <c r="Q13" s="59">
        <f t="shared" si="7"/>
        <v>0</v>
      </c>
      <c r="R13" s="59">
        <f t="shared" si="8"/>
        <v>15.2392</v>
      </c>
      <c r="S13" s="59">
        <f t="shared" si="9"/>
        <v>0</v>
      </c>
      <c r="T13" s="59">
        <f t="shared" si="10"/>
        <v>0.42569999999999908</v>
      </c>
      <c r="U13" s="14"/>
      <c r="V13" s="27" t="str">
        <f t="shared" si="11"/>
        <v>活力</v>
      </c>
      <c r="W13" s="59">
        <f>'M1'!B11*1</f>
        <v>22.009399999999999</v>
      </c>
      <c r="X13" s="59">
        <f>'M1'!C11*1</f>
        <v>5.75061</v>
      </c>
      <c r="Y13" s="59">
        <f>'M1'!D11*1</f>
        <v>26.128</v>
      </c>
      <c r="Z13" s="59">
        <f>'M1'!E11*1</f>
        <v>10</v>
      </c>
      <c r="AA13" s="59">
        <f>'M1'!F11*1</f>
        <v>12.376300000000001</v>
      </c>
      <c r="AB13" s="59">
        <f>'M1'!G11*1</f>
        <v>50</v>
      </c>
      <c r="AC13" s="59">
        <f>'M1'!H11*1</f>
        <v>30.1206</v>
      </c>
      <c r="AE13" s="27" t="str">
        <f t="shared" si="12"/>
        <v>活力</v>
      </c>
      <c r="AF13" s="59">
        <f>'M2'!B11*1</f>
        <v>29.174499999999998</v>
      </c>
      <c r="AG13" s="59">
        <f>'M2'!C11*1</f>
        <v>0.62018600000000002</v>
      </c>
      <c r="AH13" s="59">
        <f>'M2'!D11*1</f>
        <v>2.1257799999999998</v>
      </c>
      <c r="AI13" s="59">
        <f>'M2'!E11*1</f>
        <v>10</v>
      </c>
      <c r="AJ13" s="59">
        <f>'M2'!F11*1</f>
        <v>27.615500000000001</v>
      </c>
      <c r="AK13" s="59">
        <f>'M2'!G11*1</f>
        <v>50</v>
      </c>
      <c r="AL13" s="59">
        <f>'M2'!H11*1</f>
        <v>30.546299999999999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-0.88100000000000023</v>
      </c>
      <c r="O14" s="59">
        <f t="shared" si="5"/>
        <v>-0.8986200000000002</v>
      </c>
      <c r="P14" s="59">
        <f t="shared" si="6"/>
        <v>-1.2329400000000001</v>
      </c>
      <c r="Q14" s="59">
        <f t="shared" si="7"/>
        <v>0</v>
      </c>
      <c r="R14" s="59">
        <f t="shared" si="8"/>
        <v>2.9398999999999944</v>
      </c>
      <c r="S14" s="59">
        <f t="shared" si="9"/>
        <v>0</v>
      </c>
      <c r="T14" s="59">
        <f t="shared" si="10"/>
        <v>1.1050999999999931</v>
      </c>
      <c r="U14" s="14"/>
      <c r="V14" s="27" t="str">
        <f t="shared" si="11"/>
        <v>自我调节</v>
      </c>
      <c r="W14" s="59">
        <f>'M1'!B12*1</f>
        <v>71.263000000000005</v>
      </c>
      <c r="X14" s="59">
        <f>'M1'!C12*1</f>
        <v>2.4954800000000001</v>
      </c>
      <c r="Y14" s="59">
        <f>'M1'!D12*1</f>
        <v>3.5017900000000002</v>
      </c>
      <c r="Z14" s="59">
        <f>'M1'!E12*1</f>
        <v>50</v>
      </c>
      <c r="AA14" s="59">
        <f>'M1'!F12*1</f>
        <v>64.797899999999998</v>
      </c>
      <c r="AB14" s="59">
        <f>'M1'!G12*1</f>
        <v>100</v>
      </c>
      <c r="AC14" s="59">
        <f>'M1'!H12*1</f>
        <v>73.436400000000006</v>
      </c>
      <c r="AE14" s="27" t="str">
        <f t="shared" si="12"/>
        <v>自我调节</v>
      </c>
      <c r="AF14" s="59">
        <f>'M2'!B12*1</f>
        <v>70.382000000000005</v>
      </c>
      <c r="AG14" s="59">
        <f>'M2'!C12*1</f>
        <v>1.5968599999999999</v>
      </c>
      <c r="AH14" s="59">
        <f>'M2'!D12*1</f>
        <v>2.26885</v>
      </c>
      <c r="AI14" s="59">
        <f>'M2'!E12*1</f>
        <v>50</v>
      </c>
      <c r="AJ14" s="59">
        <f>'M2'!F12*1</f>
        <v>67.737799999999993</v>
      </c>
      <c r="AK14" s="59">
        <f>'M2'!G12*1</f>
        <v>100</v>
      </c>
      <c r="AL14" s="59">
        <f>'M2'!H12*1</f>
        <v>74.541499999999999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-0.63719999999999999</v>
      </c>
      <c r="O15" s="59">
        <f t="shared" si="5"/>
        <v>3.15693</v>
      </c>
      <c r="P15" s="59">
        <f t="shared" si="6"/>
        <v>22.099399999999999</v>
      </c>
      <c r="Q15" s="59">
        <f t="shared" si="7"/>
        <v>0</v>
      </c>
      <c r="R15" s="59">
        <f t="shared" si="8"/>
        <v>0.38460000000000072</v>
      </c>
      <c r="S15" s="59">
        <f t="shared" si="9"/>
        <v>0</v>
      </c>
      <c r="T15" s="59">
        <f t="shared" si="10"/>
        <v>18.242999999999999</v>
      </c>
      <c r="U15" s="14"/>
      <c r="V15" s="27" t="str">
        <f t="shared" si="11"/>
        <v>抑郁</v>
      </c>
      <c r="W15" s="59">
        <f>'M1'!B13*1</f>
        <v>15.508100000000001</v>
      </c>
      <c r="X15" s="59">
        <f>'M1'!C13*1</f>
        <v>3.1498699999999999</v>
      </c>
      <c r="Y15" s="59">
        <f>'M1'!D13*1</f>
        <v>20.3111</v>
      </c>
      <c r="Z15" s="59">
        <f>'M1'!E13*1</f>
        <v>10</v>
      </c>
      <c r="AA15" s="59">
        <f>'M1'!F13*1</f>
        <v>12.8659</v>
      </c>
      <c r="AB15" s="59">
        <f>'M1'!G13*1</f>
        <v>25</v>
      </c>
      <c r="AC15" s="59">
        <f>'M1'!H13*1</f>
        <v>26.8781</v>
      </c>
      <c r="AE15" s="27" t="str">
        <f t="shared" si="12"/>
        <v>抑郁</v>
      </c>
      <c r="AF15" s="59">
        <f>'M2'!B13*1</f>
        <v>14.870900000000001</v>
      </c>
      <c r="AG15" s="59">
        <f>'M2'!C13*1</f>
        <v>6.3068</v>
      </c>
      <c r="AH15" s="59">
        <f>'M2'!D13*1</f>
        <v>42.410499999999999</v>
      </c>
      <c r="AI15" s="59">
        <f>'M2'!E13*1</f>
        <v>10</v>
      </c>
      <c r="AJ15" s="59">
        <f>'M2'!F13*1</f>
        <v>13.250500000000001</v>
      </c>
      <c r="AK15" s="59">
        <f>'M2'!G13*1</f>
        <v>25</v>
      </c>
      <c r="AL15" s="59">
        <f>'M2'!H13*1</f>
        <v>45.121099999999998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31.569299999999998</v>
      </c>
      <c r="O16" s="59">
        <f t="shared" si="5"/>
        <v>2.7440999999999995</v>
      </c>
      <c r="P16" s="59">
        <f t="shared" si="6"/>
        <v>-13.0687</v>
      </c>
      <c r="Q16" s="59">
        <f t="shared" si="7"/>
        <v>0</v>
      </c>
      <c r="R16" s="59">
        <f t="shared" si="8"/>
        <v>3.2349999999999657E-2</v>
      </c>
      <c r="S16" s="59">
        <f t="shared" si="9"/>
        <v>0</v>
      </c>
      <c r="T16" s="59">
        <f t="shared" si="10"/>
        <v>24.294599999999996</v>
      </c>
      <c r="U16" s="15"/>
      <c r="V16" s="27" t="str">
        <f t="shared" si="11"/>
        <v>神经质</v>
      </c>
      <c r="W16" s="59">
        <f>'M1'!B14*1</f>
        <v>31.498699999999999</v>
      </c>
      <c r="X16" s="59">
        <f>'M1'!C14*1</f>
        <v>10.961600000000001</v>
      </c>
      <c r="Y16" s="59">
        <f>'M1'!D14*1</f>
        <v>34.8003</v>
      </c>
      <c r="Z16" s="59">
        <f>'M1'!E14*1</f>
        <v>10</v>
      </c>
      <c r="AA16" s="59">
        <f>'M1'!F14*1</f>
        <v>2.8301500000000002</v>
      </c>
      <c r="AB16" s="59">
        <f>'M1'!G14*1</f>
        <v>50</v>
      </c>
      <c r="AC16" s="59">
        <f>'M1'!H14*1</f>
        <v>47.325499999999998</v>
      </c>
      <c r="AE16" s="27" t="str">
        <f t="shared" si="12"/>
        <v>神经质</v>
      </c>
      <c r="AF16" s="59">
        <f>'M2'!B14*1</f>
        <v>63.067999999999998</v>
      </c>
      <c r="AG16" s="59">
        <f>'M2'!C14*1</f>
        <v>13.7057</v>
      </c>
      <c r="AH16" s="59">
        <f>'M2'!D14*1</f>
        <v>21.7316</v>
      </c>
      <c r="AI16" s="59">
        <f>'M2'!E14*1</f>
        <v>10</v>
      </c>
      <c r="AJ16" s="59">
        <f>'M2'!F14*1</f>
        <v>2.8624999999999998</v>
      </c>
      <c r="AK16" s="59">
        <f>'M2'!G14*1</f>
        <v>50</v>
      </c>
      <c r="AL16" s="59">
        <f>'M2'!H14*1</f>
        <v>71.620099999999994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1.0696500000000002</v>
      </c>
      <c r="O17" s="22">
        <f>N17/(N17+N18+N19)</f>
        <v>4.722652084938421E-2</v>
      </c>
      <c r="P17" s="65">
        <f>SUM(P11:P14)/4</f>
        <v>-6.6550000000000002</v>
      </c>
      <c r="Q17" s="22">
        <f>P17/(P17+P18+P19)</f>
        <v>1.3101238318021489</v>
      </c>
      <c r="R17" s="14"/>
      <c r="S17" s="14"/>
      <c r="T17" s="14"/>
      <c r="U17" s="14"/>
      <c r="V17" s="21" t="str">
        <f>M17</f>
        <v>Positive</v>
      </c>
      <c r="W17" s="65">
        <f>SUM(W11:W14)/4</f>
        <v>58.803025000000005</v>
      </c>
      <c r="X17" s="22">
        <f>W17/(W17+W18+W19)</f>
        <v>0.53594680545881135</v>
      </c>
      <c r="Y17" s="65">
        <f>SUM(Y11:Y14)/4</f>
        <v>9.6149625000000007</v>
      </c>
      <c r="Z17" s="22">
        <f>Y17/(Y17+Y18+Y19)</f>
        <v>0.1764456765410567</v>
      </c>
      <c r="AA17" s="14"/>
      <c r="AB17" s="14"/>
      <c r="AC17" s="14"/>
      <c r="AE17" s="21" t="str">
        <f>V17</f>
        <v>Positive</v>
      </c>
      <c r="AF17" s="65">
        <f>SUM(AF11:AF14)/4</f>
        <v>59.872675000000001</v>
      </c>
      <c r="AG17" s="22">
        <f>AF17/(AF17+AF18+AF19)</f>
        <v>0.45232199399587697</v>
      </c>
      <c r="AH17" s="65">
        <f>SUM(AH11:AH14)/4</f>
        <v>2.9599625000000005</v>
      </c>
      <c r="AI17" s="22">
        <f>AH17/(AH17+AH18+AH19)</f>
        <v>5.9902738778807509E-2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6.1136500000000007</v>
      </c>
      <c r="O18" s="22">
        <f>N18/(N17+N18+N19)</f>
        <v>0.26992606851852263</v>
      </c>
      <c r="P18" s="18">
        <f>SUM(P7:P10)/4</f>
        <v>-2.9400224999999991</v>
      </c>
      <c r="Q18" s="22">
        <f>P18/(P17+P18+P19)</f>
        <v>0.57878189981736017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27.4116</v>
      </c>
      <c r="X18" s="22">
        <f>W18/(W17+W18+W19)</f>
        <v>0.24983679755445831</v>
      </c>
      <c r="Y18" s="18">
        <f>SUM(Y7:Y10)/4</f>
        <v>17.321817499999998</v>
      </c>
      <c r="Z18" s="22">
        <f>Y18/(Y17+Y18+Y19)</f>
        <v>0.31787537473060501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33.52525</v>
      </c>
      <c r="AG18" s="22">
        <f>AF18/(AF17+AF18+AF19)</f>
        <v>0.25327426792289259</v>
      </c>
      <c r="AH18" s="18">
        <f>SUM(AH7:AH10)/4</f>
        <v>14.381795</v>
      </c>
      <c r="AI18" s="22">
        <f>AH18/(AH17+AH18+AH19)</f>
        <v>0.29105399445275398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15.466049999999999</v>
      </c>
      <c r="O19" s="22">
        <f>N19/(N17+N18+N19)</f>
        <v>0.6828474106320932</v>
      </c>
      <c r="P19" s="18">
        <f>(P15+P16)/2</f>
        <v>4.5153499999999998</v>
      </c>
      <c r="Q19" s="22">
        <f>P19/(P17+P18+P19)</f>
        <v>-0.88890573161950903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23.503399999999999</v>
      </c>
      <c r="X19" s="22">
        <f>W19/(W17+W18+W19)</f>
        <v>0.21421639698673028</v>
      </c>
      <c r="Y19" s="18">
        <f>(Y15+Y16)/2</f>
        <v>27.555700000000002</v>
      </c>
      <c r="Z19" s="22">
        <f>Y19/(Y17+Y18+Y19)</f>
        <v>0.5056789487283383</v>
      </c>
      <c r="AA19" s="14"/>
      <c r="AB19" s="14"/>
      <c r="AC19" s="14"/>
      <c r="AE19" s="21" t="str">
        <f t="shared" si="14"/>
        <v>Physiological</v>
      </c>
      <c r="AF19" s="18">
        <f>(AF15+AF16)/2</f>
        <v>38.969450000000002</v>
      </c>
      <c r="AG19" s="22">
        <f>AF19/(AF17+AF18+AF19)</f>
        <v>0.29440373808123038</v>
      </c>
      <c r="AH19" s="18">
        <f>(AH15+AH16)/2</f>
        <v>32.07105</v>
      </c>
      <c r="AI19" s="22">
        <f>AH19/(AH17+AH18+AH19)</f>
        <v>0.64904326676843849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1.61/2</v>
      </c>
      <c r="D24" s="44" t="str">
        <f>lang!B11</f>
        <v>频率方差</v>
      </c>
      <c r="E24" s="182" t="str">
        <f ca="1">CONCATENATE(ROUND('FH1'!L3,2),"/",ROUND('FH2'!L3,2))</f>
        <v>0.61/0.56</v>
      </c>
      <c r="F24" s="183"/>
      <c r="G24" s="174" t="str">
        <f>lang!B12</f>
        <v>生理变化率</v>
      </c>
      <c r="H24" s="175"/>
      <c r="I24" s="62" t="str">
        <f ca="1">CONCATENATE(info!M7,"-",info!M8)</f>
        <v>41.5-50.9</v>
      </c>
      <c r="J24" s="42" t="str">
        <f>lang!B13</f>
        <v>千卡l/分钟</v>
      </c>
      <c r="K24" s="41" t="str">
        <f ca="1">CONCATENATE(info!M5,"-",info!M6)</f>
        <v>2.7-4.1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0.34980000000000011</v>
      </c>
      <c r="F27" s="121"/>
      <c r="G27" s="135" t="str">
        <f>lang!B33</f>
        <v>稳定性</v>
      </c>
      <c r="H27" s="136"/>
      <c r="I27" s="137"/>
      <c r="J27" s="138">
        <f>dM!B19*100</f>
        <v>12.609799999999998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-0.85790957730164019</v>
      </c>
      <c r="C2">
        <f t="array" aca="1" ref="C2" ca="1">CORREL(FT_E02,FT_PH02)</f>
        <v>-0.89876930892645412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2.7318599999999997</v>
      </c>
      <c r="G2" s="61">
        <f>IF(FT!B2&lt;&gt;"",FT!B2*100,"")</f>
        <v>50.904700000000005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2.8113700000000001</v>
      </c>
      <c r="G3" s="61">
        <f>IF(FT!B3&lt;&gt;"",FT!B3*100,"")</f>
        <v>49.769799999999996</v>
      </c>
      <c r="H3" s="61">
        <f t="shared" ref="H3:H66" si="1">(IF(F3&lt;&gt;"",1,""))</f>
        <v>1</v>
      </c>
      <c r="I3" t="str">
        <f>IF(FT!B3&lt;&gt;"",FT!E3,"")</f>
        <v>1 [0.358896]</v>
      </c>
      <c r="J3">
        <f>IF(FT!B3&lt;&gt;"",FT!C3,"")</f>
        <v>0.35889599999999999</v>
      </c>
      <c r="K3" t="s">
        <v>52</v>
      </c>
      <c r="L3">
        <f>SUM(H2:H2005)</f>
        <v>75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0.43103210810810816</v>
      </c>
      <c r="V3">
        <f ca="1">AVERAGE(OFFSET(FT!B2,info!$L$3/2,0,info!$L$3/2,1))</f>
        <v>0.43982197297297293</v>
      </c>
      <c r="W3">
        <f ca="1">AVERAGE(OFFSET(FT!A2,0,0,info!$L$3/2,1))</f>
        <v>0.37266010810810818</v>
      </c>
      <c r="X3">
        <f ca="1">AVERAGE(OFFSET(FT!A2,info!$L$3/2,0,info!$L$3/2,1))</f>
        <v>0.40182659459459458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2.8892099999999998</v>
      </c>
      <c r="G4" s="61">
        <f>IF(FT!B4&lt;&gt;"",FT!B4*100,"")</f>
        <v>48.630099999999999</v>
      </c>
      <c r="H4" s="61">
        <f t="shared" si="1"/>
        <v>1</v>
      </c>
      <c r="I4" t="str">
        <f>IF(FT!B4&lt;&gt;"",FT!E4,"")</f>
        <v>1 [0.759489]</v>
      </c>
      <c r="J4">
        <f>IF(FT!B4&lt;&gt;"",FT!C4,"")</f>
        <v>0.75948899999999997</v>
      </c>
      <c r="O4">
        <f>O3+1</f>
        <v>1</v>
      </c>
      <c r="P4">
        <v>0</v>
      </c>
      <c r="Q4">
        <f>IF(R4=1998,0,R4)</f>
        <v>37</v>
      </c>
      <c r="R4">
        <f t="array" ref="R4">MAX(IF(ft_nq=O4,row_n))</f>
        <v>37</v>
      </c>
      <c r="S4">
        <f>Q4-P4+1</f>
        <v>38</v>
      </c>
      <c r="U4">
        <f>MAX(FT!C2:C4000)/4</f>
        <v>7.5183</v>
      </c>
      <c r="V4">
        <f>U4*3</f>
        <v>22.5549</v>
      </c>
      <c r="W4">
        <f>U4</f>
        <v>7.5183</v>
      </c>
      <c r="X4">
        <f>V4</f>
        <v>22.5549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2.96922</v>
      </c>
      <c r="G5" s="61">
        <f>IF(FT!B5&lt;&gt;"",FT!B5*100,"")</f>
        <v>47.548999999999999</v>
      </c>
      <c r="H5" s="61">
        <f t="shared" si="1"/>
        <v>1</v>
      </c>
      <c r="I5" t="str">
        <f>IF(FT!B5&lt;&gt;"",FT!E5,"")</f>
        <v>1 [1.167223]</v>
      </c>
      <c r="J5">
        <f>IF(FT!B5&lt;&gt;"",FT!C5,"")</f>
        <v>1.1672199999999999</v>
      </c>
      <c r="K5" t="s">
        <v>53</v>
      </c>
      <c r="L5" s="63">
        <f ca="1">MIN(FT_E)</f>
        <v>2.7318599999999997</v>
      </c>
      <c r="M5" s="63">
        <f ca="1">ROUND(L5,1)</f>
        <v>2.7</v>
      </c>
      <c r="O5">
        <f t="shared" ref="O5:O27" si="4">O4+1</f>
        <v>2</v>
      </c>
      <c r="P5">
        <f>IF(OR(R5=1998,R5=0),0,Q4)</f>
        <v>37</v>
      </c>
      <c r="Q5">
        <f>IF(R5=1998,0,R5)</f>
        <v>74</v>
      </c>
      <c r="R5">
        <f t="array" ref="R5">MAX(IF(ft_nq=O5,row_n))</f>
        <v>74</v>
      </c>
      <c r="S5">
        <f t="shared" ref="S5:S27" si="5">Q5-P5+1</f>
        <v>38</v>
      </c>
      <c r="U5">
        <f ca="1">U3*100</f>
        <v>43.103210810810815</v>
      </c>
      <c r="V5">
        <f ca="1">V3*100</f>
        <v>43.98219729729729</v>
      </c>
      <c r="W5">
        <f ca="1">W3*10</f>
        <v>3.7266010810810819</v>
      </c>
      <c r="X5">
        <f ca="1">X3*10</f>
        <v>4.018265945945946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3.0527500000000001</v>
      </c>
      <c r="G6" s="61">
        <f>IF(FT!B6&lt;&gt;"",FT!B6*100,"")</f>
        <v>46.445700000000002</v>
      </c>
      <c r="H6" s="61">
        <f t="shared" si="1"/>
        <v>1</v>
      </c>
      <c r="I6" t="str">
        <f>IF(FT!B6&lt;&gt;"",FT!E6,"")</f>
        <v>1 [1.572130]</v>
      </c>
      <c r="J6">
        <f>IF(FT!B6&lt;&gt;"",FT!C6,"")</f>
        <v>1.57213</v>
      </c>
      <c r="K6" t="s">
        <v>54</v>
      </c>
      <c r="L6" s="63">
        <f ca="1">MAX(FT_E)</f>
        <v>4.1245599999999998</v>
      </c>
      <c r="M6" s="63">
        <f ca="1">ROUND(L6,1)</f>
        <v>4.0999999999999996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3.1375999999999999</v>
      </c>
      <c r="G7" s="61">
        <f>IF(FT!B7&lt;&gt;"",FT!B7*100,"")</f>
        <v>45.287799999999997</v>
      </c>
      <c r="H7" s="61">
        <f t="shared" si="1"/>
        <v>1</v>
      </c>
      <c r="I7" t="str">
        <f>IF(FT!B7&lt;&gt;"",FT!E7,"")</f>
        <v>1 [1.978456]</v>
      </c>
      <c r="J7">
        <f>IF(FT!B7&lt;&gt;"",FT!C7,"")</f>
        <v>1.9784600000000001</v>
      </c>
      <c r="K7" t="s">
        <v>55</v>
      </c>
      <c r="L7" s="63">
        <f ca="1">MIN(FT_PH)</f>
        <v>41.540799999999997</v>
      </c>
      <c r="M7" s="63">
        <f ca="1">ROUND(L7,1)</f>
        <v>41.5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1448</v>
      </c>
      <c r="D8" s="61">
        <f>FH!B8*1</f>
        <v>1448</v>
      </c>
      <c r="E8">
        <f t="shared" si="3"/>
        <v>6</v>
      </c>
      <c r="F8" s="61">
        <f>IF(FT!A8&lt;&gt;"",FT!A8*10,"")</f>
        <v>3.21895</v>
      </c>
      <c r="G8" s="61">
        <f>IF(FT!B8&lt;&gt;"",FT!B8*100,"")</f>
        <v>44.364199999999997</v>
      </c>
      <c r="H8" s="61">
        <f t="shared" si="1"/>
        <v>1</v>
      </c>
      <c r="I8" t="str">
        <f>IF(FT!B8&lt;&gt;"",FT!E8,"")</f>
        <v>1 [2.384224]</v>
      </c>
      <c r="J8">
        <f>IF(FT!B8&lt;&gt;"",FT!C8,"")</f>
        <v>2.38422</v>
      </c>
      <c r="K8" t="s">
        <v>56</v>
      </c>
      <c r="L8" s="63">
        <f ca="1">MAX(FT_PH)</f>
        <v>50.904700000000005</v>
      </c>
      <c r="M8" s="63">
        <f ca="1">ROUND(L8,1)</f>
        <v>50.9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3.2973300000000001</v>
      </c>
      <c r="G9" s="61">
        <f>IF(FT!B9&lt;&gt;"",FT!B9*100,"")</f>
        <v>43.693799999999996</v>
      </c>
      <c r="H9" s="61">
        <f t="shared" si="1"/>
        <v>1</v>
      </c>
      <c r="I9" t="str">
        <f>IF(FT!B9&lt;&gt;"",FT!E9,"")</f>
        <v>1 [2.793635]</v>
      </c>
      <c r="J9">
        <f>IF(FT!B9&lt;&gt;"",FT!C9,"")</f>
        <v>2.7936399999999999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1891</v>
      </c>
      <c r="D10" s="61">
        <f>FH!B10*1</f>
        <v>1891</v>
      </c>
      <c r="E10">
        <f t="shared" si="3"/>
        <v>8</v>
      </c>
      <c r="F10" s="61">
        <f>IF(FT!A10&lt;&gt;"",FT!A10*10,"")</f>
        <v>3.3716299999999997</v>
      </c>
      <c r="G10" s="61">
        <f>IF(FT!B10&lt;&gt;"",FT!B10*100,"")</f>
        <v>43.149700000000003</v>
      </c>
      <c r="H10" s="61">
        <f t="shared" si="1"/>
        <v>1</v>
      </c>
      <c r="I10" t="str">
        <f>IF(FT!B10&lt;&gt;"",FT!E10,"")</f>
        <v>1 [3.198354]</v>
      </c>
      <c r="J10">
        <f>IF(FT!B10&lt;&gt;"",FT!C10,"")</f>
        <v>3.19835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3.4414600000000002</v>
      </c>
      <c r="G11" s="61">
        <f>IF(FT!B11&lt;&gt;"",FT!B11*100,"")</f>
        <v>42.6068</v>
      </c>
      <c r="H11" s="61">
        <f t="shared" si="1"/>
        <v>1</v>
      </c>
      <c r="I11" t="str">
        <f>IF(FT!B11&lt;&gt;"",FT!E11,"")</f>
        <v>1 [3.604495]</v>
      </c>
      <c r="J11">
        <f>IF(FT!B11&lt;&gt;"",FT!C11,"")</f>
        <v>3.6044900000000002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3.5065800000000005</v>
      </c>
      <c r="G12" s="61">
        <f>IF(FT!B12&lt;&gt;"",FT!B12*100,"")</f>
        <v>42.175699999999999</v>
      </c>
      <c r="H12" s="61">
        <f t="shared" si="1"/>
        <v>1</v>
      </c>
      <c r="I12" t="str">
        <f>IF(FT!B12&lt;&gt;"",FT!E12,"")</f>
        <v>1 [4.009325]</v>
      </c>
      <c r="J12">
        <f>IF(FT!B12&lt;&gt;"",FT!C12,"")</f>
        <v>4.0093300000000003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3510</v>
      </c>
      <c r="D13" s="61">
        <f>FH!B13*1</f>
        <v>3510</v>
      </c>
      <c r="E13">
        <f t="shared" si="3"/>
        <v>11</v>
      </c>
      <c r="F13" s="61">
        <f>IF(FT!A13&lt;&gt;"",FT!A13*10,"")</f>
        <v>3.56595</v>
      </c>
      <c r="G13" s="61">
        <f>IF(FT!B13&lt;&gt;"",FT!B13*100,"")</f>
        <v>41.981999999999999</v>
      </c>
      <c r="H13" s="61">
        <f t="shared" si="1"/>
        <v>1</v>
      </c>
      <c r="I13" t="str">
        <f>IF(FT!B13&lt;&gt;"",FT!E13,"")</f>
        <v>1 [4.416959]</v>
      </c>
      <c r="J13">
        <f>IF(FT!B13&lt;&gt;"",FT!C13,"")</f>
        <v>4.4169600000000004</v>
      </c>
      <c r="L13" s="67">
        <f t="array" ref="L13">MAX(IF(ft_nq=2,row_n))</f>
        <v>74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3.6263200000000002</v>
      </c>
      <c r="G14" s="61">
        <f>IF(FT!B14&lt;&gt;"",FT!B14*100,"")</f>
        <v>41.7851</v>
      </c>
      <c r="H14" s="61">
        <f t="shared" si="1"/>
        <v>1</v>
      </c>
      <c r="I14" t="str">
        <f>IF(FT!B14&lt;&gt;"",FT!E14,"")</f>
        <v>1 [4.822730]</v>
      </c>
      <c r="J14">
        <f>IF(FT!B14&lt;&gt;"",FT!C14,"")</f>
        <v>4.82273</v>
      </c>
      <c r="L14">
        <f>L13+1</f>
        <v>75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4069</v>
      </c>
      <c r="D15" s="61">
        <f>FH!B15*1</f>
        <v>4069</v>
      </c>
      <c r="E15">
        <f t="shared" si="3"/>
        <v>13</v>
      </c>
      <c r="F15" s="61">
        <f>IF(FT!A15&lt;&gt;"",FT!A15*10,"")</f>
        <v>3.6739699999999997</v>
      </c>
      <c r="G15" s="61">
        <f>IF(FT!B15&lt;&gt;"",FT!B15*100,"")</f>
        <v>41.729799999999997</v>
      </c>
      <c r="H15" s="61">
        <f t="shared" si="1"/>
        <v>1</v>
      </c>
      <c r="I15" t="str">
        <f>IF(FT!B15&lt;&gt;"",FT!E15,"")</f>
        <v>1 [5.230697]</v>
      </c>
      <c r="J15">
        <f>IF(FT!B15&lt;&gt;"",FT!C15,"")</f>
        <v>5.2306999999999997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3.7313900000000002</v>
      </c>
      <c r="G16" s="61">
        <f>IF(FT!B16&lt;&gt;"",FT!B16*100,"")</f>
        <v>41.540799999999997</v>
      </c>
      <c r="H16" s="61">
        <f t="shared" si="1"/>
        <v>1</v>
      </c>
      <c r="I16" t="str">
        <f>IF(FT!B16&lt;&gt;"",FT!E16,"")</f>
        <v>1 [5.637514]</v>
      </c>
      <c r="J16">
        <f>IF(FT!B16&lt;&gt;"",FT!C16,"")</f>
        <v>5.6375099999999998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3.78146</v>
      </c>
      <c r="G17" s="61">
        <f>IF(FT!B17&lt;&gt;"",FT!B17*100,"")</f>
        <v>41.578400000000002</v>
      </c>
      <c r="H17" s="61">
        <f t="shared" si="1"/>
        <v>1</v>
      </c>
      <c r="I17" t="str">
        <f>IF(FT!B17&lt;&gt;"",FT!E17,"")</f>
        <v>1 [6.041948]</v>
      </c>
      <c r="J17">
        <f>IF(FT!B17&lt;&gt;"",FT!C17,"")</f>
        <v>6.0419499999999999</v>
      </c>
      <c r="L17">
        <f>L3+1</f>
        <v>76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5609</v>
      </c>
      <c r="D18" s="61">
        <f>FH!B18*1</f>
        <v>5609</v>
      </c>
      <c r="E18">
        <f t="shared" si="3"/>
        <v>16</v>
      </c>
      <c r="F18" s="61">
        <f>IF(FT!A18&lt;&gt;"",FT!A18*10,"")</f>
        <v>3.8260100000000001</v>
      </c>
      <c r="G18" s="61">
        <f>IF(FT!B18&lt;&gt;"",FT!B18*100,"")</f>
        <v>41.662399999999998</v>
      </c>
      <c r="H18" s="61">
        <f t="shared" si="1"/>
        <v>1</v>
      </c>
      <c r="I18" t="str">
        <f>IF(FT!B18&lt;&gt;"",FT!E18,"")</f>
        <v>1 [6.447491]</v>
      </c>
      <c r="J18">
        <f>IF(FT!B18&lt;&gt;"",FT!C18,"")</f>
        <v>6.4474900000000002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3.86863</v>
      </c>
      <c r="G19" s="61">
        <f>IF(FT!B19&lt;&gt;"",FT!B19*100,"")</f>
        <v>41.677399999999999</v>
      </c>
      <c r="H19" s="61">
        <f t="shared" si="1"/>
        <v>1</v>
      </c>
      <c r="I19" t="str">
        <f>IF(FT!B19&lt;&gt;"",FT!E19,"")</f>
        <v>1 [6.858526]</v>
      </c>
      <c r="J19">
        <f>IF(FT!B19&lt;&gt;"",FT!C19,"")</f>
        <v>6.85853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3.9078299999999997</v>
      </c>
      <c r="G20" s="61">
        <f>IF(FT!B20&lt;&gt;"",FT!B20*100,"")</f>
        <v>41.742699999999999</v>
      </c>
      <c r="H20" s="61">
        <f t="shared" si="1"/>
        <v>1</v>
      </c>
      <c r="I20" t="str">
        <f>IF(FT!B20&lt;&gt;"",FT!E20,"")</f>
        <v>1 [7.262192]</v>
      </c>
      <c r="J20">
        <f>IF(FT!B20&lt;&gt;"",FT!C20,"")</f>
        <v>7.2621900000000004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6423</v>
      </c>
      <c r="D21" s="61">
        <f>FH!B21*1</f>
        <v>6423</v>
      </c>
      <c r="E21">
        <f t="shared" si="3"/>
        <v>19</v>
      </c>
      <c r="F21" s="61">
        <f>IF(FT!A21&lt;&gt;"",FT!A21*10,"")</f>
        <v>3.9415899999999997</v>
      </c>
      <c r="G21" s="61">
        <f>IF(FT!B21&lt;&gt;"",FT!B21*100,"")</f>
        <v>41.875900000000001</v>
      </c>
      <c r="H21" s="61">
        <f t="shared" si="1"/>
        <v>1</v>
      </c>
      <c r="I21" t="str">
        <f>IF(FT!B21&lt;&gt;"",FT!E21,"")</f>
        <v>1 [7.664831]</v>
      </c>
      <c r="J21">
        <f>IF(FT!B21&lt;&gt;"",FT!C21,"")</f>
        <v>7.6648300000000003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3.9758900000000001</v>
      </c>
      <c r="G22" s="61">
        <f>IF(FT!B22&lt;&gt;"",FT!B22*100,"")</f>
        <v>41.970400000000005</v>
      </c>
      <c r="H22" s="61">
        <f t="shared" si="1"/>
        <v>1</v>
      </c>
      <c r="I22" t="str">
        <f>IF(FT!B22&lt;&gt;"",FT!E22,"")</f>
        <v>1 [8.076841]</v>
      </c>
      <c r="J22">
        <f>IF(FT!B22&lt;&gt;"",FT!C22,"")</f>
        <v>8.0768400000000007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11010</v>
      </c>
      <c r="D23" s="61">
        <f>FH!B23*1</f>
        <v>11010</v>
      </c>
      <c r="E23">
        <f t="shared" si="3"/>
        <v>21</v>
      </c>
      <c r="F23" s="61">
        <f>IF(FT!A23&lt;&gt;"",FT!A23*10,"")</f>
        <v>4.0112899999999998</v>
      </c>
      <c r="G23" s="61">
        <f>IF(FT!B23&lt;&gt;"",FT!B23*100,"")</f>
        <v>41.974299999999999</v>
      </c>
      <c r="H23" s="61">
        <f t="shared" si="1"/>
        <v>1</v>
      </c>
      <c r="I23" t="str">
        <f>IF(FT!B23&lt;&gt;"",FT!E23,"")</f>
        <v>1 [8.480747]</v>
      </c>
      <c r="J23">
        <f>IF(FT!B23&lt;&gt;"",FT!C23,"")</f>
        <v>8.4807500000000005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4.0407599999999997</v>
      </c>
      <c r="G24" s="61">
        <f>IF(FT!B24&lt;&gt;"",FT!B24*100,"")</f>
        <v>41.985599999999998</v>
      </c>
      <c r="H24" s="61">
        <f t="shared" si="1"/>
        <v>1</v>
      </c>
      <c r="I24" t="str">
        <f>IF(FT!B24&lt;&gt;"",FT!E24,"")</f>
        <v>1 [8.889834]</v>
      </c>
      <c r="J24">
        <f>IF(FT!B24&lt;&gt;"",FT!C24,"")</f>
        <v>8.8898299999999999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4.0625299999999998</v>
      </c>
      <c r="G25" s="61">
        <f>IF(FT!B25&lt;&gt;"",FT!B25*100,"")</f>
        <v>42.050599999999996</v>
      </c>
      <c r="H25" s="61">
        <f t="shared" si="1"/>
        <v>1</v>
      </c>
      <c r="I25" t="str">
        <f>IF(FT!B25&lt;&gt;"",FT!E25,"")</f>
        <v>1 [9.293585]</v>
      </c>
      <c r="J25">
        <f>IF(FT!B25&lt;&gt;"",FT!C25,"")</f>
        <v>9.29359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14563</v>
      </c>
      <c r="D26" s="61">
        <f>FH!B26*1</f>
        <v>14563</v>
      </c>
      <c r="E26">
        <f t="shared" si="3"/>
        <v>24</v>
      </c>
      <c r="F26" s="61">
        <f>IF(FT!A26&lt;&gt;"",FT!A26*10,"")</f>
        <v>4.0791300000000001</v>
      </c>
      <c r="G26" s="61">
        <f>IF(FT!B26&lt;&gt;"",FT!B26*100,"")</f>
        <v>42.1008</v>
      </c>
      <c r="H26" s="61">
        <f t="shared" si="1"/>
        <v>1</v>
      </c>
      <c r="I26" t="str">
        <f>IF(FT!B26&lt;&gt;"",FT!E26,"")</f>
        <v>1 [9.697127]</v>
      </c>
      <c r="J26">
        <f>IF(FT!B26&lt;&gt;"",FT!C26,"")</f>
        <v>9.6971299999999996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4.0937600000000005</v>
      </c>
      <c r="G27" s="61">
        <f>IF(FT!B27&lt;&gt;"",FT!B27*100,"")</f>
        <v>42.100300000000004</v>
      </c>
      <c r="H27" s="61">
        <f t="shared" si="1"/>
        <v>1</v>
      </c>
      <c r="I27" t="str">
        <f>IF(FT!B27&lt;&gt;"",FT!E27,"")</f>
        <v>1 [10.105130]</v>
      </c>
      <c r="J27">
        <f>IF(FT!B27&lt;&gt;"",FT!C27,"")</f>
        <v>10.1051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21410</v>
      </c>
      <c r="D28" s="61">
        <f>FH!B28*1</f>
        <v>21410</v>
      </c>
      <c r="E28">
        <f t="shared" si="3"/>
        <v>26</v>
      </c>
      <c r="F28" s="61">
        <f>IF(FT!A28&lt;&gt;"",FT!A28*10,"")</f>
        <v>4.1044599999999996</v>
      </c>
      <c r="G28" s="61">
        <f>IF(FT!B28&lt;&gt;"",FT!B28*100,"")</f>
        <v>42.079899999999995</v>
      </c>
      <c r="H28" s="61">
        <f t="shared" si="1"/>
        <v>1</v>
      </c>
      <c r="I28" t="str">
        <f>IF(FT!B28&lt;&gt;"",FT!E28,"")</f>
        <v>1 [10.512546]</v>
      </c>
      <c r="J28">
        <f>IF(FT!B28&lt;&gt;"",FT!C28,"")</f>
        <v>10.512499999999999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4.1115000000000004</v>
      </c>
      <c r="G29" s="61">
        <f>IF(FT!B29&lt;&gt;"",FT!B29*100,"")</f>
        <v>42.064599999999999</v>
      </c>
      <c r="H29" s="61">
        <f t="shared" si="1"/>
        <v>1</v>
      </c>
      <c r="I29" t="str">
        <f>IF(FT!B29&lt;&gt;"",FT!E29,"")</f>
        <v>1 [10.918456]</v>
      </c>
      <c r="J29">
        <f>IF(FT!B29&lt;&gt;"",FT!C29,"")</f>
        <v>10.9185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4.1185999999999998</v>
      </c>
      <c r="G30" s="61">
        <f>IF(FT!B30&lt;&gt;"",FT!B30*100,"")</f>
        <v>41.997299999999996</v>
      </c>
      <c r="H30" s="61">
        <f t="shared" si="1"/>
        <v>1</v>
      </c>
      <c r="I30" t="str">
        <f>IF(FT!B30&lt;&gt;"",FT!E30,"")</f>
        <v>1 [11.323735]</v>
      </c>
      <c r="J30">
        <f>IF(FT!B30&lt;&gt;"",FT!C30,"")</f>
        <v>11.323700000000001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22534</v>
      </c>
      <c r="D31" s="61">
        <f>FH!B31*1</f>
        <v>22534</v>
      </c>
      <c r="E31">
        <f t="shared" si="3"/>
        <v>29</v>
      </c>
      <c r="F31" s="61">
        <f>IF(FT!A31&lt;&gt;"",FT!A31*10,"")</f>
        <v>4.1245599999999998</v>
      </c>
      <c r="G31" s="61">
        <f>IF(FT!B31&lt;&gt;"",FT!B31*100,"")</f>
        <v>41.940300000000001</v>
      </c>
      <c r="H31" s="61">
        <f t="shared" si="1"/>
        <v>1</v>
      </c>
      <c r="I31" t="str">
        <f>IF(FT!B31&lt;&gt;"",FT!E31,"")</f>
        <v>1 [11.731172]</v>
      </c>
      <c r="J31">
        <f>IF(FT!B31&lt;&gt;"",FT!C31,"")</f>
        <v>11.731199999999999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4.1244700000000005</v>
      </c>
      <c r="G32" s="61">
        <f>IF(FT!B32&lt;&gt;"",FT!B32*100,"")</f>
        <v>41.941000000000003</v>
      </c>
      <c r="H32" s="61">
        <f t="shared" si="1"/>
        <v>1</v>
      </c>
      <c r="I32" t="str">
        <f>IF(FT!B32&lt;&gt;"",FT!E32,"")</f>
        <v>1 [12.137096]</v>
      </c>
      <c r="J32">
        <f>IF(FT!B32&lt;&gt;"",FT!C32,"")</f>
        <v>12.1371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22776</v>
      </c>
      <c r="D33" s="61">
        <f>FH!B33*1</f>
        <v>22776</v>
      </c>
      <c r="E33">
        <f t="shared" si="3"/>
        <v>31</v>
      </c>
      <c r="F33" s="61">
        <f>IF(FT!A33&lt;&gt;"",FT!A33*10,"")</f>
        <v>4.12202</v>
      </c>
      <c r="G33" s="61">
        <f>IF(FT!B33&lt;&gt;"",FT!B33*100,"")</f>
        <v>41.990699999999997</v>
      </c>
      <c r="H33" s="61">
        <f t="shared" si="1"/>
        <v>1</v>
      </c>
      <c r="I33" t="str">
        <f>IF(FT!B33&lt;&gt;"",FT!E33,"")</f>
        <v>1 [12.541428]</v>
      </c>
      <c r="J33">
        <f>IF(FT!B33&lt;&gt;"",FT!C33,"")</f>
        <v>12.541399999999999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4.1200200000000002</v>
      </c>
      <c r="G34" s="61">
        <f>IF(FT!B34&lt;&gt;"",FT!B34*100,"")</f>
        <v>42.0334</v>
      </c>
      <c r="H34" s="61">
        <f t="shared" si="1"/>
        <v>1</v>
      </c>
      <c r="I34" t="str">
        <f>IF(FT!B34&lt;&gt;"",FT!E34,"")</f>
        <v>1 [12.951308]</v>
      </c>
      <c r="J34">
        <f>IF(FT!B34&lt;&gt;"",FT!C34,"")</f>
        <v>12.9513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4.1187500000000004</v>
      </c>
      <c r="G35" s="61">
        <f>IF(FT!B35&lt;&gt;"",FT!B35*100,"")</f>
        <v>42.052399999999999</v>
      </c>
      <c r="H35" s="61">
        <f t="shared" si="1"/>
        <v>1</v>
      </c>
      <c r="I35" t="str">
        <f>IF(FT!B35&lt;&gt;"",FT!E35,"")</f>
        <v>1 [13.358298]</v>
      </c>
      <c r="J35">
        <f>IF(FT!B35&lt;&gt;"",FT!C35,"")</f>
        <v>13.3583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25575</v>
      </c>
      <c r="D36" s="61">
        <f>FH!B36*1</f>
        <v>25575</v>
      </c>
      <c r="E36">
        <f t="shared" si="3"/>
        <v>34</v>
      </c>
      <c r="F36" s="61">
        <f>IF(FT!A36&lt;&gt;"",FT!A36*10,"")</f>
        <v>4.1142699999999994</v>
      </c>
      <c r="G36" s="61">
        <f>IF(FT!B36&lt;&gt;"",FT!B36*100,"")</f>
        <v>42.097000000000001</v>
      </c>
      <c r="H36" s="61">
        <f t="shared" si="1"/>
        <v>1</v>
      </c>
      <c r="I36" t="str">
        <f>IF(FT!B36&lt;&gt;"",FT!E36,"")</f>
        <v>1 [13.761340]</v>
      </c>
      <c r="J36">
        <f>IF(FT!B36&lt;&gt;"",FT!C36,"")</f>
        <v>13.7613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4.1072100000000002</v>
      </c>
      <c r="G37" s="61">
        <f>IF(FT!B37&lt;&gt;"",FT!B37*100,"")</f>
        <v>42.147500000000001</v>
      </c>
      <c r="H37" s="61">
        <f t="shared" si="1"/>
        <v>1</v>
      </c>
      <c r="I37" t="str">
        <f>IF(FT!B37&lt;&gt;"",FT!E37,"")</f>
        <v>1 [14.164640]</v>
      </c>
      <c r="J37">
        <f>IF(FT!B37&lt;&gt;"",FT!C37,"")</f>
        <v>14.1646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4.1039099999999999</v>
      </c>
      <c r="G38" s="61">
        <f>IF(FT!B38&lt;&gt;"",FT!B38*100,"")</f>
        <v>42.140899999999995</v>
      </c>
      <c r="H38" s="61">
        <f t="shared" si="1"/>
        <v>1</v>
      </c>
      <c r="I38" t="str">
        <f>IF(FT!B38&lt;&gt;"",FT!E38,"")</f>
        <v>1 [14.573418]</v>
      </c>
      <c r="J38">
        <f>IF(FT!B38&lt;&gt;"",FT!C38,"")</f>
        <v>14.573399999999999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26985</v>
      </c>
      <c r="D39" s="61">
        <f>FH!B39*1</f>
        <v>26985</v>
      </c>
      <c r="E39">
        <f t="shared" si="3"/>
        <v>37</v>
      </c>
      <c r="F39" s="61">
        <f>IF(FT!A39&lt;&gt;"",FT!A39*10,"")</f>
        <v>4.0994799999999998</v>
      </c>
      <c r="G39" s="61">
        <f>IF(FT!B39&lt;&gt;"",FT!B39*100,"")</f>
        <v>42.1768</v>
      </c>
      <c r="H39" s="61">
        <f t="shared" si="1"/>
        <v>1</v>
      </c>
      <c r="I39" t="str">
        <f>IF(FT!B39&lt;&gt;"",FT!E39,"")</f>
        <v>1 [14.980079]</v>
      </c>
      <c r="J39">
        <f>IF(FT!B39&lt;&gt;"",FT!C39,"")</f>
        <v>14.9801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4.0857900000000003</v>
      </c>
      <c r="G40" s="61">
        <f>IF(FT!B40&lt;&gt;"",FT!B40*100,"")</f>
        <v>42.279899999999998</v>
      </c>
      <c r="H40" s="61">
        <f t="shared" si="1"/>
        <v>1</v>
      </c>
      <c r="I40" t="str">
        <f>IF(FT!B40&lt;&gt;"",FT!E40,"")</f>
        <v>2 [15.573453]</v>
      </c>
      <c r="J40">
        <f>IF(FT!B40&lt;&gt;"",FT!C40,"")</f>
        <v>15.573499999999999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27304</v>
      </c>
      <c r="D41" s="61">
        <f>FH!B41*1</f>
        <v>27304</v>
      </c>
      <c r="E41">
        <f t="shared" si="3"/>
        <v>39</v>
      </c>
      <c r="F41" s="61">
        <f>IF(FT!A41&lt;&gt;"",FT!A41*10,"")</f>
        <v>4.0764300000000002</v>
      </c>
      <c r="G41" s="61">
        <f>IF(FT!B41&lt;&gt;"",FT!B41*100,"")</f>
        <v>42.3307</v>
      </c>
      <c r="H41" s="61">
        <f t="shared" si="1"/>
        <v>1</v>
      </c>
      <c r="I41" t="str">
        <f>IF(FT!B41&lt;&gt;"",FT!E41,"")</f>
        <v>2 [15.947545]</v>
      </c>
      <c r="J41">
        <f>IF(FT!B41&lt;&gt;"",FT!C41,"")</f>
        <v>15.9475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4.07151</v>
      </c>
      <c r="G42" s="61">
        <f>IF(FT!B42&lt;&gt;"",FT!B42*100,"")</f>
        <v>42.356200000000001</v>
      </c>
      <c r="H42" s="61">
        <f t="shared" si="1"/>
        <v>1</v>
      </c>
      <c r="I42" t="str">
        <f>IF(FT!B42&lt;&gt;"",FT!E42,"")</f>
        <v>2 [16.322463]</v>
      </c>
      <c r="J42">
        <f>IF(FT!B42&lt;&gt;"",FT!C42,"")</f>
        <v>16.322500000000002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4.0668800000000003</v>
      </c>
      <c r="G43" s="61">
        <f>IF(FT!B43&lt;&gt;"",FT!B43*100,"")</f>
        <v>42.400999999999996</v>
      </c>
      <c r="H43" s="61">
        <f t="shared" si="1"/>
        <v>1</v>
      </c>
      <c r="I43" t="str">
        <f>IF(FT!B43&lt;&gt;"",FT!E43,"")</f>
        <v>2 [16.700366]</v>
      </c>
      <c r="J43">
        <f>IF(FT!B43&lt;&gt;"",FT!C43,"")</f>
        <v>16.700399999999998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32273</v>
      </c>
      <c r="D44" s="61">
        <f>FH!B44*1</f>
        <v>32273</v>
      </c>
      <c r="E44">
        <f t="shared" si="3"/>
        <v>42</v>
      </c>
      <c r="F44" s="61">
        <f>IF(FT!A44&lt;&gt;"",FT!A44*10,"")</f>
        <v>4.0601099999999999</v>
      </c>
      <c r="G44" s="61">
        <f>IF(FT!B44&lt;&gt;"",FT!B44*100,"")</f>
        <v>42.471800000000002</v>
      </c>
      <c r="H44" s="61">
        <f t="shared" si="1"/>
        <v>1</v>
      </c>
      <c r="I44" t="str">
        <f>IF(FT!B44&lt;&gt;"",FT!E44,"")</f>
        <v>2 [17.076112]</v>
      </c>
      <c r="J44">
        <f>IF(FT!B44&lt;&gt;"",FT!C44,"")</f>
        <v>17.0761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4.05626</v>
      </c>
      <c r="G45" s="61">
        <f>IF(FT!B45&lt;&gt;"",FT!B45*100,"")</f>
        <v>42.521300000000004</v>
      </c>
      <c r="H45" s="61">
        <f t="shared" si="1"/>
        <v>1</v>
      </c>
      <c r="I45" t="str">
        <f>IF(FT!B45&lt;&gt;"",FT!E45,"")</f>
        <v>2 [17.477653]</v>
      </c>
      <c r="J45">
        <f>IF(FT!B45&lt;&gt;"",FT!C45,"")</f>
        <v>17.477699999999999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35985</v>
      </c>
      <c r="D46" s="61">
        <f>FH!B46*1</f>
        <v>35985</v>
      </c>
      <c r="E46">
        <f t="shared" si="3"/>
        <v>44</v>
      </c>
      <c r="F46" s="61">
        <f>IF(FT!A46&lt;&gt;"",FT!A46*10,"")</f>
        <v>4.05579</v>
      </c>
      <c r="G46" s="61">
        <f>IF(FT!B46&lt;&gt;"",FT!B46*100,"")</f>
        <v>42.606100000000005</v>
      </c>
      <c r="H46" s="61">
        <f t="shared" si="1"/>
        <v>1</v>
      </c>
      <c r="I46" t="str">
        <f>IF(FT!B46&lt;&gt;"",FT!E46,"")</f>
        <v>2 [17.885016]</v>
      </c>
      <c r="J46">
        <f>IF(FT!B46&lt;&gt;"",FT!C46,"")</f>
        <v>17.885000000000002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4.0523699999999998</v>
      </c>
      <c r="G47" s="61">
        <f>IF(FT!B47&lt;&gt;"",FT!B47*100,"")</f>
        <v>42.785000000000004</v>
      </c>
      <c r="H47" s="61">
        <f t="shared" si="1"/>
        <v>1</v>
      </c>
      <c r="I47" t="str">
        <f>IF(FT!B47&lt;&gt;"",FT!E47,"")</f>
        <v>2 [18.291993]</v>
      </c>
      <c r="J47">
        <f>IF(FT!B47&lt;&gt;"",FT!C47,"")</f>
        <v>18.292000000000002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4.04406</v>
      </c>
      <c r="G48" s="61">
        <f>IF(FT!B48&lt;&gt;"",FT!B48*100,"")</f>
        <v>43.027000000000001</v>
      </c>
      <c r="H48" s="61">
        <f t="shared" si="1"/>
        <v>1</v>
      </c>
      <c r="I48" t="str">
        <f>IF(FT!B48&lt;&gt;"",FT!E48,"")</f>
        <v>2 [18.698513]</v>
      </c>
      <c r="J48">
        <f>IF(FT!B48&lt;&gt;"",FT!C48,"")</f>
        <v>18.698499999999999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43299</v>
      </c>
      <c r="D49" s="61">
        <f>FH!B49*1</f>
        <v>43299</v>
      </c>
      <c r="E49">
        <f t="shared" si="3"/>
        <v>47</v>
      </c>
      <c r="F49" s="61">
        <f>IF(FT!A49&lt;&gt;"",FT!A49*10,"")</f>
        <v>4.0377700000000001</v>
      </c>
      <c r="G49" s="61">
        <f>IF(FT!B49&lt;&gt;"",FT!B49*100,"")</f>
        <v>43.18</v>
      </c>
      <c r="H49" s="61">
        <f t="shared" si="1"/>
        <v>1</v>
      </c>
      <c r="I49" t="str">
        <f>IF(FT!B49&lt;&gt;"",FT!E49,"")</f>
        <v>2 [19.105465]</v>
      </c>
      <c r="J49">
        <f>IF(FT!B49&lt;&gt;"",FT!C49,"")</f>
        <v>19.105499999999999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4.0350999999999999</v>
      </c>
      <c r="G50" s="61">
        <f>IF(FT!B50&lt;&gt;"",FT!B50*100,"")</f>
        <v>43.2669</v>
      </c>
      <c r="H50" s="61">
        <f t="shared" si="1"/>
        <v>1</v>
      </c>
      <c r="I50" t="str">
        <f>IF(FT!B50&lt;&gt;"",FT!E50,"")</f>
        <v>2 [19.511382]</v>
      </c>
      <c r="J50">
        <f>IF(FT!B50&lt;&gt;"",FT!C50,"")</f>
        <v>19.511399999999998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42535</v>
      </c>
      <c r="D51" s="61">
        <f>FH!B51*1</f>
        <v>42535</v>
      </c>
      <c r="E51">
        <f t="shared" si="3"/>
        <v>49</v>
      </c>
      <c r="F51" s="61">
        <f>IF(FT!A51&lt;&gt;"",FT!A51*10,"")</f>
        <v>4.0322100000000001</v>
      </c>
      <c r="G51" s="61">
        <f>IF(FT!B51&lt;&gt;"",FT!B51*100,"")</f>
        <v>43.313600000000001</v>
      </c>
      <c r="H51" s="61">
        <f t="shared" si="1"/>
        <v>1</v>
      </c>
      <c r="I51" t="str">
        <f>IF(FT!B51&lt;&gt;"",FT!E51,"")</f>
        <v>2 [19.919278]</v>
      </c>
      <c r="J51">
        <f>IF(FT!B51&lt;&gt;"",FT!C51,"")</f>
        <v>19.9193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4.0305800000000005</v>
      </c>
      <c r="G52" s="61">
        <f>IF(FT!B52&lt;&gt;"",FT!B52*100,"")</f>
        <v>43.3292</v>
      </c>
      <c r="H52" s="61">
        <f t="shared" si="1"/>
        <v>1</v>
      </c>
      <c r="I52" t="str">
        <f>IF(FT!B52&lt;&gt;"",FT!E52,"")</f>
        <v>2 [20.326780]</v>
      </c>
      <c r="J52">
        <f>IF(FT!B52&lt;&gt;"",FT!C52,"")</f>
        <v>20.326799999999999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4.0314399999999999</v>
      </c>
      <c r="G53" s="61">
        <f>IF(FT!B53&lt;&gt;"",FT!B53*100,"")</f>
        <v>43.292900000000003</v>
      </c>
      <c r="H53" s="61">
        <f t="shared" si="1"/>
        <v>1</v>
      </c>
      <c r="I53" t="str">
        <f>IF(FT!B53&lt;&gt;"",FT!E53,"")</f>
        <v>2 [20.731415]</v>
      </c>
      <c r="J53">
        <f>IF(FT!B53&lt;&gt;"",FT!C53,"")</f>
        <v>20.731400000000001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48099</v>
      </c>
      <c r="D54" s="61">
        <f>FH!B54*1</f>
        <v>48099</v>
      </c>
      <c r="E54">
        <f t="shared" si="3"/>
        <v>52</v>
      </c>
      <c r="F54" s="61">
        <f>IF(FT!A54&lt;&gt;"",FT!A54*10,"")</f>
        <v>4.0315399999999997</v>
      </c>
      <c r="G54" s="61">
        <f>IF(FT!B54&lt;&gt;"",FT!B54*100,"")</f>
        <v>43.291699999999999</v>
      </c>
      <c r="H54" s="61">
        <f t="shared" si="1"/>
        <v>1</v>
      </c>
      <c r="I54" t="str">
        <f>IF(FT!B54&lt;&gt;"",FT!E54,"")</f>
        <v>2 [21.136555]</v>
      </c>
      <c r="J54">
        <f>IF(FT!B54&lt;&gt;"",FT!C54,"")</f>
        <v>21.136600000000001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4.0266500000000001</v>
      </c>
      <c r="G55" s="61">
        <f>IF(FT!B55&lt;&gt;"",FT!B55*100,"")</f>
        <v>43.381500000000003</v>
      </c>
      <c r="H55" s="61">
        <f t="shared" si="1"/>
        <v>1</v>
      </c>
      <c r="I55" t="str">
        <f>IF(FT!B55&lt;&gt;"",FT!E55,"")</f>
        <v>2 [21.539745]</v>
      </c>
      <c r="J55">
        <f>IF(FT!B55&lt;&gt;"",FT!C55,"")</f>
        <v>21.5397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4.0200000000000005</v>
      </c>
      <c r="G56" s="61">
        <f>IF(FT!B56&lt;&gt;"",FT!B56*100,"")</f>
        <v>43.488199999999999</v>
      </c>
      <c r="H56" s="61">
        <f t="shared" si="1"/>
        <v>1</v>
      </c>
      <c r="I56" t="str">
        <f>IF(FT!B56&lt;&gt;"",FT!E56,"")</f>
        <v>2 [21.948286]</v>
      </c>
      <c r="J56">
        <f>IF(FT!B56&lt;&gt;"",FT!C56,"")</f>
        <v>21.9483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54002</v>
      </c>
      <c r="D57" s="61">
        <f>FH!B57*1</f>
        <v>54002</v>
      </c>
      <c r="E57">
        <f t="shared" si="3"/>
        <v>55</v>
      </c>
      <c r="F57" s="61">
        <f>IF(FT!A57&lt;&gt;"",FT!A57*10,"")</f>
        <v>4.0156299999999998</v>
      </c>
      <c r="G57" s="61">
        <f>IF(FT!B57&lt;&gt;"",FT!B57*100,"")</f>
        <v>43.5304</v>
      </c>
      <c r="H57" s="61">
        <f t="shared" si="1"/>
        <v>1</v>
      </c>
      <c r="I57" t="str">
        <f>IF(FT!B57&lt;&gt;"",FT!E57,"")</f>
        <v>2 [22.356755]</v>
      </c>
      <c r="J57">
        <f>IF(FT!B57&lt;&gt;"",FT!C57,"")</f>
        <v>22.3568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4.0121200000000004</v>
      </c>
      <c r="G58" s="61">
        <f>IF(FT!B58&lt;&gt;"",FT!B58*100,"")</f>
        <v>43.536099999999998</v>
      </c>
      <c r="H58" s="61">
        <f t="shared" si="1"/>
        <v>1</v>
      </c>
      <c r="I58" t="str">
        <f>IF(FT!B58&lt;&gt;"",FT!E58,"")</f>
        <v>2 [22.763520]</v>
      </c>
      <c r="J58">
        <f>IF(FT!B58&lt;&gt;"",FT!C58,"")</f>
        <v>22.763500000000001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54160</v>
      </c>
      <c r="D59" s="61">
        <f>FH!B59*1</f>
        <v>54160</v>
      </c>
      <c r="E59">
        <f t="shared" si="3"/>
        <v>57</v>
      </c>
      <c r="F59" s="61">
        <f>IF(FT!A59&lt;&gt;"",FT!A59*10,"")</f>
        <v>4.0047199999999998</v>
      </c>
      <c r="G59" s="61">
        <f>IF(FT!B59&lt;&gt;"",FT!B59*100,"")</f>
        <v>43.622300000000003</v>
      </c>
      <c r="H59" s="61">
        <f t="shared" si="1"/>
        <v>1</v>
      </c>
      <c r="I59" t="str">
        <f>IF(FT!B59&lt;&gt;"",FT!E59,"")</f>
        <v>2 [23.165705]</v>
      </c>
      <c r="J59">
        <f>IF(FT!B59&lt;&gt;"",FT!C59,"")</f>
        <v>23.165700000000001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3.99675</v>
      </c>
      <c r="G60" s="61">
        <f>IF(FT!B60&lt;&gt;"",FT!B60*100,"")</f>
        <v>43.736899999999999</v>
      </c>
      <c r="H60" s="61">
        <f t="shared" si="1"/>
        <v>1</v>
      </c>
      <c r="I60" t="str">
        <f>IF(FT!B60&lt;&gt;"",FT!E60,"")</f>
        <v>2 [23.571167]</v>
      </c>
      <c r="J60">
        <f>IF(FT!B60&lt;&gt;"",FT!C60,"")</f>
        <v>23.571200000000001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3.99465</v>
      </c>
      <c r="G61" s="61">
        <f>IF(FT!B61&lt;&gt;"",FT!B61*100,"")</f>
        <v>43.846000000000004</v>
      </c>
      <c r="H61" s="61">
        <f t="shared" si="1"/>
        <v>1</v>
      </c>
      <c r="I61" t="str">
        <f>IF(FT!B61&lt;&gt;"",FT!E61,"")</f>
        <v>2 [23.979982]</v>
      </c>
      <c r="J61">
        <f>IF(FT!B61&lt;&gt;"",FT!C61,"")</f>
        <v>23.98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62459</v>
      </c>
      <c r="D62" s="61">
        <f>FH!B62*1</f>
        <v>62459</v>
      </c>
      <c r="E62">
        <f t="shared" si="3"/>
        <v>60</v>
      </c>
      <c r="F62" s="61">
        <f>IF(FT!A62&lt;&gt;"",FT!A62*10,"")</f>
        <v>3.9924200000000001</v>
      </c>
      <c r="G62" s="61">
        <f>IF(FT!B62&lt;&gt;"",FT!B62*100,"")</f>
        <v>44.0274</v>
      </c>
      <c r="H62" s="61">
        <f t="shared" si="1"/>
        <v>1</v>
      </c>
      <c r="I62" t="str">
        <f>IF(FT!B62&lt;&gt;"",FT!E62,"")</f>
        <v>2 [24.385420]</v>
      </c>
      <c r="J62">
        <f>IF(FT!B62&lt;&gt;"",FT!C62,"")</f>
        <v>24.385400000000001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3.9862799999999998</v>
      </c>
      <c r="G63" s="61">
        <f>IF(FT!B63&lt;&gt;"",FT!B63*100,"")</f>
        <v>44.358699999999999</v>
      </c>
      <c r="H63" s="61">
        <f t="shared" si="1"/>
        <v>1</v>
      </c>
      <c r="I63" t="str">
        <f>IF(FT!B63&lt;&gt;"",FT!E63,"")</f>
        <v>2 [24.790578]</v>
      </c>
      <c r="J63">
        <f>IF(FT!B63&lt;&gt;"",FT!C63,"")</f>
        <v>24.790600000000001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63689</v>
      </c>
      <c r="D64" s="61">
        <f>FH!B64*1</f>
        <v>63689</v>
      </c>
      <c r="E64">
        <f t="shared" si="3"/>
        <v>62</v>
      </c>
      <c r="F64" s="61">
        <f>IF(FT!A64&lt;&gt;"",FT!A64*10,"")</f>
        <v>3.9810400000000001</v>
      </c>
      <c r="G64" s="61">
        <f>IF(FT!B64&lt;&gt;"",FT!B64*100,"")</f>
        <v>44.685900000000004</v>
      </c>
      <c r="H64" s="61">
        <f t="shared" si="1"/>
        <v>1</v>
      </c>
      <c r="I64" t="str">
        <f>IF(FT!B64&lt;&gt;"",FT!E64,"")</f>
        <v>2 [25.200834]</v>
      </c>
      <c r="J64">
        <f>IF(FT!B64&lt;&gt;"",FT!C64,"")</f>
        <v>25.200800000000001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3.9825500000000003</v>
      </c>
      <c r="G65" s="61">
        <f>IF(FT!B65&lt;&gt;"",FT!B65*100,"")</f>
        <v>44.9452</v>
      </c>
      <c r="H65" s="61">
        <f t="shared" si="1"/>
        <v>1</v>
      </c>
      <c r="I65" t="str">
        <f>IF(FT!B65&lt;&gt;"",FT!E65,"")</f>
        <v>2 [25.603785]</v>
      </c>
      <c r="J65">
        <f>IF(FT!B65&lt;&gt;"",FT!C65,"")</f>
        <v>25.6038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3.9876399999999999</v>
      </c>
      <c r="G66" s="61">
        <f>IF(FT!B66&lt;&gt;"",FT!B66*100,"")</f>
        <v>45.244399999999999</v>
      </c>
      <c r="H66" s="61">
        <f t="shared" si="1"/>
        <v>1</v>
      </c>
      <c r="I66" t="str">
        <f>IF(FT!B66&lt;&gt;"",FT!E66,"")</f>
        <v>2 [26.009401]</v>
      </c>
      <c r="J66">
        <f>IF(FT!B66&lt;&gt;"",FT!C66,"")</f>
        <v>26.009399999999999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63297</v>
      </c>
      <c r="D67" s="61">
        <f>FH!B67*1</f>
        <v>63297</v>
      </c>
      <c r="E67">
        <f t="shared" si="3"/>
        <v>65</v>
      </c>
      <c r="F67" s="61">
        <f>IF(FT!A67&lt;&gt;"",FT!A67*10,"")</f>
        <v>3.9883099999999998</v>
      </c>
      <c r="G67" s="61">
        <f>IF(FT!B67&lt;&gt;"",FT!B67*100,"")</f>
        <v>45.514600000000002</v>
      </c>
      <c r="H67" s="61">
        <f t="shared" ref="H67:H130" si="9">(IF(F67&lt;&gt;"",1,""))</f>
        <v>1</v>
      </c>
      <c r="I67" t="str">
        <f>IF(FT!B67&lt;&gt;"",FT!E67,"")</f>
        <v>2 [26.415182]</v>
      </c>
      <c r="J67">
        <f>IF(FT!B67&lt;&gt;"",FT!C67,"")</f>
        <v>26.415199999999999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3.9860699999999998</v>
      </c>
      <c r="G68" s="61">
        <f>IF(FT!B68&lt;&gt;"",FT!B68*100,"")</f>
        <v>45.769399999999997</v>
      </c>
      <c r="H68" s="61">
        <f t="shared" si="9"/>
        <v>1</v>
      </c>
      <c r="I68" t="str">
        <f>IF(FT!B68&lt;&gt;"",FT!E68,"")</f>
        <v>2 [26.821503]</v>
      </c>
      <c r="J68">
        <f>IF(FT!B68&lt;&gt;"",FT!C68,"")</f>
        <v>26.8215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67289</v>
      </c>
      <c r="D69" s="61">
        <f>FH!B69*1</f>
        <v>67289</v>
      </c>
      <c r="E69">
        <f t="shared" si="11"/>
        <v>67</v>
      </c>
      <c r="F69" s="61">
        <f>IF(FT!A69&lt;&gt;"",FT!A69*10,"")</f>
        <v>3.9920899999999997</v>
      </c>
      <c r="G69" s="61">
        <f>IF(FT!B69&lt;&gt;"",FT!B69*100,"")</f>
        <v>45.960599999999999</v>
      </c>
      <c r="H69" s="61">
        <f t="shared" si="9"/>
        <v>1</v>
      </c>
      <c r="I69" t="str">
        <f>IF(FT!B69&lt;&gt;"",FT!E69,"")</f>
        <v>2 [27.230310]</v>
      </c>
      <c r="J69">
        <f>IF(FT!B69&lt;&gt;"",FT!C69,"")</f>
        <v>27.2303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3.9953499999999997</v>
      </c>
      <c r="G70" s="61">
        <f>IF(FT!B70&lt;&gt;"",FT!B70*100,"")</f>
        <v>46.1858</v>
      </c>
      <c r="H70" s="61">
        <f t="shared" si="9"/>
        <v>1</v>
      </c>
      <c r="I70" t="str">
        <f>IF(FT!B70&lt;&gt;"",FT!E70,"")</f>
        <v>2 [27.634116]</v>
      </c>
      <c r="J70">
        <f>IF(FT!B70&lt;&gt;"",FT!C70,"")</f>
        <v>27.6341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3.98672</v>
      </c>
      <c r="G71" s="61">
        <f>IF(FT!B71&lt;&gt;"",FT!B71*100,"")</f>
        <v>46.3658</v>
      </c>
      <c r="H71" s="61">
        <f t="shared" si="9"/>
        <v>1</v>
      </c>
      <c r="I71" t="str">
        <f>IF(FT!B71&lt;&gt;"",FT!E71,"")</f>
        <v>2 [28.041338]</v>
      </c>
      <c r="J71">
        <f>IF(FT!B71&lt;&gt;"",FT!C71,"")</f>
        <v>28.0413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61911</v>
      </c>
      <c r="D72" s="61">
        <f>FH!B72*1</f>
        <v>61911</v>
      </c>
      <c r="E72">
        <f t="shared" si="11"/>
        <v>70</v>
      </c>
      <c r="F72" s="61">
        <f>IF(FT!A72&lt;&gt;"",FT!A72*10,"")</f>
        <v>3.9724500000000003</v>
      </c>
      <c r="G72" s="61">
        <f>IF(FT!B72&lt;&gt;"",FT!B72*100,"")</f>
        <v>46.432899999999997</v>
      </c>
      <c r="H72" s="61">
        <f t="shared" si="9"/>
        <v>1</v>
      </c>
      <c r="I72" t="str">
        <f>IF(FT!B72&lt;&gt;"",FT!E72,"")</f>
        <v>2 [28.447182]</v>
      </c>
      <c r="J72">
        <f>IF(FT!B72&lt;&gt;"",FT!C72,"")</f>
        <v>28.447199999999999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3.9593099999999999</v>
      </c>
      <c r="G73" s="61">
        <f>IF(FT!B73&lt;&gt;"",FT!B73*100,"")</f>
        <v>46.3902</v>
      </c>
      <c r="H73" s="61">
        <f t="shared" si="9"/>
        <v>1</v>
      </c>
      <c r="I73" t="str">
        <f>IF(FT!B73&lt;&gt;"",FT!E73,"")</f>
        <v>2 [28.855203]</v>
      </c>
      <c r="J73">
        <f>IF(FT!B73&lt;&gt;"",FT!C73,"")</f>
        <v>28.8552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3.9626099999999997</v>
      </c>
      <c r="G74" s="61">
        <f>IF(FT!B74&lt;&gt;"",FT!B74*100,"")</f>
        <v>46.162700000000001</v>
      </c>
      <c r="H74" s="61">
        <f t="shared" si="9"/>
        <v>1</v>
      </c>
      <c r="I74" t="str">
        <f>IF(FT!B74&lt;&gt;"",FT!E74,"")</f>
        <v>2 [29.262383]</v>
      </c>
      <c r="J74">
        <f>IF(FT!B74&lt;&gt;"",FT!C74,"")</f>
        <v>29.2624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64037</v>
      </c>
      <c r="D75" s="61">
        <f>FH!B75*1</f>
        <v>64037</v>
      </c>
      <c r="E75">
        <f t="shared" si="11"/>
        <v>73</v>
      </c>
      <c r="F75" s="61">
        <f>IF(FT!A75&lt;&gt;"",FT!A75*10,"")</f>
        <v>3.96516</v>
      </c>
      <c r="G75" s="61">
        <f>IF(FT!B75&lt;&gt;"",FT!B75*100,"")</f>
        <v>45.526200000000003</v>
      </c>
      <c r="H75" s="61">
        <f t="shared" si="9"/>
        <v>1</v>
      </c>
      <c r="I75" t="str">
        <f>IF(FT!B75&lt;&gt;"",FT!E75,"")</f>
        <v>2 [29.667531]</v>
      </c>
      <c r="J75">
        <f>IF(FT!B75&lt;&gt;"",FT!C75,"")</f>
        <v>29.6675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3.9750100000000002</v>
      </c>
      <c r="G76" s="61">
        <f>IF(FT!B76&lt;&gt;"",FT!B76*100,"")</f>
        <v>45.390999999999998</v>
      </c>
      <c r="H76" s="61">
        <f t="shared" si="9"/>
        <v>1</v>
      </c>
      <c r="I76" t="str">
        <f>IF(FT!B76&lt;&gt;"",FT!E76,"")</f>
        <v>2 [30.073163]</v>
      </c>
      <c r="J76">
        <f>IF(FT!B76&lt;&gt;"",FT!C76,"")</f>
        <v>30.0732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66679</v>
      </c>
      <c r="D77" s="61">
        <f>FH!B77*1</f>
        <v>66679</v>
      </c>
      <c r="E77">
        <f t="shared" si="11"/>
        <v>75</v>
      </c>
      <c r="F77" s="61" t="str">
        <f>IF(FT!A77&lt;&gt;"",FT!A77*10,"")</f>
        <v/>
      </c>
      <c r="G77" s="61" t="str">
        <f>IF(FT!B77&lt;&gt;"",FT!B77*100,"")</f>
        <v/>
      </c>
      <c r="H77" s="61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 t="str">
        <f>IF(FT!A78&lt;&gt;"",FT!A78*10,"")</f>
        <v/>
      </c>
      <c r="G78" s="61" t="str">
        <f>IF(FT!B78&lt;&gt;"",FT!B78*100,"")</f>
        <v/>
      </c>
      <c r="H78" s="61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 t="str">
        <f>IF(FT!A79&lt;&gt;"",FT!A79*10,"")</f>
        <v/>
      </c>
      <c r="G79" s="61" t="str">
        <f>IF(FT!B79&lt;&gt;"",FT!B79*100,"")</f>
        <v/>
      </c>
      <c r="H79" s="61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70529</v>
      </c>
      <c r="D80" s="61">
        <f>FH!B80*1</f>
        <v>70529</v>
      </c>
      <c r="E80">
        <f t="shared" si="11"/>
        <v>78</v>
      </c>
      <c r="F80" s="61" t="str">
        <f>IF(FT!A80&lt;&gt;"",FT!A80*10,"")</f>
        <v/>
      </c>
      <c r="G80" s="61" t="str">
        <f>IF(FT!B80&lt;&gt;"",FT!B80*100,"")</f>
        <v/>
      </c>
      <c r="H80" s="61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 t="str">
        <f>IF(FT!A81&lt;&gt;"",FT!A81*10,"")</f>
        <v/>
      </c>
      <c r="G81" s="61" t="str">
        <f>IF(FT!B81&lt;&gt;"",FT!B81*100,"")</f>
        <v/>
      </c>
      <c r="H81" s="61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75351</v>
      </c>
      <c r="D82" s="61">
        <f>FH!B82*1</f>
        <v>75351</v>
      </c>
      <c r="E82">
        <f t="shared" si="11"/>
        <v>80</v>
      </c>
      <c r="F82" s="61" t="str">
        <f>IF(FT!A82&lt;&gt;"",FT!A82*10,"")</f>
        <v/>
      </c>
      <c r="G82" s="61" t="str">
        <f>IF(FT!B82&lt;&gt;"",FT!B82*100,"")</f>
        <v/>
      </c>
      <c r="H82" s="61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 t="str">
        <f>IF(FT!A83&lt;&gt;"",FT!A83*10,"")</f>
        <v/>
      </c>
      <c r="G83" s="61" t="str">
        <f>IF(FT!B83&lt;&gt;"",FT!B83*100,"")</f>
        <v/>
      </c>
      <c r="H83" s="61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 t="str">
        <f>IF(FT!A84&lt;&gt;"",FT!A84*10,"")</f>
        <v/>
      </c>
      <c r="G84" s="61" t="str">
        <f>IF(FT!B84&lt;&gt;"",FT!B84*100,"")</f>
        <v/>
      </c>
      <c r="H84" s="61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78808</v>
      </c>
      <c r="D85" s="61">
        <f>FH!B85*1</f>
        <v>78808</v>
      </c>
      <c r="E85">
        <f t="shared" si="11"/>
        <v>83</v>
      </c>
      <c r="F85" s="61" t="str">
        <f>IF(FT!A85&lt;&gt;"",FT!A85*10,"")</f>
        <v/>
      </c>
      <c r="G85" s="61" t="str">
        <f>IF(FT!B85&lt;&gt;"",FT!B85*100,"")</f>
        <v/>
      </c>
      <c r="H85" s="61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 t="str">
        <f>IF(FT!A86&lt;&gt;"",FT!A86*10,"")</f>
        <v/>
      </c>
      <c r="G86" s="61" t="str">
        <f>IF(FT!B86&lt;&gt;"",FT!B86*100,"")</f>
        <v/>
      </c>
      <c r="H86" s="61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 t="str">
        <f>IF(FT!A87&lt;&gt;"",FT!A87*10,"")</f>
        <v/>
      </c>
      <c r="G87" s="61" t="str">
        <f>IF(FT!B87&lt;&gt;"",FT!B87*100,"")</f>
        <v/>
      </c>
      <c r="H87" s="61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83634</v>
      </c>
      <c r="D88" s="61">
        <f>FH!B88*1</f>
        <v>83634</v>
      </c>
      <c r="E88">
        <f t="shared" si="11"/>
        <v>86</v>
      </c>
      <c r="F88" s="61" t="str">
        <f>IF(FT!A88&lt;&gt;"",FT!A88*10,"")</f>
        <v/>
      </c>
      <c r="G88" s="61" t="str">
        <f>IF(FT!B88&lt;&gt;"",FT!B88*100,"")</f>
        <v/>
      </c>
      <c r="H88" s="61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 t="str">
        <f>IF(FT!A89&lt;&gt;"",FT!A89*10,"")</f>
        <v/>
      </c>
      <c r="G89" s="61" t="str">
        <f>IF(FT!B89&lt;&gt;"",FT!B89*100,"")</f>
        <v/>
      </c>
      <c r="H89" s="61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89347</v>
      </c>
      <c r="D90" s="61">
        <f>FH!B90*1</f>
        <v>89347</v>
      </c>
      <c r="E90">
        <f t="shared" si="11"/>
        <v>88</v>
      </c>
      <c r="F90" s="61" t="str">
        <f>IF(FT!A90&lt;&gt;"",FT!A90*10,"")</f>
        <v/>
      </c>
      <c r="G90" s="61" t="str">
        <f>IF(FT!B90&lt;&gt;"",FT!B90*100,"")</f>
        <v/>
      </c>
      <c r="H90" s="61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 t="str">
        <f>IF(FT!A91&lt;&gt;"",FT!A91*10,"")</f>
        <v/>
      </c>
      <c r="G91" s="61" t="str">
        <f>IF(FT!B91&lt;&gt;"",FT!B91*100,"")</f>
        <v/>
      </c>
      <c r="H91" s="61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 t="str">
        <f>IF(FT!A92&lt;&gt;"",FT!A92*10,"")</f>
        <v/>
      </c>
      <c r="G92" s="61" t="str">
        <f>IF(FT!B92&lt;&gt;"",FT!B92*100,"")</f>
        <v/>
      </c>
      <c r="H92" s="61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85117</v>
      </c>
      <c r="D93" s="61">
        <f>FH!B93*1</f>
        <v>85117</v>
      </c>
      <c r="E93">
        <f t="shared" si="11"/>
        <v>91</v>
      </c>
      <c r="F93" s="61" t="str">
        <f>IF(FT!A93&lt;&gt;"",FT!A93*10,"")</f>
        <v/>
      </c>
      <c r="G93" s="61" t="str">
        <f>IF(FT!B93&lt;&gt;"",FT!B93*100,"")</f>
        <v/>
      </c>
      <c r="H93" s="61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 t="str">
        <f>IF(FT!A94&lt;&gt;"",FT!A94*10,"")</f>
        <v/>
      </c>
      <c r="G94" s="61" t="str">
        <f>IF(FT!B94&lt;&gt;"",FT!B94*100,"")</f>
        <v/>
      </c>
      <c r="H94" s="61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90451</v>
      </c>
      <c r="D95" s="61">
        <f>FH!B95*1</f>
        <v>90451</v>
      </c>
      <c r="E95">
        <f t="shared" si="11"/>
        <v>93</v>
      </c>
      <c r="F95" s="61" t="str">
        <f>IF(FT!A95&lt;&gt;"",FT!A95*10,"")</f>
        <v/>
      </c>
      <c r="G95" s="61" t="str">
        <f>IF(FT!B95&lt;&gt;"",FT!B95*100,"")</f>
        <v/>
      </c>
      <c r="H95" s="61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 t="str">
        <f>IF(FT!A96&lt;&gt;"",FT!A96*10,"")</f>
        <v/>
      </c>
      <c r="G96" s="61" t="str">
        <f>IF(FT!B96&lt;&gt;"",FT!B96*100,"")</f>
        <v/>
      </c>
      <c r="H96" s="61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 t="str">
        <f>IF(FT!A97&lt;&gt;"",FT!A97*10,"")</f>
        <v/>
      </c>
      <c r="G97" s="61" t="str">
        <f>IF(FT!B97&lt;&gt;"",FT!B97*100,"")</f>
        <v/>
      </c>
      <c r="H97" s="61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97714</v>
      </c>
      <c r="D98" s="61">
        <f>FH!B98*1</f>
        <v>97714</v>
      </c>
      <c r="E98">
        <f t="shared" si="11"/>
        <v>96</v>
      </c>
      <c r="F98" s="61" t="str">
        <f>IF(FT!A98&lt;&gt;"",FT!A98*10,"")</f>
        <v/>
      </c>
      <c r="G98" s="61" t="str">
        <f>IF(FT!B98&lt;&gt;"",FT!B98*100,"")</f>
        <v/>
      </c>
      <c r="H98" s="61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 t="str">
        <f>IF(FT!A99&lt;&gt;"",FT!A99*10,"")</f>
        <v/>
      </c>
      <c r="G99" s="61" t="str">
        <f>IF(FT!B99&lt;&gt;"",FT!B99*100,"")</f>
        <v/>
      </c>
      <c r="H99" s="61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104263</v>
      </c>
      <c r="D100" s="61">
        <f>FH!B100*1</f>
        <v>104263</v>
      </c>
      <c r="E100">
        <f t="shared" si="11"/>
        <v>98</v>
      </c>
      <c r="F100" s="61" t="str">
        <f>IF(FT!A100&lt;&gt;"",FT!A100*10,"")</f>
        <v/>
      </c>
      <c r="G100" s="61" t="str">
        <f>IF(FT!B100&lt;&gt;"",FT!B100*100,"")</f>
        <v/>
      </c>
      <c r="H100" s="61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 t="str">
        <f>IF(FT!A101&lt;&gt;"",FT!A101*10,"")</f>
        <v/>
      </c>
      <c r="G101" s="61" t="str">
        <f>IF(FT!B101&lt;&gt;"",FT!B101*100,"")</f>
        <v/>
      </c>
      <c r="H101" s="61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 t="str">
        <f>IF(FT!A102&lt;&gt;"",FT!A102*10,"")</f>
        <v/>
      </c>
      <c r="G102" s="61" t="str">
        <f>IF(FT!B102&lt;&gt;"",FT!B102*100,"")</f>
        <v/>
      </c>
      <c r="H102" s="61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101784</v>
      </c>
      <c r="D103" s="61">
        <f>FH!B103*1</f>
        <v>101784</v>
      </c>
      <c r="E103">
        <f t="shared" si="11"/>
        <v>101</v>
      </c>
      <c r="F103" s="61" t="str">
        <f>IF(FT!A103&lt;&gt;"",FT!A103*10,"")</f>
        <v/>
      </c>
      <c r="G103" s="61" t="str">
        <f>IF(FT!B103&lt;&gt;"",FT!B103*100,"")</f>
        <v/>
      </c>
      <c r="H103" s="61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 t="str">
        <f>IF(FT!A104&lt;&gt;"",FT!A104*10,"")</f>
        <v/>
      </c>
      <c r="G104" s="61" t="str">
        <f>IF(FT!B104&lt;&gt;"",FT!B104*100,"")</f>
        <v/>
      </c>
      <c r="H104" s="61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 t="str">
        <f>IF(FT!A105&lt;&gt;"",FT!A105*10,"")</f>
        <v/>
      </c>
      <c r="G105" s="61" t="str">
        <f>IF(FT!B105&lt;&gt;"",FT!B105*100,"")</f>
        <v/>
      </c>
      <c r="H105" s="61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100289</v>
      </c>
      <c r="D106" s="61">
        <f>FH!B106*1</f>
        <v>100289</v>
      </c>
      <c r="E106">
        <f t="shared" si="11"/>
        <v>104</v>
      </c>
      <c r="F106" s="61" t="str">
        <f>IF(FT!A106&lt;&gt;"",FT!A106*10,"")</f>
        <v/>
      </c>
      <c r="G106" s="61" t="str">
        <f>IF(FT!B106&lt;&gt;"",FT!B106*100,"")</f>
        <v/>
      </c>
      <c r="H106" s="61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 t="str">
        <f>IF(FT!A107&lt;&gt;"",FT!A107*10,"")</f>
        <v/>
      </c>
      <c r="G107" s="61" t="str">
        <f>IF(FT!B107&lt;&gt;"",FT!B107*100,"")</f>
        <v/>
      </c>
      <c r="H107" s="61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95563</v>
      </c>
      <c r="D108" s="61">
        <f>FH!B108*1</f>
        <v>95563</v>
      </c>
      <c r="E108">
        <f t="shared" si="11"/>
        <v>106</v>
      </c>
      <c r="F108" s="61" t="str">
        <f>IF(FT!A108&lt;&gt;"",FT!A108*10,"")</f>
        <v/>
      </c>
      <c r="G108" s="61" t="str">
        <f>IF(FT!B108&lt;&gt;"",FT!B108*100,"")</f>
        <v/>
      </c>
      <c r="H108" s="61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 t="str">
        <f>IF(FT!A109&lt;&gt;"",FT!A109*10,"")</f>
        <v/>
      </c>
      <c r="G109" s="61" t="str">
        <f>IF(FT!B109&lt;&gt;"",FT!B109*100,"")</f>
        <v/>
      </c>
      <c r="H109" s="61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 t="str">
        <f>IF(FT!A110&lt;&gt;"",FT!A110*10,"")</f>
        <v/>
      </c>
      <c r="G110" s="61" t="str">
        <f>IF(FT!B110&lt;&gt;"",FT!B110*100,"")</f>
        <v/>
      </c>
      <c r="H110" s="61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96406</v>
      </c>
      <c r="D111" s="61">
        <f>FH!B111*1</f>
        <v>96406</v>
      </c>
      <c r="E111">
        <f t="shared" si="11"/>
        <v>109</v>
      </c>
      <c r="F111" s="61" t="str">
        <f>IF(FT!A111&lt;&gt;"",FT!A111*10,"")</f>
        <v/>
      </c>
      <c r="G111" s="61" t="str">
        <f>IF(FT!B111&lt;&gt;"",FT!B111*100,"")</f>
        <v/>
      </c>
      <c r="H111" s="61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 t="str">
        <f>IF(FT!A112&lt;&gt;"",FT!A112*10,"")</f>
        <v/>
      </c>
      <c r="G112" s="61" t="str">
        <f>IF(FT!B112&lt;&gt;"",FT!B112*100,"")</f>
        <v/>
      </c>
      <c r="H112" s="61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90397</v>
      </c>
      <c r="D113" s="61">
        <f>FH!B113*1</f>
        <v>90397</v>
      </c>
      <c r="E113">
        <f t="shared" si="11"/>
        <v>111</v>
      </c>
      <c r="F113" s="61" t="str">
        <f>IF(FT!A113&lt;&gt;"",FT!A113*10,"")</f>
        <v/>
      </c>
      <c r="G113" s="61" t="str">
        <f>IF(FT!B113&lt;&gt;"",FT!B113*100,"")</f>
        <v/>
      </c>
      <c r="H113" s="61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 t="str">
        <f>IF(FT!A114&lt;&gt;"",FT!A114*10,"")</f>
        <v/>
      </c>
      <c r="G114" s="61" t="str">
        <f>IF(FT!B114&lt;&gt;"",FT!B114*100,"")</f>
        <v/>
      </c>
      <c r="H114" s="61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 t="str">
        <f>IF(FT!A115&lt;&gt;"",FT!A115*10,"")</f>
        <v/>
      </c>
      <c r="G115" s="61" t="str">
        <f>IF(FT!B115&lt;&gt;"",FT!B115*100,"")</f>
        <v/>
      </c>
      <c r="H115" s="61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86121</v>
      </c>
      <c r="D116" s="61">
        <f>FH!B116*1</f>
        <v>86121</v>
      </c>
      <c r="E116">
        <f t="shared" si="11"/>
        <v>114</v>
      </c>
      <c r="F116" s="61" t="str">
        <f>IF(FT!A116&lt;&gt;"",FT!A116*10,"")</f>
        <v/>
      </c>
      <c r="G116" s="61" t="str">
        <f>IF(FT!B116&lt;&gt;"",FT!B116*100,"")</f>
        <v/>
      </c>
      <c r="H116" s="61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 t="str">
        <f>IF(FT!A117&lt;&gt;"",FT!A117*10,"")</f>
        <v/>
      </c>
      <c r="G117" s="61" t="str">
        <f>IF(FT!B117&lt;&gt;"",FT!B117*100,"")</f>
        <v/>
      </c>
      <c r="H117" s="61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81028</v>
      </c>
      <c r="D118" s="61">
        <f>FH!B118*1</f>
        <v>81028</v>
      </c>
      <c r="E118">
        <f t="shared" si="11"/>
        <v>116</v>
      </c>
      <c r="F118" s="61" t="str">
        <f>IF(FT!A118&lt;&gt;"",FT!A118*10,"")</f>
        <v/>
      </c>
      <c r="G118" s="61" t="str">
        <f>IF(FT!B118&lt;&gt;"",FT!B118*100,"")</f>
        <v/>
      </c>
      <c r="H118" s="61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 t="str">
        <f>IF(FT!A119&lt;&gt;"",FT!A119*10,"")</f>
        <v/>
      </c>
      <c r="G119" s="61" t="str">
        <f>IF(FT!B119&lt;&gt;"",FT!B119*100,"")</f>
        <v/>
      </c>
      <c r="H119" s="61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 t="str">
        <f>IF(FT!A120&lt;&gt;"",FT!A120*10,"")</f>
        <v/>
      </c>
      <c r="G120" s="61" t="str">
        <f>IF(FT!B120&lt;&gt;"",FT!B120*100,"")</f>
        <v/>
      </c>
      <c r="H120" s="61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81778</v>
      </c>
      <c r="D121" s="61">
        <f>FH!B121*1</f>
        <v>81778</v>
      </c>
      <c r="E121">
        <f t="shared" si="11"/>
        <v>119</v>
      </c>
      <c r="F121" s="61" t="str">
        <f>IF(FT!A121&lt;&gt;"",FT!A121*10,"")</f>
        <v/>
      </c>
      <c r="G121" s="61" t="str">
        <f>IF(FT!B121&lt;&gt;"",FT!B121*100,"")</f>
        <v/>
      </c>
      <c r="H121" s="61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 t="str">
        <f>IF(FT!A122&lt;&gt;"",FT!A122*10,"")</f>
        <v/>
      </c>
      <c r="G122" s="61" t="str">
        <f>IF(FT!B122&lt;&gt;"",FT!B122*100,"")</f>
        <v/>
      </c>
      <c r="H122" s="61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 t="str">
        <f>IF(FT!A123&lt;&gt;"",FT!A123*10,"")</f>
        <v/>
      </c>
      <c r="G123" s="61" t="str">
        <f>IF(FT!B123&lt;&gt;"",FT!B123*100,"")</f>
        <v/>
      </c>
      <c r="H123" s="61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78534</v>
      </c>
      <c r="D124" s="61">
        <f>FH!B124*1</f>
        <v>78534</v>
      </c>
      <c r="E124">
        <f t="shared" si="11"/>
        <v>122</v>
      </c>
      <c r="F124" s="61" t="str">
        <f>IF(FT!A124&lt;&gt;"",FT!A124*10,"")</f>
        <v/>
      </c>
      <c r="G124" s="61" t="str">
        <f>IF(FT!B124&lt;&gt;"",FT!B124*100,"")</f>
        <v/>
      </c>
      <c r="H124" s="61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 t="str">
        <f>IF(FT!A125&lt;&gt;"",FT!A125*10,"")</f>
        <v/>
      </c>
      <c r="G125" s="61" t="str">
        <f>IF(FT!B125&lt;&gt;"",FT!B125*100,"")</f>
        <v/>
      </c>
      <c r="H125" s="61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74662</v>
      </c>
      <c r="D126" s="61">
        <f>FH!B126*1</f>
        <v>74662</v>
      </c>
      <c r="E126">
        <f t="shared" si="11"/>
        <v>124</v>
      </c>
      <c r="F126" s="61" t="str">
        <f>IF(FT!A126&lt;&gt;"",FT!A126*10,"")</f>
        <v/>
      </c>
      <c r="G126" s="61" t="str">
        <f>IF(FT!B126&lt;&gt;"",FT!B126*100,"")</f>
        <v/>
      </c>
      <c r="H126" s="61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 t="str">
        <f>IF(FT!A127&lt;&gt;"",FT!A127*10,"")</f>
        <v/>
      </c>
      <c r="G127" s="61" t="str">
        <f>IF(FT!B127&lt;&gt;"",FT!B127*100,"")</f>
        <v/>
      </c>
      <c r="H127" s="61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 t="str">
        <f>IF(FT!A128&lt;&gt;"",FT!A128*10,"")</f>
        <v/>
      </c>
      <c r="G128" s="61" t="str">
        <f>IF(FT!B128&lt;&gt;"",FT!B128*100,"")</f>
        <v/>
      </c>
      <c r="H128" s="61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73380</v>
      </c>
      <c r="D129" s="61">
        <f>FH!B129*1</f>
        <v>73380</v>
      </c>
      <c r="E129">
        <f t="shared" si="11"/>
        <v>127</v>
      </c>
      <c r="F129" s="61" t="str">
        <f>IF(FT!A129&lt;&gt;"",FT!A129*10,"")</f>
        <v/>
      </c>
      <c r="G129" s="61" t="str">
        <f>IF(FT!B129&lt;&gt;"",FT!B129*100,"")</f>
        <v/>
      </c>
      <c r="H129" s="61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 t="str">
        <f>IF(FT!A130&lt;&gt;"",FT!A130*10,"")</f>
        <v/>
      </c>
      <c r="G130" s="61" t="str">
        <f>IF(FT!B130&lt;&gt;"",FT!B130*100,"")</f>
        <v/>
      </c>
      <c r="H130" s="61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74032</v>
      </c>
      <c r="D131" s="61">
        <f>FH!B131*1</f>
        <v>74032</v>
      </c>
      <c r="E131">
        <f t="shared" si="11"/>
        <v>129</v>
      </c>
      <c r="F131" s="61" t="str">
        <f>IF(FT!A131&lt;&gt;"",FT!A131*10,"")</f>
        <v/>
      </c>
      <c r="G131" s="61" t="str">
        <f>IF(FT!B131&lt;&gt;"",FT!B131*100,"")</f>
        <v/>
      </c>
      <c r="H131" s="61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 t="str">
        <f>IF(FT!A132&lt;&gt;"",FT!A132*10,"")</f>
        <v/>
      </c>
      <c r="G132" s="61" t="str">
        <f>IF(FT!B132&lt;&gt;"",FT!B132*100,"")</f>
        <v/>
      </c>
      <c r="H132" s="61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 t="str">
        <f>IF(FT!A133&lt;&gt;"",FT!A133*10,"")</f>
        <v/>
      </c>
      <c r="G133" s="61" t="str">
        <f>IF(FT!B133&lt;&gt;"",FT!B133*100,"")</f>
        <v/>
      </c>
      <c r="H133" s="61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73910</v>
      </c>
      <c r="D134" s="61">
        <f>FH!B134*1</f>
        <v>73910</v>
      </c>
      <c r="E134">
        <f t="shared" si="15"/>
        <v>132</v>
      </c>
      <c r="F134" s="61" t="str">
        <f>IF(FT!A134&lt;&gt;"",FT!A134*10,"")</f>
        <v/>
      </c>
      <c r="G134" s="61" t="str">
        <f>IF(FT!B134&lt;&gt;"",FT!B134*100,"")</f>
        <v/>
      </c>
      <c r="H134" s="61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 t="str">
        <f>IF(FT!A135&lt;&gt;"",FT!A135*10,"")</f>
        <v/>
      </c>
      <c r="G135" s="61" t="str">
        <f>IF(FT!B135&lt;&gt;"",FT!B135*100,"")</f>
        <v/>
      </c>
      <c r="H135" s="61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74609</v>
      </c>
      <c r="D136" s="61">
        <f>FH!B136*1</f>
        <v>74609</v>
      </c>
      <c r="E136">
        <f t="shared" si="15"/>
        <v>134</v>
      </c>
      <c r="F136" s="61" t="str">
        <f>IF(FT!A136&lt;&gt;"",FT!A136*10,"")</f>
        <v/>
      </c>
      <c r="G136" s="61" t="str">
        <f>IF(FT!B136&lt;&gt;"",FT!B136*100,"")</f>
        <v/>
      </c>
      <c r="H136" s="61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 t="str">
        <f>IF(FT!A137&lt;&gt;"",FT!A137*10,"")</f>
        <v/>
      </c>
      <c r="G137" s="61" t="str">
        <f>IF(FT!B137&lt;&gt;"",FT!B137*100,"")</f>
        <v/>
      </c>
      <c r="H137" s="61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 t="str">
        <f>IF(FT!A138&lt;&gt;"",FT!A138*10,"")</f>
        <v/>
      </c>
      <c r="G138" s="61" t="str">
        <f>IF(FT!B138&lt;&gt;"",FT!B138*100,"")</f>
        <v/>
      </c>
      <c r="H138" s="61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72517</v>
      </c>
      <c r="D139" s="61">
        <f>FH!B139*1</f>
        <v>72517</v>
      </c>
      <c r="E139">
        <f t="shared" si="15"/>
        <v>137</v>
      </c>
      <c r="F139" s="61" t="str">
        <f>IF(FT!A139&lt;&gt;"",FT!A139*10,"")</f>
        <v/>
      </c>
      <c r="G139" s="61" t="str">
        <f>IF(FT!B139&lt;&gt;"",FT!B139*100,"")</f>
        <v/>
      </c>
      <c r="H139" s="61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 t="str">
        <f>IF(FT!A140&lt;&gt;"",FT!A140*10,"")</f>
        <v/>
      </c>
      <c r="G140" s="61" t="str">
        <f>IF(FT!B140&lt;&gt;"",FT!B140*100,"")</f>
        <v/>
      </c>
      <c r="H140" s="61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 t="str">
        <f>IF(FT!A141&lt;&gt;"",FT!A141*10,"")</f>
        <v/>
      </c>
      <c r="G141" s="61" t="str">
        <f>IF(FT!B141&lt;&gt;"",FT!B141*100,"")</f>
        <v/>
      </c>
      <c r="H141" s="61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61049</v>
      </c>
      <c r="D142" s="61">
        <f>FH!B142*1</f>
        <v>61049</v>
      </c>
      <c r="E142">
        <f t="shared" si="15"/>
        <v>140</v>
      </c>
      <c r="F142" s="61" t="str">
        <f>IF(FT!A142&lt;&gt;"",FT!A142*10,"")</f>
        <v/>
      </c>
      <c r="G142" s="61" t="str">
        <f>IF(FT!B142&lt;&gt;"",FT!B142*100,"")</f>
        <v/>
      </c>
      <c r="H142" s="61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 t="str">
        <f>IF(FT!A143&lt;&gt;"",FT!A143*10,"")</f>
        <v/>
      </c>
      <c r="G143" s="61" t="str">
        <f>IF(FT!B143&lt;&gt;"",FT!B143*100,"")</f>
        <v/>
      </c>
      <c r="H143" s="61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45652</v>
      </c>
      <c r="D144" s="61">
        <f>FH!B144*1</f>
        <v>45652</v>
      </c>
      <c r="E144">
        <f t="shared" si="15"/>
        <v>142</v>
      </c>
      <c r="F144" s="61" t="str">
        <f>IF(FT!A144&lt;&gt;"",FT!A144*10,"")</f>
        <v/>
      </c>
      <c r="G144" s="61" t="str">
        <f>IF(FT!B144&lt;&gt;"",FT!B144*100,"")</f>
        <v/>
      </c>
      <c r="H144" s="61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 t="str">
        <f>IF(FT!A145&lt;&gt;"",FT!A145*10,"")</f>
        <v/>
      </c>
      <c r="G145" s="61" t="str">
        <f>IF(FT!B145&lt;&gt;"",FT!B145*100,"")</f>
        <v/>
      </c>
      <c r="H145" s="61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 t="str">
        <f>IF(FT!A146&lt;&gt;"",FT!A146*10,"")</f>
        <v/>
      </c>
      <c r="G146" s="61" t="str">
        <f>IF(FT!B146&lt;&gt;"",FT!B146*100,"")</f>
        <v/>
      </c>
      <c r="H146" s="61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33823</v>
      </c>
      <c r="D147" s="61">
        <f>FH!B147*1</f>
        <v>33823</v>
      </c>
      <c r="E147">
        <f t="shared" si="15"/>
        <v>145</v>
      </c>
      <c r="F147" s="61" t="str">
        <f>IF(FT!A147&lt;&gt;"",FT!A147*10,"")</f>
        <v/>
      </c>
      <c r="G147" s="61" t="str">
        <f>IF(FT!B147&lt;&gt;"",FT!B147*100,"")</f>
        <v/>
      </c>
      <c r="H147" s="61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 t="str">
        <f>IF(FT!A148&lt;&gt;"",FT!A148*10,"")</f>
        <v/>
      </c>
      <c r="G148" s="61" t="str">
        <f>IF(FT!B148&lt;&gt;"",FT!B148*100,"")</f>
        <v/>
      </c>
      <c r="H148" s="61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21135</v>
      </c>
      <c r="D149" s="61">
        <f>FH!B149*1</f>
        <v>21135</v>
      </c>
      <c r="E149">
        <f t="shared" si="15"/>
        <v>147</v>
      </c>
      <c r="F149" s="61" t="str">
        <f>IF(FT!A149&lt;&gt;"",FT!A149*10,"")</f>
        <v/>
      </c>
      <c r="G149" s="61" t="str">
        <f>IF(FT!B149&lt;&gt;"",FT!B149*100,"")</f>
        <v/>
      </c>
      <c r="H149" s="61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16382</v>
      </c>
      <c r="D152" s="61">
        <f>FH!B152*1</f>
        <v>16382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12556</v>
      </c>
      <c r="D154" s="61">
        <f>FH!B154*1</f>
        <v>12556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10711</v>
      </c>
      <c r="D157" s="61">
        <f>FH!B157*1</f>
        <v>10711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6932</v>
      </c>
      <c r="D160" s="61">
        <f>FH!B160*1</f>
        <v>6932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5381</v>
      </c>
      <c r="D162" s="61">
        <f>FH!B162*1</f>
        <v>5381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4498</v>
      </c>
      <c r="D165" s="61">
        <f>FH!B165*1</f>
        <v>4498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3057</v>
      </c>
      <c r="D167" s="61">
        <f>FH!B167*1</f>
        <v>3057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1846</v>
      </c>
      <c r="D170" s="61">
        <f>FH!B170*1</f>
        <v>1846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576</v>
      </c>
      <c r="D173" s="61">
        <f>FH!B173*1</f>
        <v>576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407</v>
      </c>
      <c r="D175" s="61">
        <f>FH!B175*1</f>
        <v>407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387</v>
      </c>
      <c r="D178" s="61">
        <f>FH!B178*1</f>
        <v>387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42</v>
      </c>
      <c r="D180" s="61">
        <f>FH!B180*1</f>
        <v>42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42.0961</v>
      </c>
      <c r="C5" s="66">
        <v>8.0284099999999992</v>
      </c>
      <c r="D5" s="66">
        <v>19.0716</v>
      </c>
      <c r="E5" s="66">
        <v>20</v>
      </c>
      <c r="F5" s="66">
        <v>20.242599999999999</v>
      </c>
      <c r="G5" s="66">
        <v>50</v>
      </c>
      <c r="H5" s="66">
        <v>51.851999999999997</v>
      </c>
    </row>
    <row r="6" spans="1:8">
      <c r="A6" s="58" t="s">
        <v>303</v>
      </c>
      <c r="B6" s="66">
        <v>30.3567</v>
      </c>
      <c r="C6" s="66">
        <v>1.39916</v>
      </c>
      <c r="D6" s="66">
        <v>4.6090600000000004</v>
      </c>
      <c r="E6" s="66">
        <v>20</v>
      </c>
      <c r="F6" s="66">
        <v>28.0932</v>
      </c>
      <c r="G6" s="66">
        <v>40</v>
      </c>
      <c r="H6" s="66">
        <v>33.8476</v>
      </c>
    </row>
    <row r="7" spans="1:8">
      <c r="A7" s="58" t="s">
        <v>304</v>
      </c>
      <c r="B7" s="66">
        <v>24.0518</v>
      </c>
      <c r="C7" s="66">
        <v>8.0831300000000006</v>
      </c>
      <c r="D7" s="66">
        <v>33.607199999999999</v>
      </c>
      <c r="E7" s="66">
        <v>15</v>
      </c>
      <c r="F7" s="66">
        <v>2.1363300000000001</v>
      </c>
      <c r="G7" s="66">
        <v>40</v>
      </c>
      <c r="H7" s="66">
        <v>39.247799999999998</v>
      </c>
    </row>
    <row r="8" spans="1:8">
      <c r="A8" s="58" t="s">
        <v>305</v>
      </c>
      <c r="B8" s="66">
        <v>30.256</v>
      </c>
      <c r="C8" s="66">
        <v>4.1225699999999996</v>
      </c>
      <c r="D8" s="66">
        <v>13.6256</v>
      </c>
      <c r="E8" s="66">
        <v>20</v>
      </c>
      <c r="F8" s="66">
        <v>24.164899999999999</v>
      </c>
      <c r="G8" s="66">
        <v>50</v>
      </c>
      <c r="H8" s="66">
        <v>36.747300000000003</v>
      </c>
    </row>
    <row r="9" spans="1:8">
      <c r="A9" s="58" t="s">
        <v>306</v>
      </c>
      <c r="B9" s="66">
        <v>69.846500000000006</v>
      </c>
      <c r="C9" s="66">
        <v>2.4358599999999999</v>
      </c>
      <c r="D9" s="66">
        <v>3.4874499999999999</v>
      </c>
      <c r="E9" s="66">
        <v>50</v>
      </c>
      <c r="F9" s="66">
        <v>62.510399999999997</v>
      </c>
      <c r="G9" s="66">
        <v>100</v>
      </c>
      <c r="H9" s="66">
        <v>74.722200000000001</v>
      </c>
    </row>
    <row r="10" spans="1:8">
      <c r="A10" s="58" t="s">
        <v>307</v>
      </c>
      <c r="B10" s="66">
        <v>71.524000000000001</v>
      </c>
      <c r="C10" s="66">
        <v>3.97723</v>
      </c>
      <c r="D10" s="66">
        <v>5.5606900000000001</v>
      </c>
      <c r="E10" s="66">
        <v>40</v>
      </c>
      <c r="F10" s="66">
        <v>60.101799999999997</v>
      </c>
      <c r="G10" s="66">
        <v>100</v>
      </c>
      <c r="H10" s="66">
        <v>79.539500000000004</v>
      </c>
    </row>
    <row r="11" spans="1:8">
      <c r="A11" s="58" t="s">
        <v>308</v>
      </c>
      <c r="B11" s="66">
        <v>28.634799999999998</v>
      </c>
      <c r="C11" s="66">
        <v>5.3394599999999999</v>
      </c>
      <c r="D11" s="66">
        <v>18.646699999999999</v>
      </c>
      <c r="E11" s="66">
        <v>10</v>
      </c>
      <c r="F11" s="66">
        <v>12.376300000000001</v>
      </c>
      <c r="G11" s="66">
        <v>50</v>
      </c>
      <c r="H11" s="66">
        <v>30.546299999999999</v>
      </c>
    </row>
    <row r="12" spans="1:8">
      <c r="A12" s="58" t="s">
        <v>309</v>
      </c>
      <c r="B12" s="66">
        <v>70.659899999999993</v>
      </c>
      <c r="C12" s="66">
        <v>2.1248</v>
      </c>
      <c r="D12" s="66">
        <v>3.0070700000000001</v>
      </c>
      <c r="E12" s="66">
        <v>50</v>
      </c>
      <c r="F12" s="66">
        <v>64.797899999999998</v>
      </c>
      <c r="G12" s="66">
        <v>100</v>
      </c>
      <c r="H12" s="66">
        <v>75.101399999999998</v>
      </c>
    </row>
    <row r="13" spans="1:8">
      <c r="A13" s="58" t="s">
        <v>310</v>
      </c>
      <c r="B13" s="66">
        <v>15.3279</v>
      </c>
      <c r="C13" s="66">
        <v>4.8769799999999996</v>
      </c>
      <c r="D13" s="66">
        <v>31.817699999999999</v>
      </c>
      <c r="E13" s="66">
        <v>10</v>
      </c>
      <c r="F13" s="66">
        <v>12.8659</v>
      </c>
      <c r="G13" s="66">
        <v>25</v>
      </c>
      <c r="H13" s="66">
        <v>45.121099999999998</v>
      </c>
    </row>
    <row r="14" spans="1:8">
      <c r="A14" s="58" t="s">
        <v>311</v>
      </c>
      <c r="B14" s="66">
        <v>48.769799999999996</v>
      </c>
      <c r="C14" s="66">
        <v>12.515700000000001</v>
      </c>
      <c r="D14" s="66">
        <v>25.662800000000001</v>
      </c>
      <c r="E14" s="66">
        <v>10</v>
      </c>
      <c r="F14" s="66">
        <v>2.8301500000000002</v>
      </c>
      <c r="G14" s="66">
        <v>50</v>
      </c>
      <c r="H14" s="66">
        <v>71.620099999999994</v>
      </c>
    </row>
    <row r="15" spans="1:8">
      <c r="A15" s="58" t="s">
        <v>312</v>
      </c>
      <c r="B15" s="66">
        <v>-8.5977199999999997E-3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-3.9710200000000001E-2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15.909599999999999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0.550014</v>
      </c>
      <c r="C18" s="66">
        <v>7.6449799999999998E-2</v>
      </c>
      <c r="D18" s="66">
        <v>0.13899600000000001</v>
      </c>
      <c r="E18" s="66">
        <v>0</v>
      </c>
      <c r="F18" s="66">
        <v>0.47356399999999998</v>
      </c>
      <c r="G18" s="66">
        <v>0</v>
      </c>
      <c r="H18" s="66">
        <v>0.62646400000000002</v>
      </c>
    </row>
    <row r="19" spans="1:8">
      <c r="A19" s="58" t="s">
        <v>316</v>
      </c>
      <c r="B19" s="66">
        <v>0.62215500000000001</v>
      </c>
      <c r="C19" s="66">
        <v>4.94133E-2</v>
      </c>
      <c r="D19" s="66">
        <v>7.9422699999999999E-2</v>
      </c>
      <c r="E19" s="66">
        <v>0</v>
      </c>
      <c r="F19" s="66">
        <v>0.57274199999999997</v>
      </c>
      <c r="G19" s="66">
        <v>0</v>
      </c>
      <c r="H19" s="66">
        <v>0.67156899999999997</v>
      </c>
    </row>
    <row r="20" spans="1:8">
      <c r="A20" s="58" t="s">
        <v>317</v>
      </c>
      <c r="B20" s="66">
        <v>7.3018500000000004E-3</v>
      </c>
      <c r="C20" s="66">
        <v>7.2545700000000005E-2</v>
      </c>
      <c r="D20" s="66">
        <v>9.9352499999999999</v>
      </c>
      <c r="E20" s="66">
        <v>0</v>
      </c>
      <c r="F20" s="66">
        <v>4.1103099999999998E-3</v>
      </c>
      <c r="G20" s="66">
        <v>0</v>
      </c>
      <c r="H20" s="66">
        <v>0.87759299999999996</v>
      </c>
    </row>
    <row r="21" spans="1:8">
      <c r="A21" s="58" t="s">
        <v>318</v>
      </c>
      <c r="B21" s="66">
        <v>8.5361400000000004E-2</v>
      </c>
      <c r="C21" s="66">
        <v>0.79861099999999996</v>
      </c>
      <c r="D21" s="66">
        <v>9.3556500000000007</v>
      </c>
      <c r="E21" s="66">
        <v>0</v>
      </c>
      <c r="F21" s="66">
        <v>6.7137300000000002E-3</v>
      </c>
      <c r="G21" s="66">
        <v>0</v>
      </c>
      <c r="H21" s="66">
        <v>6.5405199999999999</v>
      </c>
    </row>
    <row r="22" spans="1:8">
      <c r="A22" s="58" t="s">
        <v>319</v>
      </c>
      <c r="B22" s="66">
        <v>25.017800000000001</v>
      </c>
      <c r="C22" s="66">
        <v>20.005099999999999</v>
      </c>
      <c r="D22" s="66">
        <v>0.79963499999999998</v>
      </c>
      <c r="E22" s="66">
        <v>0</v>
      </c>
      <c r="F22" s="66">
        <v>16.174299999999999</v>
      </c>
      <c r="G22" s="66">
        <v>0</v>
      </c>
      <c r="H22" s="66">
        <v>107.69499999999999</v>
      </c>
    </row>
    <row r="23" spans="1:8">
      <c r="A23" s="58" t="s">
        <v>320</v>
      </c>
      <c r="B23" s="66">
        <v>12.862299999999999</v>
      </c>
      <c r="C23" s="66">
        <v>2.4443299999999999</v>
      </c>
      <c r="D23" s="66">
        <v>0.19003900000000001</v>
      </c>
      <c r="E23" s="66">
        <v>0</v>
      </c>
      <c r="F23" s="66">
        <v>7.2113100000000001</v>
      </c>
      <c r="G23" s="66">
        <v>0</v>
      </c>
      <c r="H23" s="66">
        <v>17.375499999999999</v>
      </c>
    </row>
    <row r="24" spans="1:8">
      <c r="A24" s="58" t="s">
        <v>321</v>
      </c>
      <c r="B24" s="66">
        <v>7.8452599999999997E-3</v>
      </c>
      <c r="C24" s="66">
        <v>6.3575999999999994E-2</v>
      </c>
      <c r="D24" s="66">
        <v>8.1037499999999998</v>
      </c>
      <c r="E24" s="66">
        <v>0</v>
      </c>
      <c r="F24" s="66">
        <v>5.3739599999999997E-3</v>
      </c>
      <c r="G24" s="66">
        <v>0</v>
      </c>
      <c r="H24" s="66">
        <v>0.65087300000000003</v>
      </c>
    </row>
    <row r="25" spans="1:8">
      <c r="A25" s="58" t="s">
        <v>322</v>
      </c>
      <c r="B25" s="66">
        <v>8.8931499999999997E-2</v>
      </c>
      <c r="C25" s="66">
        <v>0.47372900000000001</v>
      </c>
      <c r="D25" s="66">
        <v>5.3268899999999997</v>
      </c>
      <c r="E25" s="66">
        <v>0</v>
      </c>
      <c r="F25" s="66">
        <v>3.7874600000000001E-2</v>
      </c>
      <c r="G25" s="66">
        <v>0</v>
      </c>
      <c r="H25" s="66">
        <v>2.14236</v>
      </c>
    </row>
    <row r="26" spans="1:8">
      <c r="A26" s="58" t="s">
        <v>323</v>
      </c>
      <c r="B26" s="66">
        <v>1.41478E-3</v>
      </c>
      <c r="C26" s="66">
        <v>9.2613499999999998E-3</v>
      </c>
      <c r="D26" s="66">
        <v>6.5461200000000002</v>
      </c>
      <c r="E26" s="66">
        <v>0</v>
      </c>
      <c r="F26" s="66">
        <v>7.2544600000000003E-4</v>
      </c>
      <c r="G26" s="66">
        <v>0</v>
      </c>
      <c r="H26" s="66">
        <v>9.5886899999999997E-2</v>
      </c>
    </row>
    <row r="27" spans="1:8">
      <c r="A27" s="58" t="s">
        <v>324</v>
      </c>
      <c r="B27" s="66">
        <v>0</v>
      </c>
      <c r="C27" s="66">
        <v>1.6734E-3</v>
      </c>
      <c r="D27" s="66">
        <v>0</v>
      </c>
      <c r="E27" s="66">
        <v>0</v>
      </c>
      <c r="F27" s="66">
        <v>-1.39772E-2</v>
      </c>
      <c r="G27" s="66">
        <v>0</v>
      </c>
      <c r="H27" s="66">
        <v>1.20667E-2</v>
      </c>
    </row>
    <row r="28" spans="1:8">
      <c r="A28" s="58" t="s">
        <v>325</v>
      </c>
      <c r="B28" s="66">
        <v>1.8877000000000001E-2</v>
      </c>
      <c r="C28" s="66">
        <v>3.7115299999999997E-2</v>
      </c>
      <c r="D28" s="66">
        <v>1.96617</v>
      </c>
      <c r="E28" s="66">
        <v>0</v>
      </c>
      <c r="F28" s="66">
        <v>1.4355500000000001E-3</v>
      </c>
      <c r="G28" s="66">
        <v>0</v>
      </c>
      <c r="H28" s="66">
        <v>0.24907199999999999</v>
      </c>
    </row>
    <row r="29" spans="1:8">
      <c r="A29" s="58" t="s">
        <v>326</v>
      </c>
      <c r="B29" s="66">
        <v>67.405699999999996</v>
      </c>
      <c r="C29" s="66">
        <v>9.8773499999999999</v>
      </c>
      <c r="D29" s="66">
        <v>0.146536</v>
      </c>
      <c r="E29" s="66">
        <v>0</v>
      </c>
      <c r="F29" s="66">
        <v>49.871899999999997</v>
      </c>
      <c r="G29" s="66">
        <v>0</v>
      </c>
      <c r="H29" s="66">
        <v>92.11</v>
      </c>
    </row>
    <row r="30" spans="1:8">
      <c r="A30" s="58" t="s">
        <v>327</v>
      </c>
      <c r="B30" s="66">
        <v>25.555299999999999</v>
      </c>
      <c r="C30" s="66">
        <v>3.61659</v>
      </c>
      <c r="D30" s="66">
        <v>0.14152000000000001</v>
      </c>
      <c r="E30" s="66">
        <v>0</v>
      </c>
      <c r="F30" s="66">
        <v>15.782299999999999</v>
      </c>
      <c r="G30" s="66">
        <v>0</v>
      </c>
      <c r="H30" s="66">
        <v>28.1873</v>
      </c>
    </row>
    <row r="31" spans="1:8">
      <c r="A31" s="58" t="s">
        <v>328</v>
      </c>
      <c r="B31" s="66">
        <v>74.300899999999999</v>
      </c>
      <c r="C31" s="66">
        <v>30.484400000000001</v>
      </c>
      <c r="D31" s="66">
        <v>0.41028300000000001</v>
      </c>
      <c r="E31" s="66">
        <v>0</v>
      </c>
      <c r="F31" s="66">
        <v>29.509799999999998</v>
      </c>
      <c r="G31" s="66">
        <v>0</v>
      </c>
      <c r="H31" s="66">
        <v>133.61799999999999</v>
      </c>
    </row>
    <row r="32" spans="1:8">
      <c r="A32" s="58" t="s">
        <v>329</v>
      </c>
      <c r="B32" s="66">
        <v>0.24051800000000001</v>
      </c>
      <c r="C32" s="66">
        <v>8.0831299999999995E-2</v>
      </c>
      <c r="D32" s="66">
        <v>0.33607199999999998</v>
      </c>
      <c r="E32" s="66">
        <v>0.15</v>
      </c>
      <c r="F32" s="66">
        <v>2.1363300000000002E-2</v>
      </c>
      <c r="G32" s="66">
        <v>0.4</v>
      </c>
      <c r="H32" s="66">
        <v>0.39247799999999999</v>
      </c>
    </row>
    <row r="33" spans="1:8">
      <c r="A33" s="58" t="s">
        <v>330</v>
      </c>
      <c r="B33" s="66">
        <v>0.32148199999999999</v>
      </c>
      <c r="C33" s="66">
        <v>3.0726099999999999E-2</v>
      </c>
      <c r="D33" s="66">
        <v>9.5576300000000003E-2</v>
      </c>
      <c r="E33" s="66">
        <v>0</v>
      </c>
      <c r="F33" s="66">
        <v>0.24793599999999999</v>
      </c>
      <c r="G33" s="66">
        <v>0</v>
      </c>
      <c r="H33" s="66">
        <v>0.37565799999999999</v>
      </c>
    </row>
    <row r="34" spans="1:8">
      <c r="A34" s="58" t="s">
        <v>331</v>
      </c>
      <c r="B34" s="66">
        <v>0.153279</v>
      </c>
      <c r="C34" s="66">
        <v>4.8769800000000002E-2</v>
      </c>
      <c r="D34" s="66">
        <v>0.31817699999999999</v>
      </c>
      <c r="E34" s="66">
        <v>0.1</v>
      </c>
      <c r="F34" s="66">
        <v>0.128659</v>
      </c>
      <c r="G34" s="66">
        <v>0.25</v>
      </c>
      <c r="H34" s="66">
        <v>0.45121099999999997</v>
      </c>
    </row>
    <row r="35" spans="1:8">
      <c r="A35" s="58" t="s">
        <v>332</v>
      </c>
      <c r="B35" s="66">
        <v>6.5173599999999998E-2</v>
      </c>
      <c r="C35" s="66">
        <v>2.5644199999999999E-2</v>
      </c>
      <c r="D35" s="66">
        <v>0.39347599999999999</v>
      </c>
      <c r="E35" s="66">
        <v>0</v>
      </c>
      <c r="F35" s="66">
        <v>3.06898E-2</v>
      </c>
      <c r="G35" s="66">
        <v>0</v>
      </c>
      <c r="H35" s="66">
        <v>0.16078799999999999</v>
      </c>
    </row>
    <row r="36" spans="1:8">
      <c r="A36" s="58" t="s">
        <v>333</v>
      </c>
      <c r="B36" s="66">
        <v>0.14752699999999999</v>
      </c>
      <c r="C36" s="66">
        <v>9.9232100000000004E-2</v>
      </c>
      <c r="D36" s="66">
        <v>0.67263499999999998</v>
      </c>
      <c r="E36" s="66">
        <v>0</v>
      </c>
      <c r="F36" s="66">
        <v>3.57221E-2</v>
      </c>
      <c r="G36" s="66">
        <v>0</v>
      </c>
      <c r="H36" s="66">
        <v>0.59948699999999999</v>
      </c>
    </row>
    <row r="37" spans="1:8">
      <c r="A37" s="58" t="s">
        <v>334</v>
      </c>
      <c r="B37" s="66">
        <v>0.48769800000000002</v>
      </c>
      <c r="C37" s="66">
        <v>0.12515699999999999</v>
      </c>
      <c r="D37" s="66">
        <v>0.25662800000000002</v>
      </c>
      <c r="E37" s="66">
        <v>0.1</v>
      </c>
      <c r="F37" s="66">
        <v>2.83015E-2</v>
      </c>
      <c r="G37" s="66">
        <v>0.5</v>
      </c>
      <c r="H37" s="66">
        <v>0.71620099999999998</v>
      </c>
    </row>
    <row r="38" spans="1:8">
      <c r="A38" s="58" t="s">
        <v>335</v>
      </c>
      <c r="B38" s="66">
        <v>6.82376</v>
      </c>
      <c r="C38" s="66">
        <v>31.591899999999999</v>
      </c>
      <c r="D38" s="66">
        <v>4.6296999999999997</v>
      </c>
      <c r="E38" s="66">
        <v>0</v>
      </c>
      <c r="F38" s="66">
        <v>-157.65199999999999</v>
      </c>
      <c r="G38" s="66">
        <v>0</v>
      </c>
      <c r="H38" s="66">
        <v>99.009600000000006</v>
      </c>
    </row>
    <row r="39" spans="1:8">
      <c r="A39" s="58" t="s">
        <v>336</v>
      </c>
      <c r="B39" s="66">
        <v>0.92848900000000001</v>
      </c>
      <c r="C39" s="66">
        <v>3.6869100000000001</v>
      </c>
      <c r="D39" s="66">
        <v>3.9708700000000001</v>
      </c>
      <c r="E39" s="66">
        <v>0</v>
      </c>
      <c r="F39" s="66">
        <v>-5.3920700000000004</v>
      </c>
      <c r="G39" s="66">
        <v>0</v>
      </c>
      <c r="H39" s="66">
        <v>12.442299999999999</v>
      </c>
    </row>
    <row r="40" spans="1:8">
      <c r="A40" s="58" t="s">
        <v>337</v>
      </c>
      <c r="B40" s="66">
        <v>0.376805</v>
      </c>
      <c r="C40" s="66">
        <v>0.47375400000000001</v>
      </c>
      <c r="D40" s="66">
        <v>1.25729</v>
      </c>
      <c r="E40" s="66">
        <v>0</v>
      </c>
      <c r="F40" s="66">
        <v>-4.4261799999999997E-2</v>
      </c>
      <c r="G40" s="66">
        <v>0</v>
      </c>
      <c r="H40" s="66">
        <v>1.9527399999999999</v>
      </c>
    </row>
    <row r="41" spans="1:8">
      <c r="A41" s="58" t="s">
        <v>338</v>
      </c>
      <c r="B41" s="66">
        <v>2.9628999999999999E-2</v>
      </c>
      <c r="C41" s="66">
        <v>0.30504399999999998</v>
      </c>
      <c r="D41" s="66">
        <v>10.295500000000001</v>
      </c>
      <c r="E41" s="66">
        <v>0</v>
      </c>
      <c r="F41" s="66">
        <v>-1</v>
      </c>
      <c r="G41" s="66">
        <v>0</v>
      </c>
      <c r="H41" s="66">
        <v>0.93333299999999997</v>
      </c>
    </row>
    <row r="42" spans="1:8">
      <c r="A42" s="58" t="s">
        <v>339</v>
      </c>
      <c r="B42" s="66">
        <v>2.5716900000000001E-2</v>
      </c>
      <c r="C42" s="66">
        <v>7.9697500000000004E-2</v>
      </c>
      <c r="D42" s="66">
        <v>3.09903</v>
      </c>
      <c r="E42" s="66">
        <v>0</v>
      </c>
      <c r="F42" s="66">
        <v>-0.14873600000000001</v>
      </c>
      <c r="G42" s="66">
        <v>0</v>
      </c>
      <c r="H42" s="66">
        <v>0.18787899999999999</v>
      </c>
    </row>
    <row r="43" spans="1:8">
      <c r="A43" s="58" t="s">
        <v>340</v>
      </c>
      <c r="B43" s="66">
        <v>4.8105599999999998E-2</v>
      </c>
      <c r="C43" s="66">
        <v>3.2641200000000002E-2</v>
      </c>
      <c r="D43" s="66">
        <v>0.67853300000000005</v>
      </c>
      <c r="E43" s="66">
        <v>0</v>
      </c>
      <c r="F43" s="66">
        <v>2.4350000000000001E-3</v>
      </c>
      <c r="G43" s="66">
        <v>0</v>
      </c>
      <c r="H43" s="66">
        <v>0.13658400000000001</v>
      </c>
    </row>
    <row r="44" spans="1:8">
      <c r="A44" s="58" t="s">
        <v>341</v>
      </c>
      <c r="B44" s="66">
        <v>1.11673</v>
      </c>
      <c r="C44" s="66">
        <v>6.6980199999999996</v>
      </c>
      <c r="D44" s="66">
        <v>5.9978899999999999</v>
      </c>
      <c r="E44" s="66">
        <v>0</v>
      </c>
      <c r="F44" s="66">
        <v>-17.8614</v>
      </c>
      <c r="G44" s="66">
        <v>0</v>
      </c>
      <c r="H44" s="66">
        <v>7.0439299999999996</v>
      </c>
    </row>
    <row r="45" spans="1:8">
      <c r="A45" s="58" t="s">
        <v>342</v>
      </c>
      <c r="B45" s="66">
        <v>48.834099999999999</v>
      </c>
      <c r="C45" s="66">
        <v>8.0786499999999997</v>
      </c>
      <c r="D45" s="66">
        <v>0.16543099999999999</v>
      </c>
      <c r="E45" s="66">
        <v>0</v>
      </c>
      <c r="F45" s="66">
        <v>35.525399999999998</v>
      </c>
      <c r="G45" s="66">
        <v>0</v>
      </c>
      <c r="H45" s="66">
        <v>70.706299999999999</v>
      </c>
    </row>
    <row r="46" spans="1:8">
      <c r="A46" s="58" t="s">
        <v>343</v>
      </c>
      <c r="B46" s="66">
        <v>33.749299999999998</v>
      </c>
      <c r="C46" s="66">
        <v>6.0695199999999998</v>
      </c>
      <c r="D46" s="66">
        <v>0.179841</v>
      </c>
      <c r="E46" s="66">
        <v>0</v>
      </c>
      <c r="F46" s="66">
        <v>14.9581</v>
      </c>
      <c r="G46" s="66">
        <v>0</v>
      </c>
      <c r="H46" s="66">
        <v>36.216900000000003</v>
      </c>
    </row>
    <row r="47" spans="1:8">
      <c r="A47" s="58" t="s">
        <v>344</v>
      </c>
      <c r="B47" s="66">
        <v>1.0173000000000001</v>
      </c>
      <c r="C47" s="66">
        <v>0.66821900000000001</v>
      </c>
      <c r="D47" s="66">
        <v>0.65685899999999997</v>
      </c>
      <c r="E47" s="66">
        <v>0</v>
      </c>
      <c r="F47" s="66">
        <v>0.46193099999999998</v>
      </c>
      <c r="G47" s="66">
        <v>0</v>
      </c>
      <c r="H47" s="66">
        <v>3.62256</v>
      </c>
    </row>
    <row r="48" spans="1:8">
      <c r="A48" s="58" t="s">
        <v>345</v>
      </c>
      <c r="B48" s="66">
        <v>1.30213</v>
      </c>
      <c r="C48" s="66">
        <v>9.6105700000000002E-2</v>
      </c>
      <c r="D48" s="66">
        <v>7.3806700000000003E-2</v>
      </c>
      <c r="E48" s="66">
        <v>0</v>
      </c>
      <c r="F48" s="66">
        <v>1.08243</v>
      </c>
      <c r="G48" s="66">
        <v>0</v>
      </c>
      <c r="H48" s="66">
        <v>1.53118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8.7683999999999997</v>
      </c>
      <c r="C5" s="66">
        <f>'M2'!C5-'M1'!C5</f>
        <v>-5.2893799999999995</v>
      </c>
      <c r="D5" s="66">
        <f>'M2'!D5-'M1'!D5</f>
        <v>-16.897089999999999</v>
      </c>
      <c r="E5" s="66">
        <f>'M2'!E5-'M1'!E5</f>
        <v>0</v>
      </c>
      <c r="F5" s="66">
        <f>'M2'!F5-'M1'!F5</f>
        <v>20.549299999999999</v>
      </c>
      <c r="G5" s="66">
        <f>'M2'!G5-'M1'!G5</f>
        <v>0</v>
      </c>
      <c r="H5" s="66">
        <f>'M2'!H5-'M1'!H5</f>
        <v>-0.46239999999999526</v>
      </c>
    </row>
    <row r="6" spans="1:8">
      <c r="A6" s="66" t="s">
        <v>244</v>
      </c>
      <c r="B6" s="66">
        <f>'M2'!B6-'M1'!B6</f>
        <v>1.4913999999999987</v>
      </c>
      <c r="C6" s="66">
        <f>'M2'!C6-'M1'!C6</f>
        <v>0.51313900000000001</v>
      </c>
      <c r="D6" s="66">
        <f>'M2'!D6-'M1'!D6</f>
        <v>1.55003</v>
      </c>
      <c r="E6" s="66">
        <f>'M2'!E6-'M1'!E6</f>
        <v>0</v>
      </c>
      <c r="F6" s="66">
        <f>'M2'!F6-'M1'!F6</f>
        <v>1.4710999999999999</v>
      </c>
      <c r="G6" s="66">
        <f>'M2'!G6-'M1'!G6</f>
        <v>0</v>
      </c>
      <c r="H6" s="66">
        <f>'M2'!H6-'M1'!H6</f>
        <v>3.1061000000000014</v>
      </c>
    </row>
    <row r="7" spans="1:8">
      <c r="A7" s="66" t="s">
        <v>245</v>
      </c>
      <c r="B7" s="66">
        <f>'M2'!B7-'M1'!B7</f>
        <v>6.2708000000000013</v>
      </c>
      <c r="C7" s="66">
        <f>'M2'!C7-'M1'!C7</f>
        <v>3.0172100000000004</v>
      </c>
      <c r="D7" s="66">
        <f>'M2'!D7-'M1'!D7</f>
        <v>3.6090000000000018</v>
      </c>
      <c r="E7" s="66">
        <f>'M2'!E7-'M1'!E7</f>
        <v>0</v>
      </c>
      <c r="F7" s="66">
        <f>'M2'!F7-'M1'!F7</f>
        <v>-9.063369999999999</v>
      </c>
      <c r="G7" s="66">
        <f>'M2'!G7-'M1'!G7</f>
        <v>0</v>
      </c>
      <c r="H7" s="66">
        <f>'M2'!H7-'M1'!H7</f>
        <v>-1.9741</v>
      </c>
    </row>
    <row r="8" spans="1:8">
      <c r="A8" s="66" t="s">
        <v>246</v>
      </c>
      <c r="B8" s="66">
        <f>'M2'!B8-'M1'!B8</f>
        <v>7.924000000000003</v>
      </c>
      <c r="C8" s="66">
        <f>'M2'!C8-'M1'!C8</f>
        <v>0.75488</v>
      </c>
      <c r="D8" s="66">
        <f>'M2'!D8-'M1'!D8</f>
        <v>-2.2029999999999106E-2</v>
      </c>
      <c r="E8" s="66">
        <f>'M2'!E8-'M1'!E8</f>
        <v>0</v>
      </c>
      <c r="F8" s="66">
        <f>'M2'!F8-'M1'!F8</f>
        <v>0.96170000000000044</v>
      </c>
      <c r="G8" s="66">
        <f>'M2'!G8-'M1'!G8</f>
        <v>0</v>
      </c>
      <c r="H8" s="66">
        <f>'M2'!H8-'M1'!H8</f>
        <v>2.5772000000000048</v>
      </c>
    </row>
    <row r="9" spans="1:8">
      <c r="A9" s="66" t="s">
        <v>247</v>
      </c>
      <c r="B9" s="66">
        <f>'M2'!B9-'M1'!B9</f>
        <v>-2.2119</v>
      </c>
      <c r="C9" s="66">
        <f>'M2'!C9-'M1'!C9</f>
        <v>-0.22231999999999985</v>
      </c>
      <c r="D9" s="66">
        <f>'M2'!D9-'M1'!D9</f>
        <v>-0.22285000000000021</v>
      </c>
      <c r="E9" s="66">
        <f>'M2'!E9-'M1'!E9</f>
        <v>0</v>
      </c>
      <c r="F9" s="66">
        <f>'M2'!F9-'M1'!F9</f>
        <v>-0.43650000000000233</v>
      </c>
      <c r="G9" s="66">
        <f>'M2'!G9-'M1'!G9</f>
        <v>0</v>
      </c>
      <c r="H9" s="66">
        <f>'M2'!H9-'M1'!H9</f>
        <v>-1.936000000000007</v>
      </c>
    </row>
    <row r="10" spans="1:8">
      <c r="A10" s="66" t="s">
        <v>248</v>
      </c>
      <c r="B10" s="66">
        <f>'M2'!B10-'M1'!B10</f>
        <v>0.20640000000000214</v>
      </c>
      <c r="C10" s="66">
        <f>'M2'!C10-'M1'!C10</f>
        <v>-0.81955</v>
      </c>
      <c r="D10" s="66">
        <f>'M2'!D10-'M1'!D10</f>
        <v>-1.1619899999999994</v>
      </c>
      <c r="E10" s="66">
        <f>'M2'!E10-'M1'!E10</f>
        <v>0</v>
      </c>
      <c r="F10" s="66">
        <f>'M2'!F10-'M1'!F10</f>
        <v>9.4809000000000054</v>
      </c>
      <c r="G10" s="66">
        <f>'M2'!G10-'M1'!G10</f>
        <v>0</v>
      </c>
      <c r="H10" s="66">
        <f>'M2'!H10-'M1'!H10</f>
        <v>5.5927000000000078</v>
      </c>
    </row>
    <row r="11" spans="1:8">
      <c r="A11" s="66" t="s">
        <v>249</v>
      </c>
      <c r="B11" s="66">
        <f>'M2'!B11-'M1'!B11</f>
        <v>7.1650999999999989</v>
      </c>
      <c r="C11" s="66">
        <f>'M2'!C11-'M1'!C11</f>
        <v>-5.1304239999999997</v>
      </c>
      <c r="D11" s="66">
        <f>'M2'!D11-'M1'!D11</f>
        <v>-24.002220000000001</v>
      </c>
      <c r="E11" s="66">
        <f>'M2'!E11-'M1'!E11</f>
        <v>0</v>
      </c>
      <c r="F11" s="66">
        <f>'M2'!F11-'M1'!F11</f>
        <v>15.2392</v>
      </c>
      <c r="G11" s="66">
        <f>'M2'!G11-'M1'!G11</f>
        <v>0</v>
      </c>
      <c r="H11" s="66">
        <f>'M2'!H11-'M1'!H11</f>
        <v>0.42569999999999908</v>
      </c>
    </row>
    <row r="12" spans="1:8">
      <c r="A12" s="66" t="s">
        <v>250</v>
      </c>
      <c r="B12" s="66">
        <f>'M2'!B12-'M1'!B12</f>
        <v>-0.88100000000000023</v>
      </c>
      <c r="C12" s="66">
        <f>'M2'!C12-'M1'!C12</f>
        <v>-0.8986200000000002</v>
      </c>
      <c r="D12" s="66">
        <f>'M2'!D12-'M1'!D12</f>
        <v>-1.2329400000000001</v>
      </c>
      <c r="E12" s="66">
        <f>'M2'!E12-'M1'!E12</f>
        <v>0</v>
      </c>
      <c r="F12" s="66">
        <f>'M2'!F12-'M1'!F12</f>
        <v>2.9398999999999944</v>
      </c>
      <c r="G12" s="66">
        <f>'M2'!G12-'M1'!G12</f>
        <v>0</v>
      </c>
      <c r="H12" s="66">
        <f>'M2'!H12-'M1'!H12</f>
        <v>1.1050999999999931</v>
      </c>
    </row>
    <row r="13" spans="1:8">
      <c r="A13" s="66" t="s">
        <v>251</v>
      </c>
      <c r="B13" s="66">
        <f>'M2'!B13-'M1'!B13</f>
        <v>-0.63719999999999999</v>
      </c>
      <c r="C13" s="66">
        <f>'M2'!C13-'M1'!C13</f>
        <v>3.15693</v>
      </c>
      <c r="D13" s="66">
        <f>'M2'!D13-'M1'!D13</f>
        <v>22.099399999999999</v>
      </c>
      <c r="E13" s="66">
        <f>'M2'!E13-'M1'!E13</f>
        <v>0</v>
      </c>
      <c r="F13" s="66">
        <f>'M2'!F13-'M1'!F13</f>
        <v>0.38460000000000072</v>
      </c>
      <c r="G13" s="66">
        <f>'M2'!G13-'M1'!G13</f>
        <v>0</v>
      </c>
      <c r="H13" s="66">
        <f>'M2'!H13-'M1'!H13</f>
        <v>18.242999999999999</v>
      </c>
    </row>
    <row r="14" spans="1:8">
      <c r="A14" s="66" t="s">
        <v>252</v>
      </c>
      <c r="B14" s="66">
        <f>'M2'!B14-'M1'!B14</f>
        <v>31.569299999999998</v>
      </c>
      <c r="C14" s="66">
        <f>'M2'!C14-'M1'!C14</f>
        <v>2.7440999999999995</v>
      </c>
      <c r="D14" s="66">
        <f>'M2'!D14-'M1'!D14</f>
        <v>-13.0687</v>
      </c>
      <c r="E14" s="66">
        <f>'M2'!E14-'M1'!E14</f>
        <v>0</v>
      </c>
      <c r="F14" s="66">
        <f>'M2'!F14-'M1'!F14</f>
        <v>3.2349999999999657E-2</v>
      </c>
      <c r="G14" s="66">
        <f>'M2'!G14-'M1'!G14</f>
        <v>0</v>
      </c>
      <c r="H14" s="66">
        <f>'M2'!H14-'M1'!H14</f>
        <v>24.294599999999996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3.4980000000000011E-3</v>
      </c>
      <c r="C18" s="66">
        <f>'M2'!C18-'M1'!C18</f>
        <v>7.6449799999999998E-2</v>
      </c>
      <c r="D18" s="66">
        <f>'M2'!D18-'M1'!D18</f>
        <v>0.13899600000000001</v>
      </c>
      <c r="E18" s="66">
        <f>'M2'!E18-'M1'!E18</f>
        <v>0</v>
      </c>
      <c r="F18" s="66">
        <f>'M2'!F18-'M1'!F18</f>
        <v>0.47356399999999998</v>
      </c>
      <c r="G18" s="66">
        <f>'M2'!G18-'M1'!G18</f>
        <v>0</v>
      </c>
      <c r="H18" s="66">
        <f>'M2'!H18-'M1'!H18</f>
        <v>0.62646400000000002</v>
      </c>
    </row>
    <row r="19" spans="1:8">
      <c r="A19" s="66" t="s">
        <v>256</v>
      </c>
      <c r="B19" s="66">
        <f>'M2'!B19-'M1'!B19</f>
        <v>0.12609799999999999</v>
      </c>
      <c r="C19" s="66">
        <f>'M2'!C19-'M1'!C19</f>
        <v>4.94133E-2</v>
      </c>
      <c r="D19" s="66">
        <f>'M2'!D19-'M1'!D19</f>
        <v>7.9422699999999999E-2</v>
      </c>
      <c r="E19" s="66">
        <f>'M2'!E19-'M1'!E19</f>
        <v>0</v>
      </c>
      <c r="F19" s="66">
        <f>'M2'!F19-'M1'!F19</f>
        <v>0.57274199999999997</v>
      </c>
      <c r="G19" s="66">
        <f>'M2'!G19-'M1'!G19</f>
        <v>0</v>
      </c>
      <c r="H19" s="66">
        <f>'M2'!H19-'M1'!H19</f>
        <v>0.67156899999999997</v>
      </c>
    </row>
    <row r="20" spans="1:8">
      <c r="A20" s="66" t="s">
        <v>63</v>
      </c>
      <c r="B20" s="66">
        <f>'M2'!B20-'M1'!B20</f>
        <v>7.8605999999999988E-4</v>
      </c>
      <c r="C20" s="66">
        <f>'M2'!C20-'M1'!C20</f>
        <v>9.4931679999999991E-2</v>
      </c>
      <c r="D20" s="66">
        <f>'M2'!D20-'M1'!D20</f>
        <v>12.161150000000001</v>
      </c>
      <c r="E20" s="66">
        <f>'M2'!E20-'M1'!E20</f>
        <v>0</v>
      </c>
      <c r="F20" s="66">
        <f>'M2'!F20-'M1'!F20</f>
        <v>8.3970000000000052E-5</v>
      </c>
      <c r="G20" s="66">
        <f>'M2'!G20-'M1'!G20</f>
        <v>0</v>
      </c>
      <c r="H20" s="66">
        <f>'M2'!H20-'M1'!H20</f>
        <v>0.81340609999999991</v>
      </c>
    </row>
    <row r="21" spans="1:8">
      <c r="A21" s="66" t="s">
        <v>64</v>
      </c>
      <c r="B21" s="66">
        <f>'M2'!B21-'M1'!B21</f>
        <v>2.0029199999999997E-2</v>
      </c>
      <c r="C21" s="66">
        <f>'M2'!C21-'M1'!C21</f>
        <v>0.95237700000000003</v>
      </c>
      <c r="D21" s="66">
        <f>'M2'!D21-'M1'!D21</f>
        <v>9.3847400000000007</v>
      </c>
      <c r="E21" s="66">
        <f>'M2'!E21-'M1'!E21</f>
        <v>0</v>
      </c>
      <c r="F21" s="66">
        <f>'M2'!F21-'M1'!F21</f>
        <v>4.4238999999999997E-4</v>
      </c>
      <c r="G21" s="66">
        <f>'M2'!G21-'M1'!G21</f>
        <v>0</v>
      </c>
      <c r="H21" s="66">
        <f>'M2'!H21-'M1'!H21</f>
        <v>5.7270709999999996</v>
      </c>
    </row>
    <row r="22" spans="1:8">
      <c r="A22" s="66" t="s">
        <v>65</v>
      </c>
      <c r="B22" s="66">
        <f>'M2'!B22-'M1'!B22</f>
        <v>2.7291999999999987</v>
      </c>
      <c r="C22" s="66">
        <f>'M2'!C22-'M1'!C22</f>
        <v>18.724829999999997</v>
      </c>
      <c r="D22" s="66">
        <f>'M2'!D22-'M1'!D22</f>
        <v>0.68451700000000004</v>
      </c>
      <c r="E22" s="66">
        <f>'M2'!E22-'M1'!E22</f>
        <v>0</v>
      </c>
      <c r="F22" s="66">
        <f>'M2'!F22-'M1'!F22</f>
        <v>2.2264000000000017</v>
      </c>
      <c r="G22" s="66">
        <f>'M2'!G22-'M1'!G22</f>
        <v>0</v>
      </c>
      <c r="H22" s="66">
        <f>'M2'!H22-'M1'!H22</f>
        <v>60.559999999999995</v>
      </c>
    </row>
    <row r="23" spans="1:8">
      <c r="A23" s="66" t="s">
        <v>66</v>
      </c>
      <c r="B23" s="66">
        <f>'M2'!B23-'M1'!B23</f>
        <v>3.3576300000000003</v>
      </c>
      <c r="C23" s="66">
        <f>'M2'!C23-'M1'!C23</f>
        <v>-0.56023000000000001</v>
      </c>
      <c r="D23" s="66">
        <f>'M2'!D23-'M1'!D23</f>
        <v>-9.296299999999999E-2</v>
      </c>
      <c r="E23" s="66">
        <f>'M2'!E23-'M1'!E23</f>
        <v>0</v>
      </c>
      <c r="F23" s="66">
        <f>'M2'!F23-'M1'!F23</f>
        <v>5.0110900000000003</v>
      </c>
      <c r="G23" s="66">
        <f>'M2'!G23-'M1'!G23</f>
        <v>0</v>
      </c>
      <c r="H23" s="66">
        <f>'M2'!H23-'M1'!H23</f>
        <v>4.2608999999999995</v>
      </c>
    </row>
    <row r="24" spans="1:8">
      <c r="A24" s="66" t="s">
        <v>67</v>
      </c>
      <c r="B24" s="66">
        <f>'M2'!B24-'M1'!B24</f>
        <v>1.3145099999999996E-3</v>
      </c>
      <c r="C24" s="66">
        <f>'M2'!C24-'M1'!C24</f>
        <v>8.3516309999999996E-2</v>
      </c>
      <c r="D24" s="66">
        <f>'M2'!D24-'M1'!D24</f>
        <v>9.5649160000000002</v>
      </c>
      <c r="E24" s="66">
        <f>'M2'!E24-'M1'!E24</f>
        <v>0</v>
      </c>
      <c r="F24" s="66">
        <f>'M2'!F24-'M1'!F24</f>
        <v>-6.312000000000071E-5</v>
      </c>
      <c r="G24" s="66">
        <f>'M2'!G24-'M1'!G24</f>
        <v>0</v>
      </c>
      <c r="H24" s="66">
        <f>'M2'!H24-'M1'!H24</f>
        <v>0.61511840000000007</v>
      </c>
    </row>
    <row r="25" spans="1:8">
      <c r="A25" s="66" t="s">
        <v>68</v>
      </c>
      <c r="B25" s="66">
        <f>'M2'!B25-'M1'!B25</f>
        <v>-8.8407999999999959E-3</v>
      </c>
      <c r="C25" s="66">
        <f>'M2'!C25-'M1'!C25</f>
        <v>0.55592090000000005</v>
      </c>
      <c r="D25" s="66">
        <f>'M2'!D25-'M1'!D25</f>
        <v>6.5985230000000001</v>
      </c>
      <c r="E25" s="66">
        <f>'M2'!E25-'M1'!E25</f>
        <v>0</v>
      </c>
      <c r="F25" s="66">
        <f>'M2'!F25-'M1'!F25</f>
        <v>8.3581999999999962E-3</v>
      </c>
      <c r="G25" s="66">
        <f>'M2'!G25-'M1'!G25</f>
        <v>0</v>
      </c>
      <c r="H25" s="66">
        <f>'M2'!H25-'M1'!H25</f>
        <v>1.763166</v>
      </c>
    </row>
    <row r="26" spans="1:8">
      <c r="A26" s="66" t="s">
        <v>69</v>
      </c>
      <c r="B26" s="66">
        <f>'M2'!B26-'M1'!B26</f>
        <v>1.1489000000000009E-4</v>
      </c>
      <c r="C26" s="66">
        <f>'M2'!C26-'M1'!C26</f>
        <v>1.1472420000000001E-2</v>
      </c>
      <c r="D26" s="66">
        <f>'M2'!D26-'M1'!D26</f>
        <v>7.7401099999999996</v>
      </c>
      <c r="E26" s="66">
        <f>'M2'!E26-'M1'!E26</f>
        <v>0</v>
      </c>
      <c r="F26" s="66">
        <f>'M2'!F26-'M1'!F26</f>
        <v>4.5955999999999992E-5</v>
      </c>
      <c r="G26" s="66">
        <f>'M2'!G26-'M1'!G26</f>
        <v>0</v>
      </c>
      <c r="H26" s="66">
        <f>'M2'!H26-'M1'!H26</f>
        <v>8.5261199999999995E-2</v>
      </c>
    </row>
    <row r="27" spans="1:8">
      <c r="A27" s="66" t="s">
        <v>70</v>
      </c>
      <c r="B27" s="66">
        <f>'M2'!B27-'M1'!B27</f>
        <v>-5.9999999999962156E-11</v>
      </c>
      <c r="C27" s="66">
        <f>'M2'!C27-'M1'!C27</f>
        <v>1.7748569999999999E-3</v>
      </c>
      <c r="D27" s="66">
        <f>'M2'!D27-'M1'!D27</f>
        <v>-1081.376</v>
      </c>
      <c r="E27" s="66">
        <f>'M2'!E27-'M1'!E27</f>
        <v>0</v>
      </c>
      <c r="F27" s="66">
        <f>'M2'!F27-'M1'!F27</f>
        <v>-1.0809530000000001E-2</v>
      </c>
      <c r="G27" s="66">
        <f>'M2'!G27-'M1'!G27</f>
        <v>0</v>
      </c>
      <c r="H27" s="66">
        <f>'M2'!H27-'M1'!H27</f>
        <v>6.8342999999999998E-3</v>
      </c>
    </row>
    <row r="28" spans="1:8">
      <c r="A28" s="66" t="s">
        <v>71</v>
      </c>
      <c r="B28" s="66">
        <f>'M2'!B28-'M1'!B28</f>
        <v>-5.5670000000000025E-4</v>
      </c>
      <c r="C28" s="66">
        <f>'M2'!C28-'M1'!C28</f>
        <v>3.0951900000000004E-2</v>
      </c>
      <c r="D28" s="66">
        <f>'M2'!D28-'M1'!D28</f>
        <v>1.714485</v>
      </c>
      <c r="E28" s="66">
        <f>'M2'!E28-'M1'!E28</f>
        <v>0</v>
      </c>
      <c r="F28" s="66">
        <f>'M2'!F28-'M1'!F28</f>
        <v>-6.509999999999936E-6</v>
      </c>
      <c r="G28" s="66">
        <f>'M2'!G28-'M1'!G28</f>
        <v>0</v>
      </c>
      <c r="H28" s="66">
        <f>'M2'!H28-'M1'!H28</f>
        <v>0.17198539999999998</v>
      </c>
    </row>
    <row r="29" spans="1:8">
      <c r="A29" s="66" t="s">
        <v>72</v>
      </c>
      <c r="B29" s="66">
        <f>'M2'!B29-'M1'!B29</f>
        <v>-0.47390000000000043</v>
      </c>
      <c r="C29" s="66">
        <f>'M2'!C29-'M1'!C29</f>
        <v>1.1025899999999993</v>
      </c>
      <c r="D29" s="66">
        <f>'M2'!D29-'M1'!D29</f>
        <v>1.7353000000000007E-2</v>
      </c>
      <c r="E29" s="66">
        <f>'M2'!E29-'M1'!E29</f>
        <v>0</v>
      </c>
      <c r="F29" s="66">
        <f>'M2'!F29-'M1'!F29</f>
        <v>3.7440000000000069</v>
      </c>
      <c r="G29" s="66">
        <f>'M2'!G29-'M1'!G29</f>
        <v>0</v>
      </c>
      <c r="H29" s="66">
        <f>'M2'!H29-'M1'!H29</f>
        <v>3.7210999999999927</v>
      </c>
    </row>
    <row r="30" spans="1:8">
      <c r="A30" s="66" t="s">
        <v>73</v>
      </c>
      <c r="B30" s="66">
        <f>'M2'!B30-'M1'!B30</f>
        <v>4.4159000000000006</v>
      </c>
      <c r="C30" s="66">
        <f>'M2'!C30-'M1'!C30</f>
        <v>-1.4101400000000002</v>
      </c>
      <c r="D30" s="66">
        <f>'M2'!D30-'M1'!D30</f>
        <v>-7.9873400000000011E-2</v>
      </c>
      <c r="E30" s="66">
        <f>'M2'!E30-'M1'!E30</f>
        <v>0</v>
      </c>
      <c r="F30" s="66">
        <f>'M2'!F30-'M1'!F30</f>
        <v>4.2344000000000008</v>
      </c>
      <c r="G30" s="66">
        <f>'M2'!G30-'M1'!G30</f>
        <v>0</v>
      </c>
      <c r="H30" s="66">
        <f>'M2'!H30-'M1'!H30</f>
        <v>0.40279999999999916</v>
      </c>
    </row>
    <row r="31" spans="1:8">
      <c r="A31" s="66" t="s">
        <v>74</v>
      </c>
      <c r="B31" s="66">
        <f>'M2'!B31-'M1'!B31</f>
        <v>54.875599999999999</v>
      </c>
      <c r="C31" s="66">
        <f>'M2'!C31-'M1'!C31</f>
        <v>5.1467000000000009</v>
      </c>
      <c r="D31" s="66">
        <f>'M2'!D31-'M1'!D31</f>
        <v>-0.10604999999999998</v>
      </c>
      <c r="E31" s="66">
        <f>'M2'!E31-'M1'!E31</f>
        <v>0</v>
      </c>
      <c r="F31" s="66">
        <f>'M2'!F31-'M1'!F31</f>
        <v>44.714399999999998</v>
      </c>
      <c r="G31" s="66">
        <f>'M2'!G31-'M1'!G31</f>
        <v>0</v>
      </c>
      <c r="H31" s="66">
        <f>'M2'!H31-'M1'!H31</f>
        <v>59.246099999999998</v>
      </c>
    </row>
    <row r="32" spans="1:8">
      <c r="A32" s="66" t="s">
        <v>75</v>
      </c>
      <c r="B32" s="66">
        <f>'M2'!B32-'M1'!B32</f>
        <v>6.2708000000000014E-2</v>
      </c>
      <c r="C32" s="66">
        <f>'M2'!C32-'M1'!C32</f>
        <v>3.0172100000000007E-2</v>
      </c>
      <c r="D32" s="66">
        <f>'M2'!D32-'M1'!D32</f>
        <v>3.6090000000000011E-2</v>
      </c>
      <c r="E32" s="66">
        <f>'M2'!E32-'M1'!E32</f>
        <v>0</v>
      </c>
      <c r="F32" s="66">
        <f>'M2'!F32-'M1'!F32</f>
        <v>-9.0633699999999998E-2</v>
      </c>
      <c r="G32" s="66">
        <f>'M2'!G32-'M1'!G32</f>
        <v>0</v>
      </c>
      <c r="H32" s="66">
        <f>'M2'!H32-'M1'!H32</f>
        <v>-1.9741000000000009E-2</v>
      </c>
    </row>
    <row r="33" spans="1:8">
      <c r="A33" s="66" t="s">
        <v>76</v>
      </c>
      <c r="B33" s="66">
        <f>'M2'!B33-'M1'!B33</f>
        <v>3.9184000000000052E-2</v>
      </c>
      <c r="C33" s="66">
        <f>'M2'!C33-'M1'!C33</f>
        <v>6.0803000000000003E-3</v>
      </c>
      <c r="D33" s="66">
        <f>'M2'!D33-'M1'!D33</f>
        <v>1.0945400000000008E-2</v>
      </c>
      <c r="E33" s="66">
        <f>'M2'!E33-'M1'!E33</f>
        <v>0</v>
      </c>
      <c r="F33" s="66">
        <f>'M2'!F33-'M1'!F33</f>
        <v>-4.3370000000000353E-3</v>
      </c>
      <c r="G33" s="66">
        <f>'M2'!G33-'M1'!G33</f>
        <v>0</v>
      </c>
      <c r="H33" s="66">
        <f>'M2'!H33-'M1'!H33</f>
        <v>3.6021999999999998E-2</v>
      </c>
    </row>
    <row r="34" spans="1:8">
      <c r="A34" s="66" t="s">
        <v>77</v>
      </c>
      <c r="B34" s="66">
        <f>'M2'!B34-'M1'!B34</f>
        <v>-6.3719999999999888E-3</v>
      </c>
      <c r="C34" s="66">
        <f>'M2'!C34-'M1'!C34</f>
        <v>3.1569300000000002E-2</v>
      </c>
      <c r="D34" s="66">
        <f>'M2'!D34-'M1'!D34</f>
        <v>0.220994</v>
      </c>
      <c r="E34" s="66">
        <f>'M2'!E34-'M1'!E34</f>
        <v>0</v>
      </c>
      <c r="F34" s="66">
        <f>'M2'!F34-'M1'!F34</f>
        <v>3.8460000000000161E-3</v>
      </c>
      <c r="G34" s="66">
        <f>'M2'!G34-'M1'!G34</f>
        <v>0</v>
      </c>
      <c r="H34" s="66">
        <f>'M2'!H34-'M1'!H34</f>
        <v>0.18242999999999998</v>
      </c>
    </row>
    <row r="35" spans="1:8">
      <c r="A35" s="66" t="s">
        <v>78</v>
      </c>
      <c r="B35" s="66">
        <f>'M2'!B35-'M1'!B35</f>
        <v>-2.1105300000000007E-2</v>
      </c>
      <c r="C35" s="66">
        <f>'M2'!C35-'M1'!C35</f>
        <v>-5.0385000000000013E-3</v>
      </c>
      <c r="D35" s="66">
        <f>'M2'!D35-'M1'!D35</f>
        <v>3.5172000000000037E-2</v>
      </c>
      <c r="E35" s="66">
        <f>'M2'!E35-'M1'!E35</f>
        <v>0</v>
      </c>
      <c r="F35" s="66">
        <f>'M2'!F35-'M1'!F35</f>
        <v>6.0912000000000015E-3</v>
      </c>
      <c r="G35" s="66">
        <f>'M2'!G35-'M1'!G35</f>
        <v>0</v>
      </c>
      <c r="H35" s="66">
        <f>'M2'!H35-'M1'!H35</f>
        <v>3.1269999999999909E-3</v>
      </c>
    </row>
    <row r="36" spans="1:8">
      <c r="A36" s="66" t="s">
        <v>79</v>
      </c>
      <c r="B36" s="66">
        <f>'M2'!B36-'M1'!B36</f>
        <v>2.9306000000000026E-2</v>
      </c>
      <c r="C36" s="66">
        <f>'M2'!C36-'M1'!C36</f>
        <v>1.9982E-2</v>
      </c>
      <c r="D36" s="66">
        <f>'M2'!D36-'M1'!D36</f>
        <v>3.4359999999999946E-3</v>
      </c>
      <c r="E36" s="66">
        <f>'M2'!E36-'M1'!E36</f>
        <v>0</v>
      </c>
      <c r="F36" s="66">
        <f>'M2'!F36-'M1'!F36</f>
        <v>-2.6747000000000021E-3</v>
      </c>
      <c r="G36" s="66">
        <f>'M2'!G36-'M1'!G36</f>
        <v>0</v>
      </c>
      <c r="H36" s="66">
        <f>'M2'!H36-'M1'!H36</f>
        <v>0.12260399999999999</v>
      </c>
    </row>
    <row r="37" spans="1:8">
      <c r="A37" s="66" t="s">
        <v>80</v>
      </c>
      <c r="B37" s="66">
        <f>'M2'!B37-'M1'!B37</f>
        <v>0.315693</v>
      </c>
      <c r="C37" s="66">
        <f>'M2'!C37-'M1'!C37</f>
        <v>2.7441000000000007E-2</v>
      </c>
      <c r="D37" s="66">
        <f>'M2'!D37-'M1'!D37</f>
        <v>-0.130687</v>
      </c>
      <c r="E37" s="66">
        <f>'M2'!E37-'M1'!E37</f>
        <v>0</v>
      </c>
      <c r="F37" s="66">
        <f>'M2'!F37-'M1'!F37</f>
        <v>3.2350000000000087E-4</v>
      </c>
      <c r="G37" s="66">
        <f>'M2'!G37-'M1'!G37</f>
        <v>0</v>
      </c>
      <c r="H37" s="66">
        <f>'M2'!H37-'M1'!H37</f>
        <v>0.242946</v>
      </c>
    </row>
    <row r="38" spans="1:8">
      <c r="A38" s="66" t="s">
        <v>81</v>
      </c>
      <c r="B38" s="66">
        <f>'M2'!B38-'M1'!B38</f>
        <v>0.65104000000000006</v>
      </c>
      <c r="C38" s="66">
        <f>'M2'!C38-'M1'!C38</f>
        <v>15.459099999999999</v>
      </c>
      <c r="D38" s="66">
        <f>'M2'!D38-'M1'!D38</f>
        <v>1.7726999999999999</v>
      </c>
      <c r="E38" s="66">
        <f>'M2'!E38-'M1'!E38</f>
        <v>0</v>
      </c>
      <c r="F38" s="66">
        <f>'M2'!F38-'M1'!F38</f>
        <v>-102.82379999999998</v>
      </c>
      <c r="G38" s="66">
        <f>'M2'!G38-'M1'!G38</f>
        <v>0</v>
      </c>
      <c r="H38" s="66">
        <f>'M2'!H38-'M1'!H38</f>
        <v>14.330100000000002</v>
      </c>
    </row>
    <row r="39" spans="1:8">
      <c r="A39" s="66" t="s">
        <v>82</v>
      </c>
      <c r="B39" s="66">
        <f>'M2'!B39-'M1'!B39</f>
        <v>-2.0690735</v>
      </c>
      <c r="C39" s="66">
        <f>'M2'!C39-'M1'!C39</f>
        <v>2.7263299999999999</v>
      </c>
      <c r="D39" s="66">
        <f>'M2'!D39-'M1'!D39</f>
        <v>-87.605119999999999</v>
      </c>
      <c r="E39" s="66">
        <f>'M2'!E39-'M1'!E39</f>
        <v>0</v>
      </c>
      <c r="F39" s="66">
        <f>'M2'!F39-'M1'!F39</f>
        <v>-2.9438000000000004</v>
      </c>
      <c r="G39" s="66">
        <f>'M2'!G39-'M1'!G39</f>
        <v>0</v>
      </c>
      <c r="H39" s="66">
        <f>'M2'!H39-'M1'!H39</f>
        <v>5.6243199999999991</v>
      </c>
    </row>
    <row r="40" spans="1:8">
      <c r="A40" s="66" t="s">
        <v>83</v>
      </c>
      <c r="B40" s="66">
        <f>'M2'!B40-'M1'!B40</f>
        <v>0.28814700000000004</v>
      </c>
      <c r="C40" s="66">
        <f>'M2'!C40-'M1'!C40</f>
        <v>0.32101799999999997</v>
      </c>
      <c r="D40" s="66">
        <f>'M2'!D40-'M1'!D40</f>
        <v>0.15653400000000006</v>
      </c>
      <c r="E40" s="66">
        <f>'M2'!E40-'M1'!E40</f>
        <v>0</v>
      </c>
      <c r="F40" s="66">
        <f>'M2'!F40-'M1'!F40</f>
        <v>-2.4900799999999997E-2</v>
      </c>
      <c r="G40" s="66">
        <f>'M2'!G40-'M1'!G40</f>
        <v>0</v>
      </c>
      <c r="H40" s="66">
        <f>'M2'!H40-'M1'!H40</f>
        <v>1.0306979999999999</v>
      </c>
    </row>
    <row r="41" spans="1:8">
      <c r="A41" s="66" t="s">
        <v>84</v>
      </c>
      <c r="B41" s="66">
        <f>'M2'!B41-'M1'!B41</f>
        <v>1.2093700000000002E-2</v>
      </c>
      <c r="C41" s="66">
        <f>'M2'!C41-'M1'!C41</f>
        <v>4.3574000000000002E-2</v>
      </c>
      <c r="D41" s="66">
        <f>'M2'!D41-'M1'!D41</f>
        <v>-2.7107600000000005</v>
      </c>
      <c r="E41" s="66">
        <f>'M2'!E41-'M1'!E41</f>
        <v>0</v>
      </c>
      <c r="F41" s="66">
        <f>'M2'!F41-'M1'!F41</f>
        <v>-0.16897099999999998</v>
      </c>
      <c r="G41" s="66">
        <f>'M2'!G41-'M1'!G41</f>
        <v>0</v>
      </c>
      <c r="H41" s="66">
        <f>'M2'!H41-'M1'!H41</f>
        <v>2.0289999999999919E-2</v>
      </c>
    </row>
    <row r="42" spans="1:8">
      <c r="A42" s="66" t="s">
        <v>85</v>
      </c>
      <c r="B42" s="66">
        <f>'M2'!B42-'M1'!B42</f>
        <v>-3.3427520000000002E-2</v>
      </c>
      <c r="C42" s="66">
        <f>'M2'!C42-'M1'!C42</f>
        <v>3.3645399999999999E-2</v>
      </c>
      <c r="D42" s="66">
        <f>'M2'!D42-'M1'!D42</f>
        <v>9.5038099999999996</v>
      </c>
      <c r="E42" s="66">
        <f>'M2'!E42-'M1'!E42</f>
        <v>0</v>
      </c>
      <c r="F42" s="66">
        <f>'M2'!F42-'M1'!F42</f>
        <v>-3.8052000000000002E-2</v>
      </c>
      <c r="G42" s="66">
        <f>'M2'!G42-'M1'!G42</f>
        <v>0</v>
      </c>
      <c r="H42" s="66">
        <f>'M2'!H42-'M1'!H42</f>
        <v>7.4789999999999857E-3</v>
      </c>
    </row>
    <row r="43" spans="1:8">
      <c r="A43" s="66" t="s">
        <v>86</v>
      </c>
      <c r="B43" s="66">
        <f>'M2'!B43-'M1'!B43</f>
        <v>1.9507299999999998E-2</v>
      </c>
      <c r="C43" s="66">
        <f>'M2'!C43-'M1'!C43</f>
        <v>1.5118700000000002E-2</v>
      </c>
      <c r="D43" s="66">
        <f>'M2'!D43-'M1'!D43</f>
        <v>0.11030299999999998</v>
      </c>
      <c r="E43" s="66">
        <f>'M2'!E43-'M1'!E43</f>
        <v>0</v>
      </c>
      <c r="F43" s="66">
        <f>'M2'!F43-'M1'!F43</f>
        <v>2.6276500000000001E-2</v>
      </c>
      <c r="G43" s="66">
        <f>'M2'!G43-'M1'!G43</f>
        <v>0</v>
      </c>
      <c r="H43" s="66">
        <f>'M2'!H43-'M1'!H43</f>
        <v>6.6771300000000006E-2</v>
      </c>
    </row>
    <row r="44" spans="1:8">
      <c r="A44" s="66" t="s">
        <v>87</v>
      </c>
      <c r="B44" s="66">
        <f>'M2'!B44-'M1'!B44</f>
        <v>-6.6116900000000003</v>
      </c>
      <c r="C44" s="66">
        <f>'M2'!C44-'M1'!C44</f>
        <v>5.9863699999999991</v>
      </c>
      <c r="D44" s="66">
        <f>'M2'!D44-'M1'!D44</f>
        <v>-2.79684</v>
      </c>
      <c r="E44" s="66">
        <f>'M2'!E44-'M1'!E44</f>
        <v>0</v>
      </c>
      <c r="F44" s="66">
        <f>'M2'!F44-'M1'!F44</f>
        <v>-12.89377</v>
      </c>
      <c r="G44" s="66">
        <f>'M2'!G44-'M1'!G44</f>
        <v>0</v>
      </c>
      <c r="H44" s="66">
        <f>'M2'!H44-'M1'!H44</f>
        <v>2.5161399999999992</v>
      </c>
    </row>
    <row r="45" spans="1:8">
      <c r="A45" s="66" t="s">
        <v>88</v>
      </c>
      <c r="B45" s="66">
        <f>'M2'!B45-'M1'!B45</f>
        <v>-1.3599999999996726E-2</v>
      </c>
      <c r="C45" s="66">
        <f>'M2'!C45-'M1'!C45</f>
        <v>1.7046099999999997</v>
      </c>
      <c r="D45" s="66">
        <f>'M2'!D45-'M1'!D45</f>
        <v>3.4834000000000004E-2</v>
      </c>
      <c r="E45" s="66">
        <f>'M2'!E45-'M1'!E45</f>
        <v>0</v>
      </c>
      <c r="F45" s="66">
        <f>'M2'!F45-'M1'!F45</f>
        <v>-0.91310000000000002</v>
      </c>
      <c r="G45" s="66">
        <f>'M2'!G45-'M1'!G45</f>
        <v>0</v>
      </c>
      <c r="H45" s="66">
        <f>'M2'!H45-'M1'!H45</f>
        <v>2.8830999999999989</v>
      </c>
    </row>
    <row r="46" spans="1:8">
      <c r="A46" s="66" t="s">
        <v>89</v>
      </c>
      <c r="B46" s="66">
        <f>'M2'!B46-'M1'!B46</f>
        <v>6.9949000000000012</v>
      </c>
      <c r="C46" s="66">
        <f>'M2'!C46-'M1'!C46</f>
        <v>-5.4324399999999997</v>
      </c>
      <c r="D46" s="66">
        <f>'M2'!D46-'M1'!D46</f>
        <v>-0.2060208</v>
      </c>
      <c r="E46" s="66">
        <f>'M2'!E46-'M1'!E46</f>
        <v>0</v>
      </c>
      <c r="F46" s="66">
        <f>'M2'!F46-'M1'!F46</f>
        <v>16.5017</v>
      </c>
      <c r="G46" s="66">
        <f>'M2'!G46-'M1'!G46</f>
        <v>0</v>
      </c>
      <c r="H46" s="66">
        <f>'M2'!H46-'M1'!H46</f>
        <v>2.57000000000005E-2</v>
      </c>
    </row>
    <row r="47" spans="1:8">
      <c r="A47" s="66" t="s">
        <v>90</v>
      </c>
      <c r="B47" s="66">
        <f>'M2'!B47-'M1'!B47</f>
        <v>-0.19268699999999994</v>
      </c>
      <c r="C47" s="66">
        <f>'M2'!C47-'M1'!C47</f>
        <v>0.28149799999999991</v>
      </c>
      <c r="D47" s="66">
        <f>'M2'!D47-'M1'!D47</f>
        <v>0.41277800000000003</v>
      </c>
      <c r="E47" s="66">
        <f>'M2'!E47-'M1'!E47</f>
        <v>0</v>
      </c>
      <c r="F47" s="66">
        <f>'M2'!F47-'M1'!F47</f>
        <v>5.9641000000000055E-2</v>
      </c>
      <c r="G47" s="66">
        <f>'M2'!G47-'M1'!G47</f>
        <v>0</v>
      </c>
      <c r="H47" s="66">
        <f>'M2'!H47-'M1'!H47</f>
        <v>0.63024000000000013</v>
      </c>
    </row>
    <row r="48" spans="1:8">
      <c r="A48" s="66" t="s">
        <v>91</v>
      </c>
      <c r="B48" s="66">
        <f>'M2'!B48-'M1'!B48</f>
        <v>-4.1749999999999954E-2</v>
      </c>
      <c r="C48" s="66">
        <f>'M2'!C48-'M1'!C48</f>
        <v>1.5923199999999998E-2</v>
      </c>
      <c r="D48" s="66">
        <f>'M2'!D48-'M1'!D48</f>
        <v>1.4534499999999992E-2</v>
      </c>
      <c r="E48" s="66">
        <f>'M2'!E48-'M1'!E48</f>
        <v>0</v>
      </c>
      <c r="F48" s="66">
        <f>'M2'!F48-'M1'!F48</f>
        <v>-0.12901999999999991</v>
      </c>
      <c r="G48" s="66">
        <f>'M2'!G48-'M1'!G48</f>
        <v>0</v>
      </c>
      <c r="H48" s="66">
        <f>'M2'!H48-'M1'!H48</f>
        <v>-0.11512999999999995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34.823599999999999</v>
      </c>
      <c r="C5" s="66">
        <v>8.2464499999999994</v>
      </c>
      <c r="D5" s="66">
        <v>23.680599999999998</v>
      </c>
      <c r="E5" s="66">
        <v>20</v>
      </c>
      <c r="F5" s="66">
        <v>20.242599999999999</v>
      </c>
      <c r="G5" s="66">
        <v>50</v>
      </c>
      <c r="H5" s="66">
        <v>51.851999999999997</v>
      </c>
    </row>
    <row r="6" spans="1:8">
      <c r="A6" s="66" t="s">
        <v>358</v>
      </c>
      <c r="B6" s="66">
        <v>29.42</v>
      </c>
      <c r="C6" s="66">
        <v>0.67073099999999997</v>
      </c>
      <c r="D6" s="66">
        <v>2.2798500000000002</v>
      </c>
      <c r="E6" s="66">
        <v>20</v>
      </c>
      <c r="F6" s="66">
        <v>28.0932</v>
      </c>
      <c r="G6" s="66">
        <v>40</v>
      </c>
      <c r="H6" s="66">
        <v>30.741499999999998</v>
      </c>
    </row>
    <row r="7" spans="1:8">
      <c r="A7" s="66" t="s">
        <v>359</v>
      </c>
      <c r="B7" s="66">
        <v>18.77</v>
      </c>
      <c r="C7" s="66">
        <v>6.3262900000000002</v>
      </c>
      <c r="D7" s="66">
        <v>33.7042</v>
      </c>
      <c r="E7" s="66">
        <v>15</v>
      </c>
      <c r="F7" s="66">
        <v>11.1997</v>
      </c>
      <c r="G7" s="66">
        <v>40</v>
      </c>
      <c r="H7" s="66">
        <v>39.247799999999998</v>
      </c>
    </row>
    <row r="8" spans="1:8">
      <c r="A8" s="66" t="s">
        <v>360</v>
      </c>
      <c r="B8" s="66">
        <v>26.6328</v>
      </c>
      <c r="C8" s="66">
        <v>2.5627800000000001</v>
      </c>
      <c r="D8" s="66">
        <v>9.6226199999999995</v>
      </c>
      <c r="E8" s="66">
        <v>20</v>
      </c>
      <c r="F8" s="66">
        <v>24.164899999999999</v>
      </c>
      <c r="G8" s="66">
        <v>50</v>
      </c>
      <c r="H8" s="66">
        <v>34.170099999999998</v>
      </c>
    </row>
    <row r="9" spans="1:8">
      <c r="A9" s="66" t="s">
        <v>361</v>
      </c>
      <c r="B9" s="66">
        <v>70.6096</v>
      </c>
      <c r="C9" s="66">
        <v>2.23122</v>
      </c>
      <c r="D9" s="66">
        <v>3.1599400000000002</v>
      </c>
      <c r="E9" s="66">
        <v>50</v>
      </c>
      <c r="F9" s="66">
        <v>62.946899999999999</v>
      </c>
      <c r="G9" s="66">
        <v>100</v>
      </c>
      <c r="H9" s="66">
        <v>74.722200000000001</v>
      </c>
    </row>
    <row r="10" spans="1:8">
      <c r="A10" s="66" t="s">
        <v>362</v>
      </c>
      <c r="B10" s="66">
        <v>71.330100000000002</v>
      </c>
      <c r="C10" s="66">
        <v>4.0445000000000002</v>
      </c>
      <c r="D10" s="66">
        <v>5.6701199999999998</v>
      </c>
      <c r="E10" s="66">
        <v>40</v>
      </c>
      <c r="F10" s="66">
        <v>60.101799999999997</v>
      </c>
      <c r="G10" s="66">
        <v>100</v>
      </c>
      <c r="H10" s="66">
        <v>73.946799999999996</v>
      </c>
    </row>
    <row r="11" spans="1:8">
      <c r="A11" s="66" t="s">
        <v>363</v>
      </c>
      <c r="B11" s="66">
        <v>22.009399999999999</v>
      </c>
      <c r="C11" s="66">
        <v>5.75061</v>
      </c>
      <c r="D11" s="66">
        <v>26.128</v>
      </c>
      <c r="E11" s="66">
        <v>10</v>
      </c>
      <c r="F11" s="66">
        <v>12.376300000000001</v>
      </c>
      <c r="G11" s="66">
        <v>50</v>
      </c>
      <c r="H11" s="66">
        <v>30.1206</v>
      </c>
    </row>
    <row r="12" spans="1:8">
      <c r="A12" s="66" t="s">
        <v>364</v>
      </c>
      <c r="B12" s="66">
        <v>71.263000000000005</v>
      </c>
      <c r="C12" s="66">
        <v>2.4954800000000001</v>
      </c>
      <c r="D12" s="66">
        <v>3.5017900000000002</v>
      </c>
      <c r="E12" s="66">
        <v>50</v>
      </c>
      <c r="F12" s="66">
        <v>64.797899999999998</v>
      </c>
      <c r="G12" s="66">
        <v>100</v>
      </c>
      <c r="H12" s="66">
        <v>73.436400000000006</v>
      </c>
    </row>
    <row r="13" spans="1:8">
      <c r="A13" s="66" t="s">
        <v>365</v>
      </c>
      <c r="B13" s="66">
        <v>15.508100000000001</v>
      </c>
      <c r="C13" s="66">
        <v>3.1498699999999999</v>
      </c>
      <c r="D13" s="66">
        <v>20.3111</v>
      </c>
      <c r="E13" s="66">
        <v>10</v>
      </c>
      <c r="F13" s="66">
        <v>12.8659</v>
      </c>
      <c r="G13" s="66">
        <v>25</v>
      </c>
      <c r="H13" s="66">
        <v>26.8781</v>
      </c>
    </row>
    <row r="14" spans="1:8">
      <c r="A14" s="66" t="s">
        <v>366</v>
      </c>
      <c r="B14" s="66">
        <v>31.498699999999999</v>
      </c>
      <c r="C14" s="66">
        <v>10.961600000000001</v>
      </c>
      <c r="D14" s="66">
        <v>34.8003</v>
      </c>
      <c r="E14" s="66">
        <v>10</v>
      </c>
      <c r="F14" s="66">
        <v>2.8301500000000002</v>
      </c>
      <c r="G14" s="66">
        <v>50</v>
      </c>
      <c r="H14" s="66">
        <v>47.325499999999998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0.546516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0.49605700000000003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6.95971E-3</v>
      </c>
      <c r="C20" s="66">
        <v>6.4993200000000003E-3</v>
      </c>
      <c r="D20" s="66">
        <v>0.93384999999999996</v>
      </c>
      <c r="E20" s="66">
        <v>0</v>
      </c>
      <c r="F20" s="66">
        <v>4.1103099999999998E-3</v>
      </c>
      <c r="G20" s="66">
        <v>0</v>
      </c>
      <c r="H20" s="66">
        <v>6.4186900000000005E-2</v>
      </c>
    </row>
    <row r="21" spans="1:8">
      <c r="A21" s="66" t="s">
        <v>373</v>
      </c>
      <c r="B21" s="66">
        <v>7.7229900000000004E-2</v>
      </c>
      <c r="C21" s="66">
        <v>0.15277299999999999</v>
      </c>
      <c r="D21" s="66">
        <v>1.9781599999999999</v>
      </c>
      <c r="E21" s="66">
        <v>0</v>
      </c>
      <c r="F21" s="66">
        <v>6.7137300000000002E-3</v>
      </c>
      <c r="G21" s="66">
        <v>0</v>
      </c>
      <c r="H21" s="66">
        <v>0.81344899999999998</v>
      </c>
    </row>
    <row r="22" spans="1:8">
      <c r="A22" s="66" t="s">
        <v>374</v>
      </c>
      <c r="B22" s="66">
        <v>23.3687</v>
      </c>
      <c r="C22" s="66">
        <v>7.3669700000000002</v>
      </c>
      <c r="D22" s="66">
        <v>0.31524999999999997</v>
      </c>
      <c r="E22" s="66">
        <v>0</v>
      </c>
      <c r="F22" s="66">
        <v>16.174299999999999</v>
      </c>
      <c r="G22" s="66">
        <v>0</v>
      </c>
      <c r="H22" s="66">
        <v>47.134999999999998</v>
      </c>
    </row>
    <row r="23" spans="1:8">
      <c r="A23" s="66" t="s">
        <v>375</v>
      </c>
      <c r="B23" s="66">
        <v>9.9288699999999999</v>
      </c>
      <c r="C23" s="66">
        <v>1.99579</v>
      </c>
      <c r="D23" s="66">
        <v>0.20100899999999999</v>
      </c>
      <c r="E23" s="66">
        <v>0</v>
      </c>
      <c r="F23" s="66">
        <v>7.2113100000000001</v>
      </c>
      <c r="G23" s="66">
        <v>0</v>
      </c>
      <c r="H23" s="66">
        <v>13.114599999999999</v>
      </c>
    </row>
    <row r="24" spans="1:8">
      <c r="A24" s="66" t="s">
        <v>376</v>
      </c>
      <c r="B24" s="66">
        <v>7.3217100000000004E-3</v>
      </c>
      <c r="C24" s="66">
        <v>5.0774899999999996E-3</v>
      </c>
      <c r="D24" s="66">
        <v>0.69348399999999999</v>
      </c>
      <c r="E24" s="66">
        <v>0</v>
      </c>
      <c r="F24" s="66">
        <v>5.4370800000000004E-3</v>
      </c>
      <c r="G24" s="66">
        <v>0</v>
      </c>
      <c r="H24" s="66">
        <v>3.5754599999999997E-2</v>
      </c>
    </row>
    <row r="25" spans="1:8">
      <c r="A25" s="66" t="s">
        <v>377</v>
      </c>
      <c r="B25" s="66">
        <v>9.4297699999999998E-2</v>
      </c>
      <c r="C25" s="66">
        <v>8.49911E-2</v>
      </c>
      <c r="D25" s="66">
        <v>0.90130699999999997</v>
      </c>
      <c r="E25" s="66">
        <v>0</v>
      </c>
      <c r="F25" s="66">
        <v>3.7874600000000001E-2</v>
      </c>
      <c r="G25" s="66">
        <v>0</v>
      </c>
      <c r="H25" s="66">
        <v>0.37919399999999998</v>
      </c>
    </row>
    <row r="26" spans="1:8">
      <c r="A26" s="66" t="s">
        <v>378</v>
      </c>
      <c r="B26" s="66">
        <v>1.35242E-3</v>
      </c>
      <c r="C26" s="66">
        <v>1.35738E-3</v>
      </c>
      <c r="D26" s="66">
        <v>1.0036700000000001</v>
      </c>
      <c r="E26" s="66">
        <v>0</v>
      </c>
      <c r="F26" s="66">
        <v>7.2544600000000003E-4</v>
      </c>
      <c r="G26" s="66">
        <v>0</v>
      </c>
      <c r="H26" s="66">
        <v>1.06257E-2</v>
      </c>
    </row>
    <row r="27" spans="1:8">
      <c r="A27" s="66" t="s">
        <v>379</v>
      </c>
      <c r="B27" s="196">
        <v>-1.64122E-6</v>
      </c>
      <c r="C27" s="66">
        <v>5.3611299999999995E-4</v>
      </c>
      <c r="D27" s="66">
        <v>-326.654</v>
      </c>
      <c r="E27" s="66">
        <v>0</v>
      </c>
      <c r="F27" s="66">
        <v>-3.16767E-3</v>
      </c>
      <c r="G27" s="66">
        <v>0</v>
      </c>
      <c r="H27" s="66">
        <v>5.2323999999999999E-3</v>
      </c>
    </row>
    <row r="28" spans="1:8">
      <c r="A28" s="66" t="s">
        <v>380</v>
      </c>
      <c r="B28" s="66">
        <v>1.8914400000000001E-2</v>
      </c>
      <c r="C28" s="66">
        <v>1.7742399999999998E-2</v>
      </c>
      <c r="D28" s="66">
        <v>0.93803499999999995</v>
      </c>
      <c r="E28" s="66">
        <v>0</v>
      </c>
      <c r="F28" s="66">
        <v>1.44206E-3</v>
      </c>
      <c r="G28" s="66">
        <v>0</v>
      </c>
      <c r="H28" s="66">
        <v>7.7086600000000005E-2</v>
      </c>
    </row>
    <row r="29" spans="1:8">
      <c r="A29" s="66" t="s">
        <v>381</v>
      </c>
      <c r="B29" s="66">
        <v>67.761700000000005</v>
      </c>
      <c r="C29" s="66">
        <v>9.3055099999999999</v>
      </c>
      <c r="D29" s="66">
        <v>0.137327</v>
      </c>
      <c r="E29" s="66">
        <v>0</v>
      </c>
      <c r="F29" s="66">
        <v>49.871899999999997</v>
      </c>
      <c r="G29" s="66">
        <v>0</v>
      </c>
      <c r="H29" s="66">
        <v>88.388900000000007</v>
      </c>
    </row>
    <row r="30" spans="1:8">
      <c r="A30" s="66" t="s">
        <v>382</v>
      </c>
      <c r="B30" s="66">
        <v>22.652699999999999</v>
      </c>
      <c r="C30" s="66">
        <v>3.8571800000000001</v>
      </c>
      <c r="D30" s="66">
        <v>0.17027500000000001</v>
      </c>
      <c r="E30" s="66">
        <v>0</v>
      </c>
      <c r="F30" s="66">
        <v>15.782299999999999</v>
      </c>
      <c r="G30" s="66">
        <v>0</v>
      </c>
      <c r="H30" s="66">
        <v>27.784500000000001</v>
      </c>
    </row>
    <row r="31" spans="1:8">
      <c r="A31" s="66" t="s">
        <v>383</v>
      </c>
      <c r="B31" s="66">
        <v>50.0914</v>
      </c>
      <c r="C31" s="66">
        <v>14.859299999999999</v>
      </c>
      <c r="D31" s="66">
        <v>0.29664299999999999</v>
      </c>
      <c r="E31" s="66">
        <v>0</v>
      </c>
      <c r="F31" s="66">
        <v>29.509799999999998</v>
      </c>
      <c r="G31" s="66">
        <v>0</v>
      </c>
      <c r="H31" s="66">
        <v>74.371899999999997</v>
      </c>
    </row>
    <row r="32" spans="1:8">
      <c r="A32" s="66" t="s">
        <v>384</v>
      </c>
      <c r="B32" s="66">
        <v>0.18770000000000001</v>
      </c>
      <c r="C32" s="66">
        <v>6.3262899999999997E-2</v>
      </c>
      <c r="D32" s="66">
        <v>0.33704200000000001</v>
      </c>
      <c r="E32" s="66">
        <v>0.15</v>
      </c>
      <c r="F32" s="66">
        <v>0.111997</v>
      </c>
      <c r="G32" s="66">
        <v>0.4</v>
      </c>
      <c r="H32" s="66">
        <v>0.39247799999999999</v>
      </c>
    </row>
    <row r="33" spans="1:8">
      <c r="A33" s="66" t="s">
        <v>385</v>
      </c>
      <c r="B33" s="66">
        <v>0.30206499999999997</v>
      </c>
      <c r="C33" s="66">
        <v>1.80786E-2</v>
      </c>
      <c r="D33" s="66">
        <v>5.9849899999999998E-2</v>
      </c>
      <c r="E33" s="66">
        <v>0</v>
      </c>
      <c r="F33" s="66">
        <v>0.25227300000000003</v>
      </c>
      <c r="G33" s="66">
        <v>0</v>
      </c>
      <c r="H33" s="66">
        <v>0.33963599999999999</v>
      </c>
    </row>
    <row r="34" spans="1:8">
      <c r="A34" s="66" t="s">
        <v>386</v>
      </c>
      <c r="B34" s="66">
        <v>0.155081</v>
      </c>
      <c r="C34" s="66">
        <v>3.1498699999999998E-2</v>
      </c>
      <c r="D34" s="66">
        <v>0.20311100000000001</v>
      </c>
      <c r="E34" s="66">
        <v>0.1</v>
      </c>
      <c r="F34" s="66">
        <v>0.128659</v>
      </c>
      <c r="G34" s="66">
        <v>0.25</v>
      </c>
      <c r="H34" s="66">
        <v>0.26878099999999999</v>
      </c>
    </row>
    <row r="35" spans="1:8">
      <c r="A35" s="66" t="s">
        <v>387</v>
      </c>
      <c r="B35" s="66">
        <v>7.8398300000000004E-2</v>
      </c>
      <c r="C35" s="66">
        <v>2.62013E-2</v>
      </c>
      <c r="D35" s="66">
        <v>0.33420699999999998</v>
      </c>
      <c r="E35" s="66">
        <v>0</v>
      </c>
      <c r="F35" s="66">
        <v>3.06898E-2</v>
      </c>
      <c r="G35" s="66">
        <v>0</v>
      </c>
      <c r="H35" s="66">
        <v>0.157661</v>
      </c>
    </row>
    <row r="36" spans="1:8">
      <c r="A36" s="66" t="s">
        <v>388</v>
      </c>
      <c r="B36" s="66">
        <v>0.13389499999999999</v>
      </c>
      <c r="C36" s="66">
        <v>8.8733999999999993E-2</v>
      </c>
      <c r="D36" s="66">
        <v>0.66271400000000003</v>
      </c>
      <c r="E36" s="66">
        <v>0</v>
      </c>
      <c r="F36" s="66">
        <v>3.8396800000000002E-2</v>
      </c>
      <c r="G36" s="66">
        <v>0</v>
      </c>
      <c r="H36" s="66">
        <v>0.476883</v>
      </c>
    </row>
    <row r="37" spans="1:8">
      <c r="A37" s="66" t="s">
        <v>389</v>
      </c>
      <c r="B37" s="66">
        <v>0.31498700000000002</v>
      </c>
      <c r="C37" s="66">
        <v>0.10961600000000001</v>
      </c>
      <c r="D37" s="66">
        <v>0.34800300000000001</v>
      </c>
      <c r="E37" s="66">
        <v>0.1</v>
      </c>
      <c r="F37" s="66">
        <v>2.83015E-2</v>
      </c>
      <c r="G37" s="66">
        <v>0.5</v>
      </c>
      <c r="H37" s="66">
        <v>0.47325499999999998</v>
      </c>
    </row>
    <row r="38" spans="1:8">
      <c r="A38" s="66" t="s">
        <v>390</v>
      </c>
      <c r="B38" s="66">
        <v>6.8370899999999999</v>
      </c>
      <c r="C38" s="66">
        <v>22.9452</v>
      </c>
      <c r="D38" s="66">
        <v>3.3559899999999998</v>
      </c>
      <c r="E38" s="66">
        <v>0</v>
      </c>
      <c r="F38" s="66">
        <v>-54.828200000000002</v>
      </c>
      <c r="G38" s="66">
        <v>0</v>
      </c>
      <c r="H38" s="66">
        <v>84.679500000000004</v>
      </c>
    </row>
    <row r="39" spans="1:8">
      <c r="A39" s="66" t="s">
        <v>391</v>
      </c>
      <c r="B39" s="66">
        <v>2.01389</v>
      </c>
      <c r="C39" s="66">
        <v>2.0518000000000001</v>
      </c>
      <c r="D39" s="66">
        <v>1.0188200000000001</v>
      </c>
      <c r="E39" s="66">
        <v>0</v>
      </c>
      <c r="F39" s="66">
        <v>-2.4482699999999999</v>
      </c>
      <c r="G39" s="66">
        <v>0</v>
      </c>
      <c r="H39" s="66">
        <v>6.8179800000000004</v>
      </c>
    </row>
    <row r="40" spans="1:8">
      <c r="A40" s="66" t="s">
        <v>392</v>
      </c>
      <c r="B40" s="66">
        <v>0.26790999999999998</v>
      </c>
      <c r="C40" s="66">
        <v>0.21754299999999999</v>
      </c>
      <c r="D40" s="66">
        <v>0.81200099999999997</v>
      </c>
      <c r="E40" s="66">
        <v>0</v>
      </c>
      <c r="F40" s="66">
        <v>-1.9361E-2</v>
      </c>
      <c r="G40" s="66">
        <v>0</v>
      </c>
      <c r="H40" s="66">
        <v>0.92204200000000003</v>
      </c>
    </row>
    <row r="41" spans="1:8">
      <c r="A41" s="66" t="s">
        <v>393</v>
      </c>
      <c r="B41" s="66">
        <v>2.4162699999999999E-2</v>
      </c>
      <c r="C41" s="66">
        <v>0.28342699999999998</v>
      </c>
      <c r="D41" s="66">
        <v>11.729900000000001</v>
      </c>
      <c r="E41" s="66">
        <v>0</v>
      </c>
      <c r="F41" s="66">
        <v>-0.83102900000000002</v>
      </c>
      <c r="G41" s="66">
        <v>0</v>
      </c>
      <c r="H41" s="66">
        <v>0.91304300000000005</v>
      </c>
    </row>
    <row r="42" spans="1:8">
      <c r="A42" s="66" t="s">
        <v>394</v>
      </c>
      <c r="B42" s="66">
        <v>4.2031800000000001E-2</v>
      </c>
      <c r="C42" s="66">
        <v>6.0516800000000003E-2</v>
      </c>
      <c r="D42" s="66">
        <v>1.4397899999999999</v>
      </c>
      <c r="E42" s="66">
        <v>0</v>
      </c>
      <c r="F42" s="66">
        <v>-0.110684</v>
      </c>
      <c r="G42" s="66">
        <v>0</v>
      </c>
      <c r="H42" s="66">
        <v>0.1804</v>
      </c>
    </row>
    <row r="43" spans="1:8">
      <c r="A43" s="66" t="s">
        <v>395</v>
      </c>
      <c r="B43" s="66">
        <v>4.1524800000000001E-2</v>
      </c>
      <c r="C43" s="66">
        <v>1.78526E-2</v>
      </c>
      <c r="D43" s="66">
        <v>0.42992599999999997</v>
      </c>
      <c r="E43" s="66">
        <v>0</v>
      </c>
      <c r="F43" s="66">
        <v>2.4350000000000001E-3</v>
      </c>
      <c r="G43" s="66">
        <v>0</v>
      </c>
      <c r="H43" s="66">
        <v>6.9812700000000005E-2</v>
      </c>
    </row>
    <row r="44" spans="1:8">
      <c r="A44" s="66" t="s">
        <v>396</v>
      </c>
      <c r="B44" s="66">
        <v>1.87443</v>
      </c>
      <c r="C44" s="66">
        <v>2.0590700000000002</v>
      </c>
      <c r="D44" s="66">
        <v>1.0985100000000001</v>
      </c>
      <c r="E44" s="66">
        <v>0</v>
      </c>
      <c r="F44" s="66">
        <v>-4.9676299999999998</v>
      </c>
      <c r="G44" s="66">
        <v>0</v>
      </c>
      <c r="H44" s="66">
        <v>4.5277900000000004</v>
      </c>
    </row>
    <row r="45" spans="1:8">
      <c r="A45" s="66" t="s">
        <v>397</v>
      </c>
      <c r="B45" s="66">
        <v>49.006</v>
      </c>
      <c r="C45" s="66">
        <v>7.1614399999999998</v>
      </c>
      <c r="D45" s="66">
        <v>0.14613399999999999</v>
      </c>
      <c r="E45" s="66">
        <v>0</v>
      </c>
      <c r="F45" s="66">
        <v>36.438499999999998</v>
      </c>
      <c r="G45" s="66">
        <v>0</v>
      </c>
      <c r="H45" s="66">
        <v>67.8232</v>
      </c>
    </row>
    <row r="46" spans="1:8">
      <c r="A46" s="66" t="s">
        <v>398</v>
      </c>
      <c r="B46" s="66">
        <v>27.507899999999999</v>
      </c>
      <c r="C46" s="66">
        <v>6.5904299999999996</v>
      </c>
      <c r="D46" s="66">
        <v>0.23958299999999999</v>
      </c>
      <c r="E46" s="66">
        <v>0</v>
      </c>
      <c r="F46" s="66">
        <v>14.9581</v>
      </c>
      <c r="G46" s="66">
        <v>0</v>
      </c>
      <c r="H46" s="66">
        <v>36.191200000000002</v>
      </c>
    </row>
    <row r="47" spans="1:8">
      <c r="A47" s="66" t="s">
        <v>399</v>
      </c>
      <c r="B47" s="66">
        <v>1.09385</v>
      </c>
      <c r="C47" s="66">
        <v>0.51363400000000003</v>
      </c>
      <c r="D47" s="66">
        <v>0.46956300000000001</v>
      </c>
      <c r="E47" s="66">
        <v>0</v>
      </c>
      <c r="F47" s="66">
        <v>0.46193099999999998</v>
      </c>
      <c r="G47" s="66">
        <v>0</v>
      </c>
      <c r="H47" s="66">
        <v>2.9923199999999999</v>
      </c>
    </row>
    <row r="48" spans="1:8">
      <c r="A48" s="66" t="s">
        <v>400</v>
      </c>
      <c r="B48" s="66">
        <v>1.3154399999999999</v>
      </c>
      <c r="C48" s="66">
        <v>8.1571299999999999E-2</v>
      </c>
      <c r="D48" s="66">
        <v>6.2010700000000002E-2</v>
      </c>
      <c r="E48" s="66">
        <v>0</v>
      </c>
      <c r="F48" s="66">
        <v>1.2114499999999999</v>
      </c>
      <c r="G48" s="66">
        <v>0</v>
      </c>
      <c r="H48" s="66">
        <v>1.53118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43.591999999999999</v>
      </c>
      <c r="C5" s="66">
        <v>2.9570699999999999</v>
      </c>
      <c r="D5" s="66">
        <v>6.7835099999999997</v>
      </c>
      <c r="E5" s="66">
        <v>20</v>
      </c>
      <c r="F5" s="66">
        <v>40.791899999999998</v>
      </c>
      <c r="G5" s="66">
        <v>50</v>
      </c>
      <c r="H5" s="66">
        <v>51.389600000000002</v>
      </c>
    </row>
    <row r="6" spans="1:8">
      <c r="A6" s="66" t="s">
        <v>358</v>
      </c>
      <c r="B6" s="66">
        <v>30.9114</v>
      </c>
      <c r="C6" s="66">
        <v>1.18387</v>
      </c>
      <c r="D6" s="66">
        <v>3.8298800000000002</v>
      </c>
      <c r="E6" s="66">
        <v>20</v>
      </c>
      <c r="F6" s="66">
        <v>29.564299999999999</v>
      </c>
      <c r="G6" s="66">
        <v>40</v>
      </c>
      <c r="H6" s="66">
        <v>33.8476</v>
      </c>
    </row>
    <row r="7" spans="1:8">
      <c r="A7" s="66" t="s">
        <v>359</v>
      </c>
      <c r="B7" s="66">
        <v>25.040800000000001</v>
      </c>
      <c r="C7" s="66">
        <v>9.3435000000000006</v>
      </c>
      <c r="D7" s="66">
        <v>37.313200000000002</v>
      </c>
      <c r="E7" s="66">
        <v>15</v>
      </c>
      <c r="F7" s="66">
        <v>2.1363300000000001</v>
      </c>
      <c r="G7" s="66">
        <v>40</v>
      </c>
      <c r="H7" s="66">
        <v>37.273699999999998</v>
      </c>
    </row>
    <row r="8" spans="1:8">
      <c r="A8" s="66" t="s">
        <v>360</v>
      </c>
      <c r="B8" s="66">
        <v>34.556800000000003</v>
      </c>
      <c r="C8" s="66">
        <v>3.3176600000000001</v>
      </c>
      <c r="D8" s="66">
        <v>9.6005900000000004</v>
      </c>
      <c r="E8" s="66">
        <v>20</v>
      </c>
      <c r="F8" s="66">
        <v>25.1266</v>
      </c>
      <c r="G8" s="66">
        <v>50</v>
      </c>
      <c r="H8" s="66">
        <v>36.747300000000003</v>
      </c>
    </row>
    <row r="9" spans="1:8">
      <c r="A9" s="66" t="s">
        <v>361</v>
      </c>
      <c r="B9" s="66">
        <v>68.3977</v>
      </c>
      <c r="C9" s="66">
        <v>2.0089000000000001</v>
      </c>
      <c r="D9" s="66">
        <v>2.93709</v>
      </c>
      <c r="E9" s="66">
        <v>50</v>
      </c>
      <c r="F9" s="66">
        <v>62.510399999999997</v>
      </c>
      <c r="G9" s="66">
        <v>100</v>
      </c>
      <c r="H9" s="66">
        <v>72.786199999999994</v>
      </c>
    </row>
    <row r="10" spans="1:8">
      <c r="A10" s="66" t="s">
        <v>362</v>
      </c>
      <c r="B10" s="66">
        <v>71.536500000000004</v>
      </c>
      <c r="C10" s="66">
        <v>3.2249500000000002</v>
      </c>
      <c r="D10" s="66">
        <v>4.5081300000000004</v>
      </c>
      <c r="E10" s="66">
        <v>40</v>
      </c>
      <c r="F10" s="66">
        <v>69.582700000000003</v>
      </c>
      <c r="G10" s="66">
        <v>100</v>
      </c>
      <c r="H10" s="66">
        <v>79.539500000000004</v>
      </c>
    </row>
    <row r="11" spans="1:8">
      <c r="A11" s="66" t="s">
        <v>363</v>
      </c>
      <c r="B11" s="66">
        <v>29.174499999999998</v>
      </c>
      <c r="C11" s="66">
        <v>0.62018600000000002</v>
      </c>
      <c r="D11" s="66">
        <v>2.1257799999999998</v>
      </c>
      <c r="E11" s="66">
        <v>10</v>
      </c>
      <c r="F11" s="66">
        <v>27.615500000000001</v>
      </c>
      <c r="G11" s="66">
        <v>50</v>
      </c>
      <c r="H11" s="66">
        <v>30.546299999999999</v>
      </c>
    </row>
    <row r="12" spans="1:8">
      <c r="A12" s="66" t="s">
        <v>364</v>
      </c>
      <c r="B12" s="66">
        <v>70.382000000000005</v>
      </c>
      <c r="C12" s="66">
        <v>1.5968599999999999</v>
      </c>
      <c r="D12" s="66">
        <v>2.26885</v>
      </c>
      <c r="E12" s="66">
        <v>50</v>
      </c>
      <c r="F12" s="66">
        <v>67.737799999999993</v>
      </c>
      <c r="G12" s="66">
        <v>100</v>
      </c>
      <c r="H12" s="66">
        <v>74.541499999999999</v>
      </c>
    </row>
    <row r="13" spans="1:8">
      <c r="A13" s="66" t="s">
        <v>365</v>
      </c>
      <c r="B13" s="66">
        <v>14.870900000000001</v>
      </c>
      <c r="C13" s="66">
        <v>6.3068</v>
      </c>
      <c r="D13" s="66">
        <v>42.410499999999999</v>
      </c>
      <c r="E13" s="66">
        <v>10</v>
      </c>
      <c r="F13" s="66">
        <v>13.250500000000001</v>
      </c>
      <c r="G13" s="66">
        <v>25</v>
      </c>
      <c r="H13" s="66">
        <v>45.121099999999998</v>
      </c>
    </row>
    <row r="14" spans="1:8">
      <c r="A14" s="66" t="s">
        <v>366</v>
      </c>
      <c r="B14" s="66">
        <v>63.067999999999998</v>
      </c>
      <c r="C14" s="66">
        <v>13.7057</v>
      </c>
      <c r="D14" s="66">
        <v>21.7316</v>
      </c>
      <c r="E14" s="66">
        <v>10</v>
      </c>
      <c r="F14" s="66">
        <v>2.8624999999999998</v>
      </c>
      <c r="G14" s="66">
        <v>50</v>
      </c>
      <c r="H14" s="66">
        <v>71.620099999999994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0.550014</v>
      </c>
      <c r="C18" s="66">
        <v>7.6449799999999998E-2</v>
      </c>
      <c r="D18" s="66">
        <v>0.13899600000000001</v>
      </c>
      <c r="E18" s="66">
        <v>0</v>
      </c>
      <c r="F18" s="66">
        <v>0.47356399999999998</v>
      </c>
      <c r="G18" s="66">
        <v>0</v>
      </c>
      <c r="H18" s="66">
        <v>0.62646400000000002</v>
      </c>
    </row>
    <row r="19" spans="1:8">
      <c r="A19" s="66" t="s">
        <v>371</v>
      </c>
      <c r="B19" s="66">
        <v>0.62215500000000001</v>
      </c>
      <c r="C19" s="66">
        <v>4.94133E-2</v>
      </c>
      <c r="D19" s="66">
        <v>7.9422699999999999E-2</v>
      </c>
      <c r="E19" s="66">
        <v>0</v>
      </c>
      <c r="F19" s="66">
        <v>0.57274199999999997</v>
      </c>
      <c r="G19" s="66">
        <v>0</v>
      </c>
      <c r="H19" s="66">
        <v>0.67156899999999997</v>
      </c>
    </row>
    <row r="20" spans="1:8">
      <c r="A20" s="66" t="s">
        <v>372</v>
      </c>
      <c r="B20" s="66">
        <v>7.7457699999999999E-3</v>
      </c>
      <c r="C20" s="66">
        <v>0.10143099999999999</v>
      </c>
      <c r="D20" s="66">
        <v>13.095000000000001</v>
      </c>
      <c r="E20" s="66">
        <v>0</v>
      </c>
      <c r="F20" s="66">
        <v>4.1942799999999999E-3</v>
      </c>
      <c r="G20" s="66">
        <v>0</v>
      </c>
      <c r="H20" s="66">
        <v>0.87759299999999996</v>
      </c>
    </row>
    <row r="21" spans="1:8">
      <c r="A21" s="66" t="s">
        <v>373</v>
      </c>
      <c r="B21" s="66">
        <v>9.7259100000000001E-2</v>
      </c>
      <c r="C21" s="66">
        <v>1.1051500000000001</v>
      </c>
      <c r="D21" s="66">
        <v>11.3629</v>
      </c>
      <c r="E21" s="66">
        <v>0</v>
      </c>
      <c r="F21" s="66">
        <v>7.1561200000000002E-3</v>
      </c>
      <c r="G21" s="66">
        <v>0</v>
      </c>
      <c r="H21" s="66">
        <v>6.5405199999999999</v>
      </c>
    </row>
    <row r="22" spans="1:8">
      <c r="A22" s="66" t="s">
        <v>374</v>
      </c>
      <c r="B22" s="66">
        <v>26.097899999999999</v>
      </c>
      <c r="C22" s="66">
        <v>26.091799999999999</v>
      </c>
      <c r="D22" s="66">
        <v>0.99976699999999996</v>
      </c>
      <c r="E22" s="66">
        <v>0</v>
      </c>
      <c r="F22" s="66">
        <v>18.400700000000001</v>
      </c>
      <c r="G22" s="66">
        <v>0</v>
      </c>
      <c r="H22" s="66">
        <v>107.69499999999999</v>
      </c>
    </row>
    <row r="23" spans="1:8">
      <c r="A23" s="66" t="s">
        <v>375</v>
      </c>
      <c r="B23" s="66">
        <v>13.2865</v>
      </c>
      <c r="C23" s="66">
        <v>1.4355599999999999</v>
      </c>
      <c r="D23" s="66">
        <v>0.108046</v>
      </c>
      <c r="E23" s="66">
        <v>0</v>
      </c>
      <c r="F23" s="66">
        <v>12.2224</v>
      </c>
      <c r="G23" s="66">
        <v>0</v>
      </c>
      <c r="H23" s="66">
        <v>17.375499999999999</v>
      </c>
    </row>
    <row r="24" spans="1:8">
      <c r="A24" s="66" t="s">
        <v>376</v>
      </c>
      <c r="B24" s="66">
        <v>8.63622E-3</v>
      </c>
      <c r="C24" s="66">
        <v>8.85938E-2</v>
      </c>
      <c r="D24" s="66">
        <v>10.2584</v>
      </c>
      <c r="E24" s="66">
        <v>0</v>
      </c>
      <c r="F24" s="66">
        <v>5.3739599999999997E-3</v>
      </c>
      <c r="G24" s="66">
        <v>0</v>
      </c>
      <c r="H24" s="66">
        <v>0.65087300000000003</v>
      </c>
    </row>
    <row r="25" spans="1:8">
      <c r="A25" s="66" t="s">
        <v>377</v>
      </c>
      <c r="B25" s="66">
        <v>8.5456900000000002E-2</v>
      </c>
      <c r="C25" s="66">
        <v>0.64091200000000004</v>
      </c>
      <c r="D25" s="66">
        <v>7.4998300000000002</v>
      </c>
      <c r="E25" s="66">
        <v>0</v>
      </c>
      <c r="F25" s="66">
        <v>4.6232799999999998E-2</v>
      </c>
      <c r="G25" s="66">
        <v>0</v>
      </c>
      <c r="H25" s="66">
        <v>2.14236</v>
      </c>
    </row>
    <row r="26" spans="1:8">
      <c r="A26" s="66" t="s">
        <v>378</v>
      </c>
      <c r="B26" s="66">
        <v>1.4673100000000001E-3</v>
      </c>
      <c r="C26" s="66">
        <v>1.2829800000000001E-2</v>
      </c>
      <c r="D26" s="66">
        <v>8.7437799999999992</v>
      </c>
      <c r="E26" s="66">
        <v>0</v>
      </c>
      <c r="F26" s="66">
        <v>7.7140200000000003E-4</v>
      </c>
      <c r="G26" s="66">
        <v>0</v>
      </c>
      <c r="H26" s="66">
        <v>9.5886899999999997E-2</v>
      </c>
    </row>
    <row r="27" spans="1:8">
      <c r="A27" s="66" t="s">
        <v>379</v>
      </c>
      <c r="B27" s="196">
        <v>-1.6412799999999999E-6</v>
      </c>
      <c r="C27" s="66">
        <v>2.3109699999999999E-3</v>
      </c>
      <c r="D27" s="66">
        <v>-1408.03</v>
      </c>
      <c r="E27" s="66">
        <v>0</v>
      </c>
      <c r="F27" s="66">
        <v>-1.39772E-2</v>
      </c>
      <c r="G27" s="66">
        <v>0</v>
      </c>
      <c r="H27" s="66">
        <v>1.20667E-2</v>
      </c>
    </row>
    <row r="28" spans="1:8">
      <c r="A28" s="66" t="s">
        <v>380</v>
      </c>
      <c r="B28" s="66">
        <v>1.8357700000000001E-2</v>
      </c>
      <c r="C28" s="66">
        <v>4.8694300000000003E-2</v>
      </c>
      <c r="D28" s="66">
        <v>2.65252</v>
      </c>
      <c r="E28" s="66">
        <v>0</v>
      </c>
      <c r="F28" s="66">
        <v>1.4355500000000001E-3</v>
      </c>
      <c r="G28" s="66">
        <v>0</v>
      </c>
      <c r="H28" s="66">
        <v>0.24907199999999999</v>
      </c>
    </row>
    <row r="29" spans="1:8">
      <c r="A29" s="66" t="s">
        <v>381</v>
      </c>
      <c r="B29" s="66">
        <v>67.287800000000004</v>
      </c>
      <c r="C29" s="66">
        <v>10.408099999999999</v>
      </c>
      <c r="D29" s="66">
        <v>0.15468000000000001</v>
      </c>
      <c r="E29" s="66">
        <v>0</v>
      </c>
      <c r="F29" s="66">
        <v>53.615900000000003</v>
      </c>
      <c r="G29" s="66">
        <v>0</v>
      </c>
      <c r="H29" s="66">
        <v>92.11</v>
      </c>
    </row>
    <row r="30" spans="1:8">
      <c r="A30" s="66" t="s">
        <v>382</v>
      </c>
      <c r="B30" s="66">
        <v>27.0686</v>
      </c>
      <c r="C30" s="66">
        <v>2.4470399999999999</v>
      </c>
      <c r="D30" s="66">
        <v>9.0401599999999999E-2</v>
      </c>
      <c r="E30" s="66">
        <v>0</v>
      </c>
      <c r="F30" s="66">
        <v>20.0167</v>
      </c>
      <c r="G30" s="66">
        <v>0</v>
      </c>
      <c r="H30" s="66">
        <v>28.1873</v>
      </c>
    </row>
    <row r="31" spans="1:8">
      <c r="A31" s="66" t="s">
        <v>383</v>
      </c>
      <c r="B31" s="66">
        <v>104.967</v>
      </c>
      <c r="C31" s="66">
        <v>20.006</v>
      </c>
      <c r="D31" s="66">
        <v>0.19059300000000001</v>
      </c>
      <c r="E31" s="66">
        <v>0</v>
      </c>
      <c r="F31" s="66">
        <v>74.224199999999996</v>
      </c>
      <c r="G31" s="66">
        <v>0</v>
      </c>
      <c r="H31" s="66">
        <v>133.61799999999999</v>
      </c>
    </row>
    <row r="32" spans="1:8">
      <c r="A32" s="66" t="s">
        <v>384</v>
      </c>
      <c r="B32" s="66">
        <v>0.25040800000000002</v>
      </c>
      <c r="C32" s="66">
        <v>9.3435000000000004E-2</v>
      </c>
      <c r="D32" s="66">
        <v>0.37313200000000002</v>
      </c>
      <c r="E32" s="66">
        <v>0.15</v>
      </c>
      <c r="F32" s="66">
        <v>2.1363300000000002E-2</v>
      </c>
      <c r="G32" s="66">
        <v>0.4</v>
      </c>
      <c r="H32" s="66">
        <v>0.37273699999999999</v>
      </c>
    </row>
    <row r="33" spans="1:8">
      <c r="A33" s="66" t="s">
        <v>385</v>
      </c>
      <c r="B33" s="66">
        <v>0.34124900000000002</v>
      </c>
      <c r="C33" s="66">
        <v>2.4158900000000001E-2</v>
      </c>
      <c r="D33" s="66">
        <v>7.0795300000000005E-2</v>
      </c>
      <c r="E33" s="66">
        <v>0</v>
      </c>
      <c r="F33" s="66">
        <v>0.24793599999999999</v>
      </c>
      <c r="G33" s="66">
        <v>0</v>
      </c>
      <c r="H33" s="66">
        <v>0.37565799999999999</v>
      </c>
    </row>
    <row r="34" spans="1:8">
      <c r="A34" s="66" t="s">
        <v>386</v>
      </c>
      <c r="B34" s="66">
        <v>0.14870900000000001</v>
      </c>
      <c r="C34" s="66">
        <v>6.3067999999999999E-2</v>
      </c>
      <c r="D34" s="66">
        <v>0.42410500000000001</v>
      </c>
      <c r="E34" s="66">
        <v>0.1</v>
      </c>
      <c r="F34" s="66">
        <v>0.13250500000000001</v>
      </c>
      <c r="G34" s="66">
        <v>0.25</v>
      </c>
      <c r="H34" s="66">
        <v>0.45121099999999997</v>
      </c>
    </row>
    <row r="35" spans="1:8">
      <c r="A35" s="66" t="s">
        <v>387</v>
      </c>
      <c r="B35" s="66">
        <v>5.7292999999999997E-2</v>
      </c>
      <c r="C35" s="66">
        <v>2.1162799999999999E-2</v>
      </c>
      <c r="D35" s="66">
        <v>0.36937900000000001</v>
      </c>
      <c r="E35" s="66">
        <v>0</v>
      </c>
      <c r="F35" s="66">
        <v>3.6781000000000001E-2</v>
      </c>
      <c r="G35" s="66">
        <v>0</v>
      </c>
      <c r="H35" s="66">
        <v>0.16078799999999999</v>
      </c>
    </row>
    <row r="36" spans="1:8">
      <c r="A36" s="66" t="s">
        <v>388</v>
      </c>
      <c r="B36" s="66">
        <v>0.16320100000000001</v>
      </c>
      <c r="C36" s="66">
        <v>0.10871599999999999</v>
      </c>
      <c r="D36" s="66">
        <v>0.66615000000000002</v>
      </c>
      <c r="E36" s="66">
        <v>0</v>
      </c>
      <c r="F36" s="66">
        <v>3.57221E-2</v>
      </c>
      <c r="G36" s="66">
        <v>0</v>
      </c>
      <c r="H36" s="66">
        <v>0.59948699999999999</v>
      </c>
    </row>
    <row r="37" spans="1:8">
      <c r="A37" s="66" t="s">
        <v>389</v>
      </c>
      <c r="B37" s="66">
        <v>0.63068000000000002</v>
      </c>
      <c r="C37" s="66">
        <v>0.13705700000000001</v>
      </c>
      <c r="D37" s="66">
        <v>0.21731600000000001</v>
      </c>
      <c r="E37" s="66">
        <v>0.1</v>
      </c>
      <c r="F37" s="66">
        <v>2.8625000000000001E-2</v>
      </c>
      <c r="G37" s="66">
        <v>0.5</v>
      </c>
      <c r="H37" s="66">
        <v>0.71620099999999998</v>
      </c>
    </row>
    <row r="38" spans="1:8">
      <c r="A38" s="66" t="s">
        <v>390</v>
      </c>
      <c r="B38" s="66">
        <v>7.48813</v>
      </c>
      <c r="C38" s="66">
        <v>38.404299999999999</v>
      </c>
      <c r="D38" s="66">
        <v>5.1286899999999997</v>
      </c>
      <c r="E38" s="66">
        <v>0</v>
      </c>
      <c r="F38" s="66">
        <v>-157.65199999999999</v>
      </c>
      <c r="G38" s="66">
        <v>0</v>
      </c>
      <c r="H38" s="66">
        <v>99.009600000000006</v>
      </c>
    </row>
    <row r="39" spans="1:8">
      <c r="A39" s="66" t="s">
        <v>391</v>
      </c>
      <c r="B39" s="66">
        <v>-5.5183500000000003E-2</v>
      </c>
      <c r="C39" s="66">
        <v>4.77813</v>
      </c>
      <c r="D39" s="66">
        <v>-86.586299999999994</v>
      </c>
      <c r="E39" s="66">
        <v>0</v>
      </c>
      <c r="F39" s="66">
        <v>-5.3920700000000004</v>
      </c>
      <c r="G39" s="66">
        <v>0</v>
      </c>
      <c r="H39" s="66">
        <v>12.442299999999999</v>
      </c>
    </row>
    <row r="40" spans="1:8">
      <c r="A40" s="66" t="s">
        <v>392</v>
      </c>
      <c r="B40" s="66">
        <v>0.55605700000000002</v>
      </c>
      <c r="C40" s="66">
        <v>0.53856099999999996</v>
      </c>
      <c r="D40" s="66">
        <v>0.96853500000000003</v>
      </c>
      <c r="E40" s="66">
        <v>0</v>
      </c>
      <c r="F40" s="66">
        <v>-4.4261799999999997E-2</v>
      </c>
      <c r="G40" s="66">
        <v>0</v>
      </c>
      <c r="H40" s="66">
        <v>1.9527399999999999</v>
      </c>
    </row>
    <row r="41" spans="1:8">
      <c r="A41" s="66" t="s">
        <v>393</v>
      </c>
      <c r="B41" s="66">
        <v>3.6256400000000001E-2</v>
      </c>
      <c r="C41" s="66">
        <v>0.32700099999999999</v>
      </c>
      <c r="D41" s="66">
        <v>9.0191400000000002</v>
      </c>
      <c r="E41" s="66">
        <v>0</v>
      </c>
      <c r="F41" s="66">
        <v>-1</v>
      </c>
      <c r="G41" s="66">
        <v>0</v>
      </c>
      <c r="H41" s="66">
        <v>0.93333299999999997</v>
      </c>
    </row>
    <row r="42" spans="1:8">
      <c r="A42" s="66" t="s">
        <v>394</v>
      </c>
      <c r="B42" s="66">
        <v>8.6042800000000006E-3</v>
      </c>
      <c r="C42" s="66">
        <v>9.4162200000000001E-2</v>
      </c>
      <c r="D42" s="66">
        <v>10.9436</v>
      </c>
      <c r="E42" s="66">
        <v>0</v>
      </c>
      <c r="F42" s="66">
        <v>-0.14873600000000001</v>
      </c>
      <c r="G42" s="66">
        <v>0</v>
      </c>
      <c r="H42" s="66">
        <v>0.18787899999999999</v>
      </c>
    </row>
    <row r="43" spans="1:8">
      <c r="A43" s="66" t="s">
        <v>395</v>
      </c>
      <c r="B43" s="66">
        <v>6.1032099999999999E-2</v>
      </c>
      <c r="C43" s="66">
        <v>3.2971300000000002E-2</v>
      </c>
      <c r="D43" s="66">
        <v>0.54022899999999996</v>
      </c>
      <c r="E43" s="66">
        <v>0</v>
      </c>
      <c r="F43" s="66">
        <v>2.8711500000000001E-2</v>
      </c>
      <c r="G43" s="66">
        <v>0</v>
      </c>
      <c r="H43" s="66">
        <v>0.13658400000000001</v>
      </c>
    </row>
    <row r="44" spans="1:8">
      <c r="A44" s="66" t="s">
        <v>396</v>
      </c>
      <c r="B44" s="66">
        <v>-4.73726</v>
      </c>
      <c r="C44" s="66">
        <v>8.0454399999999993</v>
      </c>
      <c r="D44" s="66">
        <v>-1.6983299999999999</v>
      </c>
      <c r="E44" s="66">
        <v>0</v>
      </c>
      <c r="F44" s="66">
        <v>-17.8614</v>
      </c>
      <c r="G44" s="66">
        <v>0</v>
      </c>
      <c r="H44" s="66">
        <v>7.0439299999999996</v>
      </c>
    </row>
    <row r="45" spans="1:8">
      <c r="A45" s="66" t="s">
        <v>397</v>
      </c>
      <c r="B45" s="66">
        <v>48.992400000000004</v>
      </c>
      <c r="C45" s="66">
        <v>8.8660499999999995</v>
      </c>
      <c r="D45" s="66">
        <v>0.18096799999999999</v>
      </c>
      <c r="E45" s="66">
        <v>0</v>
      </c>
      <c r="F45" s="66">
        <v>35.525399999999998</v>
      </c>
      <c r="G45" s="66">
        <v>0</v>
      </c>
      <c r="H45" s="66">
        <v>70.706299999999999</v>
      </c>
    </row>
    <row r="46" spans="1:8">
      <c r="A46" s="66" t="s">
        <v>398</v>
      </c>
      <c r="B46" s="66">
        <v>34.502800000000001</v>
      </c>
      <c r="C46" s="66">
        <v>1.1579900000000001</v>
      </c>
      <c r="D46" s="66">
        <v>3.35622E-2</v>
      </c>
      <c r="E46" s="66">
        <v>0</v>
      </c>
      <c r="F46" s="66">
        <v>31.459800000000001</v>
      </c>
      <c r="G46" s="66">
        <v>0</v>
      </c>
      <c r="H46" s="66">
        <v>36.216900000000003</v>
      </c>
    </row>
    <row r="47" spans="1:8">
      <c r="A47" s="66" t="s">
        <v>399</v>
      </c>
      <c r="B47" s="66">
        <v>0.90116300000000005</v>
      </c>
      <c r="C47" s="66">
        <v>0.79513199999999995</v>
      </c>
      <c r="D47" s="66">
        <v>0.88234100000000004</v>
      </c>
      <c r="E47" s="66">
        <v>0</v>
      </c>
      <c r="F47" s="66">
        <v>0.52157200000000004</v>
      </c>
      <c r="G47" s="66">
        <v>0</v>
      </c>
      <c r="H47" s="66">
        <v>3.62256</v>
      </c>
    </row>
    <row r="48" spans="1:8">
      <c r="A48" s="66" t="s">
        <v>400</v>
      </c>
      <c r="B48" s="66">
        <v>1.27369</v>
      </c>
      <c r="C48" s="66">
        <v>9.7494499999999998E-2</v>
      </c>
      <c r="D48" s="66">
        <v>7.6545199999999994E-2</v>
      </c>
      <c r="E48" s="66">
        <v>0</v>
      </c>
      <c r="F48" s="66">
        <v>1.08243</v>
      </c>
      <c r="G48" s="66">
        <v>0</v>
      </c>
      <c r="H48" s="66">
        <v>1.41605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93.823990747407947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1.8115057815125324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0.61803464006529629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1448</v>
      </c>
      <c r="B8" s="66">
        <v>1448</v>
      </c>
      <c r="D8">
        <f t="shared" si="0"/>
        <v>1.3887956417904721E-2</v>
      </c>
      <c r="E8">
        <f t="shared" si="0"/>
        <v>1.3887956417904721E-2</v>
      </c>
      <c r="G8">
        <f t="shared" ca="1" si="1"/>
        <v>6</v>
      </c>
      <c r="H8">
        <f t="shared" ca="1" si="2"/>
        <v>8.3327738507428334E-2</v>
      </c>
      <c r="I8">
        <f t="shared" ca="1" si="3"/>
        <v>107.11854878489544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1891</v>
      </c>
      <c r="B10" s="66">
        <v>1891</v>
      </c>
      <c r="D10">
        <f t="shared" si="0"/>
        <v>1.8136827062332755E-2</v>
      </c>
      <c r="E10">
        <f t="shared" si="0"/>
        <v>1.8136827062332755E-2</v>
      </c>
      <c r="G10">
        <f t="shared" ca="1" si="1"/>
        <v>8</v>
      </c>
      <c r="H10">
        <f t="shared" ca="1" si="2"/>
        <v>0.14509461649866204</v>
      </c>
      <c r="I10">
        <f t="shared" ca="1" si="3"/>
        <v>133.59146792583095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3510</v>
      </c>
      <c r="B13" s="66">
        <v>3510</v>
      </c>
      <c r="D13">
        <f t="shared" si="0"/>
        <v>3.366486673124694E-2</v>
      </c>
      <c r="E13">
        <f t="shared" si="0"/>
        <v>3.366486673124694E-2</v>
      </c>
      <c r="G13">
        <f t="shared" ca="1" si="1"/>
        <v>11</v>
      </c>
      <c r="H13">
        <f t="shared" ca="1" si="2"/>
        <v>0.37031353404371636</v>
      </c>
      <c r="I13">
        <f t="shared" ca="1" si="3"/>
        <v>230.93470537081009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4069</v>
      </c>
      <c r="B15" s="66">
        <v>4069</v>
      </c>
      <c r="D15">
        <f t="shared" si="0"/>
        <v>3.902630846992701E-2</v>
      </c>
      <c r="E15">
        <f t="shared" si="0"/>
        <v>3.902630846992701E-2</v>
      </c>
      <c r="G15">
        <f t="shared" ca="1" si="1"/>
        <v>13</v>
      </c>
      <c r="H15">
        <f t="shared" ca="1" si="2"/>
        <v>0.50734201010905111</v>
      </c>
      <c r="I15">
        <f t="shared" ca="1" si="3"/>
        <v>254.94004227282545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5609</v>
      </c>
      <c r="B18" s="66">
        <v>5609</v>
      </c>
      <c r="D18">
        <f t="shared" si="0"/>
        <v>5.3796648859135071E-2</v>
      </c>
      <c r="E18">
        <f t="shared" si="0"/>
        <v>5.3796648859135071E-2</v>
      </c>
      <c r="G18">
        <f t="shared" ca="1" si="1"/>
        <v>16</v>
      </c>
      <c r="H18">
        <f t="shared" ca="1" si="2"/>
        <v>0.86074638174616114</v>
      </c>
      <c r="I18">
        <f t="shared" ca="1" si="3"/>
        <v>325.82335979779447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6423</v>
      </c>
      <c r="B21" s="66">
        <v>6423</v>
      </c>
      <c r="D21">
        <f t="shared" si="0"/>
        <v>6.1603828779145046E-2</v>
      </c>
      <c r="E21">
        <f t="shared" si="0"/>
        <v>6.1603828779145046E-2</v>
      </c>
      <c r="G21">
        <f t="shared" ca="1" si="1"/>
        <v>19</v>
      </c>
      <c r="H21">
        <f t="shared" ca="1" si="2"/>
        <v>1.1704727468037559</v>
      </c>
      <c r="I21">
        <f t="shared" ca="1" si="3"/>
        <v>344.89701874450077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11010</v>
      </c>
      <c r="B23" s="66">
        <v>11010</v>
      </c>
      <c r="D23">
        <f t="shared" si="0"/>
        <v>0.10559834265271477</v>
      </c>
      <c r="E23">
        <f t="shared" si="0"/>
        <v>0.10559834265271477</v>
      </c>
      <c r="G23">
        <f t="shared" ca="1" si="1"/>
        <v>21</v>
      </c>
      <c r="H23">
        <f t="shared" ca="1" si="2"/>
        <v>2.2175651957070102</v>
      </c>
      <c r="I23">
        <f t="shared" ca="1" si="3"/>
        <v>560.02324169118413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14563</v>
      </c>
      <c r="B26" s="66">
        <v>14563</v>
      </c>
      <c r="D26">
        <f t="shared" si="0"/>
        <v>0.13967562797924479</v>
      </c>
      <c r="E26">
        <f t="shared" si="0"/>
        <v>0.13967562797924479</v>
      </c>
      <c r="G26">
        <f t="shared" ca="1" si="1"/>
        <v>24</v>
      </c>
      <c r="H26">
        <f t="shared" ca="1" si="2"/>
        <v>3.3522150715018748</v>
      </c>
      <c r="I26">
        <f t="shared" ca="1" si="3"/>
        <v>680.97311574144169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21410</v>
      </c>
      <c r="B28" s="66">
        <v>21410</v>
      </c>
      <c r="D28">
        <f t="shared" si="0"/>
        <v>0.2053460959304835</v>
      </c>
      <c r="E28">
        <f t="shared" si="0"/>
        <v>0.2053460959304835</v>
      </c>
      <c r="G28">
        <f t="shared" ca="1" si="1"/>
        <v>26</v>
      </c>
      <c r="H28">
        <f t="shared" ca="1" si="2"/>
        <v>5.3389984941925714</v>
      </c>
      <c r="I28">
        <f t="shared" ca="1" si="3"/>
        <v>944.61128650206592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22534</v>
      </c>
      <c r="B31" s="66">
        <v>22534</v>
      </c>
      <c r="D31">
        <f t="shared" si="0"/>
        <v>0.2161265261885808</v>
      </c>
      <c r="E31">
        <f t="shared" si="0"/>
        <v>0.2161265261885808</v>
      </c>
      <c r="G31">
        <f t="shared" ca="1" si="1"/>
        <v>29</v>
      </c>
      <c r="H31">
        <f t="shared" ca="1" si="2"/>
        <v>6.2676692594688435</v>
      </c>
      <c r="I31">
        <f t="shared" ca="1" si="3"/>
        <v>908.19603370178288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22776</v>
      </c>
      <c r="B33" s="66">
        <v>22776</v>
      </c>
      <c r="D33">
        <f t="shared" si="0"/>
        <v>0.21844757967831349</v>
      </c>
      <c r="E33">
        <f t="shared" si="0"/>
        <v>0.21844757967831349</v>
      </c>
      <c r="G33">
        <f t="shared" ca="1" si="1"/>
        <v>31</v>
      </c>
      <c r="H33">
        <f t="shared" ca="1" si="2"/>
        <v>6.7718749700277181</v>
      </c>
      <c r="I33">
        <f t="shared" ca="1" si="3"/>
        <v>862.18066288799264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25575</v>
      </c>
      <c r="B36" s="66">
        <v>25575</v>
      </c>
      <c r="D36">
        <f t="shared" si="0"/>
        <v>0.2452931528922053</v>
      </c>
      <c r="E36">
        <f t="shared" si="0"/>
        <v>0.2452931528922053</v>
      </c>
      <c r="G36">
        <f t="shared" ca="1" si="1"/>
        <v>34</v>
      </c>
      <c r="H36">
        <f t="shared" ca="1" si="2"/>
        <v>8.3399671983349801</v>
      </c>
      <c r="I36">
        <f t="shared" ca="1" si="3"/>
        <v>877.88208567078175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26985</v>
      </c>
      <c r="B39" s="66">
        <v>26985</v>
      </c>
      <c r="D39">
        <f t="shared" si="0"/>
        <v>0.25881664636544122</v>
      </c>
      <c r="E39">
        <f t="shared" si="0"/>
        <v>0.25881664636544122</v>
      </c>
      <c r="G39">
        <f t="shared" ca="1" si="1"/>
        <v>37</v>
      </c>
      <c r="H39">
        <f t="shared" ca="1" si="2"/>
        <v>9.5762159155213258</v>
      </c>
      <c r="I39">
        <f t="shared" ca="1" si="3"/>
        <v>835.71013179741306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27304</v>
      </c>
      <c r="B41" s="66">
        <v>27304</v>
      </c>
      <c r="D41">
        <f t="shared" si="0"/>
        <v>0.26187621687463436</v>
      </c>
      <c r="E41">
        <f t="shared" si="0"/>
        <v>0.26187621687463436</v>
      </c>
      <c r="G41">
        <f t="shared" ca="1" si="1"/>
        <v>39</v>
      </c>
      <c r="H41">
        <f t="shared" ca="1" si="2"/>
        <v>10.213172458110741</v>
      </c>
      <c r="I41">
        <f t="shared" ca="1" si="3"/>
        <v>787.11347868398195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32273</v>
      </c>
      <c r="B44" s="66">
        <v>32273</v>
      </c>
      <c r="D44">
        <f t="shared" si="0"/>
        <v>0.30953454245513751</v>
      </c>
      <c r="E44">
        <f t="shared" si="0"/>
        <v>0.30953454245513751</v>
      </c>
      <c r="G44">
        <f t="shared" ca="1" si="1"/>
        <v>42</v>
      </c>
      <c r="H44">
        <f t="shared" ca="1" si="2"/>
        <v>13.000450783115776</v>
      </c>
      <c r="I44">
        <f t="shared" ca="1" si="3"/>
        <v>831.32497382806127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35985</v>
      </c>
      <c r="B46" s="66">
        <v>35985</v>
      </c>
      <c r="D46">
        <f t="shared" si="0"/>
        <v>0.34513681747120262</v>
      </c>
      <c r="E46">
        <f t="shared" si="0"/>
        <v>0.34513681747120262</v>
      </c>
      <c r="G46">
        <f t="shared" ca="1" si="1"/>
        <v>44</v>
      </c>
      <c r="H46">
        <f t="shared" ca="1" si="2"/>
        <v>15.186019968732914</v>
      </c>
      <c r="I46">
        <f t="shared" ca="1" si="3"/>
        <v>856.77800843166381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43299</v>
      </c>
      <c r="B49" s="66">
        <v>43299</v>
      </c>
      <c r="D49">
        <f t="shared" si="0"/>
        <v>0.41528634318981805</v>
      </c>
      <c r="E49">
        <f t="shared" si="0"/>
        <v>0.41528634318981805</v>
      </c>
      <c r="G49">
        <f t="shared" ca="1" si="1"/>
        <v>47</v>
      </c>
      <c r="H49">
        <f t="shared" ca="1" si="2"/>
        <v>19.518458129921449</v>
      </c>
      <c r="I49">
        <f t="shared" ca="1" si="3"/>
        <v>910.50953891426809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42535</v>
      </c>
      <c r="B51" s="66">
        <v>42535</v>
      </c>
      <c r="D51">
        <f t="shared" si="0"/>
        <v>0.40795871977595122</v>
      </c>
      <c r="E51">
        <f t="shared" si="0"/>
        <v>0.40795871977595122</v>
      </c>
      <c r="G51">
        <f t="shared" ca="1" si="1"/>
        <v>49</v>
      </c>
      <c r="H51">
        <f t="shared" ca="1" si="2"/>
        <v>19.989977269021608</v>
      </c>
      <c r="I51">
        <f t="shared" ca="1" si="3"/>
        <v>819.66663996226998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48099</v>
      </c>
      <c r="B54" s="66">
        <v>48099</v>
      </c>
      <c r="D54">
        <f t="shared" si="0"/>
        <v>0.46132376777955747</v>
      </c>
      <c r="E54">
        <f t="shared" si="0"/>
        <v>0.46132376777955747</v>
      </c>
      <c r="G54">
        <f t="shared" ca="1" si="1"/>
        <v>52</v>
      </c>
      <c r="H54">
        <f t="shared" ca="1" si="2"/>
        <v>23.988835924536989</v>
      </c>
      <c r="I54">
        <f t="shared" ca="1" si="3"/>
        <v>806.96884869883502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54002</v>
      </c>
      <c r="B57" s="66">
        <v>54002</v>
      </c>
      <c r="D57">
        <f t="shared" si="0"/>
        <v>0.51794020889481407</v>
      </c>
      <c r="E57">
        <f t="shared" si="0"/>
        <v>0.51794020889481407</v>
      </c>
      <c r="G57">
        <f t="shared" ca="1" si="1"/>
        <v>55</v>
      </c>
      <c r="H57">
        <f t="shared" ca="1" si="2"/>
        <v>28.486711489214773</v>
      </c>
      <c r="I57">
        <f t="shared" ca="1" si="3"/>
        <v>780.69244614556726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54160</v>
      </c>
      <c r="B59" s="66">
        <v>54160</v>
      </c>
      <c r="D59">
        <f t="shared" si="0"/>
        <v>0.51945560745422636</v>
      </c>
      <c r="E59">
        <f t="shared" si="0"/>
        <v>0.51945560745422636</v>
      </c>
      <c r="G59">
        <f t="shared" ca="1" si="1"/>
        <v>57</v>
      </c>
      <c r="H59">
        <f t="shared" ca="1" si="2"/>
        <v>29.608969624890904</v>
      </c>
      <c r="I59">
        <f t="shared" ca="1" si="3"/>
        <v>704.38507345511334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62459</v>
      </c>
      <c r="B62" s="66">
        <v>62459</v>
      </c>
      <c r="D62">
        <f t="shared" si="0"/>
        <v>0.5990523963438612</v>
      </c>
      <c r="E62">
        <f t="shared" si="0"/>
        <v>0.5990523963438612</v>
      </c>
      <c r="G62">
        <f t="shared" ca="1" si="1"/>
        <v>60</v>
      </c>
      <c r="H62">
        <f t="shared" ca="1" si="2"/>
        <v>35.943143780631672</v>
      </c>
      <c r="I62">
        <f t="shared" ca="1" si="3"/>
        <v>685.35329238265581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63689</v>
      </c>
      <c r="B64" s="66">
        <v>63689</v>
      </c>
      <c r="D64">
        <f t="shared" si="0"/>
        <v>0.61084948639498193</v>
      </c>
      <c r="E64">
        <f t="shared" si="0"/>
        <v>0.61084948639498193</v>
      </c>
      <c r="G64">
        <f t="shared" ca="1" si="1"/>
        <v>62</v>
      </c>
      <c r="H64">
        <f t="shared" ca="1" si="2"/>
        <v>37.872668156488878</v>
      </c>
      <c r="I64">
        <f t="shared" ca="1" si="3"/>
        <v>618.6478273927039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63297</v>
      </c>
      <c r="B67" s="66">
        <v>63297</v>
      </c>
      <c r="D67">
        <f t="shared" ref="D67:E130" si="4">IFERROR( A67/MAX(A$2:A$257), 0 )</f>
        <v>0.60708976338681986</v>
      </c>
      <c r="E67">
        <f t="shared" si="4"/>
        <v>0.60708976338681986</v>
      </c>
      <c r="G67">
        <f t="shared" ref="G67:G130" ca="1" si="5">CELL("row",D67)-2</f>
        <v>65</v>
      </c>
      <c r="H67">
        <f t="shared" ref="H67:H130" ca="1" si="6">D67*G67</f>
        <v>39.460834620143288</v>
      </c>
      <c r="I67">
        <f t="shared" ref="I67:I130" ca="1" si="7">D67*((G67-$L$1)^2)</f>
        <v>504.38380009853626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67289</v>
      </c>
      <c r="B69" s="66">
        <v>67289</v>
      </c>
      <c r="D69">
        <f t="shared" si="4"/>
        <v>0.64537755483728643</v>
      </c>
      <c r="E69">
        <f t="shared" si="4"/>
        <v>0.64537755483728643</v>
      </c>
      <c r="G69">
        <f t="shared" ca="1" si="5"/>
        <v>67</v>
      </c>
      <c r="H69">
        <f t="shared" ca="1" si="6"/>
        <v>43.240296174098191</v>
      </c>
      <c r="I69">
        <f t="shared" ca="1" si="7"/>
        <v>464.36624005591756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61911</v>
      </c>
      <c r="B72" s="66">
        <v>61911</v>
      </c>
      <c r="D72">
        <f t="shared" si="4"/>
        <v>0.59379645703653261</v>
      </c>
      <c r="E72">
        <f t="shared" si="4"/>
        <v>0.59379645703653261</v>
      </c>
      <c r="G72">
        <f t="shared" ca="1" si="5"/>
        <v>70</v>
      </c>
      <c r="H72">
        <f t="shared" ca="1" si="6"/>
        <v>41.565751992557281</v>
      </c>
      <c r="I72">
        <f t="shared" ca="1" si="7"/>
        <v>337.02849843753899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64037</v>
      </c>
      <c r="B75" s="66">
        <v>64037</v>
      </c>
      <c r="D75">
        <f t="shared" si="4"/>
        <v>0.61418719967773805</v>
      </c>
      <c r="E75">
        <f t="shared" si="4"/>
        <v>0.61418719967773805</v>
      </c>
      <c r="G75">
        <f t="shared" ca="1" si="5"/>
        <v>73</v>
      </c>
      <c r="H75">
        <f t="shared" ca="1" si="6"/>
        <v>44.835665576474881</v>
      </c>
      <c r="I75">
        <f t="shared" ca="1" si="7"/>
        <v>266.33527166237707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66679</v>
      </c>
      <c r="B77" s="66">
        <v>66679</v>
      </c>
      <c r="D77">
        <f t="shared" si="4"/>
        <v>0.63952696546234045</v>
      </c>
      <c r="E77">
        <f t="shared" si="4"/>
        <v>0.63952696546234045</v>
      </c>
      <c r="G77">
        <f t="shared" ca="1" si="5"/>
        <v>75</v>
      </c>
      <c r="H77">
        <f t="shared" ca="1" si="6"/>
        <v>47.964522409675531</v>
      </c>
      <c r="I77">
        <f t="shared" ca="1" si="7"/>
        <v>226.6116654003925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70529</v>
      </c>
      <c r="B80" s="66">
        <v>70529</v>
      </c>
      <c r="D80">
        <f t="shared" si="4"/>
        <v>0.67645281643536059</v>
      </c>
      <c r="E80">
        <f t="shared" si="4"/>
        <v>0.67645281643536059</v>
      </c>
      <c r="G80">
        <f t="shared" ca="1" si="5"/>
        <v>78</v>
      </c>
      <c r="H80">
        <f t="shared" ca="1" si="6"/>
        <v>52.763319681958123</v>
      </c>
      <c r="I80">
        <f t="shared" ca="1" si="7"/>
        <v>169.38289446479325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75351</v>
      </c>
      <c r="B82" s="66">
        <v>75351</v>
      </c>
      <c r="D82">
        <f t="shared" si="4"/>
        <v>0.72270124588780293</v>
      </c>
      <c r="E82">
        <f t="shared" si="4"/>
        <v>0.72270124588780293</v>
      </c>
      <c r="G82">
        <f t="shared" ca="1" si="5"/>
        <v>80</v>
      </c>
      <c r="H82">
        <f t="shared" ca="1" si="6"/>
        <v>57.816099671024233</v>
      </c>
      <c r="I82">
        <f t="shared" ca="1" si="7"/>
        <v>138.11017396982891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78808</v>
      </c>
      <c r="B85" s="66">
        <v>78808</v>
      </c>
      <c r="D85">
        <f t="shared" si="4"/>
        <v>0.75585778272253823</v>
      </c>
      <c r="E85">
        <f t="shared" si="4"/>
        <v>0.75585778272253823</v>
      </c>
      <c r="G85">
        <f t="shared" ca="1" si="5"/>
        <v>83</v>
      </c>
      <c r="H85">
        <f t="shared" ca="1" si="6"/>
        <v>62.736195965970673</v>
      </c>
      <c r="I85">
        <f t="shared" ca="1" si="7"/>
        <v>88.555372427068676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83634</v>
      </c>
      <c r="B88" s="66">
        <v>83634</v>
      </c>
      <c r="D88">
        <f t="shared" si="4"/>
        <v>0.80214457669547201</v>
      </c>
      <c r="E88">
        <f t="shared" si="4"/>
        <v>0.80214457669547201</v>
      </c>
      <c r="G88">
        <f t="shared" ca="1" si="5"/>
        <v>86</v>
      </c>
      <c r="H88">
        <f t="shared" ca="1" si="6"/>
        <v>68.9844335958106</v>
      </c>
      <c r="I88">
        <f t="shared" ca="1" si="7"/>
        <v>49.10314487286221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89347</v>
      </c>
      <c r="B90" s="66">
        <v>89347</v>
      </c>
      <c r="D90">
        <f t="shared" si="4"/>
        <v>0.85693870308738473</v>
      </c>
      <c r="E90">
        <f t="shared" si="4"/>
        <v>0.85693870308738473</v>
      </c>
      <c r="G90">
        <f t="shared" ca="1" si="5"/>
        <v>88</v>
      </c>
      <c r="H90">
        <f t="shared" ca="1" si="6"/>
        <v>75.410605871689853</v>
      </c>
      <c r="I90">
        <f t="shared" ca="1" si="7"/>
        <v>29.06639094768898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85117</v>
      </c>
      <c r="B93" s="66">
        <v>85117</v>
      </c>
      <c r="D93">
        <f t="shared" si="4"/>
        <v>0.81636822266767695</v>
      </c>
      <c r="E93">
        <f t="shared" si="4"/>
        <v>0.81636822266767695</v>
      </c>
      <c r="G93">
        <f t="shared" ca="1" si="5"/>
        <v>91</v>
      </c>
      <c r="H93">
        <f t="shared" ca="1" si="6"/>
        <v>74.289508262758602</v>
      </c>
      <c r="I93">
        <f t="shared" ca="1" si="7"/>
        <v>6.5104743207142839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90451</v>
      </c>
      <c r="B95" s="66">
        <v>90451</v>
      </c>
      <c r="D95">
        <f t="shared" si="4"/>
        <v>0.8675273107430248</v>
      </c>
      <c r="E95">
        <f t="shared" si="4"/>
        <v>0.8675273107430248</v>
      </c>
      <c r="G95">
        <f t="shared" ca="1" si="5"/>
        <v>93</v>
      </c>
      <c r="H95">
        <f t="shared" ca="1" si="6"/>
        <v>80.680039899101303</v>
      </c>
      <c r="I95">
        <f t="shared" ca="1" si="7"/>
        <v>0.58901699512118155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97714</v>
      </c>
      <c r="B98" s="66">
        <v>97714</v>
      </c>
      <c r="D98">
        <f t="shared" si="4"/>
        <v>0.93718768882537429</v>
      </c>
      <c r="E98">
        <f t="shared" si="4"/>
        <v>0.93718768882537429</v>
      </c>
      <c r="G98">
        <f t="shared" ca="1" si="5"/>
        <v>96</v>
      </c>
      <c r="H98">
        <f t="shared" ca="1" si="6"/>
        <v>89.970018127235932</v>
      </c>
      <c r="I98">
        <f t="shared" ca="1" si="7"/>
        <v>4.4375989521635022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104263</v>
      </c>
      <c r="B100" s="66">
        <v>104263</v>
      </c>
      <c r="D100">
        <f t="shared" si="4"/>
        <v>1</v>
      </c>
      <c r="E100">
        <f t="shared" si="4"/>
        <v>1</v>
      </c>
      <c r="G100">
        <f t="shared" ca="1" si="5"/>
        <v>98</v>
      </c>
      <c r="H100">
        <f t="shared" ca="1" si="6"/>
        <v>98</v>
      </c>
      <c r="I100">
        <f t="shared" ca="1" si="7"/>
        <v>17.439053277734434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101784</v>
      </c>
      <c r="B103" s="66">
        <v>101784</v>
      </c>
      <c r="D103">
        <f t="shared" si="4"/>
        <v>0.97622358842542412</v>
      </c>
      <c r="E103">
        <f t="shared" si="4"/>
        <v>0.97622358842542412</v>
      </c>
      <c r="G103">
        <f t="shared" ca="1" si="5"/>
        <v>101</v>
      </c>
      <c r="H103">
        <f t="shared" ca="1" si="6"/>
        <v>98.598582430967838</v>
      </c>
      <c r="I103">
        <f t="shared" ca="1" si="7"/>
        <v>50.270739892540007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100289</v>
      </c>
      <c r="B106" s="66">
        <v>100289</v>
      </c>
      <c r="D106">
        <f t="shared" si="4"/>
        <v>0.96188484889174486</v>
      </c>
      <c r="E106">
        <f t="shared" si="4"/>
        <v>0.96188484889174486</v>
      </c>
      <c r="G106">
        <f t="shared" ca="1" si="5"/>
        <v>104</v>
      </c>
      <c r="H106">
        <f t="shared" ca="1" si="6"/>
        <v>100.03602428474147</v>
      </c>
      <c r="I106">
        <f t="shared" ca="1" si="7"/>
        <v>99.604296033771902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95563</v>
      </c>
      <c r="B108" s="66">
        <v>95563</v>
      </c>
      <c r="D108">
        <f t="shared" si="4"/>
        <v>0.91655716793109732</v>
      </c>
      <c r="E108">
        <f t="shared" si="4"/>
        <v>0.91655716793109732</v>
      </c>
      <c r="G108">
        <f t="shared" ca="1" si="5"/>
        <v>106</v>
      </c>
      <c r="H108">
        <f t="shared" ca="1" si="6"/>
        <v>97.155059800696321</v>
      </c>
      <c r="I108">
        <f t="shared" ca="1" si="7"/>
        <v>135.88436745218732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96406</v>
      </c>
      <c r="B111" s="66">
        <v>96406</v>
      </c>
      <c r="D111">
        <f t="shared" si="4"/>
        <v>0.9246424906246703</v>
      </c>
      <c r="E111">
        <f t="shared" si="4"/>
        <v>0.9246424906246703</v>
      </c>
      <c r="G111">
        <f t="shared" ca="1" si="5"/>
        <v>109</v>
      </c>
      <c r="H111">
        <f t="shared" ca="1" si="6"/>
        <v>100.78603147808906</v>
      </c>
      <c r="I111">
        <f t="shared" ca="1" si="7"/>
        <v>212.95557413859024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90397</v>
      </c>
      <c r="B113" s="66">
        <v>90397</v>
      </c>
      <c r="D113">
        <f t="shared" si="4"/>
        <v>0.8670093897163903</v>
      </c>
      <c r="E113">
        <f t="shared" si="4"/>
        <v>0.8670093897163903</v>
      </c>
      <c r="G113">
        <f t="shared" ca="1" si="5"/>
        <v>111</v>
      </c>
      <c r="H113">
        <f t="shared" ca="1" si="6"/>
        <v>96.238042258519329</v>
      </c>
      <c r="I113">
        <f t="shared" ca="1" si="7"/>
        <v>255.78102987366583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86121</v>
      </c>
      <c r="B116" s="66">
        <v>86121</v>
      </c>
      <c r="D116">
        <f t="shared" si="4"/>
        <v>0.82599771731103078</v>
      </c>
      <c r="E116">
        <f t="shared" si="4"/>
        <v>0.82599771731103078</v>
      </c>
      <c r="G116">
        <f t="shared" ca="1" si="5"/>
        <v>114</v>
      </c>
      <c r="H116">
        <f t="shared" ca="1" si="6"/>
        <v>94.163739773457507</v>
      </c>
      <c r="I116">
        <f t="shared" ca="1" si="7"/>
        <v>336.2400053546429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81028</v>
      </c>
      <c r="B118" s="66">
        <v>81028</v>
      </c>
      <c r="D118">
        <f t="shared" si="4"/>
        <v>0.77715009159529269</v>
      </c>
      <c r="E118">
        <f t="shared" si="4"/>
        <v>0.77715009159529269</v>
      </c>
      <c r="G118">
        <f t="shared" ca="1" si="5"/>
        <v>116</v>
      </c>
      <c r="H118">
        <f t="shared" ca="1" si="6"/>
        <v>90.149410625053946</v>
      </c>
      <c r="I118">
        <f t="shared" ca="1" si="7"/>
        <v>382.18328656257069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81778</v>
      </c>
      <c r="B121" s="66">
        <v>81778</v>
      </c>
      <c r="D121">
        <f t="shared" si="4"/>
        <v>0.78434343918743943</v>
      </c>
      <c r="E121">
        <f t="shared" si="4"/>
        <v>0.78434343918743943</v>
      </c>
      <c r="G121">
        <f t="shared" ca="1" si="5"/>
        <v>119</v>
      </c>
      <c r="H121">
        <f t="shared" ca="1" si="6"/>
        <v>93.336869263305289</v>
      </c>
      <c r="I121">
        <f t="shared" ca="1" si="7"/>
        <v>497.14153299446997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78534</v>
      </c>
      <c r="B124" s="66">
        <v>78534</v>
      </c>
      <c r="D124">
        <f t="shared" si="4"/>
        <v>0.75322981306887393</v>
      </c>
      <c r="E124">
        <f t="shared" si="4"/>
        <v>0.75322981306887393</v>
      </c>
      <c r="G124">
        <f t="shared" ca="1" si="5"/>
        <v>122</v>
      </c>
      <c r="H124">
        <f t="shared" ca="1" si="6"/>
        <v>91.894037194402614</v>
      </c>
      <c r="I124">
        <f t="shared" ca="1" si="7"/>
        <v>597.97973126593979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74662</v>
      </c>
      <c r="B126" s="66">
        <v>74662</v>
      </c>
      <c r="D126">
        <f t="shared" si="4"/>
        <v>0.71609295723315081</v>
      </c>
      <c r="E126">
        <f t="shared" si="4"/>
        <v>0.71609295723315081</v>
      </c>
      <c r="G126">
        <f t="shared" ca="1" si="5"/>
        <v>124</v>
      </c>
      <c r="H126">
        <f t="shared" ca="1" si="6"/>
        <v>88.795526696910699</v>
      </c>
      <c r="I126">
        <f t="shared" ca="1" si="7"/>
        <v>652.06818470893461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73380</v>
      </c>
      <c r="B129" s="66">
        <v>73380</v>
      </c>
      <c r="D129">
        <f t="shared" si="4"/>
        <v>0.70379712841564124</v>
      </c>
      <c r="E129">
        <f t="shared" si="4"/>
        <v>0.70379712841564124</v>
      </c>
      <c r="G129">
        <f t="shared" ca="1" si="5"/>
        <v>127</v>
      </c>
      <c r="H129">
        <f t="shared" ca="1" si="6"/>
        <v>89.382235308786434</v>
      </c>
      <c r="I129">
        <f t="shared" ca="1" si="7"/>
        <v>774.63261318897446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74032</v>
      </c>
      <c r="B131" s="66">
        <v>74032</v>
      </c>
      <c r="D131">
        <f t="shared" ref="D131:E194" si="8">IFERROR( A131/MAX(A$2:A$257), 0 )</f>
        <v>0.71005054525574751</v>
      </c>
      <c r="E131">
        <f t="shared" si="8"/>
        <v>0.71005054525574751</v>
      </c>
      <c r="G131">
        <f t="shared" ref="G131:G194" ca="1" si="9">CELL("row",D131)-2</f>
        <v>129</v>
      </c>
      <c r="H131">
        <f t="shared" ref="H131:H194" ca="1" si="10">D131*G131</f>
        <v>91.596520337991436</v>
      </c>
      <c r="I131">
        <f t="shared" ref="I131:I194" ca="1" si="11">D131*((G131-$L$1)^2)</f>
        <v>878.58219738072683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73910</v>
      </c>
      <c r="B134" s="66">
        <v>73910</v>
      </c>
      <c r="D134">
        <f t="shared" si="8"/>
        <v>0.70888042738075829</v>
      </c>
      <c r="E134">
        <f t="shared" si="8"/>
        <v>0.70888042738075829</v>
      </c>
      <c r="G134">
        <f t="shared" ca="1" si="9"/>
        <v>132</v>
      </c>
      <c r="H134">
        <f t="shared" ca="1" si="10"/>
        <v>93.572216414260097</v>
      </c>
      <c r="I134">
        <f t="shared" ca="1" si="11"/>
        <v>1033.1277808059879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74609</v>
      </c>
      <c r="B136" s="66">
        <v>74609</v>
      </c>
      <c r="D136">
        <f t="shared" si="8"/>
        <v>0.71558462733663908</v>
      </c>
      <c r="E136">
        <f t="shared" si="8"/>
        <v>0.71558462733663908</v>
      </c>
      <c r="G136">
        <f t="shared" ca="1" si="9"/>
        <v>134</v>
      </c>
      <c r="H136">
        <f t="shared" ca="1" si="10"/>
        <v>95.888340063109638</v>
      </c>
      <c r="I136">
        <f t="shared" ca="1" si="11"/>
        <v>1155.0335332526074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72517</v>
      </c>
      <c r="B139" s="66">
        <v>72517</v>
      </c>
      <c r="D139">
        <f t="shared" si="8"/>
        <v>0.69551998311961094</v>
      </c>
      <c r="E139">
        <f t="shared" si="8"/>
        <v>0.69551998311961094</v>
      </c>
      <c r="G139">
        <f t="shared" ca="1" si="9"/>
        <v>137</v>
      </c>
      <c r="H139">
        <f t="shared" ca="1" si="10"/>
        <v>95.286237687386702</v>
      </c>
      <c r="I139">
        <f t="shared" ca="1" si="11"/>
        <v>1296.5659393861529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61049</v>
      </c>
      <c r="B142" s="66">
        <v>61049</v>
      </c>
      <c r="D142">
        <f t="shared" si="8"/>
        <v>0.5855289028706252</v>
      </c>
      <c r="E142">
        <f t="shared" si="8"/>
        <v>0.5855289028706252</v>
      </c>
      <c r="G142">
        <f t="shared" ca="1" si="9"/>
        <v>140</v>
      </c>
      <c r="H142">
        <f t="shared" ca="1" si="10"/>
        <v>81.974046401887534</v>
      </c>
      <c r="I142">
        <f t="shared" ca="1" si="11"/>
        <v>1248.4786801446126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45652</v>
      </c>
      <c r="B144" s="66">
        <v>45652</v>
      </c>
      <c r="D144">
        <f t="shared" si="8"/>
        <v>0.43785427236891322</v>
      </c>
      <c r="E144">
        <f t="shared" si="8"/>
        <v>0.43785427236891322</v>
      </c>
      <c r="G144">
        <f t="shared" ca="1" si="9"/>
        <v>142</v>
      </c>
      <c r="H144">
        <f t="shared" ca="1" si="10"/>
        <v>62.175306676385681</v>
      </c>
      <c r="I144">
        <f t="shared" ca="1" si="11"/>
        <v>1016.2281826475008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33823</v>
      </c>
      <c r="B147" s="66">
        <v>33823</v>
      </c>
      <c r="D147">
        <f t="shared" si="8"/>
        <v>0.32440079414557416</v>
      </c>
      <c r="E147">
        <f t="shared" si="8"/>
        <v>0.32440079414557416</v>
      </c>
      <c r="G147">
        <f t="shared" ca="1" si="9"/>
        <v>145</v>
      </c>
      <c r="H147">
        <f t="shared" ca="1" si="10"/>
        <v>47.038115151108251</v>
      </c>
      <c r="I147">
        <f t="shared" ca="1" si="11"/>
        <v>849.60046448262938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21135</v>
      </c>
      <c r="B149" s="66">
        <v>21135</v>
      </c>
      <c r="D149">
        <f t="shared" si="8"/>
        <v>0.20270853514669634</v>
      </c>
      <c r="E149">
        <f t="shared" si="8"/>
        <v>0.20270853514669634</v>
      </c>
      <c r="G149">
        <f t="shared" ca="1" si="9"/>
        <v>147</v>
      </c>
      <c r="H149">
        <f t="shared" ca="1" si="10"/>
        <v>29.798154666564361</v>
      </c>
      <c r="I149">
        <f t="shared" ca="1" si="11"/>
        <v>573.19648422998728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16382</v>
      </c>
      <c r="B152" s="66">
        <v>16382</v>
      </c>
      <c r="D152">
        <f t="shared" si="8"/>
        <v>0.15712189367273147</v>
      </c>
      <c r="E152">
        <f t="shared" si="8"/>
        <v>0.15712189367273147</v>
      </c>
      <c r="G152">
        <f t="shared" ca="1" si="9"/>
        <v>150</v>
      </c>
      <c r="H152">
        <f t="shared" ca="1" si="10"/>
        <v>23.568284050909721</v>
      </c>
      <c r="I152">
        <f t="shared" ca="1" si="11"/>
        <v>495.83647566918273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12556</v>
      </c>
      <c r="B154" s="66">
        <v>12556</v>
      </c>
      <c r="D154">
        <f t="shared" si="8"/>
        <v>0.12042622982266001</v>
      </c>
      <c r="E154">
        <f t="shared" si="8"/>
        <v>0.12042622982266001</v>
      </c>
      <c r="G154">
        <f t="shared" ca="1" si="9"/>
        <v>152</v>
      </c>
      <c r="H154">
        <f t="shared" ca="1" si="10"/>
        <v>18.304786933044319</v>
      </c>
      <c r="I154">
        <f t="shared" ca="1" si="11"/>
        <v>407.5763190001648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10711</v>
      </c>
      <c r="B157" s="66">
        <v>10711</v>
      </c>
      <c r="D157">
        <f t="shared" si="8"/>
        <v>0.10273059474597891</v>
      </c>
      <c r="E157">
        <f t="shared" si="8"/>
        <v>0.10273059474597891</v>
      </c>
      <c r="G157">
        <f t="shared" ca="1" si="9"/>
        <v>155</v>
      </c>
      <c r="H157">
        <f t="shared" ca="1" si="10"/>
        <v>15.923242185626732</v>
      </c>
      <c r="I157">
        <f t="shared" ca="1" si="11"/>
        <v>384.46967286163209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6932</v>
      </c>
      <c r="B160" s="66">
        <v>6932</v>
      </c>
      <c r="D160">
        <f t="shared" si="8"/>
        <v>6.648571401168199E-2</v>
      </c>
      <c r="E160">
        <f t="shared" si="8"/>
        <v>6.648571401168199E-2</v>
      </c>
      <c r="G160">
        <f t="shared" ca="1" si="9"/>
        <v>158</v>
      </c>
      <c r="H160">
        <f t="shared" ca="1" si="10"/>
        <v>10.504742813845754</v>
      </c>
      <c r="I160">
        <f t="shared" ca="1" si="11"/>
        <v>273.82541317626988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5381</v>
      </c>
      <c r="B162" s="66">
        <v>5381</v>
      </c>
      <c r="D162">
        <f t="shared" si="8"/>
        <v>5.1609871191122453E-2</v>
      </c>
      <c r="E162">
        <f t="shared" si="8"/>
        <v>5.1609871191122453E-2</v>
      </c>
      <c r="G162">
        <f t="shared" ca="1" si="9"/>
        <v>160</v>
      </c>
      <c r="H162">
        <f t="shared" ca="1" si="10"/>
        <v>8.2575793905795933</v>
      </c>
      <c r="I162">
        <f t="shared" ca="1" si="11"/>
        <v>226.01326130481593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4498</v>
      </c>
      <c r="B165" s="66">
        <v>4498</v>
      </c>
      <c r="D165">
        <f t="shared" si="8"/>
        <v>4.3140903292634973E-2</v>
      </c>
      <c r="E165">
        <f t="shared" si="8"/>
        <v>4.3140903292634973E-2</v>
      </c>
      <c r="G165">
        <f t="shared" ca="1" si="9"/>
        <v>163</v>
      </c>
      <c r="H165">
        <f t="shared" ca="1" si="10"/>
        <v>7.0319672366995007</v>
      </c>
      <c r="I165">
        <f t="shared" ca="1" si="11"/>
        <v>206.44303839333153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3057</v>
      </c>
      <c r="B167" s="66">
        <v>3057</v>
      </c>
      <c r="D167">
        <f t="shared" si="8"/>
        <v>2.9320084785590287E-2</v>
      </c>
      <c r="E167">
        <f t="shared" si="8"/>
        <v>2.9320084785590287E-2</v>
      </c>
      <c r="G167">
        <f t="shared" ca="1" si="9"/>
        <v>165</v>
      </c>
      <c r="H167">
        <f t="shared" ca="1" si="10"/>
        <v>4.8378139896223971</v>
      </c>
      <c r="I167">
        <f t="shared" ca="1" si="11"/>
        <v>148.53626180028715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1846</v>
      </c>
      <c r="B170" s="66">
        <v>1846</v>
      </c>
      <c r="D170">
        <f t="shared" si="8"/>
        <v>1.7705226206803946E-2</v>
      </c>
      <c r="E170">
        <f t="shared" si="8"/>
        <v>1.7705226206803946E-2</v>
      </c>
      <c r="G170">
        <f t="shared" ca="1" si="9"/>
        <v>168</v>
      </c>
      <c r="H170">
        <f t="shared" ca="1" si="10"/>
        <v>2.9744780027430631</v>
      </c>
      <c r="I170">
        <f t="shared" ca="1" si="11"/>
        <v>97.415577180692935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576</v>
      </c>
      <c r="B173" s="66">
        <v>576</v>
      </c>
      <c r="D173">
        <f t="shared" si="8"/>
        <v>5.5244909507687293E-3</v>
      </c>
      <c r="E173">
        <f t="shared" si="8"/>
        <v>5.5244909507687293E-3</v>
      </c>
      <c r="G173">
        <f t="shared" ca="1" si="9"/>
        <v>171</v>
      </c>
      <c r="H173">
        <f t="shared" ca="1" si="10"/>
        <v>0.94468795258145266</v>
      </c>
      <c r="I173">
        <f t="shared" ca="1" si="11"/>
        <v>32.904621666304983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407</v>
      </c>
      <c r="B175" s="66">
        <v>407</v>
      </c>
      <c r="D175">
        <f t="shared" si="8"/>
        <v>3.9035899600049872E-3</v>
      </c>
      <c r="E175">
        <f t="shared" si="8"/>
        <v>3.9035899600049872E-3</v>
      </c>
      <c r="G175">
        <f t="shared" ca="1" si="9"/>
        <v>173</v>
      </c>
      <c r="H175">
        <f t="shared" ca="1" si="10"/>
        <v>0.67532106308086282</v>
      </c>
      <c r="I175">
        <f t="shared" ca="1" si="11"/>
        <v>24.470982607010949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387</v>
      </c>
      <c r="B178" s="66">
        <v>387</v>
      </c>
      <c r="D178">
        <f t="shared" si="8"/>
        <v>3.71176735754774E-3</v>
      </c>
      <c r="E178">
        <f t="shared" si="8"/>
        <v>3.71176735754774E-3</v>
      </c>
      <c r="G178">
        <f t="shared" ca="1" si="9"/>
        <v>176</v>
      </c>
      <c r="H178">
        <f t="shared" ca="1" si="10"/>
        <v>0.65327105492840221</v>
      </c>
      <c r="I178">
        <f t="shared" ca="1" si="11"/>
        <v>25.06518078528309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42</v>
      </c>
      <c r="B180" s="66">
        <v>42</v>
      </c>
      <c r="D180">
        <f t="shared" si="8"/>
        <v>4.0282746516021983E-4</v>
      </c>
      <c r="E180">
        <f t="shared" si="8"/>
        <v>4.0282746516021983E-4</v>
      </c>
      <c r="G180">
        <f t="shared" ca="1" si="9"/>
        <v>178</v>
      </c>
      <c r="H180">
        <f t="shared" ca="1" si="10"/>
        <v>7.170328879851913E-2</v>
      </c>
      <c r="I180">
        <f t="shared" ca="1" si="11"/>
        <v>2.8542745021252354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83.231287621722103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1.6069872697633836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0.61114286186395528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1140</v>
      </c>
      <c r="B8" s="66">
        <v>1140</v>
      </c>
      <c r="D8">
        <f t="shared" si="0"/>
        <v>2.3832420454070324</v>
      </c>
      <c r="E8">
        <f t="shared" si="1"/>
        <v>2.3832420454070324</v>
      </c>
      <c r="G8">
        <f t="shared" ca="1" si="2"/>
        <v>6</v>
      </c>
      <c r="H8">
        <f t="shared" ca="1" si="3"/>
        <v>14.299452272442196</v>
      </c>
      <c r="I8">
        <f t="shared" ca="1" si="4"/>
        <v>14215.256591521613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1209</v>
      </c>
      <c r="B10" s="66">
        <v>1209</v>
      </c>
      <c r="D10">
        <f t="shared" si="0"/>
        <v>2.5274909060500899</v>
      </c>
      <c r="E10">
        <f t="shared" si="1"/>
        <v>2.5274909060500899</v>
      </c>
      <c r="G10">
        <f t="shared" ca="1" si="2"/>
        <v>8</v>
      </c>
      <c r="H10">
        <f t="shared" ca="1" si="3"/>
        <v>20.219927248400719</v>
      </c>
      <c r="I10">
        <f t="shared" ca="1" si="4"/>
        <v>14304.958156126882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2873</v>
      </c>
      <c r="B13" s="66">
        <v>2873</v>
      </c>
      <c r="D13">
        <f t="shared" si="0"/>
        <v>6.006188067065267</v>
      </c>
      <c r="E13">
        <f t="shared" si="1"/>
        <v>6.006188067065267</v>
      </c>
      <c r="G13">
        <f t="shared" ca="1" si="2"/>
        <v>11</v>
      </c>
      <c r="H13">
        <f t="shared" ca="1" si="3"/>
        <v>66.068068737717937</v>
      </c>
      <c r="I13">
        <f t="shared" ca="1" si="4"/>
        <v>31336.438835799552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3569</v>
      </c>
      <c r="B15" s="66">
        <v>3569</v>
      </c>
      <c r="D15">
        <f t="shared" si="0"/>
        <v>7.4612200526821928</v>
      </c>
      <c r="E15">
        <f t="shared" si="1"/>
        <v>7.4612200526821928</v>
      </c>
      <c r="G15">
        <f t="shared" ca="1" si="2"/>
        <v>13</v>
      </c>
      <c r="H15">
        <f t="shared" ca="1" si="3"/>
        <v>96.995860684868504</v>
      </c>
      <c r="I15">
        <f t="shared" ca="1" si="4"/>
        <v>36801.973686137571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4883</v>
      </c>
      <c r="B18" s="66">
        <v>4883</v>
      </c>
      <c r="D18">
        <f t="shared" si="0"/>
        <v>10.208220094493457</v>
      </c>
      <c r="E18">
        <f t="shared" si="1"/>
        <v>10.208220094493457</v>
      </c>
      <c r="G18">
        <f t="shared" ca="1" si="2"/>
        <v>16</v>
      </c>
      <c r="H18">
        <f t="shared" ca="1" si="3"/>
        <v>163.33152151189532</v>
      </c>
      <c r="I18">
        <f t="shared" ca="1" si="4"/>
        <v>46141.624765326924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5150</v>
      </c>
      <c r="B21" s="66">
        <v>5150</v>
      </c>
      <c r="D21">
        <f t="shared" si="0"/>
        <v>10.766400468286156</v>
      </c>
      <c r="E21">
        <f t="shared" si="1"/>
        <v>10.766400468286156</v>
      </c>
      <c r="G21">
        <f t="shared" ca="1" si="2"/>
        <v>19</v>
      </c>
      <c r="H21">
        <f t="shared" ca="1" si="3"/>
        <v>204.56160889743697</v>
      </c>
      <c r="I21">
        <f t="shared" ca="1" si="4"/>
        <v>44418.489555867403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8237</v>
      </c>
      <c r="B23" s="66">
        <v>8237</v>
      </c>
      <c r="D23">
        <f t="shared" si="0"/>
        <v>17.219969059664674</v>
      </c>
      <c r="E23">
        <f t="shared" si="1"/>
        <v>17.219969059664674</v>
      </c>
      <c r="G23">
        <f t="shared" ca="1" si="2"/>
        <v>21</v>
      </c>
      <c r="H23">
        <f t="shared" ca="1" si="3"/>
        <v>361.61935025295816</v>
      </c>
      <c r="I23">
        <f t="shared" ca="1" si="4"/>
        <v>66688.345175307622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9217</v>
      </c>
      <c r="B26" s="66">
        <v>9217</v>
      </c>
      <c r="D26">
        <f t="shared" si="0"/>
        <v>19.268720993435632</v>
      </c>
      <c r="E26">
        <f t="shared" si="1"/>
        <v>19.268720993435632</v>
      </c>
      <c r="G26">
        <f t="shared" ca="1" si="2"/>
        <v>24</v>
      </c>
      <c r="H26">
        <f t="shared" ca="1" si="3"/>
        <v>462.44930384245515</v>
      </c>
      <c r="I26">
        <f t="shared" ca="1" si="4"/>
        <v>67601.329303375271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13452</v>
      </c>
      <c r="B28" s="66">
        <v>13452</v>
      </c>
      <c r="D28">
        <f t="shared" si="0"/>
        <v>28.122256135802985</v>
      </c>
      <c r="E28">
        <f t="shared" si="1"/>
        <v>28.122256135802985</v>
      </c>
      <c r="G28">
        <f t="shared" ca="1" si="2"/>
        <v>26</v>
      </c>
      <c r="H28">
        <f t="shared" ca="1" si="3"/>
        <v>731.17865953087767</v>
      </c>
      <c r="I28">
        <f t="shared" ca="1" si="4"/>
        <v>92112.208146438657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11586</v>
      </c>
      <c r="B31" s="66">
        <v>11586</v>
      </c>
      <c r="D31">
        <f t="shared" si="0"/>
        <v>24.221265208847264</v>
      </c>
      <c r="E31">
        <f t="shared" si="1"/>
        <v>24.221265208847264</v>
      </c>
      <c r="G31">
        <f t="shared" ca="1" si="2"/>
        <v>29</v>
      </c>
      <c r="H31">
        <f t="shared" ca="1" si="3"/>
        <v>702.4166910565707</v>
      </c>
      <c r="I31">
        <f t="shared" ca="1" si="4"/>
        <v>71235.529553614309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15044</v>
      </c>
      <c r="B33" s="66">
        <v>15044</v>
      </c>
      <c r="D33">
        <f t="shared" si="0"/>
        <v>31.450432746581928</v>
      </c>
      <c r="E33">
        <f t="shared" si="1"/>
        <v>31.450432746581928</v>
      </c>
      <c r="G33">
        <f t="shared" ca="1" si="2"/>
        <v>31</v>
      </c>
      <c r="H33">
        <f t="shared" ca="1" si="3"/>
        <v>974.9634151440398</v>
      </c>
      <c r="I33">
        <f t="shared" ca="1" si="4"/>
        <v>85800.158517450604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15958</v>
      </c>
      <c r="B36" s="66">
        <v>15958</v>
      </c>
      <c r="D36">
        <f t="shared" si="0"/>
        <v>33.361207509303007</v>
      </c>
      <c r="E36">
        <f t="shared" si="1"/>
        <v>33.361207509303007</v>
      </c>
      <c r="G36">
        <f t="shared" ca="1" si="2"/>
        <v>34</v>
      </c>
      <c r="H36">
        <f t="shared" ca="1" si="3"/>
        <v>1134.2810553163022</v>
      </c>
      <c r="I36">
        <f t="shared" ca="1" si="4"/>
        <v>80858.215218643963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18548</v>
      </c>
      <c r="B39" s="66">
        <v>18548</v>
      </c>
      <c r="D39">
        <f t="shared" si="0"/>
        <v>38.775766191411968</v>
      </c>
      <c r="E39">
        <f t="shared" si="1"/>
        <v>38.775766191411968</v>
      </c>
      <c r="G39">
        <f t="shared" ca="1" si="2"/>
        <v>37</v>
      </c>
      <c r="H39">
        <f t="shared" ca="1" si="3"/>
        <v>1434.7033490822428</v>
      </c>
      <c r="I39">
        <f t="shared" ca="1" si="4"/>
        <v>82876.684166810446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20057</v>
      </c>
      <c r="B41" s="66">
        <v>20057</v>
      </c>
      <c r="D41">
        <f t="shared" si="0"/>
        <v>41.930426056779694</v>
      </c>
      <c r="E41">
        <f t="shared" si="1"/>
        <v>41.930426056779694</v>
      </c>
      <c r="G41">
        <f t="shared" ca="1" si="2"/>
        <v>39</v>
      </c>
      <c r="H41">
        <f t="shared" ca="1" si="3"/>
        <v>1635.286616214408</v>
      </c>
      <c r="I41">
        <f t="shared" ca="1" si="4"/>
        <v>82032.970860426984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25136</v>
      </c>
      <c r="B44" s="66">
        <v>25136</v>
      </c>
      <c r="D44">
        <f t="shared" si="0"/>
        <v>52.548396538027347</v>
      </c>
      <c r="E44">
        <f t="shared" si="1"/>
        <v>52.548396538027347</v>
      </c>
      <c r="G44">
        <f t="shared" ca="1" si="2"/>
        <v>42</v>
      </c>
      <c r="H44">
        <f t="shared" ca="1" si="3"/>
        <v>2207.0326545971484</v>
      </c>
      <c r="I44">
        <f t="shared" ca="1" si="4"/>
        <v>89333.276682623036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28497</v>
      </c>
      <c r="B46" s="66">
        <v>28497</v>
      </c>
      <c r="D46">
        <f t="shared" si="0"/>
        <v>59.574779445582642</v>
      </c>
      <c r="E46">
        <f t="shared" si="1"/>
        <v>59.574779445582642</v>
      </c>
      <c r="G46">
        <f t="shared" ca="1" si="2"/>
        <v>44</v>
      </c>
      <c r="H46">
        <f t="shared" ca="1" si="3"/>
        <v>2621.2902956056364</v>
      </c>
      <c r="I46">
        <f t="shared" ca="1" si="4"/>
        <v>91691.18133393774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31540</v>
      </c>
      <c r="B49" s="66">
        <v>31540</v>
      </c>
      <c r="D49">
        <f t="shared" si="0"/>
        <v>65.936363256261231</v>
      </c>
      <c r="E49">
        <f t="shared" si="1"/>
        <v>65.936363256261231</v>
      </c>
      <c r="G49">
        <f t="shared" ca="1" si="2"/>
        <v>47</v>
      </c>
      <c r="H49">
        <f t="shared" ca="1" si="3"/>
        <v>3099.009073044278</v>
      </c>
      <c r="I49">
        <f t="shared" ca="1" si="4"/>
        <v>86555.073031817621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32539</v>
      </c>
      <c r="B51" s="66">
        <v>32539</v>
      </c>
      <c r="D51">
        <f t="shared" si="0"/>
        <v>68.024835890788978</v>
      </c>
      <c r="E51">
        <f t="shared" si="1"/>
        <v>68.024835890788978</v>
      </c>
      <c r="G51">
        <f t="shared" ca="1" si="2"/>
        <v>49</v>
      </c>
      <c r="H51">
        <f t="shared" ca="1" si="3"/>
        <v>3333.2169586486598</v>
      </c>
      <c r="I51">
        <f t="shared" ca="1" si="4"/>
        <v>79710.213778634454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34462</v>
      </c>
      <c r="B54" s="66">
        <v>34462</v>
      </c>
      <c r="D54">
        <f t="shared" si="0"/>
        <v>72.044988920015058</v>
      </c>
      <c r="E54">
        <f t="shared" si="1"/>
        <v>72.044988920015058</v>
      </c>
      <c r="G54">
        <f t="shared" ca="1" si="2"/>
        <v>52</v>
      </c>
      <c r="H54">
        <f t="shared" ca="1" si="3"/>
        <v>3746.3394238407832</v>
      </c>
      <c r="I54">
        <f t="shared" ca="1" si="4"/>
        <v>70272.201401122336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39578</v>
      </c>
      <c r="B57" s="66">
        <v>39578</v>
      </c>
      <c r="D57">
        <f t="shared" si="0"/>
        <v>82.740310239578548</v>
      </c>
      <c r="E57">
        <f t="shared" si="1"/>
        <v>82.740310239578548</v>
      </c>
      <c r="G57">
        <f t="shared" ca="1" si="2"/>
        <v>55</v>
      </c>
      <c r="H57">
        <f t="shared" ca="1" si="3"/>
        <v>4550.7170631768204</v>
      </c>
      <c r="I57">
        <f t="shared" ca="1" si="4"/>
        <v>65944.490671251944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39494</v>
      </c>
      <c r="B59" s="66">
        <v>39494</v>
      </c>
      <c r="D59">
        <f t="shared" si="0"/>
        <v>82.564702930969602</v>
      </c>
      <c r="E59">
        <f t="shared" si="1"/>
        <v>82.564702930969602</v>
      </c>
      <c r="G59">
        <f t="shared" ca="1" si="2"/>
        <v>57</v>
      </c>
      <c r="H59">
        <f t="shared" ca="1" si="3"/>
        <v>4706.1880670652672</v>
      </c>
      <c r="I59">
        <f t="shared" ca="1" si="4"/>
        <v>56811.157971091554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45228</v>
      </c>
      <c r="B62" s="66">
        <v>45228</v>
      </c>
      <c r="D62">
        <f t="shared" si="0"/>
        <v>94.551992306727428</v>
      </c>
      <c r="E62">
        <f t="shared" si="1"/>
        <v>94.551992306727428</v>
      </c>
      <c r="G62">
        <f t="shared" ca="1" si="2"/>
        <v>60</v>
      </c>
      <c r="H62">
        <f t="shared" ca="1" si="3"/>
        <v>5673.1195384036455</v>
      </c>
      <c r="I62">
        <f t="shared" ca="1" si="4"/>
        <v>51029.022340894422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46208</v>
      </c>
      <c r="B64" s="66">
        <v>46208</v>
      </c>
      <c r="D64">
        <f t="shared" si="0"/>
        <v>96.600744240498386</v>
      </c>
      <c r="E64">
        <f t="shared" si="1"/>
        <v>96.600744240498386</v>
      </c>
      <c r="G64">
        <f t="shared" ca="1" si="2"/>
        <v>62</v>
      </c>
      <c r="H64">
        <f t="shared" ca="1" si="3"/>
        <v>5989.2461429108998</v>
      </c>
      <c r="I64">
        <f t="shared" ca="1" si="4"/>
        <v>43544.48313525362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44691</v>
      </c>
      <c r="B67" s="66">
        <v>44691</v>
      </c>
      <c r="D67">
        <f t="shared" ref="D67:D130" si="5">IFERROR( 100*A67/MAX(A$2:A$257), 0 )</f>
        <v>93.429359869548861</v>
      </c>
      <c r="E67">
        <f t="shared" ref="E67:E130" si="6">IFERROR( 100*B67/MAX(B$2:B$257), 0 )</f>
        <v>93.429359869548861</v>
      </c>
      <c r="G67">
        <f t="shared" ref="G67:G130" ca="1" si="7">CELL("row",D67)-2</f>
        <v>65</v>
      </c>
      <c r="H67">
        <f t="shared" ref="H67:H130" ca="1" si="8">D67*G67</f>
        <v>6072.9083915206757</v>
      </c>
      <c r="I67">
        <f t="shared" ref="I67:I130" ca="1" si="9">D67*((G67-$L$1)^2)</f>
        <v>31054.036464500543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47834</v>
      </c>
      <c r="B69" s="66">
        <v>47834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26345.469785906913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43776</v>
      </c>
      <c r="B72" s="66">
        <v>43776</v>
      </c>
      <c r="D72">
        <f t="shared" si="5"/>
        <v>91.51649454363006</v>
      </c>
      <c r="E72">
        <f t="shared" si="6"/>
        <v>91.51649454363006</v>
      </c>
      <c r="G72">
        <f t="shared" ca="1" si="7"/>
        <v>70</v>
      </c>
      <c r="H72">
        <f t="shared" ca="1" si="8"/>
        <v>6406.1546180541045</v>
      </c>
      <c r="I72">
        <f t="shared" ca="1" si="9"/>
        <v>16021.515599589355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45129</v>
      </c>
      <c r="B75" s="66">
        <v>45129</v>
      </c>
      <c r="D75">
        <f t="shared" si="5"/>
        <v>94.34502655015261</v>
      </c>
      <c r="E75">
        <f t="shared" si="6"/>
        <v>94.34502655015261</v>
      </c>
      <c r="G75">
        <f t="shared" ca="1" si="7"/>
        <v>73</v>
      </c>
      <c r="H75">
        <f t="shared" ca="1" si="8"/>
        <v>6887.1869381611405</v>
      </c>
      <c r="I75">
        <f t="shared" ca="1" si="9"/>
        <v>9875.9662807073855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43869</v>
      </c>
      <c r="B77" s="66">
        <v>43869</v>
      </c>
      <c r="D77">
        <f t="shared" si="5"/>
        <v>91.710916921018523</v>
      </c>
      <c r="E77">
        <f t="shared" si="6"/>
        <v>91.710916921018523</v>
      </c>
      <c r="G77">
        <f t="shared" ca="1" si="7"/>
        <v>75</v>
      </c>
      <c r="H77">
        <f t="shared" ca="1" si="8"/>
        <v>6878.3187690763889</v>
      </c>
      <c r="I77">
        <f t="shared" ca="1" si="9"/>
        <v>6213.7902611997206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44050</v>
      </c>
      <c r="B80" s="66">
        <v>44050</v>
      </c>
      <c r="D80">
        <f t="shared" si="5"/>
        <v>92.089308859806835</v>
      </c>
      <c r="E80">
        <f t="shared" si="6"/>
        <v>92.089308859806835</v>
      </c>
      <c r="G80">
        <f t="shared" ca="1" si="7"/>
        <v>78</v>
      </c>
      <c r="H80">
        <f t="shared" ca="1" si="8"/>
        <v>7182.9660910649327</v>
      </c>
      <c r="I80">
        <f t="shared" ca="1" si="9"/>
        <v>2520.1501159867598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43705</v>
      </c>
      <c r="B82" s="66">
        <v>43705</v>
      </c>
      <c r="D82">
        <f t="shared" si="5"/>
        <v>91.368064556591548</v>
      </c>
      <c r="E82">
        <f t="shared" si="6"/>
        <v>91.368064556591548</v>
      </c>
      <c r="G82">
        <f t="shared" ca="1" si="7"/>
        <v>80</v>
      </c>
      <c r="H82">
        <f t="shared" ca="1" si="8"/>
        <v>7309.4451645273239</v>
      </c>
      <c r="I82">
        <f t="shared" ca="1" si="9"/>
        <v>953.9940350778536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43192</v>
      </c>
      <c r="B85" s="66">
        <v>43192</v>
      </c>
      <c r="D85">
        <f t="shared" si="5"/>
        <v>90.295605636158385</v>
      </c>
      <c r="E85">
        <f t="shared" si="6"/>
        <v>90.295605636158385</v>
      </c>
      <c r="G85">
        <f t="shared" ca="1" si="7"/>
        <v>83</v>
      </c>
      <c r="H85">
        <f t="shared" ca="1" si="8"/>
        <v>7494.5352678011459</v>
      </c>
      <c r="I85">
        <f t="shared" ca="1" si="9"/>
        <v>4.8302698738155829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42094</v>
      </c>
      <c r="B88" s="66">
        <v>42094</v>
      </c>
      <c r="D88">
        <f t="shared" si="5"/>
        <v>88.00016724505582</v>
      </c>
      <c r="E88">
        <f t="shared" si="6"/>
        <v>88.00016724505582</v>
      </c>
      <c r="G88">
        <f t="shared" ca="1" si="7"/>
        <v>86</v>
      </c>
      <c r="H88">
        <f t="shared" ca="1" si="8"/>
        <v>7568.0143830748002</v>
      </c>
      <c r="I88">
        <f t="shared" ca="1" si="9"/>
        <v>674.58888662120989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44373</v>
      </c>
      <c r="B90" s="66">
        <v>44373</v>
      </c>
      <c r="D90">
        <f t="shared" si="5"/>
        <v>92.764560772672155</v>
      </c>
      <c r="E90">
        <f t="shared" si="6"/>
        <v>92.764560772672155</v>
      </c>
      <c r="G90">
        <f t="shared" ca="1" si="7"/>
        <v>88</v>
      </c>
      <c r="H90">
        <f t="shared" ca="1" si="8"/>
        <v>8163.2813479951492</v>
      </c>
      <c r="I90">
        <f t="shared" ca="1" si="9"/>
        <v>2109.5234169756473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41632</v>
      </c>
      <c r="B93" s="66">
        <v>41632</v>
      </c>
      <c r="D93">
        <f t="shared" si="5"/>
        <v>87.034327047706654</v>
      </c>
      <c r="E93">
        <f t="shared" si="6"/>
        <v>87.034327047706654</v>
      </c>
      <c r="G93">
        <f t="shared" ca="1" si="7"/>
        <v>91</v>
      </c>
      <c r="H93">
        <f t="shared" ca="1" si="8"/>
        <v>7920.1237613413059</v>
      </c>
      <c r="I93">
        <f t="shared" ca="1" si="9"/>
        <v>5252.7733420309969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41216</v>
      </c>
      <c r="B95" s="66">
        <v>41216</v>
      </c>
      <c r="D95">
        <f t="shared" si="5"/>
        <v>86.164652757452856</v>
      </c>
      <c r="E95">
        <f t="shared" si="6"/>
        <v>86.164652757452856</v>
      </c>
      <c r="G95">
        <f t="shared" ca="1" si="7"/>
        <v>93</v>
      </c>
      <c r="H95">
        <f t="shared" ca="1" si="8"/>
        <v>8013.3127064431155</v>
      </c>
      <c r="I95">
        <f t="shared" ca="1" si="9"/>
        <v>8222.4982123190366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40423</v>
      </c>
      <c r="B98" s="66">
        <v>40423</v>
      </c>
      <c r="D98">
        <f t="shared" si="5"/>
        <v>84.506836141656564</v>
      </c>
      <c r="E98">
        <f t="shared" si="6"/>
        <v>84.506836141656564</v>
      </c>
      <c r="G98">
        <f t="shared" ca="1" si="7"/>
        <v>96</v>
      </c>
      <c r="H98">
        <f t="shared" ca="1" si="8"/>
        <v>8112.6562695990306</v>
      </c>
      <c r="I98">
        <f t="shared" ca="1" si="9"/>
        <v>13777.995899675008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41928</v>
      </c>
      <c r="B100" s="66">
        <v>41928</v>
      </c>
      <c r="D100">
        <f t="shared" si="5"/>
        <v>87.653133754233394</v>
      </c>
      <c r="E100">
        <f t="shared" si="6"/>
        <v>87.653133754233394</v>
      </c>
      <c r="G100">
        <f t="shared" ca="1" si="7"/>
        <v>98</v>
      </c>
      <c r="H100">
        <f t="shared" ca="1" si="8"/>
        <v>8590.0071079148729</v>
      </c>
      <c r="I100">
        <f t="shared" ca="1" si="9"/>
        <v>19118.451463005527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37708</v>
      </c>
      <c r="B103" s="66">
        <v>37708</v>
      </c>
      <c r="D103">
        <f t="shared" si="5"/>
        <v>78.830957059831917</v>
      </c>
      <c r="E103">
        <f t="shared" si="6"/>
        <v>78.830957059831917</v>
      </c>
      <c r="G103">
        <f t="shared" ca="1" si="7"/>
        <v>101</v>
      </c>
      <c r="H103">
        <f t="shared" ca="1" si="8"/>
        <v>7961.9266630430238</v>
      </c>
      <c r="I103">
        <f t="shared" ca="1" si="9"/>
        <v>24889.072583009529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38255</v>
      </c>
      <c r="B106" s="66">
        <v>38255</v>
      </c>
      <c r="D106">
        <f t="shared" si="5"/>
        <v>79.974495128987755</v>
      </c>
      <c r="E106">
        <f t="shared" si="6"/>
        <v>79.974495128987755</v>
      </c>
      <c r="G106">
        <f t="shared" ca="1" si="7"/>
        <v>104</v>
      </c>
      <c r="H106">
        <f t="shared" ca="1" si="8"/>
        <v>8317.3474934147271</v>
      </c>
      <c r="I106">
        <f t="shared" ca="1" si="9"/>
        <v>34496.151852017902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32563</v>
      </c>
      <c r="B108" s="66">
        <v>32563</v>
      </c>
      <c r="D108">
        <f t="shared" si="5"/>
        <v>68.075009407534395</v>
      </c>
      <c r="E108">
        <f t="shared" si="6"/>
        <v>68.075009407534395</v>
      </c>
      <c r="G108">
        <f t="shared" ca="1" si="7"/>
        <v>106</v>
      </c>
      <c r="H108">
        <f t="shared" ca="1" si="8"/>
        <v>7215.9509971986463</v>
      </c>
      <c r="I108">
        <f t="shared" ca="1" si="9"/>
        <v>35291.055855555038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34200</v>
      </c>
      <c r="B111" s="66">
        <v>34200</v>
      </c>
      <c r="D111">
        <f t="shared" si="5"/>
        <v>71.497261362210978</v>
      </c>
      <c r="E111">
        <f t="shared" si="6"/>
        <v>71.497261362210978</v>
      </c>
      <c r="G111">
        <f t="shared" ca="1" si="7"/>
        <v>109</v>
      </c>
      <c r="H111">
        <f t="shared" ca="1" si="8"/>
        <v>7793.2014884809969</v>
      </c>
      <c r="I111">
        <f t="shared" ca="1" si="9"/>
        <v>47476.078912691613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29910</v>
      </c>
      <c r="B113" s="66">
        <v>29910</v>
      </c>
      <c r="D113">
        <f t="shared" si="5"/>
        <v>62.528745243968729</v>
      </c>
      <c r="E113">
        <f t="shared" si="6"/>
        <v>62.528745243968729</v>
      </c>
      <c r="G113">
        <f t="shared" ca="1" si="7"/>
        <v>111</v>
      </c>
      <c r="H113">
        <f t="shared" ca="1" si="8"/>
        <v>6940.6907220805288</v>
      </c>
      <c r="I113">
        <f t="shared" ca="1" si="9"/>
        <v>48216.002194218432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28507</v>
      </c>
      <c r="B116" s="66">
        <v>28507</v>
      </c>
      <c r="D116">
        <f t="shared" si="5"/>
        <v>59.595685077559892</v>
      </c>
      <c r="E116">
        <f t="shared" si="6"/>
        <v>59.595685077559892</v>
      </c>
      <c r="G116">
        <f t="shared" ca="1" si="7"/>
        <v>114</v>
      </c>
      <c r="H116">
        <f t="shared" ca="1" si="8"/>
        <v>6793.9080988418282</v>
      </c>
      <c r="I116">
        <f t="shared" ca="1" si="9"/>
        <v>56420.049224442606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28193</v>
      </c>
      <c r="B118" s="66">
        <v>28193</v>
      </c>
      <c r="D118">
        <f t="shared" si="5"/>
        <v>58.939248233474096</v>
      </c>
      <c r="E118">
        <f t="shared" si="6"/>
        <v>58.939248233474096</v>
      </c>
      <c r="G118">
        <f t="shared" ca="1" si="7"/>
        <v>116</v>
      </c>
      <c r="H118">
        <f t="shared" ca="1" si="8"/>
        <v>6836.9527950829952</v>
      </c>
      <c r="I118">
        <f t="shared" ca="1" si="9"/>
        <v>63288.287595973648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26932</v>
      </c>
      <c r="B121" s="66">
        <v>26932</v>
      </c>
      <c r="D121">
        <f t="shared" si="5"/>
        <v>56.303048041142283</v>
      </c>
      <c r="E121">
        <f t="shared" si="6"/>
        <v>56.303048041142283</v>
      </c>
      <c r="G121">
        <f t="shared" ca="1" si="7"/>
        <v>119</v>
      </c>
      <c r="H121">
        <f t="shared" ca="1" si="8"/>
        <v>6700.0627168959318</v>
      </c>
      <c r="I121">
        <f t="shared" ca="1" si="9"/>
        <v>72034.163872989098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26054</v>
      </c>
      <c r="B124" s="66">
        <v>26054</v>
      </c>
      <c r="D124">
        <f t="shared" si="5"/>
        <v>54.467533553539326</v>
      </c>
      <c r="E124">
        <f t="shared" si="6"/>
        <v>54.467533553539326</v>
      </c>
      <c r="G124">
        <f t="shared" ca="1" si="7"/>
        <v>122</v>
      </c>
      <c r="H124">
        <f t="shared" ca="1" si="8"/>
        <v>6645.0390935317973</v>
      </c>
      <c r="I124">
        <f t="shared" ca="1" si="9"/>
        <v>81865.414248070287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24608</v>
      </c>
      <c r="B126" s="66">
        <v>24608</v>
      </c>
      <c r="D126">
        <f t="shared" si="5"/>
        <v>51.444579169628298</v>
      </c>
      <c r="E126">
        <f t="shared" si="6"/>
        <v>51.444579169628298</v>
      </c>
      <c r="G126">
        <f t="shared" ca="1" si="7"/>
        <v>124</v>
      </c>
      <c r="H126">
        <f t="shared" ca="1" si="8"/>
        <v>6379.1278170339092</v>
      </c>
      <c r="I126">
        <f t="shared" ca="1" si="9"/>
        <v>85505.413020545006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22626</v>
      </c>
      <c r="B129" s="66">
        <v>22626</v>
      </c>
      <c r="D129">
        <f t="shared" si="5"/>
        <v>47.301082911736422</v>
      </c>
      <c r="E129">
        <f t="shared" si="6"/>
        <v>47.301082911736422</v>
      </c>
      <c r="G129">
        <f t="shared" ca="1" si="7"/>
        <v>127</v>
      </c>
      <c r="H129">
        <f t="shared" ca="1" si="8"/>
        <v>6007.2375297905255</v>
      </c>
      <c r="I129">
        <f t="shared" ca="1" si="9"/>
        <v>90614.693202051218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21987</v>
      </c>
      <c r="B131" s="66">
        <v>21987</v>
      </c>
      <c r="D131">
        <f t="shared" ref="D131:D194" si="10">IFERROR( 100*A131/MAX(A$2:A$257), 0 )</f>
        <v>45.965213028389847</v>
      </c>
      <c r="E131">
        <f t="shared" ref="E131:E194" si="11">IFERROR( 100*B131/MAX(B$2:B$257), 0 )</f>
        <v>45.965213028389847</v>
      </c>
      <c r="G131">
        <f t="shared" ref="G131:G194" ca="1" si="12">CELL("row",D131)-2</f>
        <v>129</v>
      </c>
      <c r="H131">
        <f t="shared" ref="H131:H194" ca="1" si="13">D131*G131</f>
        <v>5929.5124806622907</v>
      </c>
      <c r="I131">
        <f t="shared" ref="I131:I194" ca="1" si="14">D131*((G131-$L$1)^2)</f>
        <v>96286.780627619839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20347</v>
      </c>
      <c r="B134" s="66">
        <v>20347</v>
      </c>
      <c r="D134">
        <f t="shared" si="10"/>
        <v>42.536689384120081</v>
      </c>
      <c r="E134">
        <f t="shared" si="11"/>
        <v>42.536689384120081</v>
      </c>
      <c r="G134">
        <f t="shared" ca="1" si="12"/>
        <v>132</v>
      </c>
      <c r="H134">
        <f t="shared" ca="1" si="13"/>
        <v>5614.8429987038508</v>
      </c>
      <c r="I134">
        <f t="shared" ca="1" si="14"/>
        <v>101168.72211448995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19327</v>
      </c>
      <c r="B136" s="66">
        <v>19327</v>
      </c>
      <c r="D136">
        <f t="shared" si="10"/>
        <v>40.404314922440108</v>
      </c>
      <c r="E136">
        <f t="shared" si="11"/>
        <v>40.404314922440108</v>
      </c>
      <c r="G136">
        <f t="shared" ca="1" si="12"/>
        <v>134</v>
      </c>
      <c r="H136">
        <f t="shared" ca="1" si="13"/>
        <v>5414.1781996069749</v>
      </c>
      <c r="I136">
        <f t="shared" ca="1" si="14"/>
        <v>104140.59267384943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19278</v>
      </c>
      <c r="B139" s="66">
        <v>19278</v>
      </c>
      <c r="D139">
        <f t="shared" si="10"/>
        <v>40.301877325751555</v>
      </c>
      <c r="E139">
        <f t="shared" si="11"/>
        <v>40.301877325751555</v>
      </c>
      <c r="G139">
        <f t="shared" ca="1" si="12"/>
        <v>137</v>
      </c>
      <c r="H139">
        <f t="shared" ca="1" si="13"/>
        <v>5521.3571936279632</v>
      </c>
      <c r="I139">
        <f t="shared" ca="1" si="14"/>
        <v>116515.72705044302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17606</v>
      </c>
      <c r="B142" s="66">
        <v>17606</v>
      </c>
      <c r="D142">
        <f t="shared" si="10"/>
        <v>36.80645565915458</v>
      </c>
      <c r="E142">
        <f t="shared" si="11"/>
        <v>36.80645565915458</v>
      </c>
      <c r="G142">
        <f t="shared" ca="1" si="12"/>
        <v>140</v>
      </c>
      <c r="H142">
        <f t="shared" ca="1" si="13"/>
        <v>5152.9037922816415</v>
      </c>
      <c r="I142">
        <f t="shared" ca="1" si="14"/>
        <v>118615.67531415528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12940</v>
      </c>
      <c r="B144" s="66">
        <v>12940</v>
      </c>
      <c r="D144">
        <f t="shared" si="10"/>
        <v>27.051887778567547</v>
      </c>
      <c r="E144">
        <f t="shared" si="11"/>
        <v>27.051887778567547</v>
      </c>
      <c r="G144">
        <f t="shared" ca="1" si="12"/>
        <v>142</v>
      </c>
      <c r="H144">
        <f t="shared" ca="1" si="13"/>
        <v>3841.3680645565919</v>
      </c>
      <c r="I144">
        <f t="shared" ca="1" si="14"/>
        <v>93430.769988990578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8286</v>
      </c>
      <c r="B147" s="66">
        <v>8286</v>
      </c>
      <c r="D147">
        <f t="shared" si="10"/>
        <v>17.322406656353223</v>
      </c>
      <c r="E147">
        <f t="shared" si="11"/>
        <v>17.322406656353223</v>
      </c>
      <c r="G147">
        <f t="shared" ca="1" si="12"/>
        <v>145</v>
      </c>
      <c r="H147">
        <f t="shared" ca="1" si="13"/>
        <v>2511.7489651712176</v>
      </c>
      <c r="I147">
        <f t="shared" ca="1" si="14"/>
        <v>66091.457009700869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6314</v>
      </c>
      <c r="B149" s="66">
        <v>6314</v>
      </c>
      <c r="D149">
        <f t="shared" si="10"/>
        <v>13.199816030438599</v>
      </c>
      <c r="E149">
        <f t="shared" si="11"/>
        <v>13.199816030438599</v>
      </c>
      <c r="G149">
        <f t="shared" ca="1" si="12"/>
        <v>147</v>
      </c>
      <c r="H149">
        <f t="shared" ca="1" si="13"/>
        <v>1940.3729564744742</v>
      </c>
      <c r="I149">
        <f t="shared" ca="1" si="14"/>
        <v>53676.37445188281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4820</v>
      </c>
      <c r="B152" s="66">
        <v>4820</v>
      </c>
      <c r="D152">
        <f t="shared" si="10"/>
        <v>10.076514613036752</v>
      </c>
      <c r="E152">
        <f t="shared" si="11"/>
        <v>10.076514613036752</v>
      </c>
      <c r="G152">
        <f t="shared" ca="1" si="12"/>
        <v>150</v>
      </c>
      <c r="H152">
        <f t="shared" ca="1" si="13"/>
        <v>1511.4771919555128</v>
      </c>
      <c r="I152">
        <f t="shared" ca="1" si="14"/>
        <v>44921.716335218509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3926</v>
      </c>
      <c r="B154" s="66">
        <v>3926</v>
      </c>
      <c r="D154">
        <f t="shared" si="10"/>
        <v>8.2075511142701849</v>
      </c>
      <c r="E154">
        <f t="shared" si="11"/>
        <v>8.2075511142701849</v>
      </c>
      <c r="G154">
        <f t="shared" ca="1" si="12"/>
        <v>152</v>
      </c>
      <c r="H154">
        <f t="shared" ca="1" si="13"/>
        <v>1247.5477693690682</v>
      </c>
      <c r="I154">
        <f t="shared" ca="1" si="14"/>
        <v>38814.623822605136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3554</v>
      </c>
      <c r="B157" s="66">
        <v>3554</v>
      </c>
      <c r="D157">
        <f t="shared" si="10"/>
        <v>7.4298616047163106</v>
      </c>
      <c r="E157">
        <f t="shared" si="11"/>
        <v>7.4298616047163106</v>
      </c>
      <c r="G157">
        <f t="shared" ca="1" si="12"/>
        <v>155</v>
      </c>
      <c r="H157">
        <f t="shared" ca="1" si="13"/>
        <v>1151.6285487310281</v>
      </c>
      <c r="I157">
        <f t="shared" ca="1" si="14"/>
        <v>38269.34536867807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2215</v>
      </c>
      <c r="B160" s="66">
        <v>2215</v>
      </c>
      <c r="D160">
        <f t="shared" si="10"/>
        <v>4.6305974829619103</v>
      </c>
      <c r="E160">
        <f t="shared" si="11"/>
        <v>4.6305974829619103</v>
      </c>
      <c r="G160">
        <f t="shared" ca="1" si="12"/>
        <v>158</v>
      </c>
      <c r="H160">
        <f t="shared" ca="1" si="13"/>
        <v>731.63440230798187</v>
      </c>
      <c r="I160">
        <f t="shared" ca="1" si="14"/>
        <v>25886.708568827627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1863</v>
      </c>
      <c r="B162" s="66">
        <v>1863</v>
      </c>
      <c r="D162">
        <f t="shared" si="10"/>
        <v>3.8947192373625454</v>
      </c>
      <c r="E162">
        <f t="shared" si="11"/>
        <v>3.8947192373625454</v>
      </c>
      <c r="G162">
        <f t="shared" ca="1" si="12"/>
        <v>160</v>
      </c>
      <c r="H162">
        <f t="shared" ca="1" si="13"/>
        <v>623.15507797800728</v>
      </c>
      <c r="I162">
        <f t="shared" ca="1" si="14"/>
        <v>22953.275448441582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1969</v>
      </c>
      <c r="B165" s="66">
        <v>1969</v>
      </c>
      <c r="D165">
        <f t="shared" si="10"/>
        <v>4.116318936321445</v>
      </c>
      <c r="E165">
        <f t="shared" si="11"/>
        <v>4.116318936321445</v>
      </c>
      <c r="G165">
        <f t="shared" ca="1" si="12"/>
        <v>163</v>
      </c>
      <c r="H165">
        <f t="shared" ca="1" si="13"/>
        <v>670.95998662039551</v>
      </c>
      <c r="I165">
        <f t="shared" ca="1" si="14"/>
        <v>26192.332811949051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1363</v>
      </c>
      <c r="B167" s="66">
        <v>1363</v>
      </c>
      <c r="D167">
        <f t="shared" si="10"/>
        <v>2.8494376384998117</v>
      </c>
      <c r="E167">
        <f t="shared" si="11"/>
        <v>2.8494376384998117</v>
      </c>
      <c r="G167">
        <f t="shared" ca="1" si="12"/>
        <v>165</v>
      </c>
      <c r="H167">
        <f t="shared" ca="1" si="13"/>
        <v>470.15721035246895</v>
      </c>
      <c r="I167">
        <f t="shared" ca="1" si="14"/>
        <v>19051.688605623811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1036</v>
      </c>
      <c r="B170" s="66">
        <v>1036</v>
      </c>
      <c r="D170">
        <f t="shared" si="10"/>
        <v>2.1658234728435839</v>
      </c>
      <c r="E170">
        <f t="shared" si="11"/>
        <v>2.1658234728435839</v>
      </c>
      <c r="G170">
        <f t="shared" ca="1" si="12"/>
        <v>168</v>
      </c>
      <c r="H170">
        <f t="shared" ca="1" si="13"/>
        <v>363.85834343772211</v>
      </c>
      <c r="I170">
        <f t="shared" ca="1" si="14"/>
        <v>15563.032662560034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409</v>
      </c>
      <c r="B173" s="66">
        <v>409</v>
      </c>
      <c r="D173">
        <f t="shared" si="10"/>
        <v>0.85504034786971606</v>
      </c>
      <c r="E173">
        <f t="shared" si="11"/>
        <v>0.85504034786971606</v>
      </c>
      <c r="G173">
        <f t="shared" ca="1" si="12"/>
        <v>171</v>
      </c>
      <c r="H173">
        <f t="shared" ca="1" si="13"/>
        <v>146.21189948572143</v>
      </c>
      <c r="I173">
        <f t="shared" ca="1" si="14"/>
        <v>6586.6723896584363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27</v>
      </c>
      <c r="B175" s="66">
        <v>27</v>
      </c>
      <c r="D175">
        <f t="shared" si="10"/>
        <v>5.6445206338587614E-2</v>
      </c>
      <c r="E175">
        <f t="shared" si="11"/>
        <v>5.6445206338587614E-2</v>
      </c>
      <c r="G175">
        <f t="shared" ca="1" si="12"/>
        <v>173</v>
      </c>
      <c r="H175">
        <f t="shared" ca="1" si="13"/>
        <v>9.7650206965756574</v>
      </c>
      <c r="I175">
        <f t="shared" ca="1" si="14"/>
        <v>454.85927686469358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103.65310456784331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2.0012813002367271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0.5625943243368694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308</v>
      </c>
      <c r="B8" s="66">
        <v>308</v>
      </c>
      <c r="D8">
        <f t="shared" si="0"/>
        <v>0.4753379838261621</v>
      </c>
      <c r="E8">
        <f t="shared" si="1"/>
        <v>0.4753379838261621</v>
      </c>
      <c r="G8">
        <f t="shared" ca="1" si="2"/>
        <v>6</v>
      </c>
      <c r="H8">
        <f t="shared" ca="1" si="3"/>
        <v>2.8520279029569728</v>
      </c>
      <c r="I8">
        <f t="shared" ca="1" si="4"/>
        <v>4532.8842523849426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699</v>
      </c>
      <c r="B10" s="66">
        <v>699</v>
      </c>
      <c r="D10">
        <f t="shared" si="0"/>
        <v>1.0787702944626212</v>
      </c>
      <c r="E10">
        <f t="shared" si="1"/>
        <v>1.0787702944626212</v>
      </c>
      <c r="G10">
        <f t="shared" ca="1" si="2"/>
        <v>8</v>
      </c>
      <c r="H10">
        <f t="shared" ca="1" si="3"/>
        <v>8.6301623557009695</v>
      </c>
      <c r="I10">
        <f t="shared" ca="1" si="4"/>
        <v>9870.2265155461318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637</v>
      </c>
      <c r="B13" s="66">
        <v>637</v>
      </c>
      <c r="D13">
        <f t="shared" si="0"/>
        <v>0.9830853756404716</v>
      </c>
      <c r="E13">
        <f t="shared" si="1"/>
        <v>0.9830853756404716</v>
      </c>
      <c r="G13">
        <f t="shared" ca="1" si="2"/>
        <v>11</v>
      </c>
      <c r="H13">
        <f t="shared" ca="1" si="3"/>
        <v>10.813939132045189</v>
      </c>
      <c r="I13">
        <f t="shared" ca="1" si="4"/>
        <v>8439.3925392308684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506</v>
      </c>
      <c r="B15" s="66">
        <v>506</v>
      </c>
      <c r="D15">
        <f t="shared" si="0"/>
        <v>0.78091240200012346</v>
      </c>
      <c r="E15">
        <f t="shared" si="1"/>
        <v>0.78091240200012346</v>
      </c>
      <c r="G15">
        <f t="shared" ca="1" si="2"/>
        <v>13</v>
      </c>
      <c r="H15">
        <f t="shared" ca="1" si="3"/>
        <v>10.151861226001605</v>
      </c>
      <c r="I15">
        <f t="shared" ca="1" si="4"/>
        <v>6417.5266931614569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726</v>
      </c>
      <c r="B18" s="66">
        <v>726</v>
      </c>
      <c r="D18">
        <f t="shared" si="0"/>
        <v>1.1204395333045249</v>
      </c>
      <c r="E18">
        <f t="shared" si="1"/>
        <v>1.1204395333045249</v>
      </c>
      <c r="G18">
        <f t="shared" ca="1" si="2"/>
        <v>16</v>
      </c>
      <c r="H18">
        <f t="shared" ca="1" si="3"/>
        <v>17.927032532872399</v>
      </c>
      <c r="I18">
        <f t="shared" ca="1" si="4"/>
        <v>8608.411712940313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1286</v>
      </c>
      <c r="B21" s="66">
        <v>1286</v>
      </c>
      <c r="D21">
        <f t="shared" si="0"/>
        <v>1.9846904129884562</v>
      </c>
      <c r="E21">
        <f t="shared" si="1"/>
        <v>1.9846904129884562</v>
      </c>
      <c r="G21">
        <f t="shared" ca="1" si="2"/>
        <v>19</v>
      </c>
      <c r="H21">
        <f t="shared" ca="1" si="3"/>
        <v>37.709117846780664</v>
      </c>
      <c r="I21">
        <f t="shared" ca="1" si="4"/>
        <v>14222.585457875239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2792</v>
      </c>
      <c r="B23" s="66">
        <v>2792</v>
      </c>
      <c r="D23">
        <f t="shared" si="0"/>
        <v>4.3089079572813134</v>
      </c>
      <c r="E23">
        <f t="shared" si="1"/>
        <v>4.3089079572813134</v>
      </c>
      <c r="G23">
        <f t="shared" ca="1" si="2"/>
        <v>21</v>
      </c>
      <c r="H23">
        <f t="shared" ca="1" si="3"/>
        <v>90.487067102907588</v>
      </c>
      <c r="I23">
        <f t="shared" ca="1" si="4"/>
        <v>29436.458515356397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5434</v>
      </c>
      <c r="B26" s="66">
        <v>5434</v>
      </c>
      <c r="D26">
        <f t="shared" si="0"/>
        <v>8.3863201432187164</v>
      </c>
      <c r="E26">
        <f t="shared" si="1"/>
        <v>8.3863201432187164</v>
      </c>
      <c r="G26">
        <f t="shared" ca="1" si="2"/>
        <v>24</v>
      </c>
      <c r="H26">
        <f t="shared" ca="1" si="3"/>
        <v>201.27168343724918</v>
      </c>
      <c r="I26">
        <f t="shared" ca="1" si="4"/>
        <v>53207.989912471872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8041</v>
      </c>
      <c r="B28" s="66">
        <v>8041</v>
      </c>
      <c r="D28">
        <f t="shared" si="0"/>
        <v>12.409716649175875</v>
      </c>
      <c r="E28">
        <f t="shared" si="1"/>
        <v>12.409716649175875</v>
      </c>
      <c r="G28">
        <f t="shared" ca="1" si="2"/>
        <v>26</v>
      </c>
      <c r="H28">
        <f t="shared" ca="1" si="3"/>
        <v>322.65263287857277</v>
      </c>
      <c r="I28">
        <f t="shared" ca="1" si="4"/>
        <v>74830.649087606129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11103</v>
      </c>
      <c r="B31" s="66">
        <v>11103</v>
      </c>
      <c r="D31">
        <f t="shared" si="0"/>
        <v>17.135316994876227</v>
      </c>
      <c r="E31">
        <f t="shared" si="1"/>
        <v>17.135316994876227</v>
      </c>
      <c r="G31">
        <f t="shared" ca="1" si="2"/>
        <v>29</v>
      </c>
      <c r="H31">
        <f t="shared" ca="1" si="3"/>
        <v>496.92419285141057</v>
      </c>
      <c r="I31">
        <f t="shared" ca="1" si="4"/>
        <v>95496.5956201269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7804</v>
      </c>
      <c r="B33" s="66">
        <v>7804</v>
      </c>
      <c r="D33">
        <f t="shared" si="0"/>
        <v>12.043953330452497</v>
      </c>
      <c r="E33">
        <f t="shared" si="1"/>
        <v>12.043953330452497</v>
      </c>
      <c r="G33">
        <f t="shared" ca="1" si="2"/>
        <v>31</v>
      </c>
      <c r="H33">
        <f t="shared" ca="1" si="3"/>
        <v>373.36255324402742</v>
      </c>
      <c r="I33">
        <f t="shared" ca="1" si="4"/>
        <v>63573.68973472435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9741</v>
      </c>
      <c r="B36" s="66">
        <v>9741</v>
      </c>
      <c r="D36">
        <f t="shared" si="0"/>
        <v>15.033335391073523</v>
      </c>
      <c r="E36">
        <f t="shared" si="1"/>
        <v>15.033335391073523</v>
      </c>
      <c r="G36">
        <f t="shared" ca="1" si="2"/>
        <v>34</v>
      </c>
      <c r="H36">
        <f t="shared" ca="1" si="3"/>
        <v>511.13340329649981</v>
      </c>
      <c r="I36">
        <f t="shared" ca="1" si="4"/>
        <v>72935.053121521341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8604</v>
      </c>
      <c r="B39" s="66">
        <v>8604</v>
      </c>
      <c r="D39">
        <f t="shared" si="0"/>
        <v>13.278597444286685</v>
      </c>
      <c r="E39">
        <f t="shared" si="1"/>
        <v>13.278597444286685</v>
      </c>
      <c r="G39">
        <f t="shared" ca="1" si="2"/>
        <v>37</v>
      </c>
      <c r="H39">
        <f t="shared" ca="1" si="3"/>
        <v>491.30810543860736</v>
      </c>
      <c r="I39">
        <f t="shared" ca="1" si="4"/>
        <v>58991.979663510225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7350</v>
      </c>
      <c r="B41" s="66">
        <v>7350</v>
      </c>
      <c r="D41">
        <f t="shared" si="0"/>
        <v>11.343292795851596</v>
      </c>
      <c r="E41">
        <f t="shared" si="1"/>
        <v>11.343292795851596</v>
      </c>
      <c r="G41">
        <f t="shared" ca="1" si="2"/>
        <v>39</v>
      </c>
      <c r="H41">
        <f t="shared" ca="1" si="3"/>
        <v>442.38841903821225</v>
      </c>
      <c r="I41">
        <f t="shared" ca="1" si="4"/>
        <v>47415.235334611003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7249</v>
      </c>
      <c r="B44" s="66">
        <v>7249</v>
      </c>
      <c r="D44">
        <f t="shared" si="0"/>
        <v>11.18741897648003</v>
      </c>
      <c r="E44">
        <f t="shared" si="1"/>
        <v>11.18741897648003</v>
      </c>
      <c r="G44">
        <f t="shared" ca="1" si="2"/>
        <v>42</v>
      </c>
      <c r="H44">
        <f t="shared" ca="1" si="3"/>
        <v>469.87159701216126</v>
      </c>
      <c r="I44">
        <f t="shared" ca="1" si="4"/>
        <v>42524.557596741244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7574</v>
      </c>
      <c r="B46" s="66">
        <v>7574</v>
      </c>
      <c r="D46">
        <f t="shared" si="0"/>
        <v>11.688993147725169</v>
      </c>
      <c r="E46">
        <f t="shared" si="1"/>
        <v>11.688993147725169</v>
      </c>
      <c r="G46">
        <f t="shared" ca="1" si="2"/>
        <v>44</v>
      </c>
      <c r="H46">
        <f t="shared" ca="1" si="3"/>
        <v>514.3156984999074</v>
      </c>
      <c r="I46">
        <f t="shared" ca="1" si="4"/>
        <v>41595.198944108342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11968</v>
      </c>
      <c r="B49" s="66">
        <v>11968</v>
      </c>
      <c r="D49">
        <f t="shared" si="0"/>
        <v>18.470275942959443</v>
      </c>
      <c r="E49">
        <f t="shared" si="1"/>
        <v>18.470275942959443</v>
      </c>
      <c r="G49">
        <f t="shared" ca="1" si="2"/>
        <v>47</v>
      </c>
      <c r="H49">
        <f t="shared" ca="1" si="3"/>
        <v>868.10296931909386</v>
      </c>
      <c r="I49">
        <f t="shared" ca="1" si="4"/>
        <v>59281.72218944112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10146</v>
      </c>
      <c r="B51" s="66">
        <v>10146</v>
      </c>
      <c r="D51">
        <f t="shared" si="0"/>
        <v>15.65837397370208</v>
      </c>
      <c r="E51">
        <f t="shared" si="1"/>
        <v>15.65837397370208</v>
      </c>
      <c r="G51">
        <f t="shared" ca="1" si="2"/>
        <v>49</v>
      </c>
      <c r="H51">
        <f t="shared" ca="1" si="3"/>
        <v>767.26032471140195</v>
      </c>
      <c r="I51">
        <f t="shared" ca="1" si="4"/>
        <v>46770.965518729681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13776</v>
      </c>
      <c r="B54" s="66">
        <v>13776</v>
      </c>
      <c r="D54">
        <f t="shared" si="0"/>
        <v>21.260571640224704</v>
      </c>
      <c r="E54">
        <f t="shared" si="1"/>
        <v>21.260571640224704</v>
      </c>
      <c r="G54">
        <f t="shared" ca="1" si="2"/>
        <v>52</v>
      </c>
      <c r="H54">
        <f t="shared" ca="1" si="3"/>
        <v>1105.5497252916846</v>
      </c>
      <c r="I54">
        <f t="shared" ca="1" si="4"/>
        <v>56724.123837237719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14542</v>
      </c>
      <c r="B57" s="66">
        <v>14542</v>
      </c>
      <c r="D57">
        <f t="shared" si="0"/>
        <v>22.442743379220939</v>
      </c>
      <c r="E57">
        <f t="shared" si="1"/>
        <v>22.442743379220939</v>
      </c>
      <c r="G57">
        <f t="shared" ca="1" si="2"/>
        <v>55</v>
      </c>
      <c r="H57">
        <f t="shared" ca="1" si="3"/>
        <v>1234.3508858571518</v>
      </c>
      <c r="I57">
        <f t="shared" ca="1" si="4"/>
        <v>53124.769587365648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14824</v>
      </c>
      <c r="B59" s="66">
        <v>14824</v>
      </c>
      <c r="D59">
        <f t="shared" si="0"/>
        <v>22.877955429347491</v>
      </c>
      <c r="E59">
        <f t="shared" si="1"/>
        <v>22.877955429347491</v>
      </c>
      <c r="G59">
        <f t="shared" ca="1" si="2"/>
        <v>57</v>
      </c>
      <c r="H59">
        <f t="shared" ca="1" si="3"/>
        <v>1304.0434594728069</v>
      </c>
      <c r="I59">
        <f t="shared" ca="1" si="4"/>
        <v>49794.148321019587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17383</v>
      </c>
      <c r="B62" s="66">
        <v>17383</v>
      </c>
      <c r="D62">
        <f t="shared" si="0"/>
        <v>26.827273288474597</v>
      </c>
      <c r="E62">
        <f t="shared" si="1"/>
        <v>26.827273288474597</v>
      </c>
      <c r="G62">
        <f t="shared" ca="1" si="2"/>
        <v>60</v>
      </c>
      <c r="H62">
        <f t="shared" ca="1" si="3"/>
        <v>1609.6363973084758</v>
      </c>
      <c r="I62">
        <f t="shared" ca="1" si="4"/>
        <v>51121.878631704894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17844</v>
      </c>
      <c r="B64" s="66">
        <v>17844</v>
      </c>
      <c r="D64">
        <f t="shared" si="0"/>
        <v>27.538736959071549</v>
      </c>
      <c r="E64">
        <f t="shared" si="1"/>
        <v>27.538736959071549</v>
      </c>
      <c r="G64">
        <f t="shared" ca="1" si="2"/>
        <v>62</v>
      </c>
      <c r="H64">
        <f t="shared" ca="1" si="3"/>
        <v>1707.401691462436</v>
      </c>
      <c r="I64">
        <f t="shared" ca="1" si="4"/>
        <v>47779.188696482226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18768</v>
      </c>
      <c r="B67" s="66">
        <v>18768</v>
      </c>
      <c r="D67">
        <f t="shared" ref="D67:D130" si="5">IFERROR(100*A67/MAX(A$2:A$257), 0 )</f>
        <v>28.964750910550034</v>
      </c>
      <c r="E67">
        <f t="shared" ref="E67:E130" si="6">IFERROR(100*B67/MAX(B$2:B$257), 0 )</f>
        <v>28.964750910550034</v>
      </c>
      <c r="G67">
        <f t="shared" ref="G67:G130" ca="1" si="7">CELL("row",D67)-2</f>
        <v>65</v>
      </c>
      <c r="H67">
        <f t="shared" ref="H67:H130" ca="1" si="8">D67*G67</f>
        <v>1882.7088091857522</v>
      </c>
      <c r="I67">
        <f t="shared" ref="I67:I130" ca="1" si="9">D67*((G67-$L$1)^2)</f>
        <v>43275.147946796089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19884</v>
      </c>
      <c r="B69" s="66">
        <v>19884</v>
      </c>
      <c r="D69">
        <f t="shared" si="5"/>
        <v>30.687079449348726</v>
      </c>
      <c r="E69">
        <f t="shared" si="6"/>
        <v>30.687079449348726</v>
      </c>
      <c r="G69">
        <f t="shared" ca="1" si="7"/>
        <v>67</v>
      </c>
      <c r="H69">
        <f t="shared" ca="1" si="8"/>
        <v>2056.0343231063648</v>
      </c>
      <c r="I69">
        <f t="shared" ca="1" si="9"/>
        <v>41226.559171226036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18330</v>
      </c>
      <c r="B72" s="66">
        <v>18330</v>
      </c>
      <c r="D72">
        <f t="shared" si="5"/>
        <v>28.288783258225816</v>
      </c>
      <c r="E72">
        <f t="shared" si="6"/>
        <v>28.288783258225816</v>
      </c>
      <c r="G72">
        <f t="shared" ca="1" si="7"/>
        <v>70</v>
      </c>
      <c r="H72">
        <f t="shared" ca="1" si="8"/>
        <v>1980.2148280758072</v>
      </c>
      <c r="I72">
        <f t="shared" ca="1" si="9"/>
        <v>32037.936638841016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19227</v>
      </c>
      <c r="B75" s="66">
        <v>19227</v>
      </c>
      <c r="D75">
        <f t="shared" si="5"/>
        <v>29.673127970862399</v>
      </c>
      <c r="E75">
        <f t="shared" si="6"/>
        <v>29.673127970862399</v>
      </c>
      <c r="G75">
        <f t="shared" ca="1" si="7"/>
        <v>73</v>
      </c>
      <c r="H75">
        <f t="shared" ca="1" si="8"/>
        <v>2166.1383418729552</v>
      </c>
      <c r="I75">
        <f t="shared" ca="1" si="9"/>
        <v>27881.251440452339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23110</v>
      </c>
      <c r="B77" s="66">
        <v>23110</v>
      </c>
      <c r="D77">
        <f t="shared" si="5"/>
        <v>35.665781838385087</v>
      </c>
      <c r="E77">
        <f t="shared" si="6"/>
        <v>35.665781838385087</v>
      </c>
      <c r="G77">
        <f t="shared" ca="1" si="7"/>
        <v>75</v>
      </c>
      <c r="H77">
        <f t="shared" ca="1" si="8"/>
        <v>2674.9336378788817</v>
      </c>
      <c r="I77">
        <f t="shared" ca="1" si="9"/>
        <v>29281.621204694569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26673</v>
      </c>
      <c r="B80" s="66">
        <v>26673</v>
      </c>
      <c r="D80">
        <f t="shared" si="5"/>
        <v>41.164578060374097</v>
      </c>
      <c r="E80">
        <f t="shared" si="6"/>
        <v>41.164578060374097</v>
      </c>
      <c r="G80">
        <f t="shared" ca="1" si="7"/>
        <v>78</v>
      </c>
      <c r="H80">
        <f t="shared" ca="1" si="8"/>
        <v>3210.8370887091796</v>
      </c>
      <c r="I80">
        <f t="shared" ca="1" si="9"/>
        <v>27089.658554644157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32001</v>
      </c>
      <c r="B82" s="66">
        <v>32001</v>
      </c>
      <c r="D82">
        <f t="shared" si="5"/>
        <v>49.387307858509786</v>
      </c>
      <c r="E82">
        <f t="shared" si="6"/>
        <v>49.387307858509786</v>
      </c>
      <c r="G82">
        <f t="shared" ca="1" si="7"/>
        <v>80</v>
      </c>
      <c r="H82">
        <f t="shared" ca="1" si="8"/>
        <v>3950.9846286807829</v>
      </c>
      <c r="I82">
        <f t="shared" ca="1" si="9"/>
        <v>27630.685307226166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36112</v>
      </c>
      <c r="B85" s="66">
        <v>36112</v>
      </c>
      <c r="D85">
        <f t="shared" si="5"/>
        <v>55.731835298475211</v>
      </c>
      <c r="E85">
        <f t="shared" si="6"/>
        <v>55.731835298475211</v>
      </c>
      <c r="G85">
        <f t="shared" ca="1" si="7"/>
        <v>83</v>
      </c>
      <c r="H85">
        <f t="shared" ca="1" si="8"/>
        <v>4625.7423297734422</v>
      </c>
      <c r="I85">
        <f t="shared" ca="1" si="9"/>
        <v>23772.454935517999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42355</v>
      </c>
      <c r="B88" s="66">
        <v>42355</v>
      </c>
      <c r="D88">
        <f t="shared" si="5"/>
        <v>65.366689301808748</v>
      </c>
      <c r="E88">
        <f t="shared" si="6"/>
        <v>65.366689301808748</v>
      </c>
      <c r="G88">
        <f t="shared" ca="1" si="7"/>
        <v>86</v>
      </c>
      <c r="H88">
        <f t="shared" ca="1" si="8"/>
        <v>5621.5352799555521</v>
      </c>
      <c r="I88">
        <f t="shared" ca="1" si="9"/>
        <v>20370.358714902741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45417</v>
      </c>
      <c r="B90" s="66">
        <v>45417</v>
      </c>
      <c r="D90">
        <f t="shared" si="5"/>
        <v>70.092289647509105</v>
      </c>
      <c r="E90">
        <f t="shared" si="6"/>
        <v>70.092289647509105</v>
      </c>
      <c r="G90">
        <f t="shared" ca="1" si="7"/>
        <v>88</v>
      </c>
      <c r="H90">
        <f t="shared" ca="1" si="8"/>
        <v>6168.1214889808016</v>
      </c>
      <c r="I90">
        <f t="shared" ca="1" si="9"/>
        <v>17173.990562969644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44199</v>
      </c>
      <c r="B93" s="66">
        <v>44199</v>
      </c>
      <c r="D93">
        <f t="shared" si="5"/>
        <v>68.212543984196557</v>
      </c>
      <c r="E93">
        <f t="shared" si="6"/>
        <v>68.212543984196557</v>
      </c>
      <c r="G93">
        <f t="shared" ca="1" si="7"/>
        <v>91</v>
      </c>
      <c r="H93">
        <f t="shared" ca="1" si="8"/>
        <v>6207.341502561887</v>
      </c>
      <c r="I93">
        <f t="shared" ca="1" si="9"/>
        <v>10920.900270072156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49788</v>
      </c>
      <c r="B95" s="66">
        <v>49788</v>
      </c>
      <c r="D95">
        <f t="shared" si="5"/>
        <v>76.838076424470643</v>
      </c>
      <c r="E95">
        <f t="shared" si="6"/>
        <v>76.838076424470643</v>
      </c>
      <c r="G95">
        <f t="shared" ca="1" si="7"/>
        <v>93</v>
      </c>
      <c r="H95">
        <f t="shared" ca="1" si="8"/>
        <v>7145.94110747577</v>
      </c>
      <c r="I95">
        <f t="shared" ca="1" si="9"/>
        <v>8720.2485579979057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58196</v>
      </c>
      <c r="B98" s="66">
        <v>58196</v>
      </c>
      <c r="D98">
        <f t="shared" si="5"/>
        <v>89.814186060867954</v>
      </c>
      <c r="E98">
        <f t="shared" si="6"/>
        <v>89.814186060867954</v>
      </c>
      <c r="G98">
        <f t="shared" ca="1" si="7"/>
        <v>96</v>
      </c>
      <c r="H98">
        <f t="shared" ca="1" si="8"/>
        <v>8622.161861843324</v>
      </c>
      <c r="I98">
        <f t="shared" ca="1" si="9"/>
        <v>5260.4177331858873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63285</v>
      </c>
      <c r="B100" s="66">
        <v>63285</v>
      </c>
      <c r="D100">
        <f t="shared" si="5"/>
        <v>97.668065929995677</v>
      </c>
      <c r="E100">
        <f t="shared" si="6"/>
        <v>97.668065929995677</v>
      </c>
      <c r="G100">
        <f t="shared" ca="1" si="7"/>
        <v>98</v>
      </c>
      <c r="H100">
        <f t="shared" ca="1" si="8"/>
        <v>9571.4704611395755</v>
      </c>
      <c r="I100">
        <f t="shared" ca="1" si="9"/>
        <v>3121.2361296543559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64796</v>
      </c>
      <c r="B103" s="66">
        <v>64796</v>
      </c>
      <c r="D103">
        <f t="shared" si="5"/>
        <v>100</v>
      </c>
      <c r="E103">
        <f t="shared" si="6"/>
        <v>100</v>
      </c>
      <c r="G103">
        <f t="shared" ca="1" si="7"/>
        <v>101</v>
      </c>
      <c r="H103">
        <f t="shared" ca="1" si="8"/>
        <v>10100</v>
      </c>
      <c r="I103">
        <f t="shared" ca="1" si="9"/>
        <v>703.89638479110602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62936</v>
      </c>
      <c r="B106" s="66">
        <v>62936</v>
      </c>
      <c r="D106">
        <f t="shared" si="5"/>
        <v>97.129452435335509</v>
      </c>
      <c r="E106">
        <f t="shared" si="6"/>
        <v>97.129452435335509</v>
      </c>
      <c r="G106">
        <f t="shared" ca="1" si="7"/>
        <v>104</v>
      </c>
      <c r="H106">
        <f t="shared" ca="1" si="8"/>
        <v>10101.463053274892</v>
      </c>
      <c r="I106">
        <f t="shared" ca="1" si="9"/>
        <v>11.68821260789163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63784</v>
      </c>
      <c r="B108" s="66">
        <v>63784</v>
      </c>
      <c r="D108">
        <f t="shared" si="5"/>
        <v>98.438175195999747</v>
      </c>
      <c r="E108">
        <f t="shared" si="6"/>
        <v>98.438175195999747</v>
      </c>
      <c r="G108">
        <f t="shared" ca="1" si="7"/>
        <v>106</v>
      </c>
      <c r="H108">
        <f t="shared" ca="1" si="8"/>
        <v>10434.446570775974</v>
      </c>
      <c r="I108">
        <f t="shared" ca="1" si="9"/>
        <v>542.18941373229723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62825</v>
      </c>
      <c r="B111" s="66">
        <v>62825</v>
      </c>
      <c r="D111">
        <f t="shared" si="5"/>
        <v>96.958145564541027</v>
      </c>
      <c r="E111">
        <f t="shared" si="6"/>
        <v>96.958145564541027</v>
      </c>
      <c r="G111">
        <f t="shared" ca="1" si="7"/>
        <v>109</v>
      </c>
      <c r="H111">
        <f t="shared" ca="1" si="8"/>
        <v>10568.437866534972</v>
      </c>
      <c r="I111">
        <f t="shared" ca="1" si="9"/>
        <v>2771.9646153295153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61206</v>
      </c>
      <c r="B113" s="66">
        <v>61206</v>
      </c>
      <c r="D113">
        <f t="shared" si="5"/>
        <v>94.459534539169084</v>
      </c>
      <c r="E113">
        <f t="shared" si="6"/>
        <v>94.459534539169084</v>
      </c>
      <c r="G113">
        <f t="shared" ca="1" si="7"/>
        <v>111</v>
      </c>
      <c r="H113">
        <f t="shared" ca="1" si="8"/>
        <v>10485.008333847769</v>
      </c>
      <c r="I113">
        <f t="shared" ca="1" si="9"/>
        <v>5098.6302513841692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58368</v>
      </c>
      <c r="B116" s="66">
        <v>58368</v>
      </c>
      <c r="D116">
        <f t="shared" si="5"/>
        <v>90.079634545342302</v>
      </c>
      <c r="E116">
        <f t="shared" si="6"/>
        <v>90.079634545342302</v>
      </c>
      <c r="G116">
        <f t="shared" ca="1" si="7"/>
        <v>114</v>
      </c>
      <c r="H116">
        <f t="shared" ca="1" si="8"/>
        <v>10269.078338169022</v>
      </c>
      <c r="I116">
        <f t="shared" ca="1" si="9"/>
        <v>9643.7675922310482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53486</v>
      </c>
      <c r="B118" s="66">
        <v>53486</v>
      </c>
      <c r="D118">
        <f t="shared" si="5"/>
        <v>82.545218840669179</v>
      </c>
      <c r="E118">
        <f t="shared" si="6"/>
        <v>82.545218840669179</v>
      </c>
      <c r="G118">
        <f t="shared" ca="1" si="7"/>
        <v>116</v>
      </c>
      <c r="H118">
        <f t="shared" ca="1" si="8"/>
        <v>9575.2453855176245</v>
      </c>
      <c r="I118">
        <f t="shared" ca="1" si="9"/>
        <v>12583.674135593779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55693</v>
      </c>
      <c r="B121" s="66">
        <v>55693</v>
      </c>
      <c r="D121">
        <f t="shared" si="5"/>
        <v>85.951293289709241</v>
      </c>
      <c r="E121">
        <f t="shared" si="6"/>
        <v>85.951293289709241</v>
      </c>
      <c r="G121">
        <f t="shared" ca="1" si="7"/>
        <v>119</v>
      </c>
      <c r="H121">
        <f t="shared" ca="1" si="8"/>
        <v>10228.203901475399</v>
      </c>
      <c r="I121">
        <f t="shared" ca="1" si="9"/>
        <v>20243.867393810408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53119</v>
      </c>
      <c r="B124" s="66">
        <v>53119</v>
      </c>
      <c r="D124">
        <f t="shared" si="5"/>
        <v>81.978825853447745</v>
      </c>
      <c r="E124">
        <f t="shared" si="6"/>
        <v>81.978825853447745</v>
      </c>
      <c r="G124">
        <f t="shared" ca="1" si="7"/>
        <v>122</v>
      </c>
      <c r="H124">
        <f t="shared" ca="1" si="8"/>
        <v>10001.416754120624</v>
      </c>
      <c r="I124">
        <f t="shared" ca="1" si="9"/>
        <v>27594.775504642093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50932</v>
      </c>
      <c r="B126" s="66">
        <v>50932</v>
      </c>
      <c r="D126">
        <f t="shared" si="5"/>
        <v>78.603617507253531</v>
      </c>
      <c r="E126">
        <f t="shared" si="6"/>
        <v>78.603617507253531</v>
      </c>
      <c r="G126">
        <f t="shared" ca="1" si="7"/>
        <v>124</v>
      </c>
      <c r="H126">
        <f t="shared" ca="1" si="8"/>
        <v>9746.8485708994376</v>
      </c>
      <c r="I126">
        <f t="shared" ca="1" si="9"/>
        <v>32541.595317040566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51481</v>
      </c>
      <c r="B129" s="66">
        <v>51481</v>
      </c>
      <c r="D129">
        <f t="shared" si="5"/>
        <v>79.450892030372245</v>
      </c>
      <c r="E129">
        <f t="shared" si="6"/>
        <v>79.450892030372245</v>
      </c>
      <c r="G129">
        <f t="shared" ca="1" si="7"/>
        <v>127</v>
      </c>
      <c r="H129">
        <f t="shared" ca="1" si="8"/>
        <v>10090.263287857275</v>
      </c>
      <c r="I129">
        <f t="shared" ca="1" si="9"/>
        <v>43306.895691837373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52899</v>
      </c>
      <c r="B131" s="66">
        <v>52899</v>
      </c>
      <c r="D131">
        <f t="shared" ref="D131:D194" si="10">IFERROR(100*A131/MAX(A$2:A$257), 0 )</f>
        <v>81.639298722143337</v>
      </c>
      <c r="E131">
        <f t="shared" ref="E131:E194" si="11">IFERROR(100*B131/MAX(B$2:B$257), 0 )</f>
        <v>81.639298722143337</v>
      </c>
      <c r="G131">
        <f t="shared" ref="G131:G194" ca="1" si="12">CELL("row",D131)-2</f>
        <v>129</v>
      </c>
      <c r="H131">
        <f t="shared" ref="H131:H194" ca="1" si="13">D131*G131</f>
        <v>10531.46953515649</v>
      </c>
      <c r="I131">
        <f t="shared" ref="I131:I194" ca="1" si="14">D131*((G131-$L$1)^2)</f>
        <v>52450.400874540726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54341</v>
      </c>
      <c r="B134" s="66">
        <v>54341</v>
      </c>
      <c r="D134">
        <f t="shared" si="10"/>
        <v>83.86474473732946</v>
      </c>
      <c r="E134">
        <f t="shared" si="11"/>
        <v>83.86474473732946</v>
      </c>
      <c r="G134">
        <f t="shared" ca="1" si="12"/>
        <v>132</v>
      </c>
      <c r="H134">
        <f t="shared" ca="1" si="13"/>
        <v>11070.146305327489</v>
      </c>
      <c r="I134">
        <f t="shared" ca="1" si="14"/>
        <v>67389.220483589379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56163</v>
      </c>
      <c r="B136" s="66">
        <v>56163</v>
      </c>
      <c r="D136">
        <f t="shared" si="10"/>
        <v>86.676646706586823</v>
      </c>
      <c r="E136">
        <f t="shared" si="11"/>
        <v>86.676646706586823</v>
      </c>
      <c r="G136">
        <f t="shared" ca="1" si="12"/>
        <v>134</v>
      </c>
      <c r="H136">
        <f t="shared" ca="1" si="13"/>
        <v>11614.670658682635</v>
      </c>
      <c r="I136">
        <f t="shared" ca="1" si="14"/>
        <v>79823.476364128146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54037</v>
      </c>
      <c r="B139" s="66">
        <v>54037</v>
      </c>
      <c r="D139">
        <f t="shared" si="10"/>
        <v>83.395579974072476</v>
      </c>
      <c r="E139">
        <f t="shared" si="11"/>
        <v>83.395579974072476</v>
      </c>
      <c r="G139">
        <f t="shared" ca="1" si="12"/>
        <v>137</v>
      </c>
      <c r="H139">
        <f t="shared" ca="1" si="13"/>
        <v>11425.194456447929</v>
      </c>
      <c r="I139">
        <f t="shared" ca="1" si="14"/>
        <v>92737.172138875889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44439</v>
      </c>
      <c r="B142" s="66">
        <v>44439</v>
      </c>
      <c r="D142">
        <f t="shared" si="10"/>
        <v>68.582937218346814</v>
      </c>
      <c r="E142">
        <f t="shared" si="11"/>
        <v>68.582937218346814</v>
      </c>
      <c r="G142">
        <f t="shared" ca="1" si="12"/>
        <v>140</v>
      </c>
      <c r="H142">
        <f t="shared" ca="1" si="13"/>
        <v>9601.6112105685534</v>
      </c>
      <c r="I142">
        <f t="shared" ca="1" si="14"/>
        <v>90604.699411980633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33247</v>
      </c>
      <c r="B144" s="66">
        <v>33247</v>
      </c>
      <c r="D144">
        <f t="shared" si="10"/>
        <v>51.31026606580653</v>
      </c>
      <c r="E144">
        <f t="shared" si="11"/>
        <v>51.31026606580653</v>
      </c>
      <c r="G144">
        <f t="shared" ca="1" si="12"/>
        <v>142</v>
      </c>
      <c r="H144">
        <f t="shared" ca="1" si="13"/>
        <v>7286.057781344527</v>
      </c>
      <c r="I144">
        <f t="shared" ca="1" si="14"/>
        <v>75450.945259816028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26507</v>
      </c>
      <c r="B147" s="66">
        <v>26507</v>
      </c>
      <c r="D147">
        <f t="shared" si="10"/>
        <v>40.9083894067535</v>
      </c>
      <c r="E147">
        <f t="shared" si="11"/>
        <v>40.9083894067535</v>
      </c>
      <c r="G147">
        <f t="shared" ca="1" si="12"/>
        <v>145</v>
      </c>
      <c r="H147">
        <f t="shared" ca="1" si="13"/>
        <v>5931.7164639792572</v>
      </c>
      <c r="I147">
        <f t="shared" ca="1" si="14"/>
        <v>69935.581903346145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15363</v>
      </c>
      <c r="B149" s="66">
        <v>15363</v>
      </c>
      <c r="D149">
        <f t="shared" si="10"/>
        <v>23.709796901043273</v>
      </c>
      <c r="E149">
        <f t="shared" si="11"/>
        <v>23.709796901043273</v>
      </c>
      <c r="G149">
        <f t="shared" ca="1" si="12"/>
        <v>147</v>
      </c>
      <c r="H149">
        <f t="shared" ca="1" si="13"/>
        <v>3485.3401444533611</v>
      </c>
      <c r="I149">
        <f t="shared" ca="1" si="14"/>
        <v>44549.60216344217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11887</v>
      </c>
      <c r="B152" s="66">
        <v>11887</v>
      </c>
      <c r="D152">
        <f t="shared" si="10"/>
        <v>18.345268226433731</v>
      </c>
      <c r="E152">
        <f t="shared" si="11"/>
        <v>18.345268226433731</v>
      </c>
      <c r="G152">
        <f t="shared" ca="1" si="12"/>
        <v>150</v>
      </c>
      <c r="H152">
        <f t="shared" ca="1" si="13"/>
        <v>2751.7902339650595</v>
      </c>
      <c r="I152">
        <f t="shared" ca="1" si="14"/>
        <v>39406.273028366995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8950</v>
      </c>
      <c r="B154" s="66">
        <v>8950</v>
      </c>
      <c r="D154">
        <f t="shared" si="10"/>
        <v>13.81258102351997</v>
      </c>
      <c r="E154">
        <f t="shared" si="11"/>
        <v>13.81258102351997</v>
      </c>
      <c r="G154">
        <f t="shared" ca="1" si="12"/>
        <v>152</v>
      </c>
      <c r="H154">
        <f t="shared" ca="1" si="13"/>
        <v>2099.5123155750352</v>
      </c>
      <c r="I154">
        <f t="shared" ca="1" si="14"/>
        <v>32285.834876311255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7404</v>
      </c>
      <c r="B157" s="66">
        <v>7404</v>
      </c>
      <c r="D157">
        <f t="shared" si="10"/>
        <v>11.426631273535403</v>
      </c>
      <c r="E157">
        <f t="shared" si="11"/>
        <v>11.426631273535403</v>
      </c>
      <c r="G157">
        <f t="shared" ca="1" si="12"/>
        <v>155</v>
      </c>
      <c r="H157">
        <f t="shared" ca="1" si="13"/>
        <v>1771.1278473979874</v>
      </c>
      <c r="I157">
        <f t="shared" ca="1" si="14"/>
        <v>30126.355294364232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4823</v>
      </c>
      <c r="B160" s="66">
        <v>4823</v>
      </c>
      <c r="D160">
        <f t="shared" si="10"/>
        <v>7.4433607012778564</v>
      </c>
      <c r="E160">
        <f t="shared" si="11"/>
        <v>7.4433607012778564</v>
      </c>
      <c r="G160">
        <f t="shared" ca="1" si="12"/>
        <v>158</v>
      </c>
      <c r="H160">
        <f t="shared" ca="1" si="13"/>
        <v>1176.0509908019012</v>
      </c>
      <c r="I160">
        <f t="shared" ca="1" si="14"/>
        <v>21984.598837795122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3547</v>
      </c>
      <c r="B162" s="66">
        <v>3547</v>
      </c>
      <c r="D162">
        <f t="shared" si="10"/>
        <v>5.474103339712328</v>
      </c>
      <c r="E162">
        <f t="shared" si="11"/>
        <v>5.474103339712328</v>
      </c>
      <c r="G162">
        <f t="shared" ca="1" si="12"/>
        <v>160</v>
      </c>
      <c r="H162">
        <f t="shared" ca="1" si="13"/>
        <v>875.85653435397251</v>
      </c>
      <c r="I162">
        <f t="shared" ca="1" si="14"/>
        <v>17380.128249144997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2856</v>
      </c>
      <c r="B165" s="66">
        <v>2856</v>
      </c>
      <c r="D165">
        <f t="shared" si="10"/>
        <v>4.4076794863880489</v>
      </c>
      <c r="E165">
        <f t="shared" si="11"/>
        <v>4.4076794863880489</v>
      </c>
      <c r="G165">
        <f t="shared" ca="1" si="12"/>
        <v>163</v>
      </c>
      <c r="H165">
        <f t="shared" ca="1" si="13"/>
        <v>718.45175628125196</v>
      </c>
      <c r="I165">
        <f t="shared" ca="1" si="14"/>
        <v>15524.085154446773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1838</v>
      </c>
      <c r="B167" s="66">
        <v>1838</v>
      </c>
      <c r="D167">
        <f t="shared" si="10"/>
        <v>2.8365948515340453</v>
      </c>
      <c r="E167">
        <f t="shared" si="11"/>
        <v>2.8365948515340453</v>
      </c>
      <c r="G167">
        <f t="shared" ca="1" si="12"/>
        <v>165</v>
      </c>
      <c r="H167">
        <f t="shared" ca="1" si="13"/>
        <v>468.03815050311749</v>
      </c>
      <c r="I167">
        <f t="shared" ca="1" si="14"/>
        <v>10675.359007505665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810</v>
      </c>
      <c r="B170" s="66">
        <v>810</v>
      </c>
      <c r="D170">
        <f t="shared" si="10"/>
        <v>1.2500771652571145</v>
      </c>
      <c r="E170">
        <f t="shared" si="11"/>
        <v>1.2500771652571145</v>
      </c>
      <c r="G170">
        <f t="shared" ca="1" si="12"/>
        <v>168</v>
      </c>
      <c r="H170">
        <f t="shared" ca="1" si="13"/>
        <v>210.01296376319524</v>
      </c>
      <c r="I170">
        <f t="shared" ca="1" si="14"/>
        <v>5175.9731942142944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240</v>
      </c>
      <c r="B173" s="66">
        <v>240</v>
      </c>
      <c r="D173">
        <f t="shared" si="10"/>
        <v>0.37039323415025621</v>
      </c>
      <c r="E173">
        <f t="shared" si="11"/>
        <v>0.37039323415025621</v>
      </c>
      <c r="G173">
        <f t="shared" ca="1" si="12"/>
        <v>171</v>
      </c>
      <c r="H173">
        <f t="shared" ca="1" si="13"/>
        <v>63.33724303969381</v>
      </c>
      <c r="I173">
        <f t="shared" ca="1" si="14"/>
        <v>1679.9571545218275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380</v>
      </c>
      <c r="B175" s="66">
        <v>380</v>
      </c>
      <c r="D175">
        <f t="shared" si="10"/>
        <v>0.58645595407123896</v>
      </c>
      <c r="E175">
        <f t="shared" si="11"/>
        <v>0.58645595407123896</v>
      </c>
      <c r="G175">
        <f t="shared" ca="1" si="12"/>
        <v>173</v>
      </c>
      <c r="H175">
        <f t="shared" ca="1" si="13"/>
        <v>101.45688005432434</v>
      </c>
      <c r="I175">
        <f t="shared" ca="1" si="14"/>
        <v>2820.2619364001175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387</v>
      </c>
      <c r="B178" s="66">
        <v>387</v>
      </c>
      <c r="D178">
        <f t="shared" si="10"/>
        <v>0.59725909006728806</v>
      </c>
      <c r="E178">
        <f t="shared" si="11"/>
        <v>0.59725909006728806</v>
      </c>
      <c r="G178">
        <f t="shared" ca="1" si="12"/>
        <v>176</v>
      </c>
      <c r="H178">
        <f t="shared" ca="1" si="13"/>
        <v>105.1175998518427</v>
      </c>
      <c r="I178">
        <f t="shared" ca="1" si="14"/>
        <v>3126.0978437647959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42</v>
      </c>
      <c r="B180" s="66">
        <v>42</v>
      </c>
      <c r="D180">
        <f t="shared" si="10"/>
        <v>6.4818815976294838E-2</v>
      </c>
      <c r="E180">
        <f t="shared" si="11"/>
        <v>6.4818815976294838E-2</v>
      </c>
      <c r="G180">
        <f t="shared" ca="1" si="12"/>
        <v>178</v>
      </c>
      <c r="H180">
        <f t="shared" ca="1" si="13"/>
        <v>11.537749243780482</v>
      </c>
      <c r="I180">
        <f t="shared" ca="1" si="14"/>
        <v>358.28346832644257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0.27318599999999998</v>
      </c>
      <c r="B2" s="68">
        <v>0.50904700000000003</v>
      </c>
      <c r="C2" s="68">
        <v>0</v>
      </c>
      <c r="D2" s="68">
        <v>1</v>
      </c>
      <c r="E2" s="68" t="s">
        <v>408</v>
      </c>
    </row>
    <row r="3" spans="1:5">
      <c r="A3" s="68">
        <v>0.28113700000000003</v>
      </c>
      <c r="B3" s="68">
        <v>0.49769799999999997</v>
      </c>
      <c r="C3" s="68">
        <v>0.35889599999999999</v>
      </c>
      <c r="D3" s="89">
        <v>1</v>
      </c>
      <c r="E3" s="68" t="s">
        <v>409</v>
      </c>
    </row>
    <row r="4" spans="1:5">
      <c r="A4" s="68">
        <v>0.28892099999999998</v>
      </c>
      <c r="B4" s="68">
        <v>0.48630099999999998</v>
      </c>
      <c r="C4" s="68">
        <v>0.75948899999999997</v>
      </c>
      <c r="D4" s="89">
        <v>1</v>
      </c>
      <c r="E4" s="68" t="s">
        <v>410</v>
      </c>
    </row>
    <row r="5" spans="1:5">
      <c r="A5" s="89">
        <v>0.29692200000000002</v>
      </c>
      <c r="B5" s="89">
        <v>0.47549000000000002</v>
      </c>
      <c r="C5" s="89">
        <v>1.1672199999999999</v>
      </c>
      <c r="D5" s="89">
        <v>1</v>
      </c>
      <c r="E5" s="68" t="s">
        <v>411</v>
      </c>
    </row>
    <row r="6" spans="1:5">
      <c r="A6" s="68">
        <v>0.30527500000000002</v>
      </c>
      <c r="B6" s="68">
        <v>0.46445700000000001</v>
      </c>
      <c r="C6" s="68">
        <v>1.57213</v>
      </c>
      <c r="D6" s="68">
        <v>1</v>
      </c>
      <c r="E6" s="68" t="s">
        <v>412</v>
      </c>
    </row>
    <row r="7" spans="1:5">
      <c r="A7" s="68">
        <v>0.31375999999999998</v>
      </c>
      <c r="B7" s="68">
        <v>0.452878</v>
      </c>
      <c r="C7" s="68">
        <v>1.9784600000000001</v>
      </c>
      <c r="D7" s="68">
        <v>1</v>
      </c>
      <c r="E7" s="68" t="s">
        <v>413</v>
      </c>
    </row>
    <row r="8" spans="1:5">
      <c r="A8" s="68">
        <v>0.32189499999999999</v>
      </c>
      <c r="B8" s="68">
        <v>0.44364199999999998</v>
      </c>
      <c r="C8" s="68">
        <v>2.38422</v>
      </c>
      <c r="D8" s="68">
        <v>1</v>
      </c>
      <c r="E8" s="68" t="s">
        <v>414</v>
      </c>
    </row>
    <row r="9" spans="1:5">
      <c r="A9" s="68">
        <v>0.329733</v>
      </c>
      <c r="B9" s="68">
        <v>0.43693799999999999</v>
      </c>
      <c r="C9" s="68">
        <v>2.7936399999999999</v>
      </c>
      <c r="D9" s="68">
        <v>1</v>
      </c>
      <c r="E9" s="68" t="s">
        <v>415</v>
      </c>
    </row>
    <row r="10" spans="1:5">
      <c r="A10" s="68">
        <v>0.33716299999999999</v>
      </c>
      <c r="B10" s="68">
        <v>0.43149700000000002</v>
      </c>
      <c r="C10" s="68">
        <v>3.19835</v>
      </c>
      <c r="D10" s="68">
        <v>1</v>
      </c>
      <c r="E10" s="68" t="s">
        <v>416</v>
      </c>
    </row>
    <row r="11" spans="1:5">
      <c r="A11" s="68">
        <v>0.34414600000000001</v>
      </c>
      <c r="B11" s="68">
        <v>0.426068</v>
      </c>
      <c r="C11" s="68">
        <v>3.6044900000000002</v>
      </c>
      <c r="D11" s="68">
        <v>1</v>
      </c>
      <c r="E11" s="68" t="s">
        <v>417</v>
      </c>
    </row>
    <row r="12" spans="1:5">
      <c r="A12" s="68">
        <v>0.35065800000000003</v>
      </c>
      <c r="B12" s="68">
        <v>0.42175699999999999</v>
      </c>
      <c r="C12" s="68">
        <v>4.0093300000000003</v>
      </c>
      <c r="D12" s="68">
        <v>1</v>
      </c>
      <c r="E12" s="68" t="s">
        <v>418</v>
      </c>
    </row>
    <row r="13" spans="1:5">
      <c r="A13" s="68">
        <v>0.356595</v>
      </c>
      <c r="B13" s="68">
        <v>0.41982000000000003</v>
      </c>
      <c r="C13" s="68">
        <v>4.4169600000000004</v>
      </c>
      <c r="D13" s="68">
        <v>1</v>
      </c>
      <c r="E13" s="68" t="s">
        <v>419</v>
      </c>
    </row>
    <row r="14" spans="1:5">
      <c r="A14" s="68">
        <v>0.36263200000000001</v>
      </c>
      <c r="B14" s="68">
        <v>0.41785099999999997</v>
      </c>
      <c r="C14" s="68">
        <v>4.82273</v>
      </c>
      <c r="D14" s="68">
        <v>1</v>
      </c>
      <c r="E14" s="68" t="s">
        <v>420</v>
      </c>
    </row>
    <row r="15" spans="1:5">
      <c r="A15" s="68">
        <v>0.36739699999999997</v>
      </c>
      <c r="B15" s="68">
        <v>0.417298</v>
      </c>
      <c r="C15" s="68">
        <v>5.2306999999999997</v>
      </c>
      <c r="D15" s="68">
        <v>1</v>
      </c>
      <c r="E15" s="68" t="s">
        <v>421</v>
      </c>
    </row>
    <row r="16" spans="1:5">
      <c r="A16" s="68">
        <v>0.373139</v>
      </c>
      <c r="B16" s="68">
        <v>0.415408</v>
      </c>
      <c r="C16" s="68">
        <v>5.6375099999999998</v>
      </c>
      <c r="D16" s="68">
        <v>1</v>
      </c>
      <c r="E16" s="68" t="s">
        <v>422</v>
      </c>
    </row>
    <row r="17" spans="1:5">
      <c r="A17" s="68">
        <v>0.37814599999999998</v>
      </c>
      <c r="B17" s="68">
        <v>0.41578399999999999</v>
      </c>
      <c r="C17" s="68">
        <v>6.0419499999999999</v>
      </c>
      <c r="D17" s="68">
        <v>1</v>
      </c>
      <c r="E17" s="68" t="s">
        <v>423</v>
      </c>
    </row>
    <row r="18" spans="1:5">
      <c r="A18" s="68">
        <v>0.38260100000000002</v>
      </c>
      <c r="B18" s="68">
        <v>0.41662399999999999</v>
      </c>
      <c r="C18" s="68">
        <v>6.4474900000000002</v>
      </c>
      <c r="D18" s="68">
        <v>1</v>
      </c>
      <c r="E18" s="68" t="s">
        <v>424</v>
      </c>
    </row>
    <row r="19" spans="1:5">
      <c r="A19" s="68">
        <v>0.38686300000000001</v>
      </c>
      <c r="B19" s="68">
        <v>0.41677399999999998</v>
      </c>
      <c r="C19" s="68">
        <v>6.85853</v>
      </c>
      <c r="D19" s="68">
        <v>1</v>
      </c>
      <c r="E19" s="68" t="s">
        <v>425</v>
      </c>
    </row>
    <row r="20" spans="1:5">
      <c r="A20" s="68">
        <v>0.39078299999999999</v>
      </c>
      <c r="B20" s="68">
        <v>0.41742699999999999</v>
      </c>
      <c r="C20" s="68">
        <v>7.2621900000000004</v>
      </c>
      <c r="D20" s="68">
        <v>1</v>
      </c>
      <c r="E20" s="68" t="s">
        <v>426</v>
      </c>
    </row>
    <row r="21" spans="1:5">
      <c r="A21" s="68">
        <v>0.39415899999999998</v>
      </c>
      <c r="B21" s="68">
        <v>0.41875899999999999</v>
      </c>
      <c r="C21" s="68">
        <v>7.6648300000000003</v>
      </c>
      <c r="D21" s="68">
        <v>1</v>
      </c>
      <c r="E21" s="68" t="s">
        <v>427</v>
      </c>
    </row>
    <row r="22" spans="1:5">
      <c r="A22" s="68">
        <v>0.39758900000000003</v>
      </c>
      <c r="B22" s="68">
        <v>0.41970400000000002</v>
      </c>
      <c r="C22" s="68">
        <v>8.0768400000000007</v>
      </c>
      <c r="D22" s="68">
        <v>1</v>
      </c>
      <c r="E22" s="68" t="s">
        <v>428</v>
      </c>
    </row>
    <row r="23" spans="1:5">
      <c r="A23" s="68">
        <v>0.40112900000000001</v>
      </c>
      <c r="B23" s="68">
        <v>0.41974299999999998</v>
      </c>
      <c r="C23" s="68">
        <v>8.4807500000000005</v>
      </c>
      <c r="D23" s="68">
        <v>1</v>
      </c>
      <c r="E23" s="68" t="s">
        <v>429</v>
      </c>
    </row>
    <row r="24" spans="1:5">
      <c r="A24" s="68">
        <v>0.40407599999999999</v>
      </c>
      <c r="B24" s="68">
        <v>0.41985600000000001</v>
      </c>
      <c r="C24" s="68">
        <v>8.8898299999999999</v>
      </c>
      <c r="D24" s="68">
        <v>1</v>
      </c>
      <c r="E24" s="68" t="s">
        <v>430</v>
      </c>
    </row>
    <row r="25" spans="1:5">
      <c r="A25" s="68">
        <v>0.40625299999999998</v>
      </c>
      <c r="B25" s="68">
        <v>0.42050599999999999</v>
      </c>
      <c r="C25" s="68">
        <v>9.29359</v>
      </c>
      <c r="D25" s="68">
        <v>1</v>
      </c>
      <c r="E25" s="68" t="s">
        <v>431</v>
      </c>
    </row>
    <row r="26" spans="1:5">
      <c r="A26" s="68">
        <v>0.40791300000000003</v>
      </c>
      <c r="B26" s="68">
        <v>0.42100799999999999</v>
      </c>
      <c r="C26" s="68">
        <v>9.6971299999999996</v>
      </c>
      <c r="D26" s="68">
        <v>1</v>
      </c>
      <c r="E26" s="68" t="s">
        <v>432</v>
      </c>
    </row>
    <row r="27" spans="1:5">
      <c r="A27" s="68">
        <v>0.40937600000000002</v>
      </c>
      <c r="B27" s="68">
        <v>0.42100300000000002</v>
      </c>
      <c r="C27" s="68">
        <v>10.1051</v>
      </c>
      <c r="D27" s="68">
        <v>1</v>
      </c>
      <c r="E27" s="68" t="s">
        <v>433</v>
      </c>
    </row>
    <row r="28" spans="1:5">
      <c r="A28" s="68">
        <v>0.41044599999999998</v>
      </c>
      <c r="B28" s="68">
        <v>0.42079899999999998</v>
      </c>
      <c r="C28" s="68">
        <v>10.512499999999999</v>
      </c>
      <c r="D28" s="68">
        <v>1</v>
      </c>
      <c r="E28" s="68" t="s">
        <v>434</v>
      </c>
    </row>
    <row r="29" spans="1:5">
      <c r="A29" s="68">
        <v>0.41115000000000002</v>
      </c>
      <c r="B29" s="68">
        <v>0.42064600000000002</v>
      </c>
      <c r="C29" s="68">
        <v>10.9185</v>
      </c>
      <c r="D29" s="68">
        <v>1</v>
      </c>
      <c r="E29" s="68" t="s">
        <v>435</v>
      </c>
    </row>
    <row r="30" spans="1:5">
      <c r="A30" s="68">
        <v>0.41186</v>
      </c>
      <c r="B30" s="68">
        <v>0.41997299999999999</v>
      </c>
      <c r="C30" s="68">
        <v>11.323700000000001</v>
      </c>
      <c r="D30" s="68">
        <v>1</v>
      </c>
      <c r="E30" s="68" t="s">
        <v>436</v>
      </c>
    </row>
    <row r="31" spans="1:5">
      <c r="A31" s="68">
        <v>0.41245599999999999</v>
      </c>
      <c r="B31" s="68">
        <v>0.41940300000000003</v>
      </c>
      <c r="C31" s="68">
        <v>11.731199999999999</v>
      </c>
      <c r="D31" s="68">
        <v>1</v>
      </c>
      <c r="E31" s="68" t="s">
        <v>437</v>
      </c>
    </row>
    <row r="32" spans="1:5">
      <c r="A32" s="68">
        <v>0.41244700000000001</v>
      </c>
      <c r="B32" s="68">
        <v>0.41941000000000001</v>
      </c>
      <c r="C32" s="68">
        <v>12.1371</v>
      </c>
      <c r="D32" s="68">
        <v>1</v>
      </c>
      <c r="E32" s="68" t="s">
        <v>438</v>
      </c>
    </row>
    <row r="33" spans="1:5">
      <c r="A33" s="68">
        <v>0.41220200000000001</v>
      </c>
      <c r="B33" s="68">
        <v>0.41990699999999997</v>
      </c>
      <c r="C33" s="68">
        <v>12.541399999999999</v>
      </c>
      <c r="D33" s="68">
        <v>1</v>
      </c>
      <c r="E33" s="68" t="s">
        <v>439</v>
      </c>
    </row>
    <row r="34" spans="1:5">
      <c r="A34" s="68">
        <v>0.41200199999999998</v>
      </c>
      <c r="B34" s="68">
        <v>0.42033399999999999</v>
      </c>
      <c r="C34" s="68">
        <v>12.9513</v>
      </c>
      <c r="D34" s="68">
        <v>1</v>
      </c>
      <c r="E34" s="68" t="s">
        <v>440</v>
      </c>
    </row>
    <row r="35" spans="1:5">
      <c r="A35" s="68">
        <v>0.41187499999999999</v>
      </c>
      <c r="B35" s="68">
        <v>0.42052400000000001</v>
      </c>
      <c r="C35" s="68">
        <v>13.3583</v>
      </c>
      <c r="D35" s="68">
        <v>1</v>
      </c>
      <c r="E35" s="68" t="s">
        <v>441</v>
      </c>
    </row>
    <row r="36" spans="1:5">
      <c r="A36" s="68">
        <v>0.41142699999999999</v>
      </c>
      <c r="B36" s="68">
        <v>0.42097000000000001</v>
      </c>
      <c r="C36" s="68">
        <v>13.7613</v>
      </c>
      <c r="D36" s="68">
        <v>1</v>
      </c>
      <c r="E36" s="68" t="s">
        <v>442</v>
      </c>
    </row>
    <row r="37" spans="1:5">
      <c r="A37" s="68">
        <v>0.410721</v>
      </c>
      <c r="B37" s="68">
        <v>0.42147499999999999</v>
      </c>
      <c r="C37" s="68">
        <v>14.1646</v>
      </c>
      <c r="D37" s="68">
        <v>1</v>
      </c>
      <c r="E37" s="68" t="s">
        <v>443</v>
      </c>
    </row>
    <row r="38" spans="1:5">
      <c r="A38" s="68">
        <v>0.41039100000000001</v>
      </c>
      <c r="B38" s="68">
        <v>0.42140899999999998</v>
      </c>
      <c r="C38" s="68">
        <v>14.573399999999999</v>
      </c>
      <c r="D38" s="68">
        <v>1</v>
      </c>
      <c r="E38" s="68" t="s">
        <v>444</v>
      </c>
    </row>
    <row r="39" spans="1:5">
      <c r="A39" s="68">
        <v>0.40994799999999998</v>
      </c>
      <c r="B39" s="68">
        <v>0.42176799999999998</v>
      </c>
      <c r="C39" s="68">
        <v>14.9801</v>
      </c>
      <c r="D39" s="68">
        <v>1</v>
      </c>
      <c r="E39" s="68" t="s">
        <v>445</v>
      </c>
    </row>
    <row r="40" spans="1:5">
      <c r="A40" s="68">
        <v>0.40857900000000003</v>
      </c>
      <c r="B40" s="68">
        <v>0.42279899999999998</v>
      </c>
      <c r="C40" s="68">
        <v>15.573499999999999</v>
      </c>
      <c r="D40" s="68">
        <v>2</v>
      </c>
      <c r="E40" s="68" t="s">
        <v>446</v>
      </c>
    </row>
    <row r="41" spans="1:5">
      <c r="A41" s="68">
        <v>0.40764299999999998</v>
      </c>
      <c r="B41" s="68">
        <v>0.42330699999999999</v>
      </c>
      <c r="C41" s="68">
        <v>15.9475</v>
      </c>
      <c r="D41" s="68">
        <v>2</v>
      </c>
      <c r="E41" s="68" t="s">
        <v>447</v>
      </c>
    </row>
    <row r="42" spans="1:5">
      <c r="A42" s="68">
        <v>0.40715099999999999</v>
      </c>
      <c r="B42" s="68">
        <v>0.42356199999999999</v>
      </c>
      <c r="C42" s="68">
        <v>16.322500000000002</v>
      </c>
      <c r="D42" s="68">
        <v>2</v>
      </c>
      <c r="E42" s="68" t="s">
        <v>448</v>
      </c>
    </row>
    <row r="43" spans="1:5">
      <c r="A43" s="68">
        <v>0.40668799999999999</v>
      </c>
      <c r="B43" s="68">
        <v>0.42401</v>
      </c>
      <c r="C43" s="68">
        <v>16.700399999999998</v>
      </c>
      <c r="D43" s="68">
        <v>2</v>
      </c>
      <c r="E43" s="68" t="s">
        <v>449</v>
      </c>
    </row>
    <row r="44" spans="1:5">
      <c r="A44" s="68">
        <v>0.40601100000000001</v>
      </c>
      <c r="B44" s="68">
        <v>0.42471799999999998</v>
      </c>
      <c r="C44" s="68">
        <v>17.0761</v>
      </c>
      <c r="D44" s="68">
        <v>2</v>
      </c>
      <c r="E44" s="68" t="s">
        <v>450</v>
      </c>
    </row>
    <row r="45" spans="1:5">
      <c r="A45" s="68">
        <v>0.40562599999999999</v>
      </c>
      <c r="B45" s="68">
        <v>0.42521300000000001</v>
      </c>
      <c r="C45" s="68">
        <v>17.477699999999999</v>
      </c>
      <c r="D45" s="68">
        <v>2</v>
      </c>
      <c r="E45" s="68" t="s">
        <v>451</v>
      </c>
    </row>
    <row r="46" spans="1:5">
      <c r="A46" s="68">
        <v>0.40557900000000002</v>
      </c>
      <c r="B46" s="68">
        <v>0.42606100000000002</v>
      </c>
      <c r="C46" s="68">
        <v>17.885000000000002</v>
      </c>
      <c r="D46" s="68">
        <v>2</v>
      </c>
      <c r="E46" s="68" t="s">
        <v>452</v>
      </c>
    </row>
    <row r="47" spans="1:5">
      <c r="A47" s="68">
        <v>0.40523700000000001</v>
      </c>
      <c r="B47" s="68">
        <v>0.42785000000000001</v>
      </c>
      <c r="C47" s="68">
        <v>18.292000000000002</v>
      </c>
      <c r="D47" s="68">
        <v>2</v>
      </c>
      <c r="E47" s="68" t="s">
        <v>453</v>
      </c>
    </row>
    <row r="48" spans="1:5">
      <c r="A48" s="68">
        <v>0.40440599999999999</v>
      </c>
      <c r="B48" s="68">
        <v>0.43026999999999999</v>
      </c>
      <c r="C48" s="68">
        <v>18.698499999999999</v>
      </c>
      <c r="D48" s="68">
        <v>2</v>
      </c>
      <c r="E48" s="68" t="s">
        <v>454</v>
      </c>
    </row>
    <row r="49" spans="1:5">
      <c r="A49" s="68">
        <v>0.403777</v>
      </c>
      <c r="B49" s="68">
        <v>0.43180000000000002</v>
      </c>
      <c r="C49" s="68">
        <v>19.105499999999999</v>
      </c>
      <c r="D49" s="68">
        <v>2</v>
      </c>
      <c r="E49" s="68" t="s">
        <v>455</v>
      </c>
    </row>
    <row r="50" spans="1:5">
      <c r="A50" s="68">
        <v>0.40350999999999998</v>
      </c>
      <c r="B50" s="68">
        <v>0.43266900000000003</v>
      </c>
      <c r="C50" s="68">
        <v>19.511399999999998</v>
      </c>
      <c r="D50" s="68">
        <v>2</v>
      </c>
      <c r="E50" s="68" t="s">
        <v>456</v>
      </c>
    </row>
    <row r="51" spans="1:5">
      <c r="A51" s="68">
        <v>0.403221</v>
      </c>
      <c r="B51" s="68">
        <v>0.43313600000000002</v>
      </c>
      <c r="C51" s="68">
        <v>19.9193</v>
      </c>
      <c r="D51" s="68">
        <v>2</v>
      </c>
      <c r="E51" s="68" t="s">
        <v>457</v>
      </c>
    </row>
    <row r="52" spans="1:5">
      <c r="A52" s="68">
        <v>0.40305800000000003</v>
      </c>
      <c r="B52" s="68">
        <v>0.43329200000000001</v>
      </c>
      <c r="C52" s="68">
        <v>20.326799999999999</v>
      </c>
      <c r="D52" s="68">
        <v>2</v>
      </c>
      <c r="E52" s="68" t="s">
        <v>458</v>
      </c>
    </row>
    <row r="53" spans="1:5">
      <c r="A53" s="68">
        <v>0.403144</v>
      </c>
      <c r="B53" s="68">
        <v>0.43292900000000001</v>
      </c>
      <c r="C53" s="68">
        <v>20.731400000000001</v>
      </c>
      <c r="D53" s="68">
        <v>2</v>
      </c>
      <c r="E53" s="68" t="s">
        <v>459</v>
      </c>
    </row>
    <row r="54" spans="1:5">
      <c r="A54" s="68">
        <v>0.40315400000000001</v>
      </c>
      <c r="B54" s="68">
        <v>0.432917</v>
      </c>
      <c r="C54" s="68">
        <v>21.136600000000001</v>
      </c>
      <c r="D54" s="68">
        <v>2</v>
      </c>
      <c r="E54" s="68" t="s">
        <v>460</v>
      </c>
    </row>
    <row r="55" spans="1:5">
      <c r="A55" s="68">
        <v>0.402665</v>
      </c>
      <c r="B55" s="68">
        <v>0.43381500000000001</v>
      </c>
      <c r="C55" s="68">
        <v>21.5397</v>
      </c>
      <c r="D55" s="68">
        <v>2</v>
      </c>
      <c r="E55" s="68" t="s">
        <v>461</v>
      </c>
    </row>
    <row r="56" spans="1:5">
      <c r="A56" s="68">
        <v>0.40200000000000002</v>
      </c>
      <c r="B56" s="68">
        <v>0.43488199999999999</v>
      </c>
      <c r="C56" s="68">
        <v>21.9483</v>
      </c>
      <c r="D56" s="68">
        <v>2</v>
      </c>
      <c r="E56" s="68" t="s">
        <v>462</v>
      </c>
    </row>
    <row r="57" spans="1:5">
      <c r="A57" s="68">
        <v>0.401563</v>
      </c>
      <c r="B57" s="68">
        <v>0.43530400000000002</v>
      </c>
      <c r="C57" s="68">
        <v>22.3568</v>
      </c>
      <c r="D57" s="68">
        <v>2</v>
      </c>
      <c r="E57" s="68" t="s">
        <v>463</v>
      </c>
    </row>
    <row r="58" spans="1:5">
      <c r="A58" s="68">
        <v>0.40121200000000001</v>
      </c>
      <c r="B58" s="68">
        <v>0.435361</v>
      </c>
      <c r="C58" s="68">
        <v>22.763500000000001</v>
      </c>
      <c r="D58" s="68">
        <v>2</v>
      </c>
      <c r="E58" s="68" t="s">
        <v>464</v>
      </c>
    </row>
    <row r="59" spans="1:5">
      <c r="A59" s="68">
        <v>0.40047199999999999</v>
      </c>
      <c r="B59" s="68">
        <v>0.43622300000000003</v>
      </c>
      <c r="C59" s="68">
        <v>23.165700000000001</v>
      </c>
      <c r="D59" s="68">
        <v>2</v>
      </c>
      <c r="E59" s="68" t="s">
        <v>465</v>
      </c>
    </row>
    <row r="60" spans="1:5">
      <c r="A60" s="68">
        <v>0.399675</v>
      </c>
      <c r="B60" s="68">
        <v>0.43736900000000001</v>
      </c>
      <c r="C60" s="68">
        <v>23.571200000000001</v>
      </c>
      <c r="D60" s="68">
        <v>2</v>
      </c>
      <c r="E60" s="68" t="s">
        <v>466</v>
      </c>
    </row>
    <row r="61" spans="1:5">
      <c r="A61" s="68">
        <v>0.39946500000000001</v>
      </c>
      <c r="B61" s="68">
        <v>0.43846000000000002</v>
      </c>
      <c r="C61" s="68">
        <v>23.98</v>
      </c>
      <c r="D61" s="68">
        <v>2</v>
      </c>
      <c r="E61" s="68" t="s">
        <v>467</v>
      </c>
    </row>
    <row r="62" spans="1:5">
      <c r="A62" s="68">
        <v>0.39924199999999999</v>
      </c>
      <c r="B62" s="68">
        <v>0.440274</v>
      </c>
      <c r="C62" s="68">
        <v>24.385400000000001</v>
      </c>
      <c r="D62" s="68">
        <v>2</v>
      </c>
      <c r="E62" s="68" t="s">
        <v>468</v>
      </c>
    </row>
    <row r="63" spans="1:5">
      <c r="A63" s="68">
        <v>0.39862799999999998</v>
      </c>
      <c r="B63" s="68">
        <v>0.44358700000000001</v>
      </c>
      <c r="C63" s="68">
        <v>24.790600000000001</v>
      </c>
      <c r="D63" s="68">
        <v>2</v>
      </c>
      <c r="E63" s="68" t="s">
        <v>469</v>
      </c>
    </row>
    <row r="64" spans="1:5">
      <c r="A64" s="68">
        <v>0.39810400000000001</v>
      </c>
      <c r="B64" s="68">
        <v>0.44685900000000001</v>
      </c>
      <c r="C64" s="68">
        <v>25.200800000000001</v>
      </c>
      <c r="D64" s="68">
        <v>2</v>
      </c>
      <c r="E64" s="68" t="s">
        <v>470</v>
      </c>
    </row>
    <row r="65" spans="1:5">
      <c r="A65" s="68">
        <v>0.39825500000000003</v>
      </c>
      <c r="B65" s="68">
        <v>0.44945200000000002</v>
      </c>
      <c r="C65" s="68">
        <v>25.6038</v>
      </c>
      <c r="D65" s="68">
        <v>2</v>
      </c>
      <c r="E65" s="68" t="s">
        <v>471</v>
      </c>
    </row>
    <row r="66" spans="1:5">
      <c r="A66" s="68">
        <v>0.39876400000000001</v>
      </c>
      <c r="B66" s="68">
        <v>0.45244400000000001</v>
      </c>
      <c r="C66" s="68">
        <v>26.009399999999999</v>
      </c>
      <c r="D66" s="68">
        <v>2</v>
      </c>
      <c r="E66" s="68" t="s">
        <v>472</v>
      </c>
    </row>
    <row r="67" spans="1:5">
      <c r="A67" s="68">
        <v>0.39883099999999999</v>
      </c>
      <c r="B67" s="68">
        <v>0.455146</v>
      </c>
      <c r="C67" s="68">
        <v>26.415199999999999</v>
      </c>
      <c r="D67" s="68">
        <v>2</v>
      </c>
      <c r="E67" s="68" t="s">
        <v>473</v>
      </c>
    </row>
    <row r="68" spans="1:5">
      <c r="A68" s="68">
        <v>0.39860699999999999</v>
      </c>
      <c r="B68" s="68">
        <v>0.45769399999999999</v>
      </c>
      <c r="C68" s="68">
        <v>26.8215</v>
      </c>
      <c r="D68" s="68">
        <v>2</v>
      </c>
      <c r="E68" s="68" t="s">
        <v>474</v>
      </c>
    </row>
    <row r="69" spans="1:5">
      <c r="A69" s="68">
        <v>0.39920899999999998</v>
      </c>
      <c r="B69" s="68">
        <v>0.45960600000000001</v>
      </c>
      <c r="C69" s="68">
        <v>27.2303</v>
      </c>
      <c r="D69" s="68">
        <v>2</v>
      </c>
      <c r="E69" s="68" t="s">
        <v>475</v>
      </c>
    </row>
    <row r="70" spans="1:5">
      <c r="A70" s="68">
        <v>0.39953499999999997</v>
      </c>
      <c r="B70" s="68">
        <v>0.46185799999999999</v>
      </c>
      <c r="C70" s="68">
        <v>27.6341</v>
      </c>
      <c r="D70" s="68">
        <v>2</v>
      </c>
      <c r="E70" s="68" t="s">
        <v>476</v>
      </c>
    </row>
    <row r="71" spans="1:5">
      <c r="A71" s="68">
        <v>0.39867200000000003</v>
      </c>
      <c r="B71" s="68">
        <v>0.46365800000000001</v>
      </c>
      <c r="C71" s="68">
        <v>28.0413</v>
      </c>
      <c r="D71" s="68">
        <v>2</v>
      </c>
      <c r="E71" s="68" t="s">
        <v>477</v>
      </c>
    </row>
    <row r="72" spans="1:5">
      <c r="A72" s="68">
        <v>0.39724500000000001</v>
      </c>
      <c r="B72" s="68">
        <v>0.46432899999999999</v>
      </c>
      <c r="C72" s="68">
        <v>28.447199999999999</v>
      </c>
      <c r="D72" s="68">
        <v>2</v>
      </c>
      <c r="E72" s="68" t="s">
        <v>478</v>
      </c>
    </row>
    <row r="73" spans="1:5">
      <c r="A73" s="68">
        <v>0.39593099999999998</v>
      </c>
      <c r="B73" s="68">
        <v>0.46390199999999998</v>
      </c>
      <c r="C73" s="68">
        <v>28.8552</v>
      </c>
      <c r="D73" s="68">
        <v>2</v>
      </c>
      <c r="E73" s="68" t="s">
        <v>479</v>
      </c>
    </row>
    <row r="74" spans="1:5">
      <c r="A74" s="68">
        <v>0.39626099999999997</v>
      </c>
      <c r="B74" s="68">
        <v>0.46162700000000001</v>
      </c>
      <c r="C74" s="68">
        <v>29.2624</v>
      </c>
      <c r="D74" s="68">
        <v>2</v>
      </c>
      <c r="E74" s="68" t="s">
        <v>480</v>
      </c>
    </row>
    <row r="75" spans="1:5">
      <c r="A75" s="68">
        <v>0.39651599999999998</v>
      </c>
      <c r="B75" s="68">
        <v>0.455262</v>
      </c>
      <c r="C75" s="68">
        <v>29.6675</v>
      </c>
      <c r="D75" s="68">
        <v>2</v>
      </c>
      <c r="E75" s="68" t="s">
        <v>481</v>
      </c>
    </row>
    <row r="76" spans="1:5">
      <c r="A76" s="68">
        <v>0.39750099999999999</v>
      </c>
      <c r="B76" s="68">
        <v>0.45390999999999998</v>
      </c>
      <c r="C76" s="68">
        <v>30.0732</v>
      </c>
      <c r="D76" s="68">
        <v>2</v>
      </c>
      <c r="E76" s="68" t="s">
        <v>482</v>
      </c>
    </row>
    <row r="77" spans="1:5">
      <c r="A77" s="68"/>
      <c r="B77" s="68"/>
      <c r="C77" s="68"/>
      <c r="D77" s="68"/>
      <c r="E77" s="68"/>
    </row>
    <row r="78" spans="1:5">
      <c r="A78" s="68"/>
      <c r="B78" s="68"/>
      <c r="C78" s="68"/>
      <c r="D78" s="68"/>
      <c r="E78" s="68"/>
    </row>
    <row r="79" spans="1:5">
      <c r="A79" s="68"/>
      <c r="B79" s="68"/>
      <c r="C79" s="68"/>
      <c r="D79" s="68"/>
      <c r="E79" s="68"/>
    </row>
    <row r="80" spans="1:5">
      <c r="A80" s="68"/>
      <c r="B80" s="68"/>
      <c r="C80" s="68"/>
      <c r="D80" s="68"/>
      <c r="E80" s="68"/>
    </row>
    <row r="81" spans="1:5">
      <c r="A81" s="68"/>
      <c r="B81" s="68"/>
      <c r="C81" s="68"/>
      <c r="D81" s="68"/>
      <c r="E81" s="68"/>
    </row>
    <row r="82" spans="1:5">
      <c r="A82" s="68"/>
      <c r="B82" s="68"/>
      <c r="C82" s="68"/>
      <c r="D82" s="68"/>
      <c r="E82" s="68"/>
    </row>
    <row r="83" spans="1:5">
      <c r="A83" s="68"/>
      <c r="B83" s="68"/>
      <c r="C83" s="68"/>
      <c r="D83" s="68"/>
      <c r="E83" s="68"/>
    </row>
    <row r="84" spans="1:5">
      <c r="A84" s="68"/>
      <c r="B84" s="68"/>
      <c r="C84" s="68"/>
      <c r="D84" s="68"/>
      <c r="E84" s="68"/>
    </row>
    <row r="85" spans="1:5">
      <c r="A85" s="68"/>
      <c r="B85" s="68"/>
      <c r="C85" s="68"/>
      <c r="D85" s="68"/>
      <c r="E85" s="68"/>
    </row>
    <row r="86" spans="1:5">
      <c r="A86" s="68"/>
      <c r="B86" s="68"/>
      <c r="C86" s="68"/>
      <c r="D86" s="68"/>
      <c r="E86" s="68"/>
    </row>
    <row r="87" spans="1:5">
      <c r="A87" s="68"/>
      <c r="B87" s="68"/>
      <c r="C87" s="68"/>
      <c r="D87" s="68"/>
      <c r="E87" s="68"/>
    </row>
    <row r="88" spans="1:5">
      <c r="A88" s="68"/>
      <c r="B88" s="68"/>
      <c r="C88" s="68"/>
      <c r="D88" s="68"/>
      <c r="E88" s="68"/>
    </row>
    <row r="89" spans="1:5">
      <c r="A89" s="68"/>
      <c r="B89" s="68"/>
      <c r="C89" s="68"/>
      <c r="D89" s="68"/>
      <c r="E89" s="68"/>
    </row>
    <row r="90" spans="1:5">
      <c r="A90" s="68"/>
      <c r="B90" s="68"/>
      <c r="C90" s="68"/>
      <c r="D90" s="68"/>
      <c r="E90" s="68"/>
    </row>
    <row r="91" spans="1:5">
      <c r="A91" s="68"/>
      <c r="B91" s="68"/>
      <c r="C91" s="68"/>
      <c r="D91" s="68"/>
      <c r="E91" s="68"/>
    </row>
    <row r="92" spans="1:5">
      <c r="A92" s="68"/>
      <c r="B92" s="68"/>
      <c r="C92" s="68"/>
      <c r="D92" s="68"/>
      <c r="E92" s="68"/>
    </row>
    <row r="93" spans="1:5">
      <c r="A93" s="68"/>
      <c r="B93" s="68"/>
      <c r="C93" s="68"/>
      <c r="D93" s="68"/>
      <c r="E93" s="68"/>
    </row>
    <row r="94" spans="1:5">
      <c r="A94" s="68"/>
      <c r="B94" s="68"/>
      <c r="C94" s="68"/>
      <c r="D94" s="68"/>
      <c r="E94" s="68"/>
    </row>
    <row r="95" spans="1:5">
      <c r="A95" s="68"/>
      <c r="B95" s="68"/>
      <c r="C95" s="68"/>
      <c r="D95" s="68"/>
      <c r="E95" s="68"/>
    </row>
    <row r="96" spans="1:5">
      <c r="A96" s="68"/>
      <c r="B96" s="68"/>
      <c r="C96" s="68"/>
      <c r="D96" s="68"/>
      <c r="E96" s="68"/>
    </row>
    <row r="97" spans="1:5">
      <c r="A97" s="68"/>
      <c r="B97" s="68"/>
      <c r="C97" s="68"/>
      <c r="D97" s="68"/>
      <c r="E97" s="68"/>
    </row>
    <row r="98" spans="1:5">
      <c r="A98" s="68"/>
      <c r="B98" s="68"/>
      <c r="C98" s="68"/>
      <c r="D98" s="68"/>
      <c r="E98" s="68"/>
    </row>
    <row r="99" spans="1:5">
      <c r="A99" s="68"/>
      <c r="B99" s="68"/>
      <c r="C99" s="68"/>
      <c r="D99" s="68"/>
      <c r="E99" s="68"/>
    </row>
    <row r="100" spans="1:5">
      <c r="A100" s="68"/>
      <c r="B100" s="68"/>
      <c r="C100" s="68"/>
      <c r="D100" s="68"/>
      <c r="E100" s="68"/>
    </row>
    <row r="101" spans="1:5">
      <c r="A101" s="68"/>
      <c r="B101" s="68"/>
      <c r="C101" s="68"/>
      <c r="D101" s="68"/>
      <c r="E101" s="68"/>
    </row>
    <row r="102" spans="1:5">
      <c r="A102" s="68"/>
      <c r="B102" s="68"/>
      <c r="C102" s="68"/>
      <c r="D102" s="68"/>
      <c r="E102" s="68"/>
    </row>
    <row r="103" spans="1:5">
      <c r="A103" s="68"/>
      <c r="B103" s="68"/>
      <c r="C103" s="68"/>
      <c r="D103" s="68"/>
      <c r="E103" s="68"/>
    </row>
    <row r="104" spans="1:5">
      <c r="A104" s="68"/>
      <c r="B104" s="68"/>
      <c r="C104" s="68"/>
      <c r="D104" s="68"/>
      <c r="E104" s="68"/>
    </row>
    <row r="105" spans="1:5">
      <c r="A105" s="68"/>
      <c r="B105" s="68"/>
      <c r="C105" s="68"/>
      <c r="D105" s="68"/>
      <c r="E105" s="68"/>
    </row>
    <row r="106" spans="1:5">
      <c r="A106" s="68"/>
      <c r="B106" s="68"/>
      <c r="C106" s="68"/>
      <c r="D106" s="68"/>
      <c r="E106" s="68"/>
    </row>
    <row r="107" spans="1:5">
      <c r="A107" s="68"/>
      <c r="B107" s="68"/>
      <c r="C107" s="68"/>
      <c r="D107" s="68"/>
      <c r="E107" s="68"/>
    </row>
    <row r="108" spans="1:5">
      <c r="A108" s="68"/>
      <c r="B108" s="68"/>
      <c r="C108" s="68"/>
      <c r="D108" s="68"/>
      <c r="E108" s="68"/>
    </row>
    <row r="109" spans="1:5">
      <c r="A109" s="68"/>
      <c r="B109" s="68"/>
      <c r="C109" s="68"/>
      <c r="D109" s="68"/>
      <c r="E109" s="68"/>
    </row>
    <row r="110" spans="1:5">
      <c r="A110" s="68"/>
      <c r="B110" s="68"/>
      <c r="C110" s="68"/>
      <c r="D110" s="68"/>
      <c r="E110" s="68"/>
    </row>
    <row r="111" spans="1:5">
      <c r="A111" s="68"/>
      <c r="B111" s="68"/>
      <c r="C111" s="68"/>
      <c r="D111" s="68"/>
      <c r="E111" s="68"/>
    </row>
    <row r="112" spans="1:5">
      <c r="A112" s="68"/>
      <c r="B112" s="68"/>
      <c r="C112" s="68"/>
      <c r="D112" s="68"/>
      <c r="E112" s="68"/>
    </row>
    <row r="113" spans="1:5">
      <c r="A113" s="68"/>
      <c r="B113" s="68"/>
      <c r="C113" s="68"/>
      <c r="D113" s="68"/>
      <c r="E113" s="68"/>
    </row>
    <row r="114" spans="1:5">
      <c r="A114" s="68"/>
      <c r="B114" s="68"/>
      <c r="C114" s="68"/>
      <c r="D114" s="68"/>
      <c r="E114" s="68"/>
    </row>
    <row r="115" spans="1:5">
      <c r="A115" s="68"/>
      <c r="B115" s="68"/>
      <c r="C115" s="68"/>
      <c r="D115" s="68"/>
      <c r="E115" s="68"/>
    </row>
    <row r="116" spans="1:5">
      <c r="A116" s="68"/>
      <c r="B116" s="68"/>
      <c r="C116" s="68"/>
      <c r="D116" s="68"/>
      <c r="E116" s="68"/>
    </row>
    <row r="117" spans="1:5">
      <c r="A117" s="68"/>
      <c r="B117" s="68"/>
      <c r="C117" s="68"/>
      <c r="D117" s="68"/>
      <c r="E117" s="68"/>
    </row>
    <row r="118" spans="1:5">
      <c r="A118" s="68"/>
      <c r="B118" s="68"/>
      <c r="C118" s="68"/>
      <c r="D118" s="68"/>
      <c r="E118" s="68"/>
    </row>
    <row r="119" spans="1:5">
      <c r="A119" s="68"/>
      <c r="B119" s="68"/>
      <c r="C119" s="68"/>
      <c r="D119" s="68"/>
      <c r="E119" s="68"/>
    </row>
    <row r="120" spans="1:5">
      <c r="A120" s="68"/>
      <c r="B120" s="68"/>
      <c r="C120" s="68"/>
      <c r="D120" s="68"/>
      <c r="E120" s="68"/>
    </row>
    <row r="121" spans="1:5">
      <c r="A121" s="68"/>
      <c r="B121" s="68"/>
      <c r="C121" s="68"/>
      <c r="D121" s="68"/>
      <c r="E121" s="68"/>
    </row>
    <row r="122" spans="1:5">
      <c r="A122" s="68"/>
      <c r="B122" s="68"/>
      <c r="C122" s="68"/>
      <c r="D122" s="68"/>
      <c r="E122" s="68"/>
    </row>
    <row r="123" spans="1:5">
      <c r="A123" s="68"/>
      <c r="B123" s="68"/>
      <c r="C123" s="68"/>
      <c r="D123" s="68"/>
      <c r="E123" s="68"/>
    </row>
    <row r="124" spans="1:5">
      <c r="A124" s="68"/>
      <c r="B124" s="68"/>
      <c r="C124" s="68"/>
      <c r="D124" s="68"/>
      <c r="E124" s="68"/>
    </row>
    <row r="125" spans="1:5">
      <c r="A125" s="68"/>
      <c r="B125" s="68"/>
      <c r="C125" s="68"/>
      <c r="D125" s="68"/>
      <c r="E125" s="68"/>
    </row>
    <row r="126" spans="1:5">
      <c r="A126" s="68"/>
      <c r="B126" s="68"/>
      <c r="C126" s="68"/>
      <c r="D126" s="68"/>
      <c r="E126" s="68"/>
    </row>
    <row r="127" spans="1:5">
      <c r="A127" s="68"/>
      <c r="B127" s="68"/>
      <c r="C127" s="68"/>
      <c r="D127" s="68"/>
      <c r="E127" s="68"/>
    </row>
    <row r="128" spans="1:5">
      <c r="A128" s="68"/>
      <c r="B128" s="68"/>
      <c r="C128" s="68"/>
      <c r="D128" s="68"/>
      <c r="E128" s="68"/>
    </row>
    <row r="129" spans="1:5">
      <c r="A129" s="68"/>
      <c r="B129" s="68"/>
      <c r="C129" s="68"/>
      <c r="D129" s="68"/>
      <c r="E129" s="68"/>
    </row>
    <row r="130" spans="1:5">
      <c r="A130" s="68"/>
      <c r="B130" s="68"/>
      <c r="C130" s="68"/>
      <c r="D130" s="68"/>
      <c r="E130" s="68"/>
    </row>
    <row r="131" spans="1:5">
      <c r="A131" s="68"/>
      <c r="B131" s="68"/>
      <c r="C131" s="68"/>
      <c r="D131" s="68"/>
      <c r="E131" s="68"/>
    </row>
    <row r="132" spans="1:5">
      <c r="A132" s="68"/>
      <c r="B132" s="68"/>
      <c r="C132" s="68"/>
      <c r="D132" s="68"/>
      <c r="E132" s="68"/>
    </row>
    <row r="133" spans="1:5">
      <c r="A133" s="68"/>
      <c r="B133" s="68"/>
      <c r="C133" s="68"/>
      <c r="D133" s="68"/>
      <c r="E133" s="68"/>
    </row>
    <row r="134" spans="1:5">
      <c r="A134" s="68"/>
      <c r="B134" s="68"/>
      <c r="C134" s="68"/>
      <c r="D134" s="68"/>
      <c r="E134" s="68"/>
    </row>
    <row r="135" spans="1:5">
      <c r="A135" s="68"/>
      <c r="B135" s="68"/>
      <c r="C135" s="68"/>
      <c r="D135" s="68"/>
      <c r="E135" s="68"/>
    </row>
    <row r="136" spans="1:5">
      <c r="A136" s="68"/>
      <c r="B136" s="68"/>
      <c r="C136" s="68"/>
      <c r="D136" s="68"/>
      <c r="E136" s="68"/>
    </row>
    <row r="137" spans="1:5">
      <c r="A137" s="68"/>
      <c r="B137" s="68"/>
      <c r="C137" s="68"/>
      <c r="D137" s="68"/>
      <c r="E137" s="68"/>
    </row>
    <row r="138" spans="1:5">
      <c r="A138" s="68"/>
      <c r="B138" s="68"/>
      <c r="C138" s="68"/>
      <c r="D138" s="68"/>
      <c r="E138" s="68"/>
    </row>
    <row r="139" spans="1:5">
      <c r="A139" s="68"/>
      <c r="B139" s="68"/>
      <c r="C139" s="68"/>
      <c r="D139" s="68"/>
      <c r="E139" s="68"/>
    </row>
    <row r="140" spans="1:5">
      <c r="A140" s="68"/>
      <c r="B140" s="68"/>
      <c r="C140" s="68"/>
      <c r="D140" s="68"/>
      <c r="E140" s="68"/>
    </row>
    <row r="141" spans="1:5">
      <c r="A141" s="68"/>
      <c r="B141" s="68"/>
      <c r="C141" s="68"/>
      <c r="D141" s="68"/>
      <c r="E141" s="68"/>
    </row>
    <row r="142" spans="1:5">
      <c r="A142" s="68"/>
      <c r="B142" s="68"/>
      <c r="C142" s="68"/>
      <c r="D142" s="68"/>
      <c r="E142" s="68"/>
    </row>
    <row r="143" spans="1:5">
      <c r="A143" s="68"/>
      <c r="B143" s="68"/>
      <c r="C143" s="68"/>
      <c r="D143" s="68"/>
      <c r="E143" s="68"/>
    </row>
    <row r="144" spans="1:5">
      <c r="A144" s="68"/>
      <c r="B144" s="68"/>
      <c r="C144" s="68"/>
      <c r="D144" s="68"/>
      <c r="E144" s="68"/>
    </row>
    <row r="145" spans="1:5">
      <c r="A145" s="68"/>
      <c r="B145" s="68"/>
      <c r="C145" s="68"/>
      <c r="D145" s="68"/>
      <c r="E145" s="68"/>
    </row>
    <row r="146" spans="1:5">
      <c r="A146" s="68"/>
      <c r="B146" s="68"/>
      <c r="C146" s="68"/>
      <c r="D146" s="68"/>
      <c r="E146" s="68"/>
    </row>
    <row r="147" spans="1:5">
      <c r="A147" s="68"/>
      <c r="B147" s="68"/>
      <c r="C147" s="68"/>
      <c r="D147" s="68"/>
      <c r="E147" s="68"/>
    </row>
    <row r="148" spans="1:5">
      <c r="A148" s="68"/>
      <c r="B148" s="68"/>
      <c r="C148" s="68"/>
      <c r="D148" s="68"/>
      <c r="E148" s="68"/>
    </row>
    <row r="149" spans="1:5">
      <c r="A149" s="68"/>
      <c r="B149" s="68"/>
      <c r="C149" s="68"/>
      <c r="D149" s="68"/>
      <c r="E149" s="68"/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483</v>
      </c>
      <c r="C1" s="66" t="s">
        <v>485</v>
      </c>
      <c r="D1" s="66" t="s">
        <v>486</v>
      </c>
      <c r="E1" s="66" t="s">
        <v>487</v>
      </c>
      <c r="F1" s="66" t="s">
        <v>348</v>
      </c>
      <c r="G1" s="66" t="s">
        <v>349</v>
      </c>
      <c r="H1" s="66" t="s">
        <v>488</v>
      </c>
      <c r="I1" s="66" t="s">
        <v>489</v>
      </c>
      <c r="J1" s="66" t="s">
        <v>490</v>
      </c>
      <c r="K1" s="66" t="s">
        <v>491</v>
      </c>
      <c r="L1" s="66" t="s">
        <v>492</v>
      </c>
      <c r="M1" s="66" t="s">
        <v>493</v>
      </c>
      <c r="N1" s="66"/>
    </row>
    <row r="2" spans="1:14">
      <c r="A2" s="75">
        <v>43615.65289351852</v>
      </c>
      <c r="B2" s="66" t="s">
        <v>484</v>
      </c>
      <c r="C2" s="66"/>
      <c r="D2" s="66"/>
      <c r="E2" s="66">
        <v>4.9234099999999996</v>
      </c>
      <c r="F2" s="66">
        <v>2.0009700000000001</v>
      </c>
      <c r="G2" s="66">
        <v>0.56308899999999995</v>
      </c>
      <c r="H2" s="66">
        <v>0</v>
      </c>
      <c r="I2" s="66">
        <v>64796</v>
      </c>
      <c r="J2" s="66">
        <v>101</v>
      </c>
      <c r="K2" s="66">
        <v>101</v>
      </c>
      <c r="L2" s="66">
        <v>0</v>
      </c>
      <c r="M2" s="66" t="s">
        <v>494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2019-05-30T07:40:46Z</cp:lastPrinted>
  <dcterms:created xsi:type="dcterms:W3CDTF">2010-10-29T12:53:05Z</dcterms:created>
  <dcterms:modified xsi:type="dcterms:W3CDTF">2019-05-30T07:40:53Z</dcterms:modified>
</cp:coreProperties>
</file>