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P5" i="11" l="1"/>
  <c r="Q17" i="1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<sst xmlns="http://schemas.openxmlformats.org/spreadsheetml/2006/main" count="702" uniqueCount="573">
  <si>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</si>
  <si>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</si>
  <si>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</si>
  <si>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</si>
  <si>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</si>
  <si>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</si>
  <si>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</si>
  <si>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</si>
  <si>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</si>
  <si>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</si>
  <si>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</si>
  <si>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</si>
  <si>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</si>
  <si>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</si>
  <si>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</si>
  <si>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</si>
  <si>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</si>
  <si>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</si>
  <si>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</si>
  <si>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</si>
  <si>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</si>
  <si>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</si>
  <si>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</si>
  <si>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</si>
  <si>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</si>
  <si>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</si>
  <si>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</si>
  <si>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</si>
  <si>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</si>
  <si>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</si>
  <si>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</si>
  <si>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</si>
  <si>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</si>
  <si>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</si>
  <si>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</si>
  <si>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</si>
  <si>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</si>
  <si>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</si>
  <si>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</si>
  <si>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</si>
  <si>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</si>
  <si>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</si>
  <si>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</si>
  <si>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</si>
  <si>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</si>
  <si>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</si>
  <si>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</si>
  <si>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</si>
  <si>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</si>
  <si>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</si>
  <si>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</si>
  <si>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</si>
  <si>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</si>
  <si>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</si>
  <si>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</si>
  <si>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</si>
  <si>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</si>
  <si>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</si>
  <si>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</si>
  <si>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</si>
  <si>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</si>
  <si>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</si>
  <si>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</si>
  <si>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</si>
  <si>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</si>
  <si>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</si>
  <si>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</si>
  <si>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</si>
  <si>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</si>
  <si>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</si>
  <si>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</si>
  <si>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</si>
  <si>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</si>
  <si>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</si>
  <si>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</si>
  <si>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</si>
  <si>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</si>
  <si>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</si>
  <si>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</si>
  <si>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</si>
  <si>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</si>
  <si>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</si>
  <si>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</si>
  <si>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</si>
  <si>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</si>
  <si>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</si>
  <si>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</si>
  <si>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</si>
  <si>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</si>
  <si>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</si>
  <si>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</si>
  <si>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</si>
  <si>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</si>
  <si>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</si>
  <si>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</si>
  <si>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</si>
  <si>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</si>
  <si>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</si>
  <si>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</si>
  <si>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</si>
  <si>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</si>
  <si>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</si>
  <si>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</si>
  <si>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</si>
  <si>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</si>
  <si>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</si>
  <si>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</si>
  <si>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</si>
  <si>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</si>
  <si>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</si>
  <si>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</si>
  <si>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</si>
  <si>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</si>
  <si>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</si>
  <si>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</si>
  <si>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</si>
  <si>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</si>
  <si>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</si>
  <si>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</si>
  <si>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</si>
  <si>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</si>
  <si>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</si>
  <si>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</si>
  <si>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</si>
  <si>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</si>
  <si>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</si>
  <si>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</si>
  <si>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</si>
  <si>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</si>
  <si>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</si>
  <si>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</si>
  <si>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</si>
  <si>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</si>
  <si>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</si>
  <si>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</si>
  <si>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</si>
  <si>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</si>
  <si>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</si>
  <si>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</si>
  <si>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</si>
  <si>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</si>
  <si>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</si>
  <si>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</si>
  <si>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</si>
  <si>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</si>
  <si>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</si>
  <si>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</si>
  <si>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</si>
  <si>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</si>
  <si>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</si>
  <si>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</si>
  <si>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</si>
  <si>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</si>
  <si>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</si>
  <si>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</si>
  <si>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</si>
  <si>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</si>
  <si>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</si>
  <si>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</si>
  <si>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</si>
  <si>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</si>
  <si>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</si>
  <si>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</si>
  <si>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</si>
  <si>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</si>
  <si>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</si>
  <si>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</si>
  <si>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</si>
  <si>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</si>
  <si>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</si>
  <si>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</si>
  <si>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</si>
  <si>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</si>
  <si>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</si>
  <si>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</si>
  <si>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</si>
  <si>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</si>
  <si>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</si>
  <si>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</si>
  <si>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</si>
  <si>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</si>
  <si>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</si>
  <si>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</si>
  <si>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</si>
  <si>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</si>
  <si>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</si>
  <si>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</si>
  <si>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</si>
  <si>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</si>
  <si>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</si>
  <si>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</si>
  <si>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</si>
  <si>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</si>
  <si>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</si>
  <si>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</si>
  <si>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</si>
  <si>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</si>
  <si>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</si>
  <si>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</si>
  <si>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</si>
  <si>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</si>
  <si>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</si>
  <si>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</si>
  <si>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</si>
  <si>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</si>
  <si>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</si>
  <si>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</si>
  <si>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</si>
  <si>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</si>
  <si>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</si>
  <si>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</si>
  <si>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</si>
  <si>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</si>
  <si>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</si>
  <si>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</si>
  <si>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</si>
  <si>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</si>
  <si>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</si>
  <si>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</si>
  <si>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</si>
  <si>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</si>
  <si>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</si>
  <si>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</si>
  <si>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</si>
  <si>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</si>
  <si>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</si>
  <si>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</si>
  <si>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</si>
  <si>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</si>
  <si>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</si>
  <si>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</si>
  <si>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</si>
  <si>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</si>
  <si>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</si>
  <si>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</si>
  <si>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</si>
  <si>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</si>
  <si>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</si>
  <si>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</si>
  <si>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</si>
  <si>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</si>
  <si>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</si>
  <si>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</si>
  <si>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</si>
  <si>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</si>
  <si>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</si>
  <si>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</si>
  <si>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</si>
  <si>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</si>
  <si>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</si>
  <si>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</si>
  <si>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</si>
  <si>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</si>
  <si>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</si>
  <si>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</si>
  <si>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</si>
  <si>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</si>
  <si>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</si>
  <si>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</si>
  <si>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</si>
  <si>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</si>
  <si>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</si>
  <si>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</si>
  <si>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</si>
  <si>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</si>
  <si>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</si>
  <si>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</si>
  <si>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</si>
  <si>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</si>
  <si>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</si>
  <si>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</si>
  <si>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</si>
  <si>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</si>
  <si>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</si>
  <si>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</si>
  <si>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</si>
  <si>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</si>
  <si>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</si>
  <si>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</si>
  <si>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</si>
  <si>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</si>
  <si>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</si>
  <si>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</si>
  <si>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</si>
  <si>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</si>
  <si>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</si>
  <si>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</si>
  <si>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</si>
  <si>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</si>
  <si>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</si>
  <si>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</si>
  <si>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</si>
  <si>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</si>
  <si>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</si>
  <si>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</si>
  <si>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</si>
  <si>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</si>
  <si>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</si>
  <si>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</si>
  <si>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</si>
  <si>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</si>
  <si>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</si>
  <si>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</si>
  <si>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</si>
  <si>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</si>
  <si>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</si>
  <si>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</si>
  <si>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</si>
  <si>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</si>
  <si>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</si>
  <si>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</si>
  <si>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</si>
  <si>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</si>
  <si>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</si>
  <si>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</si>
  <si>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</si>
  <si>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</si>
  <si>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</si>
  <si>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</si>
  <si>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</si>
  <si>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</si>
  <si>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</si>
  <si>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</si>
  <si>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</si>
  <si>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</si>
  <si>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</si>
  <si>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</si>
  <si>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</si>
  <si>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</si>
  <si>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</si>
  <si>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</si>
  <si>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</si>
  <si>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</si>
  <si>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</si>
  <si>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</si>
  <si>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</si>
  <si>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</si>
  <si>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</si>
  <si>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</si>
  <si>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</si>
  <si>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</si>
  <si>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</si>
  <si>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</si>
  <si>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</si>
  <si>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</si>
  <si>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</si>
  <si>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</si>
  <si>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</si>
  <si>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</si>
  <si>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</si>
  <si>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</si>
  <si>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</si>
  <si>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</si>
  <si>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</si>
  <si>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</si>
  <si>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</si>
  <si>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</si>
  <si>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</si>
  <si>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</si>
  <si>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</si>
  <si>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</si>
  <si>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</si>
  <si>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</si>
  <si>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</si>
  <si>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</si>
  <si>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</si>
  <si>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</si>
  <si>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</si>
  <si>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</si>
  <si>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</si>
  <si>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</si>
  <si>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</si>
  <si>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</si>
  <si>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</si>
  <si>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</si>
  <si>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</si>
  <si>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</si>
  <si>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</si>
  <si>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</si>
  <si>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</si>
  <si>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</si>
  <si>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</si>
  <si>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</si>
  <si>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</si>
  <si>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</si>
  <si>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</si>
  <si>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</si>
  <si>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</si>
  <si>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</si>
  <si>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</si>
  <si>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</si>
  <si>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</si>
  <si>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</si>
  <si>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</si>
  <si>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</si>
  <si>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</si>
  <si>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</si>
  <si>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</si>
  <si>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</si>
  <si>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</si>
  <si>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</si>
  <si>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</si>
  <si>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</si>
  <si>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</si>
  <si>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</si>
  <si>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</si>
  <si>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</si>
  <si>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</si>
  <si>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</si>
  <si>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</si>
  <si>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[0.402240]</t>
  </si>
  <si>
    <t>1 [0.810811]</t>
  </si>
  <si>
    <t>1 [1.218832]</t>
  </si>
  <si>
    <t>1 [1.624611]</t>
  </si>
  <si>
    <t>1 [2.027505]</t>
  </si>
  <si>
    <t>1 [2.435758]</t>
  </si>
  <si>
    <t>1 [2.844385]</t>
  </si>
  <si>
    <t>1 [3.247236]</t>
  </si>
  <si>
    <t>1 [3.655164]</t>
  </si>
  <si>
    <t>1 [4.060025]</t>
  </si>
  <si>
    <t>1 [4.466326]</t>
  </si>
  <si>
    <t>1 [4.869965]</t>
  </si>
  <si>
    <t>1 [5.279063]</t>
  </si>
  <si>
    <t>1 [5.686627]</t>
  </si>
  <si>
    <t>1 [6.092620]</t>
  </si>
  <si>
    <t>1 [6.496565]</t>
  </si>
  <si>
    <t>1 [6.905497]</t>
  </si>
  <si>
    <t>1 [7.311643]</t>
  </si>
  <si>
    <t>1 [7.716258]</t>
  </si>
  <si>
    <t>1 [8.125206]</t>
  </si>
  <si>
    <t>1 [8.526108]</t>
  </si>
  <si>
    <t>1 [8.934990]</t>
  </si>
  <si>
    <t>1 [9.342939]</t>
  </si>
  <si>
    <t>1 [9.748880]</t>
  </si>
  <si>
    <t>1 [10.153847]</t>
  </si>
  <si>
    <t>1 [10.559645]</t>
  </si>
  <si>
    <t>1 [10.965747]</t>
  </si>
  <si>
    <t>1 [11.374517]</t>
  </si>
  <si>
    <t>1 [11.780461]</t>
  </si>
  <si>
    <t>1 [12.185324]</t>
  </si>
  <si>
    <t>1 [12.591240]</t>
  </si>
  <si>
    <t>1 [12.996201]</t>
  </si>
  <si>
    <t>1 [13.404261]</t>
  </si>
  <si>
    <t>1 [13.808966]</t>
  </si>
  <si>
    <t>1 [14.212395]</t>
  </si>
  <si>
    <t>1 [14.620804]</t>
  </si>
  <si>
    <t>1 [15.026712]</t>
  </si>
  <si>
    <t>1 [15.435616]</t>
  </si>
  <si>
    <t>1 [15.839613]</t>
  </si>
  <si>
    <t>1 [16.246167]</t>
  </si>
  <si>
    <t>1 [16.657290]</t>
  </si>
  <si>
    <t>1 [17.061398]</t>
  </si>
  <si>
    <t>1 [17.467204]</t>
  </si>
  <si>
    <t>1 [17.868070]</t>
  </si>
  <si>
    <t>1 [18.274221]</t>
  </si>
  <si>
    <t>1 [18.683978]</t>
  </si>
  <si>
    <t>1 [19.093889]</t>
  </si>
  <si>
    <t>1 [19.495861]</t>
  </si>
  <si>
    <t>1 [19.909815]</t>
  </si>
  <si>
    <t>1 [20.309209]</t>
  </si>
  <si>
    <t>1 [20.718468]</t>
  </si>
  <si>
    <t>1 [21.121374]</t>
  </si>
  <si>
    <t>1 [21.528679]</t>
  </si>
  <si>
    <t>1 [21.934322]</t>
  </si>
  <si>
    <t>1 [22.340292]</t>
  </si>
  <si>
    <t>1 [22.750977]</t>
  </si>
  <si>
    <t>1 [23.152946]</t>
  </si>
  <si>
    <t>1 [23.559801]</t>
  </si>
  <si>
    <t>1 [23.964622]</t>
  </si>
  <si>
    <t>1 [24.368547]</t>
  </si>
  <si>
    <t>1 [24.776444]</t>
  </si>
  <si>
    <t>1 [25.185584]</t>
  </si>
  <si>
    <t>1 [25.592412]</t>
  </si>
  <si>
    <t>1 [25.996391]</t>
  </si>
  <si>
    <t>1 [26.402451]</t>
  </si>
  <si>
    <t>1 [26.808163]</t>
  </si>
  <si>
    <t>1 [27.214191]</t>
  </si>
  <si>
    <t>1 [27.625026]</t>
  </si>
  <si>
    <t>1 [28.024919]</t>
  </si>
  <si>
    <t>1 [28.430840]</t>
  </si>
  <si>
    <t>1 [28.844953]</t>
  </si>
  <si>
    <t>1 [29.246685]</t>
  </si>
  <si>
    <t>1 [29.652599]</t>
  </si>
  <si>
    <t>1 [30.057471]</t>
  </si>
  <si>
    <t>2 [30.465590]</t>
  </si>
  <si>
    <t>2 [30.876344]</t>
  </si>
  <si>
    <t>2 [31.278585]</t>
  </si>
  <si>
    <t>2 [31.679979]</t>
  </si>
  <si>
    <t>2 [32.091083]</t>
  </si>
  <si>
    <t>2 [32.497123]</t>
  </si>
  <si>
    <t>2 [32.902876]</t>
  </si>
  <si>
    <t>2 [33.312135]</t>
  </si>
  <si>
    <t>2 [33.717722]</t>
  </si>
  <si>
    <t>2 [34.124650]</t>
  </si>
  <si>
    <t>2 [34.527559]</t>
  </si>
  <si>
    <t>2 [34.933244]</t>
  </si>
  <si>
    <t>2 [35.340372]</t>
  </si>
  <si>
    <t>2 [35.751357]</t>
  </si>
  <si>
    <t>2 [36.153148]</t>
  </si>
  <si>
    <t>2 [36.557083]</t>
  </si>
  <si>
    <t>2 [36.962667]</t>
  </si>
  <si>
    <t>2 [37.370992]</t>
  </si>
  <si>
    <t>2 [37.780022]</t>
  </si>
  <si>
    <t>2 [38.184759]</t>
  </si>
  <si>
    <t>2 [38.590667]</t>
  </si>
  <si>
    <t>2 [38.997308]</t>
  </si>
  <si>
    <t>2 [39.403542]</t>
  </si>
  <si>
    <t>2 [39.804887]</t>
  </si>
  <si>
    <t>2 [40.214693]</t>
  </si>
  <si>
    <t>2 [40.624332]</t>
  </si>
  <si>
    <t>2 [41.031206]</t>
  </si>
  <si>
    <t>2 [41.435055]</t>
  </si>
  <si>
    <t>2 [41.841065]</t>
  </si>
  <si>
    <t>2 [42.247049]</t>
  </si>
  <si>
    <t>2 [42.652803]</t>
  </si>
  <si>
    <t>2 [43.060714]</t>
  </si>
  <si>
    <t>2 [43.467684]</t>
  </si>
  <si>
    <t>2 [43.874719]</t>
  </si>
  <si>
    <t>2 [44.279509]</t>
  </si>
  <si>
    <t>2 [44.684380]</t>
  </si>
  <si>
    <t>2 [45.093234]</t>
  </si>
  <si>
    <t>2 [45.501194]</t>
  </si>
  <si>
    <t>2 [45.900892]</t>
  </si>
  <si>
    <t>2 [46.306908]</t>
  </si>
  <si>
    <t>2 [46.713082]</t>
  </si>
  <si>
    <t>2 [47.124847]</t>
  </si>
  <si>
    <t>2 [47.529793]</t>
  </si>
  <si>
    <t>2 [47.933769]</t>
  </si>
  <si>
    <t>2 [48.341639]</t>
  </si>
  <si>
    <t>2 [48.743464]</t>
  </si>
  <si>
    <t>2 [49.153059]</t>
  </si>
  <si>
    <t>2 [49.560325]</t>
  </si>
  <si>
    <t>2 [49.965308]</t>
  </si>
  <si>
    <t>2 [50.371278]</t>
  </si>
  <si>
    <t>2 [50.780049]</t>
  </si>
  <si>
    <t>2 [51.184932]</t>
  </si>
  <si>
    <t>2 [51.592903]</t>
  </si>
  <si>
    <t>2 [51.995926]</t>
  </si>
  <si>
    <t>2 [52.402810]</t>
  </si>
  <si>
    <t>2 [52.814707]</t>
  </si>
  <si>
    <t>2 [53.219562]</t>
  </si>
  <si>
    <t>2 [53.621459]</t>
  </si>
  <si>
    <t>2 [54.026379]</t>
  </si>
  <si>
    <t>2 [54.433190]</t>
  </si>
  <si>
    <t>2 [54.839144]</t>
  </si>
  <si>
    <t>2 [55.247959]</t>
  </si>
  <si>
    <t>2 [55.652037]</t>
  </si>
  <si>
    <t>2 [56.059905]</t>
  </si>
  <si>
    <t>2 [56.466438]</t>
  </si>
  <si>
    <t>2 [56.871888]</t>
  </si>
  <si>
    <t>2 [57.279014]</t>
  </si>
  <si>
    <t>2 [57.682762]</t>
  </si>
  <si>
    <t>2 [58.090598]</t>
  </si>
  <si>
    <t>2 [58.497666]</t>
  </si>
  <si>
    <t>2 [58.905418]</t>
  </si>
  <si>
    <t>2 [59.312577]</t>
  </si>
  <si>
    <t>2 [59.716233]</t>
  </si>
  <si>
    <t>2 [60.123138]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</si>
  <si>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</si>
  <si>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</si>
  <si>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</si>
  <si>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</si>
  <si>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</si>
  <si>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</si>
  <si>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</si>
  <si>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</si>
  <si>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</si>
  <si>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</si>
  <si>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</si>
  <si>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</si>
  <si>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</si>
  <si>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</si>
  <si>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王翠芳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</si>
</sst>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46.197899999999997</c:v>
                </c:pt>
                <c:pt idx="1">
                  <c:v>17.990300000000001</c:v>
                </c:pt>
                <c:pt idx="2">
                  <c:v>8.0931899999999999</c:v>
                </c:pt>
                <c:pt idx="3">
                  <c:v>23.712700000000002</c:v>
                </c:pt>
                <c:pt idx="4">
                  <c:v>69.800200000000004</c:v>
                </c:pt>
                <c:pt idx="5">
                  <c:v>81.538600000000002</c:v>
                </c:pt>
                <c:pt idx="6">
                  <c:v>39.676900000000003</c:v>
                </c:pt>
                <c:pt idx="7">
                  <c:v>75.878900000000002</c:v>
                </c:pt>
                <c:pt idx="8">
                  <c:v>30.0822</c:v>
                </c:pt>
                <c:pt idx="9">
                  <c:v>72.237399999999994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0.47027574274807887</c:v>
                </c:pt>
                <c:pt idx="1">
                  <c:v>0.16914426883936928</c:v>
                </c:pt>
                <c:pt idx="2">
                  <c:v>0.36057998841255184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138</c:v>
                </c:pt>
                <c:pt idx="7">
                  <c:v>0</c:v>
                </c:pt>
                <c:pt idx="8">
                  <c:v>526</c:v>
                </c:pt>
                <c:pt idx="9">
                  <c:v>0</c:v>
                </c:pt>
                <c:pt idx="10">
                  <c:v>0</c:v>
                </c:pt>
                <c:pt idx="11">
                  <c:v>1349</c:v>
                </c:pt>
                <c:pt idx="12">
                  <c:v>0</c:v>
                </c:pt>
                <c:pt idx="13">
                  <c:v>2712</c:v>
                </c:pt>
                <c:pt idx="14">
                  <c:v>0</c:v>
                </c:pt>
                <c:pt idx="15">
                  <c:v>0</c:v>
                </c:pt>
                <c:pt idx="16">
                  <c:v>5112</c:v>
                </c:pt>
                <c:pt idx="17">
                  <c:v>0</c:v>
                </c:pt>
                <c:pt idx="18">
                  <c:v>0</c:v>
                </c:pt>
                <c:pt idx="19">
                  <c:v>11172</c:v>
                </c:pt>
                <c:pt idx="20">
                  <c:v>0</c:v>
                </c:pt>
                <c:pt idx="21">
                  <c:v>14231</c:v>
                </c:pt>
                <c:pt idx="22">
                  <c:v>0</c:v>
                </c:pt>
                <c:pt idx="23">
                  <c:v>0</c:v>
                </c:pt>
                <c:pt idx="24">
                  <c:v>16289</c:v>
                </c:pt>
                <c:pt idx="25">
                  <c:v>0</c:v>
                </c:pt>
                <c:pt idx="26">
                  <c:v>18950</c:v>
                </c:pt>
                <c:pt idx="27">
                  <c:v>0</c:v>
                </c:pt>
                <c:pt idx="28">
                  <c:v>0</c:v>
                </c:pt>
                <c:pt idx="29">
                  <c:v>20881</c:v>
                </c:pt>
                <c:pt idx="30">
                  <c:v>0</c:v>
                </c:pt>
                <c:pt idx="31">
                  <c:v>22948</c:v>
                </c:pt>
                <c:pt idx="32">
                  <c:v>0</c:v>
                </c:pt>
                <c:pt idx="33">
                  <c:v>0</c:v>
                </c:pt>
                <c:pt idx="34">
                  <c:v>25863</c:v>
                </c:pt>
                <c:pt idx="35">
                  <c:v>0</c:v>
                </c:pt>
                <c:pt idx="36">
                  <c:v>0</c:v>
                </c:pt>
                <c:pt idx="37">
                  <c:v>33266</c:v>
                </c:pt>
                <c:pt idx="38">
                  <c:v>0</c:v>
                </c:pt>
                <c:pt idx="39">
                  <c:v>33846</c:v>
                </c:pt>
                <c:pt idx="40">
                  <c:v>0</c:v>
                </c:pt>
                <c:pt idx="41">
                  <c:v>0</c:v>
                </c:pt>
                <c:pt idx="42">
                  <c:v>43996</c:v>
                </c:pt>
                <c:pt idx="43">
                  <c:v>0</c:v>
                </c:pt>
                <c:pt idx="44">
                  <c:v>50264</c:v>
                </c:pt>
                <c:pt idx="45">
                  <c:v>0</c:v>
                </c:pt>
                <c:pt idx="46">
                  <c:v>0</c:v>
                </c:pt>
                <c:pt idx="47">
                  <c:v>51027</c:v>
                </c:pt>
                <c:pt idx="48">
                  <c:v>0</c:v>
                </c:pt>
                <c:pt idx="49">
                  <c:v>53138</c:v>
                </c:pt>
                <c:pt idx="50">
                  <c:v>0</c:v>
                </c:pt>
                <c:pt idx="51">
                  <c:v>0</c:v>
                </c:pt>
                <c:pt idx="52">
                  <c:v>50705</c:v>
                </c:pt>
                <c:pt idx="53">
                  <c:v>0</c:v>
                </c:pt>
                <c:pt idx="54">
                  <c:v>0</c:v>
                </c:pt>
                <c:pt idx="55">
                  <c:v>57915</c:v>
                </c:pt>
                <c:pt idx="56">
                  <c:v>0</c:v>
                </c:pt>
                <c:pt idx="57">
                  <c:v>62108</c:v>
                </c:pt>
                <c:pt idx="58">
                  <c:v>0</c:v>
                </c:pt>
                <c:pt idx="59">
                  <c:v>0</c:v>
                </c:pt>
                <c:pt idx="60">
                  <c:v>74993</c:v>
                </c:pt>
                <c:pt idx="61">
                  <c:v>0</c:v>
                </c:pt>
                <c:pt idx="62">
                  <c:v>74353</c:v>
                </c:pt>
                <c:pt idx="63">
                  <c:v>0</c:v>
                </c:pt>
                <c:pt idx="64">
                  <c:v>0</c:v>
                </c:pt>
                <c:pt idx="65">
                  <c:v>82247</c:v>
                </c:pt>
                <c:pt idx="66">
                  <c:v>0</c:v>
                </c:pt>
                <c:pt idx="67">
                  <c:v>93001</c:v>
                </c:pt>
                <c:pt idx="68">
                  <c:v>0</c:v>
                </c:pt>
                <c:pt idx="69">
                  <c:v>0</c:v>
                </c:pt>
                <c:pt idx="70">
                  <c:v>99821</c:v>
                </c:pt>
                <c:pt idx="71">
                  <c:v>0</c:v>
                </c:pt>
                <c:pt idx="72">
                  <c:v>0</c:v>
                </c:pt>
                <c:pt idx="73">
                  <c:v>111815</c:v>
                </c:pt>
                <c:pt idx="74">
                  <c:v>0</c:v>
                </c:pt>
                <c:pt idx="75">
                  <c:v>124746</c:v>
                </c:pt>
                <c:pt idx="76">
                  <c:v>0</c:v>
                </c:pt>
                <c:pt idx="77">
                  <c:v>0</c:v>
                </c:pt>
                <c:pt idx="78">
                  <c:v>137830</c:v>
                </c:pt>
                <c:pt idx="79">
                  <c:v>0</c:v>
                </c:pt>
                <c:pt idx="80">
                  <c:v>135456</c:v>
                </c:pt>
                <c:pt idx="81">
                  <c:v>0</c:v>
                </c:pt>
                <c:pt idx="82">
                  <c:v>0</c:v>
                </c:pt>
                <c:pt idx="83">
                  <c:v>144837</c:v>
                </c:pt>
                <c:pt idx="84">
                  <c:v>0</c:v>
                </c:pt>
                <c:pt idx="85">
                  <c:v>0</c:v>
                </c:pt>
                <c:pt idx="86">
                  <c:v>156547</c:v>
                </c:pt>
                <c:pt idx="87">
                  <c:v>0</c:v>
                </c:pt>
                <c:pt idx="88">
                  <c:v>161859</c:v>
                </c:pt>
                <c:pt idx="89">
                  <c:v>0</c:v>
                </c:pt>
                <c:pt idx="90">
                  <c:v>0</c:v>
                </c:pt>
                <c:pt idx="91">
                  <c:v>167167</c:v>
                </c:pt>
                <c:pt idx="92">
                  <c:v>0</c:v>
                </c:pt>
                <c:pt idx="93">
                  <c:v>175270</c:v>
                </c:pt>
                <c:pt idx="94">
                  <c:v>0</c:v>
                </c:pt>
                <c:pt idx="95">
                  <c:v>0</c:v>
                </c:pt>
                <c:pt idx="96">
                  <c:v>192739</c:v>
                </c:pt>
                <c:pt idx="97">
                  <c:v>0</c:v>
                </c:pt>
                <c:pt idx="98">
                  <c:v>201375</c:v>
                </c:pt>
                <c:pt idx="99">
                  <c:v>0</c:v>
                </c:pt>
                <c:pt idx="100">
                  <c:v>0</c:v>
                </c:pt>
                <c:pt idx="101">
                  <c:v>218286</c:v>
                </c:pt>
                <c:pt idx="102">
                  <c:v>0</c:v>
                </c:pt>
                <c:pt idx="103">
                  <c:v>0</c:v>
                </c:pt>
                <c:pt idx="104">
                  <c:v>230581</c:v>
                </c:pt>
                <c:pt idx="105">
                  <c:v>0</c:v>
                </c:pt>
                <c:pt idx="106">
                  <c:v>237910</c:v>
                </c:pt>
                <c:pt idx="107">
                  <c:v>0</c:v>
                </c:pt>
                <c:pt idx="108">
                  <c:v>0</c:v>
                </c:pt>
                <c:pt idx="109">
                  <c:v>265673</c:v>
                </c:pt>
                <c:pt idx="110">
                  <c:v>0</c:v>
                </c:pt>
                <c:pt idx="111">
                  <c:v>289060</c:v>
                </c:pt>
                <c:pt idx="112">
                  <c:v>0</c:v>
                </c:pt>
                <c:pt idx="113">
                  <c:v>0</c:v>
                </c:pt>
                <c:pt idx="114">
                  <c:v>310792</c:v>
                </c:pt>
                <c:pt idx="115">
                  <c:v>0</c:v>
                </c:pt>
                <c:pt idx="116">
                  <c:v>360279</c:v>
                </c:pt>
                <c:pt idx="117">
                  <c:v>0</c:v>
                </c:pt>
                <c:pt idx="118">
                  <c:v>0</c:v>
                </c:pt>
                <c:pt idx="119">
                  <c:v>383296</c:v>
                </c:pt>
                <c:pt idx="120">
                  <c:v>0</c:v>
                </c:pt>
                <c:pt idx="121">
                  <c:v>0</c:v>
                </c:pt>
                <c:pt idx="122">
                  <c:v>400671</c:v>
                </c:pt>
                <c:pt idx="123">
                  <c:v>0</c:v>
                </c:pt>
                <c:pt idx="124">
                  <c:v>390847</c:v>
                </c:pt>
                <c:pt idx="125">
                  <c:v>0</c:v>
                </c:pt>
                <c:pt idx="126">
                  <c:v>0</c:v>
                </c:pt>
                <c:pt idx="127">
                  <c:v>420301</c:v>
                </c:pt>
                <c:pt idx="128">
                  <c:v>0</c:v>
                </c:pt>
                <c:pt idx="129">
                  <c:v>427422</c:v>
                </c:pt>
                <c:pt idx="130">
                  <c:v>0</c:v>
                </c:pt>
                <c:pt idx="131">
                  <c:v>0</c:v>
                </c:pt>
                <c:pt idx="132">
                  <c:v>402610</c:v>
                </c:pt>
                <c:pt idx="133">
                  <c:v>0</c:v>
                </c:pt>
                <c:pt idx="134">
                  <c:v>403338</c:v>
                </c:pt>
                <c:pt idx="135">
                  <c:v>0</c:v>
                </c:pt>
                <c:pt idx="136">
                  <c:v>0</c:v>
                </c:pt>
                <c:pt idx="137">
                  <c:v>418558</c:v>
                </c:pt>
                <c:pt idx="138">
                  <c:v>0</c:v>
                </c:pt>
                <c:pt idx="139">
                  <c:v>0</c:v>
                </c:pt>
                <c:pt idx="140">
                  <c:v>429698</c:v>
                </c:pt>
                <c:pt idx="141">
                  <c:v>0</c:v>
                </c:pt>
                <c:pt idx="142">
                  <c:v>451698</c:v>
                </c:pt>
                <c:pt idx="143">
                  <c:v>0</c:v>
                </c:pt>
                <c:pt idx="144">
                  <c:v>0</c:v>
                </c:pt>
                <c:pt idx="145">
                  <c:v>458566</c:v>
                </c:pt>
                <c:pt idx="146">
                  <c:v>0</c:v>
                </c:pt>
                <c:pt idx="147">
                  <c:v>470332</c:v>
                </c:pt>
                <c:pt idx="148">
                  <c:v>0</c:v>
                </c:pt>
                <c:pt idx="149">
                  <c:v>0</c:v>
                </c:pt>
                <c:pt idx="150">
                  <c:v>456856</c:v>
                </c:pt>
                <c:pt idx="151">
                  <c:v>0</c:v>
                </c:pt>
                <c:pt idx="152">
                  <c:v>419008</c:v>
                </c:pt>
                <c:pt idx="153">
                  <c:v>0</c:v>
                </c:pt>
                <c:pt idx="154">
                  <c:v>0</c:v>
                </c:pt>
                <c:pt idx="155">
                  <c:v>388836</c:v>
                </c:pt>
                <c:pt idx="156">
                  <c:v>0</c:v>
                </c:pt>
                <c:pt idx="157">
                  <c:v>0</c:v>
                </c:pt>
                <c:pt idx="158">
                  <c:v>342580</c:v>
                </c:pt>
                <c:pt idx="159">
                  <c:v>0</c:v>
                </c:pt>
                <c:pt idx="160">
                  <c:v>297982</c:v>
                </c:pt>
                <c:pt idx="161">
                  <c:v>0</c:v>
                </c:pt>
                <c:pt idx="162">
                  <c:v>0</c:v>
                </c:pt>
                <c:pt idx="163">
                  <c:v>258506</c:v>
                </c:pt>
                <c:pt idx="164">
                  <c:v>0</c:v>
                </c:pt>
                <c:pt idx="165">
                  <c:v>228073</c:v>
                </c:pt>
                <c:pt idx="166">
                  <c:v>0</c:v>
                </c:pt>
                <c:pt idx="167">
                  <c:v>0</c:v>
                </c:pt>
                <c:pt idx="168">
                  <c:v>208296</c:v>
                </c:pt>
                <c:pt idx="169">
                  <c:v>0</c:v>
                </c:pt>
                <c:pt idx="170">
                  <c:v>0</c:v>
                </c:pt>
                <c:pt idx="171">
                  <c:v>181940</c:v>
                </c:pt>
                <c:pt idx="172">
                  <c:v>0</c:v>
                </c:pt>
                <c:pt idx="173">
                  <c:v>162529</c:v>
                </c:pt>
                <c:pt idx="174">
                  <c:v>0</c:v>
                </c:pt>
                <c:pt idx="175">
                  <c:v>0</c:v>
                </c:pt>
                <c:pt idx="176">
                  <c:v>131991</c:v>
                </c:pt>
                <c:pt idx="177">
                  <c:v>0</c:v>
                </c:pt>
                <c:pt idx="178">
                  <c:v>114566</c:v>
                </c:pt>
                <c:pt idx="179">
                  <c:v>0</c:v>
                </c:pt>
                <c:pt idx="180">
                  <c:v>0</c:v>
                </c:pt>
                <c:pt idx="181">
                  <c:v>86307</c:v>
                </c:pt>
                <c:pt idx="182">
                  <c:v>0</c:v>
                </c:pt>
                <c:pt idx="183">
                  <c:v>67966</c:v>
                </c:pt>
                <c:pt idx="184">
                  <c:v>0</c:v>
                </c:pt>
                <c:pt idx="185">
                  <c:v>0</c:v>
                </c:pt>
                <c:pt idx="186">
                  <c:v>40802</c:v>
                </c:pt>
                <c:pt idx="187">
                  <c:v>0</c:v>
                </c:pt>
                <c:pt idx="188">
                  <c:v>0</c:v>
                </c:pt>
                <c:pt idx="189">
                  <c:v>23175</c:v>
                </c:pt>
                <c:pt idx="190">
                  <c:v>0</c:v>
                </c:pt>
                <c:pt idx="191">
                  <c:v>13632</c:v>
                </c:pt>
                <c:pt idx="192">
                  <c:v>0</c:v>
                </c:pt>
                <c:pt idx="193">
                  <c:v>0</c:v>
                </c:pt>
                <c:pt idx="194">
                  <c:v>4833</c:v>
                </c:pt>
                <c:pt idx="195">
                  <c:v>0</c:v>
                </c:pt>
                <c:pt idx="196">
                  <c:v>1967</c:v>
                </c:pt>
                <c:pt idx="197">
                  <c:v>0</c:v>
                </c:pt>
                <c:pt idx="198">
                  <c:v>0</c:v>
                </c:pt>
                <c:pt idx="199">
                  <c:v>229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2.1490999999999998</c:v>
                </c:pt>
                <c:pt idx="1">
                  <c:v>2.2403999999999997</c:v>
                </c:pt>
                <c:pt idx="2">
                  <c:v>2.3350999999999997</c:v>
                </c:pt>
                <c:pt idx="3">
                  <c:v>2.4295200000000001</c:v>
                </c:pt>
                <c:pt idx="4">
                  <c:v>2.5268299999999999</c:v>
                </c:pt>
                <c:pt idx="5">
                  <c:v>2.6262999999999996</c:v>
                </c:pt>
                <c:pt idx="6">
                  <c:v>2.7262999999999997</c:v>
                </c:pt>
                <c:pt idx="7">
                  <c:v>2.82653</c:v>
                </c:pt>
                <c:pt idx="8">
                  <c:v>2.9226799999999997</c:v>
                </c:pt>
                <c:pt idx="9">
                  <c:v>3.01701</c:v>
                </c:pt>
                <c:pt idx="10">
                  <c:v>3.1152200000000003</c:v>
                </c:pt>
                <c:pt idx="11">
                  <c:v>3.2179899999999999</c:v>
                </c:pt>
                <c:pt idx="12">
                  <c:v>3.3200000000000003</c:v>
                </c:pt>
                <c:pt idx="13">
                  <c:v>3.4204499999999998</c:v>
                </c:pt>
                <c:pt idx="14">
                  <c:v>3.5218100000000003</c:v>
                </c:pt>
                <c:pt idx="15">
                  <c:v>3.6253600000000001</c:v>
                </c:pt>
                <c:pt idx="16">
                  <c:v>3.7297799999999999</c:v>
                </c:pt>
                <c:pt idx="17">
                  <c:v>3.8339299999999996</c:v>
                </c:pt>
                <c:pt idx="18">
                  <c:v>3.9344800000000002</c:v>
                </c:pt>
                <c:pt idx="19">
                  <c:v>4.0343200000000001</c:v>
                </c:pt>
                <c:pt idx="20">
                  <c:v>4.1314899999999994</c:v>
                </c:pt>
                <c:pt idx="21">
                  <c:v>4.2258000000000004</c:v>
                </c:pt>
                <c:pt idx="22">
                  <c:v>4.3187300000000004</c:v>
                </c:pt>
                <c:pt idx="23">
                  <c:v>4.4055299999999997</c:v>
                </c:pt>
                <c:pt idx="24">
                  <c:v>4.4896799999999999</c:v>
                </c:pt>
                <c:pt idx="25">
                  <c:v>4.5697399999999995</c:v>
                </c:pt>
                <c:pt idx="26">
                  <c:v>4.6458199999999996</c:v>
                </c:pt>
                <c:pt idx="27">
                  <c:v>4.71692</c:v>
                </c:pt>
                <c:pt idx="28">
                  <c:v>4.7866900000000001</c:v>
                </c:pt>
                <c:pt idx="29">
                  <c:v>4.8515899999999998</c:v>
                </c:pt>
                <c:pt idx="30">
                  <c:v>4.9118399999999998</c:v>
                </c:pt>
                <c:pt idx="31">
                  <c:v>4.9698500000000001</c:v>
                </c:pt>
                <c:pt idx="32">
                  <c:v>5.0249200000000007</c:v>
                </c:pt>
                <c:pt idx="33">
                  <c:v>5.0749900000000006</c:v>
                </c:pt>
                <c:pt idx="34">
                  <c:v>5.1176300000000001</c:v>
                </c:pt>
                <c:pt idx="35">
                  <c:v>5.154069999999999</c:v>
                </c:pt>
                <c:pt idx="36">
                  <c:v>5.1849100000000004</c:v>
                </c:pt>
                <c:pt idx="37">
                  <c:v>5.2142999999999997</c:v>
                </c:pt>
                <c:pt idx="38">
                  <c:v>5.2423099999999998</c:v>
                </c:pt>
                <c:pt idx="39">
                  <c:v>5.2658199999999997</c:v>
                </c:pt>
                <c:pt idx="40">
                  <c:v>5.2855100000000004</c:v>
                </c:pt>
                <c:pt idx="41">
                  <c:v>5.3019600000000002</c:v>
                </c:pt>
                <c:pt idx="42">
                  <c:v>5.31555</c:v>
                </c:pt>
                <c:pt idx="43">
                  <c:v>5.3305199999999999</c:v>
                </c:pt>
                <c:pt idx="44">
                  <c:v>5.3438499999999998</c:v>
                </c:pt>
                <c:pt idx="45">
                  <c:v>5.3539899999999996</c:v>
                </c:pt>
                <c:pt idx="46">
                  <c:v>5.36442</c:v>
                </c:pt>
                <c:pt idx="47">
                  <c:v>5.3725999999999994</c:v>
                </c:pt>
                <c:pt idx="48">
                  <c:v>5.3779200000000005</c:v>
                </c:pt>
                <c:pt idx="49">
                  <c:v>5.3783700000000003</c:v>
                </c:pt>
                <c:pt idx="50">
                  <c:v>5.3779900000000005</c:v>
                </c:pt>
                <c:pt idx="51">
                  <c:v>5.3779299999999992</c:v>
                </c:pt>
                <c:pt idx="52">
                  <c:v>5.3785000000000007</c:v>
                </c:pt>
                <c:pt idx="53">
                  <c:v>5.375259999999999</c:v>
                </c:pt>
                <c:pt idx="54">
                  <c:v>5.3705599999999993</c:v>
                </c:pt>
                <c:pt idx="55">
                  <c:v>5.3637500000000005</c:v>
                </c:pt>
                <c:pt idx="56">
                  <c:v>5.3544199999999993</c:v>
                </c:pt>
                <c:pt idx="57">
                  <c:v>5.3451599999999999</c:v>
                </c:pt>
                <c:pt idx="58">
                  <c:v>5.3358000000000008</c:v>
                </c:pt>
                <c:pt idx="59">
                  <c:v>5.3291900000000005</c:v>
                </c:pt>
                <c:pt idx="60">
                  <c:v>5.32273</c:v>
                </c:pt>
                <c:pt idx="61">
                  <c:v>5.3164699999999998</c:v>
                </c:pt>
                <c:pt idx="62">
                  <c:v>5.30694</c:v>
                </c:pt>
                <c:pt idx="63">
                  <c:v>5.29542</c:v>
                </c:pt>
                <c:pt idx="64">
                  <c:v>5.28559</c:v>
                </c:pt>
                <c:pt idx="65">
                  <c:v>5.2777700000000003</c:v>
                </c:pt>
                <c:pt idx="66">
                  <c:v>5.2685599999999999</c:v>
                </c:pt>
                <c:pt idx="67">
                  <c:v>5.2570499999999996</c:v>
                </c:pt>
                <c:pt idx="68">
                  <c:v>5.2426300000000001</c:v>
                </c:pt>
                <c:pt idx="69">
                  <c:v>5.2293799999999999</c:v>
                </c:pt>
                <c:pt idx="70">
                  <c:v>5.2185499999999996</c:v>
                </c:pt>
                <c:pt idx="71">
                  <c:v>5.2055199999999999</c:v>
                </c:pt>
                <c:pt idx="72">
                  <c:v>5.1929499999999997</c:v>
                </c:pt>
                <c:pt idx="73">
                  <c:v>5.1842299999999994</c:v>
                </c:pt>
                <c:pt idx="74">
                  <c:v>5.1777799999999994</c:v>
                </c:pt>
                <c:pt idx="75">
                  <c:v>5.1676699999999993</c:v>
                </c:pt>
                <c:pt idx="76">
                  <c:v>5.1556100000000002</c:v>
                </c:pt>
                <c:pt idx="77">
                  <c:v>5.1400100000000002</c:v>
                </c:pt>
                <c:pt idx="78">
                  <c:v>5.125</c:v>
                </c:pt>
                <c:pt idx="79">
                  <c:v>5.1120299999999999</c:v>
                </c:pt>
                <c:pt idx="80">
                  <c:v>5.1008399999999998</c:v>
                </c:pt>
                <c:pt idx="81">
                  <c:v>5.0895900000000003</c:v>
                </c:pt>
                <c:pt idx="82">
                  <c:v>5.0756999999999994</c:v>
                </c:pt>
                <c:pt idx="83">
                  <c:v>5.0613200000000003</c:v>
                </c:pt>
                <c:pt idx="84">
                  <c:v>5.0445500000000001</c:v>
                </c:pt>
                <c:pt idx="85">
                  <c:v>5.0309699999999999</c:v>
                </c:pt>
                <c:pt idx="86">
                  <c:v>5.0202200000000001</c:v>
                </c:pt>
                <c:pt idx="87">
                  <c:v>5.0111099999999995</c:v>
                </c:pt>
                <c:pt idx="88">
                  <c:v>5.0035499999999997</c:v>
                </c:pt>
                <c:pt idx="89">
                  <c:v>4.9947299999999997</c:v>
                </c:pt>
                <c:pt idx="90">
                  <c:v>4.9822499999999996</c:v>
                </c:pt>
                <c:pt idx="91">
                  <c:v>4.9709099999999999</c:v>
                </c:pt>
                <c:pt idx="92">
                  <c:v>4.9643700000000006</c:v>
                </c:pt>
                <c:pt idx="93">
                  <c:v>4.9573299999999998</c:v>
                </c:pt>
                <c:pt idx="94">
                  <c:v>4.9468300000000003</c:v>
                </c:pt>
                <c:pt idx="95">
                  <c:v>4.9337999999999997</c:v>
                </c:pt>
                <c:pt idx="96">
                  <c:v>4.9209399999999999</c:v>
                </c:pt>
                <c:pt idx="97">
                  <c:v>4.9086699999999999</c:v>
                </c:pt>
                <c:pt idx="98">
                  <c:v>4.8974099999999998</c:v>
                </c:pt>
                <c:pt idx="99">
                  <c:v>4.8915300000000004</c:v>
                </c:pt>
                <c:pt idx="100">
                  <c:v>4.8902800000000006</c:v>
                </c:pt>
                <c:pt idx="101">
                  <c:v>4.8870699999999996</c:v>
                </c:pt>
                <c:pt idx="102">
                  <c:v>4.8893399999999998</c:v>
                </c:pt>
                <c:pt idx="103">
                  <c:v>4.8943700000000003</c:v>
                </c:pt>
                <c:pt idx="104">
                  <c:v>4.9002299999999996</c:v>
                </c:pt>
                <c:pt idx="105">
                  <c:v>4.90733</c:v>
                </c:pt>
                <c:pt idx="106">
                  <c:v>4.9153900000000004</c:v>
                </c:pt>
                <c:pt idx="107">
                  <c:v>4.9243800000000002</c:v>
                </c:pt>
                <c:pt idx="108">
                  <c:v>4.9368699999999999</c:v>
                </c:pt>
                <c:pt idx="109">
                  <c:v>4.9541000000000004</c:v>
                </c:pt>
                <c:pt idx="110">
                  <c:v>4.97044</c:v>
                </c:pt>
                <c:pt idx="111">
                  <c:v>4.9833999999999996</c:v>
                </c:pt>
                <c:pt idx="112">
                  <c:v>4.9989299999999997</c:v>
                </c:pt>
                <c:pt idx="113">
                  <c:v>5.0175199999999993</c:v>
                </c:pt>
                <c:pt idx="114">
                  <c:v>5.0352100000000002</c:v>
                </c:pt>
                <c:pt idx="115">
                  <c:v>5.0522799999999997</c:v>
                </c:pt>
                <c:pt idx="116">
                  <c:v>5.0718100000000002</c:v>
                </c:pt>
                <c:pt idx="117">
                  <c:v>5.0911200000000001</c:v>
                </c:pt>
                <c:pt idx="118">
                  <c:v>5.1095999999999995</c:v>
                </c:pt>
                <c:pt idx="119">
                  <c:v>5.1295100000000007</c:v>
                </c:pt>
                <c:pt idx="120">
                  <c:v>5.1529699999999998</c:v>
                </c:pt>
                <c:pt idx="121">
                  <c:v>5.1769400000000001</c:v>
                </c:pt>
                <c:pt idx="122">
                  <c:v>5.2005299999999997</c:v>
                </c:pt>
                <c:pt idx="123">
                  <c:v>5.2225799999999998</c:v>
                </c:pt>
                <c:pt idx="124">
                  <c:v>5.2373400000000006</c:v>
                </c:pt>
                <c:pt idx="125">
                  <c:v>5.2465099999999998</c:v>
                </c:pt>
                <c:pt idx="126">
                  <c:v>5.25807</c:v>
                </c:pt>
                <c:pt idx="127">
                  <c:v>5.2685400000000007</c:v>
                </c:pt>
                <c:pt idx="128">
                  <c:v>5.278929999999999</c:v>
                </c:pt>
                <c:pt idx="129">
                  <c:v>5.2888599999999997</c:v>
                </c:pt>
                <c:pt idx="130">
                  <c:v>5.2990000000000004</c:v>
                </c:pt>
                <c:pt idx="131">
                  <c:v>5.3100400000000008</c:v>
                </c:pt>
                <c:pt idx="132">
                  <c:v>5.3223000000000003</c:v>
                </c:pt>
                <c:pt idx="133">
                  <c:v>5.3336799999999993</c:v>
                </c:pt>
                <c:pt idx="134">
                  <c:v>5.3431300000000004</c:v>
                </c:pt>
                <c:pt idx="135">
                  <c:v>5.3532400000000004</c:v>
                </c:pt>
                <c:pt idx="136">
                  <c:v>5.3668099999999992</c:v>
                </c:pt>
                <c:pt idx="137">
                  <c:v>5.3788100000000005</c:v>
                </c:pt>
                <c:pt idx="138">
                  <c:v>5.3869500000000006</c:v>
                </c:pt>
                <c:pt idx="139">
                  <c:v>5.3977900000000005</c:v>
                </c:pt>
                <c:pt idx="140">
                  <c:v>5.4114199999999997</c:v>
                </c:pt>
                <c:pt idx="141">
                  <c:v>5.4213399999999998</c:v>
                </c:pt>
                <c:pt idx="142">
                  <c:v>5.4292899999999999</c:v>
                </c:pt>
                <c:pt idx="143">
                  <c:v>5.4425699999999999</c:v>
                </c:pt>
                <c:pt idx="144">
                  <c:v>5.4555199999999999</c:v>
                </c:pt>
                <c:pt idx="145">
                  <c:v>5.4589600000000003</c:v>
                </c:pt>
                <c:pt idx="146">
                  <c:v>5.4628800000000002</c:v>
                </c:pt>
                <c:pt idx="147">
                  <c:v>5.4647299999999994</c:v>
                </c:pt>
                <c:pt idx="148">
                  <c:v>5.4813700000000001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62.069200000000002</c:v>
                </c:pt>
                <c:pt idx="1">
                  <c:v>61.2958</c:v>
                </c:pt>
                <c:pt idx="2">
                  <c:v>60.430799999999998</c:v>
                </c:pt>
                <c:pt idx="3">
                  <c:v>59.648400000000002</c:v>
                </c:pt>
                <c:pt idx="4">
                  <c:v>58.707000000000001</c:v>
                </c:pt>
                <c:pt idx="5">
                  <c:v>57.65</c:v>
                </c:pt>
                <c:pt idx="6">
                  <c:v>56.593499999999999</c:v>
                </c:pt>
                <c:pt idx="7">
                  <c:v>55.524399999999993</c:v>
                </c:pt>
                <c:pt idx="8">
                  <c:v>54.309300000000007</c:v>
                </c:pt>
                <c:pt idx="9">
                  <c:v>53.019099999999995</c:v>
                </c:pt>
                <c:pt idx="10">
                  <c:v>51.636299999999999</c:v>
                </c:pt>
                <c:pt idx="11">
                  <c:v>50.146900000000002</c:v>
                </c:pt>
                <c:pt idx="12">
                  <c:v>48.781200000000005</c:v>
                </c:pt>
                <c:pt idx="13">
                  <c:v>47.614600000000003</c:v>
                </c:pt>
                <c:pt idx="14">
                  <c:v>46.504200000000004</c:v>
                </c:pt>
                <c:pt idx="15">
                  <c:v>45.436500000000002</c:v>
                </c:pt>
                <c:pt idx="16">
                  <c:v>44.4803</c:v>
                </c:pt>
                <c:pt idx="17">
                  <c:v>43.706200000000003</c:v>
                </c:pt>
                <c:pt idx="18">
                  <c:v>43.162800000000004</c:v>
                </c:pt>
                <c:pt idx="19">
                  <c:v>42.773000000000003</c:v>
                </c:pt>
                <c:pt idx="20">
                  <c:v>42.496899999999997</c:v>
                </c:pt>
                <c:pt idx="21">
                  <c:v>42.407499999999999</c:v>
                </c:pt>
                <c:pt idx="22">
                  <c:v>42.4709</c:v>
                </c:pt>
                <c:pt idx="23">
                  <c:v>42.765000000000001</c:v>
                </c:pt>
                <c:pt idx="24">
                  <c:v>43.076700000000002</c:v>
                </c:pt>
                <c:pt idx="25">
                  <c:v>43.421399999999998</c:v>
                </c:pt>
                <c:pt idx="26">
                  <c:v>43.775500000000001</c:v>
                </c:pt>
                <c:pt idx="27">
                  <c:v>44.1355</c:v>
                </c:pt>
                <c:pt idx="28">
                  <c:v>44.45</c:v>
                </c:pt>
                <c:pt idx="29">
                  <c:v>44.776700000000005</c:v>
                </c:pt>
                <c:pt idx="30">
                  <c:v>45.078200000000002</c:v>
                </c:pt>
                <c:pt idx="31">
                  <c:v>45.319500000000005</c:v>
                </c:pt>
                <c:pt idx="32">
                  <c:v>45.512300000000003</c:v>
                </c:pt>
                <c:pt idx="33">
                  <c:v>45.691099999999999</c:v>
                </c:pt>
                <c:pt idx="34">
                  <c:v>45.783000000000001</c:v>
                </c:pt>
                <c:pt idx="35">
                  <c:v>45.8947</c:v>
                </c:pt>
                <c:pt idx="36">
                  <c:v>45.927299999999995</c:v>
                </c:pt>
                <c:pt idx="37">
                  <c:v>45.916699999999999</c:v>
                </c:pt>
                <c:pt idx="38">
                  <c:v>45.877000000000002</c:v>
                </c:pt>
                <c:pt idx="39">
                  <c:v>45.8598</c:v>
                </c:pt>
                <c:pt idx="40">
                  <c:v>45.807199999999995</c:v>
                </c:pt>
                <c:pt idx="41">
                  <c:v>45.746199999999995</c:v>
                </c:pt>
                <c:pt idx="42">
                  <c:v>45.718599999999995</c:v>
                </c:pt>
                <c:pt idx="43">
                  <c:v>45.723200000000006</c:v>
                </c:pt>
                <c:pt idx="44">
                  <c:v>45.707099999999997</c:v>
                </c:pt>
                <c:pt idx="45">
                  <c:v>45.7378</c:v>
                </c:pt>
                <c:pt idx="46">
                  <c:v>45.716000000000001</c:v>
                </c:pt>
                <c:pt idx="47">
                  <c:v>45.592500000000001</c:v>
                </c:pt>
                <c:pt idx="48">
                  <c:v>45.4983</c:v>
                </c:pt>
                <c:pt idx="49">
                  <c:v>45.447700000000005</c:v>
                </c:pt>
                <c:pt idx="50">
                  <c:v>45.379899999999999</c:v>
                </c:pt>
                <c:pt idx="51">
                  <c:v>45.3309</c:v>
                </c:pt>
                <c:pt idx="52">
                  <c:v>45.330199999999998</c:v>
                </c:pt>
                <c:pt idx="53">
                  <c:v>45.373400000000004</c:v>
                </c:pt>
                <c:pt idx="54">
                  <c:v>45.448</c:v>
                </c:pt>
                <c:pt idx="55">
                  <c:v>45.555399999999999</c:v>
                </c:pt>
                <c:pt idx="56">
                  <c:v>45.7149</c:v>
                </c:pt>
                <c:pt idx="57">
                  <c:v>45.963999999999999</c:v>
                </c:pt>
                <c:pt idx="58">
                  <c:v>46.270499999999998</c:v>
                </c:pt>
                <c:pt idx="59">
                  <c:v>46.640500000000003</c:v>
                </c:pt>
                <c:pt idx="60">
                  <c:v>46.922699999999999</c:v>
                </c:pt>
                <c:pt idx="61">
                  <c:v>47.209000000000003</c:v>
                </c:pt>
                <c:pt idx="62">
                  <c:v>47.491299999999995</c:v>
                </c:pt>
                <c:pt idx="63">
                  <c:v>47.772399999999998</c:v>
                </c:pt>
                <c:pt idx="64">
                  <c:v>47.993099999999998</c:v>
                </c:pt>
                <c:pt idx="65">
                  <c:v>48.2102</c:v>
                </c:pt>
                <c:pt idx="66">
                  <c:v>48.349399999999996</c:v>
                </c:pt>
                <c:pt idx="67">
                  <c:v>48.380400000000002</c:v>
                </c:pt>
                <c:pt idx="68">
                  <c:v>48.427500000000002</c:v>
                </c:pt>
                <c:pt idx="69">
                  <c:v>48.537999999999997</c:v>
                </c:pt>
                <c:pt idx="70">
                  <c:v>48.543100000000003</c:v>
                </c:pt>
                <c:pt idx="71">
                  <c:v>48.619800000000005</c:v>
                </c:pt>
                <c:pt idx="72">
                  <c:v>48.793100000000003</c:v>
                </c:pt>
                <c:pt idx="73">
                  <c:v>48.928600000000003</c:v>
                </c:pt>
                <c:pt idx="74">
                  <c:v>49.016799999999996</c:v>
                </c:pt>
                <c:pt idx="75">
                  <c:v>49.138300000000001</c:v>
                </c:pt>
                <c:pt idx="76">
                  <c:v>49.259100000000004</c:v>
                </c:pt>
                <c:pt idx="77">
                  <c:v>49.3444</c:v>
                </c:pt>
                <c:pt idx="78">
                  <c:v>49.3521</c:v>
                </c:pt>
                <c:pt idx="79">
                  <c:v>49.326799999999999</c:v>
                </c:pt>
                <c:pt idx="80">
                  <c:v>49.248199999999997</c:v>
                </c:pt>
                <c:pt idx="81">
                  <c:v>49.119700000000002</c:v>
                </c:pt>
                <c:pt idx="82">
                  <c:v>48.945699999999995</c:v>
                </c:pt>
                <c:pt idx="83">
                  <c:v>48.7194</c:v>
                </c:pt>
                <c:pt idx="84">
                  <c:v>48.4482</c:v>
                </c:pt>
                <c:pt idx="85">
                  <c:v>48.1646</c:v>
                </c:pt>
                <c:pt idx="86">
                  <c:v>47.846800000000002</c:v>
                </c:pt>
                <c:pt idx="87">
                  <c:v>47.478500000000004</c:v>
                </c:pt>
                <c:pt idx="88">
                  <c:v>47.120400000000004</c:v>
                </c:pt>
                <c:pt idx="89">
                  <c:v>46.853099999999998</c:v>
                </c:pt>
                <c:pt idx="90">
                  <c:v>46.607700000000001</c:v>
                </c:pt>
                <c:pt idx="91">
                  <c:v>46.432000000000002</c:v>
                </c:pt>
                <c:pt idx="92">
                  <c:v>46.292200000000001</c:v>
                </c:pt>
                <c:pt idx="93">
                  <c:v>46.138500000000001</c:v>
                </c:pt>
                <c:pt idx="94">
                  <c:v>45.922899999999998</c:v>
                </c:pt>
                <c:pt idx="95">
                  <c:v>45.802199999999999</c:v>
                </c:pt>
                <c:pt idx="96">
                  <c:v>45.704299999999996</c:v>
                </c:pt>
                <c:pt idx="97">
                  <c:v>45.650600000000004</c:v>
                </c:pt>
                <c:pt idx="98">
                  <c:v>45.585799999999999</c:v>
                </c:pt>
                <c:pt idx="99">
                  <c:v>45.479199999999999</c:v>
                </c:pt>
                <c:pt idx="100">
                  <c:v>45.389600000000002</c:v>
                </c:pt>
                <c:pt idx="101">
                  <c:v>45.381899999999995</c:v>
                </c:pt>
                <c:pt idx="102">
                  <c:v>45.358800000000002</c:v>
                </c:pt>
                <c:pt idx="103">
                  <c:v>45.330799999999996</c:v>
                </c:pt>
                <c:pt idx="104">
                  <c:v>45.241799999999998</c:v>
                </c:pt>
                <c:pt idx="105">
                  <c:v>45.155899999999995</c:v>
                </c:pt>
                <c:pt idx="106">
                  <c:v>45.075500000000005</c:v>
                </c:pt>
                <c:pt idx="107">
                  <c:v>44.971200000000003</c:v>
                </c:pt>
                <c:pt idx="108">
                  <c:v>44.836500000000001</c:v>
                </c:pt>
                <c:pt idx="109">
                  <c:v>44.791699999999999</c:v>
                </c:pt>
                <c:pt idx="110">
                  <c:v>44.822899999999997</c:v>
                </c:pt>
                <c:pt idx="111">
                  <c:v>44.9099</c:v>
                </c:pt>
                <c:pt idx="112">
                  <c:v>44.972999999999999</c:v>
                </c:pt>
                <c:pt idx="113">
                  <c:v>45.020600000000002</c:v>
                </c:pt>
                <c:pt idx="114">
                  <c:v>45.053899999999999</c:v>
                </c:pt>
                <c:pt idx="115">
                  <c:v>45.164700000000003</c:v>
                </c:pt>
                <c:pt idx="116">
                  <c:v>45.303199999999997</c:v>
                </c:pt>
                <c:pt idx="117">
                  <c:v>45.4527</c:v>
                </c:pt>
                <c:pt idx="118">
                  <c:v>45.6511</c:v>
                </c:pt>
                <c:pt idx="119">
                  <c:v>45.901599999999995</c:v>
                </c:pt>
                <c:pt idx="120">
                  <c:v>46.160600000000002</c:v>
                </c:pt>
                <c:pt idx="121">
                  <c:v>46.276600000000002</c:v>
                </c:pt>
                <c:pt idx="122">
                  <c:v>46.319000000000003</c:v>
                </c:pt>
                <c:pt idx="123">
                  <c:v>46.247799999999998</c:v>
                </c:pt>
                <c:pt idx="124">
                  <c:v>46.171099999999996</c:v>
                </c:pt>
                <c:pt idx="125">
                  <c:v>46.227699999999999</c:v>
                </c:pt>
                <c:pt idx="126">
                  <c:v>46.278200000000005</c:v>
                </c:pt>
                <c:pt idx="127">
                  <c:v>46.317399999999999</c:v>
                </c:pt>
                <c:pt idx="128">
                  <c:v>46.383299999999998</c:v>
                </c:pt>
                <c:pt idx="129">
                  <c:v>46.489100000000001</c:v>
                </c:pt>
                <c:pt idx="130">
                  <c:v>46.602700000000006</c:v>
                </c:pt>
                <c:pt idx="131">
                  <c:v>46.724800000000002</c:v>
                </c:pt>
                <c:pt idx="132">
                  <c:v>46.894599999999997</c:v>
                </c:pt>
                <c:pt idx="133">
                  <c:v>47.081899999999997</c:v>
                </c:pt>
                <c:pt idx="134">
                  <c:v>47.222099999999998</c:v>
                </c:pt>
                <c:pt idx="135">
                  <c:v>47.2986</c:v>
                </c:pt>
                <c:pt idx="136">
                  <c:v>47.3748</c:v>
                </c:pt>
                <c:pt idx="137">
                  <c:v>47.523700000000005</c:v>
                </c:pt>
                <c:pt idx="138">
                  <c:v>47.661500000000004</c:v>
                </c:pt>
                <c:pt idx="139">
                  <c:v>47.801100000000005</c:v>
                </c:pt>
                <c:pt idx="140">
                  <c:v>47.821100000000001</c:v>
                </c:pt>
                <c:pt idx="141">
                  <c:v>47.6417</c:v>
                </c:pt>
                <c:pt idx="142">
                  <c:v>47.311799999999998</c:v>
                </c:pt>
                <c:pt idx="143">
                  <c:v>46.922899999999998</c:v>
                </c:pt>
                <c:pt idx="144">
                  <c:v>46.303199999999997</c:v>
                </c:pt>
                <c:pt idx="145">
                  <c:v>45.164300000000004</c:v>
                </c:pt>
                <c:pt idx="146">
                  <c:v>44.203499999999998</c:v>
                </c:pt>
                <c:pt idx="147">
                  <c:v>42.893500000000003</c:v>
                </c:pt>
                <c:pt idx="148">
                  <c:v>41.230200000000004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2.1490999999999998</c:v>
                </c:pt>
                <c:pt idx="1">
                  <c:v>2.2403999999999997</c:v>
                </c:pt>
                <c:pt idx="2">
                  <c:v>2.3350999999999997</c:v>
                </c:pt>
                <c:pt idx="3">
                  <c:v>2.4295200000000001</c:v>
                </c:pt>
                <c:pt idx="4">
                  <c:v>2.5268299999999999</c:v>
                </c:pt>
                <c:pt idx="5">
                  <c:v>2.6262999999999996</c:v>
                </c:pt>
                <c:pt idx="6">
                  <c:v>2.7262999999999997</c:v>
                </c:pt>
                <c:pt idx="7">
                  <c:v>2.82653</c:v>
                </c:pt>
                <c:pt idx="8">
                  <c:v>2.9226799999999997</c:v>
                </c:pt>
                <c:pt idx="9">
                  <c:v>3.01701</c:v>
                </c:pt>
                <c:pt idx="10">
                  <c:v>3.1152200000000003</c:v>
                </c:pt>
                <c:pt idx="11">
                  <c:v>3.2179899999999999</c:v>
                </c:pt>
                <c:pt idx="12">
                  <c:v>3.3200000000000003</c:v>
                </c:pt>
                <c:pt idx="13">
                  <c:v>3.4204499999999998</c:v>
                </c:pt>
                <c:pt idx="14">
                  <c:v>3.5218100000000003</c:v>
                </c:pt>
                <c:pt idx="15">
                  <c:v>3.6253600000000001</c:v>
                </c:pt>
                <c:pt idx="16">
                  <c:v>3.7297799999999999</c:v>
                </c:pt>
                <c:pt idx="17">
                  <c:v>3.8339299999999996</c:v>
                </c:pt>
                <c:pt idx="18">
                  <c:v>3.9344800000000002</c:v>
                </c:pt>
                <c:pt idx="19">
                  <c:v>4.0343200000000001</c:v>
                </c:pt>
                <c:pt idx="20">
                  <c:v>4.1314899999999994</c:v>
                </c:pt>
                <c:pt idx="21">
                  <c:v>4.2258000000000004</c:v>
                </c:pt>
                <c:pt idx="22">
                  <c:v>4.3187300000000004</c:v>
                </c:pt>
                <c:pt idx="23">
                  <c:v>4.4055299999999997</c:v>
                </c:pt>
                <c:pt idx="24">
                  <c:v>4.4896799999999999</c:v>
                </c:pt>
                <c:pt idx="25">
                  <c:v>4.5697399999999995</c:v>
                </c:pt>
                <c:pt idx="26">
                  <c:v>4.6458199999999996</c:v>
                </c:pt>
                <c:pt idx="27">
                  <c:v>4.71692</c:v>
                </c:pt>
                <c:pt idx="28">
                  <c:v>4.7866900000000001</c:v>
                </c:pt>
                <c:pt idx="29">
                  <c:v>4.8515899999999998</c:v>
                </c:pt>
                <c:pt idx="30">
                  <c:v>4.9118399999999998</c:v>
                </c:pt>
                <c:pt idx="31">
                  <c:v>4.9698500000000001</c:v>
                </c:pt>
                <c:pt idx="32">
                  <c:v>5.0249200000000007</c:v>
                </c:pt>
                <c:pt idx="33">
                  <c:v>5.0749900000000006</c:v>
                </c:pt>
                <c:pt idx="34">
                  <c:v>5.1176300000000001</c:v>
                </c:pt>
                <c:pt idx="35">
                  <c:v>5.154069999999999</c:v>
                </c:pt>
                <c:pt idx="36">
                  <c:v>5.1849100000000004</c:v>
                </c:pt>
                <c:pt idx="37">
                  <c:v>5.2142999999999997</c:v>
                </c:pt>
                <c:pt idx="38">
                  <c:v>5.2423099999999998</c:v>
                </c:pt>
                <c:pt idx="39">
                  <c:v>5.2658199999999997</c:v>
                </c:pt>
                <c:pt idx="40">
                  <c:v>5.2855100000000004</c:v>
                </c:pt>
                <c:pt idx="41">
                  <c:v>5.3019600000000002</c:v>
                </c:pt>
                <c:pt idx="42">
                  <c:v>5.31555</c:v>
                </c:pt>
                <c:pt idx="43">
                  <c:v>5.3305199999999999</c:v>
                </c:pt>
                <c:pt idx="44">
                  <c:v>5.3438499999999998</c:v>
                </c:pt>
                <c:pt idx="45">
                  <c:v>5.3539899999999996</c:v>
                </c:pt>
                <c:pt idx="46">
                  <c:v>5.36442</c:v>
                </c:pt>
                <c:pt idx="47">
                  <c:v>5.3725999999999994</c:v>
                </c:pt>
                <c:pt idx="48">
                  <c:v>5.3779200000000005</c:v>
                </c:pt>
                <c:pt idx="49">
                  <c:v>5.3783700000000003</c:v>
                </c:pt>
                <c:pt idx="50">
                  <c:v>5.3779900000000005</c:v>
                </c:pt>
                <c:pt idx="51">
                  <c:v>5.3779299999999992</c:v>
                </c:pt>
                <c:pt idx="52">
                  <c:v>5.3785000000000007</c:v>
                </c:pt>
                <c:pt idx="53">
                  <c:v>5.375259999999999</c:v>
                </c:pt>
                <c:pt idx="54">
                  <c:v>5.3705599999999993</c:v>
                </c:pt>
                <c:pt idx="55">
                  <c:v>5.3637500000000005</c:v>
                </c:pt>
                <c:pt idx="56">
                  <c:v>5.3544199999999993</c:v>
                </c:pt>
                <c:pt idx="57">
                  <c:v>5.3451599999999999</c:v>
                </c:pt>
                <c:pt idx="58">
                  <c:v>5.3358000000000008</c:v>
                </c:pt>
                <c:pt idx="59">
                  <c:v>5.3291900000000005</c:v>
                </c:pt>
                <c:pt idx="60">
                  <c:v>5.32273</c:v>
                </c:pt>
                <c:pt idx="61">
                  <c:v>5.3164699999999998</c:v>
                </c:pt>
                <c:pt idx="62">
                  <c:v>5.30694</c:v>
                </c:pt>
                <c:pt idx="63">
                  <c:v>5.29542</c:v>
                </c:pt>
                <c:pt idx="64">
                  <c:v>5.28559</c:v>
                </c:pt>
                <c:pt idx="65">
                  <c:v>5.2777700000000003</c:v>
                </c:pt>
                <c:pt idx="66">
                  <c:v>5.2685599999999999</c:v>
                </c:pt>
                <c:pt idx="67">
                  <c:v>5.2570499999999996</c:v>
                </c:pt>
                <c:pt idx="68">
                  <c:v>5.2426300000000001</c:v>
                </c:pt>
                <c:pt idx="69">
                  <c:v>5.2293799999999999</c:v>
                </c:pt>
                <c:pt idx="70">
                  <c:v>5.2185499999999996</c:v>
                </c:pt>
                <c:pt idx="71">
                  <c:v>5.2055199999999999</c:v>
                </c:pt>
                <c:pt idx="72">
                  <c:v>5.1929499999999997</c:v>
                </c:pt>
                <c:pt idx="73">
                  <c:v>5.1842299999999994</c:v>
                </c:pt>
                <c:pt idx="74">
                  <c:v>5.1777799999999994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62.069200000000002</c:v>
                </c:pt>
                <c:pt idx="1">
                  <c:v>61.2958</c:v>
                </c:pt>
                <c:pt idx="2">
                  <c:v>60.430799999999998</c:v>
                </c:pt>
                <c:pt idx="3">
                  <c:v>59.648400000000002</c:v>
                </c:pt>
                <c:pt idx="4">
                  <c:v>58.707000000000001</c:v>
                </c:pt>
                <c:pt idx="5">
                  <c:v>57.65</c:v>
                </c:pt>
                <c:pt idx="6">
                  <c:v>56.593499999999999</c:v>
                </c:pt>
                <c:pt idx="7">
                  <c:v>55.524399999999993</c:v>
                </c:pt>
                <c:pt idx="8">
                  <c:v>54.309300000000007</c:v>
                </c:pt>
                <c:pt idx="9">
                  <c:v>53.019099999999995</c:v>
                </c:pt>
                <c:pt idx="10">
                  <c:v>51.636299999999999</c:v>
                </c:pt>
                <c:pt idx="11">
                  <c:v>50.146900000000002</c:v>
                </c:pt>
                <c:pt idx="12">
                  <c:v>48.781200000000005</c:v>
                </c:pt>
                <c:pt idx="13">
                  <c:v>47.614600000000003</c:v>
                </c:pt>
                <c:pt idx="14">
                  <c:v>46.504200000000004</c:v>
                </c:pt>
                <c:pt idx="15">
                  <c:v>45.436500000000002</c:v>
                </c:pt>
                <c:pt idx="16">
                  <c:v>44.4803</c:v>
                </c:pt>
                <c:pt idx="17">
                  <c:v>43.706200000000003</c:v>
                </c:pt>
                <c:pt idx="18">
                  <c:v>43.162800000000004</c:v>
                </c:pt>
                <c:pt idx="19">
                  <c:v>42.773000000000003</c:v>
                </c:pt>
                <c:pt idx="20">
                  <c:v>42.496899999999997</c:v>
                </c:pt>
                <c:pt idx="21">
                  <c:v>42.407499999999999</c:v>
                </c:pt>
                <c:pt idx="22">
                  <c:v>42.4709</c:v>
                </c:pt>
                <c:pt idx="23">
                  <c:v>42.765000000000001</c:v>
                </c:pt>
                <c:pt idx="24">
                  <c:v>43.076700000000002</c:v>
                </c:pt>
                <c:pt idx="25">
                  <c:v>43.421399999999998</c:v>
                </c:pt>
                <c:pt idx="26">
                  <c:v>43.775500000000001</c:v>
                </c:pt>
                <c:pt idx="27">
                  <c:v>44.1355</c:v>
                </c:pt>
                <c:pt idx="28">
                  <c:v>44.45</c:v>
                </c:pt>
                <c:pt idx="29">
                  <c:v>44.776700000000005</c:v>
                </c:pt>
                <c:pt idx="30">
                  <c:v>45.078200000000002</c:v>
                </c:pt>
                <c:pt idx="31">
                  <c:v>45.319500000000005</c:v>
                </c:pt>
                <c:pt idx="32">
                  <c:v>45.512300000000003</c:v>
                </c:pt>
                <c:pt idx="33">
                  <c:v>45.691099999999999</c:v>
                </c:pt>
                <c:pt idx="34">
                  <c:v>45.783000000000001</c:v>
                </c:pt>
                <c:pt idx="35">
                  <c:v>45.8947</c:v>
                </c:pt>
                <c:pt idx="36">
                  <c:v>45.927299999999995</c:v>
                </c:pt>
                <c:pt idx="37">
                  <c:v>45.916699999999999</c:v>
                </c:pt>
                <c:pt idx="38">
                  <c:v>45.877000000000002</c:v>
                </c:pt>
                <c:pt idx="39">
                  <c:v>45.8598</c:v>
                </c:pt>
                <c:pt idx="40">
                  <c:v>45.807199999999995</c:v>
                </c:pt>
                <c:pt idx="41">
                  <c:v>45.746199999999995</c:v>
                </c:pt>
                <c:pt idx="42">
                  <c:v>45.718599999999995</c:v>
                </c:pt>
                <c:pt idx="43">
                  <c:v>45.723200000000006</c:v>
                </c:pt>
                <c:pt idx="44">
                  <c:v>45.707099999999997</c:v>
                </c:pt>
                <c:pt idx="45">
                  <c:v>45.7378</c:v>
                </c:pt>
                <c:pt idx="46">
                  <c:v>45.716000000000001</c:v>
                </c:pt>
                <c:pt idx="47">
                  <c:v>45.592500000000001</c:v>
                </c:pt>
                <c:pt idx="48">
                  <c:v>45.4983</c:v>
                </c:pt>
                <c:pt idx="49">
                  <c:v>45.447700000000005</c:v>
                </c:pt>
                <c:pt idx="50">
                  <c:v>45.379899999999999</c:v>
                </c:pt>
                <c:pt idx="51">
                  <c:v>45.3309</c:v>
                </c:pt>
                <c:pt idx="52">
                  <c:v>45.330199999999998</c:v>
                </c:pt>
                <c:pt idx="53">
                  <c:v>45.373400000000004</c:v>
                </c:pt>
                <c:pt idx="54">
                  <c:v>45.448</c:v>
                </c:pt>
                <c:pt idx="55">
                  <c:v>45.555399999999999</c:v>
                </c:pt>
                <c:pt idx="56">
                  <c:v>45.7149</c:v>
                </c:pt>
                <c:pt idx="57">
                  <c:v>45.963999999999999</c:v>
                </c:pt>
                <c:pt idx="58">
                  <c:v>46.270499999999998</c:v>
                </c:pt>
                <c:pt idx="59">
                  <c:v>46.640500000000003</c:v>
                </c:pt>
                <c:pt idx="60">
                  <c:v>46.922699999999999</c:v>
                </c:pt>
                <c:pt idx="61">
                  <c:v>47.209000000000003</c:v>
                </c:pt>
                <c:pt idx="62">
                  <c:v>47.491299999999995</c:v>
                </c:pt>
                <c:pt idx="63">
                  <c:v>47.772399999999998</c:v>
                </c:pt>
                <c:pt idx="64">
                  <c:v>47.993099999999998</c:v>
                </c:pt>
                <c:pt idx="65">
                  <c:v>48.2102</c:v>
                </c:pt>
                <c:pt idx="66">
                  <c:v>48.349399999999996</c:v>
                </c:pt>
                <c:pt idx="67">
                  <c:v>48.380400000000002</c:v>
                </c:pt>
                <c:pt idx="68">
                  <c:v>48.427500000000002</c:v>
                </c:pt>
                <c:pt idx="69">
                  <c:v>48.537999999999997</c:v>
                </c:pt>
                <c:pt idx="70">
                  <c:v>48.543100000000003</c:v>
                </c:pt>
                <c:pt idx="71">
                  <c:v>48.619800000000005</c:v>
                </c:pt>
                <c:pt idx="72">
                  <c:v>48.793100000000003</c:v>
                </c:pt>
                <c:pt idx="73">
                  <c:v>48.928600000000003</c:v>
                </c:pt>
                <c:pt idx="74">
                  <c:v>49.016799999999996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5.1777799999999994</c:v>
                </c:pt>
                <c:pt idx="1">
                  <c:v>5.1676699999999993</c:v>
                </c:pt>
                <c:pt idx="2">
                  <c:v>5.1556100000000002</c:v>
                </c:pt>
                <c:pt idx="3">
                  <c:v>5.1400100000000002</c:v>
                </c:pt>
                <c:pt idx="4">
                  <c:v>5.125</c:v>
                </c:pt>
                <c:pt idx="5">
                  <c:v>5.1120299999999999</c:v>
                </c:pt>
                <c:pt idx="6">
                  <c:v>5.1008399999999998</c:v>
                </c:pt>
                <c:pt idx="7">
                  <c:v>5.0895900000000003</c:v>
                </c:pt>
                <c:pt idx="8">
                  <c:v>5.0756999999999994</c:v>
                </c:pt>
                <c:pt idx="9">
                  <c:v>5.0613200000000003</c:v>
                </c:pt>
                <c:pt idx="10">
                  <c:v>5.0445500000000001</c:v>
                </c:pt>
                <c:pt idx="11">
                  <c:v>5.0309699999999999</c:v>
                </c:pt>
                <c:pt idx="12">
                  <c:v>5.0202200000000001</c:v>
                </c:pt>
                <c:pt idx="13">
                  <c:v>5.0111099999999995</c:v>
                </c:pt>
                <c:pt idx="14">
                  <c:v>5.0035499999999997</c:v>
                </c:pt>
                <c:pt idx="15">
                  <c:v>4.9947299999999997</c:v>
                </c:pt>
                <c:pt idx="16">
                  <c:v>4.9822499999999996</c:v>
                </c:pt>
                <c:pt idx="17">
                  <c:v>4.9709099999999999</c:v>
                </c:pt>
                <c:pt idx="18">
                  <c:v>4.9643700000000006</c:v>
                </c:pt>
                <c:pt idx="19">
                  <c:v>4.9573299999999998</c:v>
                </c:pt>
                <c:pt idx="20">
                  <c:v>4.9468300000000003</c:v>
                </c:pt>
                <c:pt idx="21">
                  <c:v>4.9337999999999997</c:v>
                </c:pt>
                <c:pt idx="22">
                  <c:v>4.9209399999999999</c:v>
                </c:pt>
                <c:pt idx="23">
                  <c:v>4.9086699999999999</c:v>
                </c:pt>
                <c:pt idx="24">
                  <c:v>4.8974099999999998</c:v>
                </c:pt>
                <c:pt idx="25">
                  <c:v>4.8915300000000004</c:v>
                </c:pt>
                <c:pt idx="26">
                  <c:v>4.8902800000000006</c:v>
                </c:pt>
                <c:pt idx="27">
                  <c:v>4.8870699999999996</c:v>
                </c:pt>
                <c:pt idx="28">
                  <c:v>4.8893399999999998</c:v>
                </c:pt>
                <c:pt idx="29">
                  <c:v>4.8943700000000003</c:v>
                </c:pt>
                <c:pt idx="30">
                  <c:v>4.9002299999999996</c:v>
                </c:pt>
                <c:pt idx="31">
                  <c:v>4.90733</c:v>
                </c:pt>
                <c:pt idx="32">
                  <c:v>4.9153900000000004</c:v>
                </c:pt>
                <c:pt idx="33">
                  <c:v>4.9243800000000002</c:v>
                </c:pt>
                <c:pt idx="34">
                  <c:v>4.9368699999999999</c:v>
                </c:pt>
                <c:pt idx="35">
                  <c:v>4.9541000000000004</c:v>
                </c:pt>
                <c:pt idx="36">
                  <c:v>4.97044</c:v>
                </c:pt>
                <c:pt idx="37">
                  <c:v>4.9833999999999996</c:v>
                </c:pt>
                <c:pt idx="38">
                  <c:v>4.9989299999999997</c:v>
                </c:pt>
                <c:pt idx="39">
                  <c:v>5.0175199999999993</c:v>
                </c:pt>
                <c:pt idx="40">
                  <c:v>5.0352100000000002</c:v>
                </c:pt>
                <c:pt idx="41">
                  <c:v>5.0522799999999997</c:v>
                </c:pt>
                <c:pt idx="42">
                  <c:v>5.0718100000000002</c:v>
                </c:pt>
                <c:pt idx="43">
                  <c:v>5.0911200000000001</c:v>
                </c:pt>
                <c:pt idx="44">
                  <c:v>5.1095999999999995</c:v>
                </c:pt>
                <c:pt idx="45">
                  <c:v>5.1295100000000007</c:v>
                </c:pt>
                <c:pt idx="46">
                  <c:v>5.1529699999999998</c:v>
                </c:pt>
                <c:pt idx="47">
                  <c:v>5.1769400000000001</c:v>
                </c:pt>
                <c:pt idx="48">
                  <c:v>5.2005299999999997</c:v>
                </c:pt>
                <c:pt idx="49">
                  <c:v>5.2225799999999998</c:v>
                </c:pt>
                <c:pt idx="50">
                  <c:v>5.2373400000000006</c:v>
                </c:pt>
                <c:pt idx="51">
                  <c:v>5.2465099999999998</c:v>
                </c:pt>
                <c:pt idx="52">
                  <c:v>5.25807</c:v>
                </c:pt>
                <c:pt idx="53">
                  <c:v>5.2685400000000007</c:v>
                </c:pt>
                <c:pt idx="54">
                  <c:v>5.278929999999999</c:v>
                </c:pt>
                <c:pt idx="55">
                  <c:v>5.2888599999999997</c:v>
                </c:pt>
                <c:pt idx="56">
                  <c:v>5.2990000000000004</c:v>
                </c:pt>
                <c:pt idx="57">
                  <c:v>5.3100400000000008</c:v>
                </c:pt>
                <c:pt idx="58">
                  <c:v>5.3223000000000003</c:v>
                </c:pt>
                <c:pt idx="59">
                  <c:v>5.3336799999999993</c:v>
                </c:pt>
                <c:pt idx="60">
                  <c:v>5.3431300000000004</c:v>
                </c:pt>
                <c:pt idx="61">
                  <c:v>5.3532400000000004</c:v>
                </c:pt>
                <c:pt idx="62">
                  <c:v>5.3668099999999992</c:v>
                </c:pt>
                <c:pt idx="63">
                  <c:v>5.3788100000000005</c:v>
                </c:pt>
                <c:pt idx="64">
                  <c:v>5.3869500000000006</c:v>
                </c:pt>
                <c:pt idx="65">
                  <c:v>5.3977900000000005</c:v>
                </c:pt>
                <c:pt idx="66">
                  <c:v>5.4114199999999997</c:v>
                </c:pt>
                <c:pt idx="67">
                  <c:v>5.4213399999999998</c:v>
                </c:pt>
                <c:pt idx="68">
                  <c:v>5.4292899999999999</c:v>
                </c:pt>
                <c:pt idx="69">
                  <c:v>5.4425699999999999</c:v>
                </c:pt>
                <c:pt idx="70">
                  <c:v>5.4555199999999999</c:v>
                </c:pt>
                <c:pt idx="71">
                  <c:v>5.4589600000000003</c:v>
                </c:pt>
                <c:pt idx="72">
                  <c:v>5.4628800000000002</c:v>
                </c:pt>
                <c:pt idx="73">
                  <c:v>5.4647299999999994</c:v>
                </c:pt>
                <c:pt idx="74">
                  <c:v>5.4813700000000001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49.016799999999996</c:v>
                </c:pt>
                <c:pt idx="1">
                  <c:v>49.138300000000001</c:v>
                </c:pt>
                <c:pt idx="2">
                  <c:v>49.259100000000004</c:v>
                </c:pt>
                <c:pt idx="3">
                  <c:v>49.3444</c:v>
                </c:pt>
                <c:pt idx="4">
                  <c:v>49.3521</c:v>
                </c:pt>
                <c:pt idx="5">
                  <c:v>49.326799999999999</c:v>
                </c:pt>
                <c:pt idx="6">
                  <c:v>49.248199999999997</c:v>
                </c:pt>
                <c:pt idx="7">
                  <c:v>49.119700000000002</c:v>
                </c:pt>
                <c:pt idx="8">
                  <c:v>48.945699999999995</c:v>
                </c:pt>
                <c:pt idx="9">
                  <c:v>48.7194</c:v>
                </c:pt>
                <c:pt idx="10">
                  <c:v>48.4482</c:v>
                </c:pt>
                <c:pt idx="11">
                  <c:v>48.1646</c:v>
                </c:pt>
                <c:pt idx="12">
                  <c:v>47.846800000000002</c:v>
                </c:pt>
                <c:pt idx="13">
                  <c:v>47.478500000000004</c:v>
                </c:pt>
                <c:pt idx="14">
                  <c:v>47.120400000000004</c:v>
                </c:pt>
                <c:pt idx="15">
                  <c:v>46.853099999999998</c:v>
                </c:pt>
                <c:pt idx="16">
                  <c:v>46.607700000000001</c:v>
                </c:pt>
                <c:pt idx="17">
                  <c:v>46.432000000000002</c:v>
                </c:pt>
                <c:pt idx="18">
                  <c:v>46.292200000000001</c:v>
                </c:pt>
                <c:pt idx="19">
                  <c:v>46.138500000000001</c:v>
                </c:pt>
                <c:pt idx="20">
                  <c:v>45.922899999999998</c:v>
                </c:pt>
                <c:pt idx="21">
                  <c:v>45.802199999999999</c:v>
                </c:pt>
                <c:pt idx="22">
                  <c:v>45.704299999999996</c:v>
                </c:pt>
                <c:pt idx="23">
                  <c:v>45.650600000000004</c:v>
                </c:pt>
                <c:pt idx="24">
                  <c:v>45.585799999999999</c:v>
                </c:pt>
                <c:pt idx="25">
                  <c:v>45.479199999999999</c:v>
                </c:pt>
                <c:pt idx="26">
                  <c:v>45.389600000000002</c:v>
                </c:pt>
                <c:pt idx="27">
                  <c:v>45.381899999999995</c:v>
                </c:pt>
                <c:pt idx="28">
                  <c:v>45.358800000000002</c:v>
                </c:pt>
                <c:pt idx="29">
                  <c:v>45.330799999999996</c:v>
                </c:pt>
                <c:pt idx="30">
                  <c:v>45.241799999999998</c:v>
                </c:pt>
                <c:pt idx="31">
                  <c:v>45.155899999999995</c:v>
                </c:pt>
                <c:pt idx="32">
                  <c:v>45.075500000000005</c:v>
                </c:pt>
                <c:pt idx="33">
                  <c:v>44.971200000000003</c:v>
                </c:pt>
                <c:pt idx="34">
                  <c:v>44.836500000000001</c:v>
                </c:pt>
                <c:pt idx="35">
                  <c:v>44.791699999999999</c:v>
                </c:pt>
                <c:pt idx="36">
                  <c:v>44.822899999999997</c:v>
                </c:pt>
                <c:pt idx="37">
                  <c:v>44.9099</c:v>
                </c:pt>
                <c:pt idx="38">
                  <c:v>44.972999999999999</c:v>
                </c:pt>
                <c:pt idx="39">
                  <c:v>45.020600000000002</c:v>
                </c:pt>
                <c:pt idx="40">
                  <c:v>45.053899999999999</c:v>
                </c:pt>
                <c:pt idx="41">
                  <c:v>45.164700000000003</c:v>
                </c:pt>
                <c:pt idx="42">
                  <c:v>45.303199999999997</c:v>
                </c:pt>
                <c:pt idx="43">
                  <c:v>45.4527</c:v>
                </c:pt>
                <c:pt idx="44">
                  <c:v>45.6511</c:v>
                </c:pt>
                <c:pt idx="45">
                  <c:v>45.901599999999995</c:v>
                </c:pt>
                <c:pt idx="46">
                  <c:v>46.160600000000002</c:v>
                </c:pt>
                <c:pt idx="47">
                  <c:v>46.276600000000002</c:v>
                </c:pt>
                <c:pt idx="48">
                  <c:v>46.319000000000003</c:v>
                </c:pt>
                <c:pt idx="49">
                  <c:v>46.247799999999998</c:v>
                </c:pt>
                <c:pt idx="50">
                  <c:v>46.171099999999996</c:v>
                </c:pt>
                <c:pt idx="51">
                  <c:v>46.227699999999999</c:v>
                </c:pt>
                <c:pt idx="52">
                  <c:v>46.278200000000005</c:v>
                </c:pt>
                <c:pt idx="53">
                  <c:v>46.317399999999999</c:v>
                </c:pt>
                <c:pt idx="54">
                  <c:v>46.383299999999998</c:v>
                </c:pt>
                <c:pt idx="55">
                  <c:v>46.489100000000001</c:v>
                </c:pt>
                <c:pt idx="56">
                  <c:v>46.602700000000006</c:v>
                </c:pt>
                <c:pt idx="57">
                  <c:v>46.724800000000002</c:v>
                </c:pt>
                <c:pt idx="58">
                  <c:v>46.894599999999997</c:v>
                </c:pt>
                <c:pt idx="59">
                  <c:v>47.081899999999997</c:v>
                </c:pt>
                <c:pt idx="60">
                  <c:v>47.222099999999998</c:v>
                </c:pt>
                <c:pt idx="61">
                  <c:v>47.2986</c:v>
                </c:pt>
                <c:pt idx="62">
                  <c:v>47.3748</c:v>
                </c:pt>
                <c:pt idx="63">
                  <c:v>47.523700000000005</c:v>
                </c:pt>
                <c:pt idx="64">
                  <c:v>47.661500000000004</c:v>
                </c:pt>
                <c:pt idx="65">
                  <c:v>47.801100000000005</c:v>
                </c:pt>
                <c:pt idx="66">
                  <c:v>47.821100000000001</c:v>
                </c:pt>
                <c:pt idx="67">
                  <c:v>47.6417</c:v>
                </c:pt>
                <c:pt idx="68">
                  <c:v>47.311799999999998</c:v>
                </c:pt>
                <c:pt idx="69">
                  <c:v>46.922899999999998</c:v>
                </c:pt>
                <c:pt idx="70">
                  <c:v>46.303199999999997</c:v>
                </c:pt>
                <c:pt idx="71">
                  <c:v>45.164300000000004</c:v>
                </c:pt>
                <c:pt idx="72">
                  <c:v>44.203499999999998</c:v>
                </c:pt>
                <c:pt idx="73">
                  <c:v>42.893500000000003</c:v>
                </c:pt>
                <c:pt idx="74">
                  <c:v>41.230200000000004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4.5742267567567572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47.594677027027039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5.1299139189189189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46.541937837837835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5.1299139189189189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46.541937837837835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0.14934989638359228</c:v>
                </c:pt>
                <c:pt idx="1">
                  <c:v>0.49731981979390938</c:v>
                </c:pt>
                <c:pt idx="2">
                  <c:v>0.35333028382249843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0.40223999999999999</c:v>
                </c:pt>
                <c:pt idx="2">
                  <c:v>0.81081099999999995</c:v>
                </c:pt>
                <c:pt idx="3">
                  <c:v>1.2188300000000001</c:v>
                </c:pt>
                <c:pt idx="4">
                  <c:v>1.6246100000000001</c:v>
                </c:pt>
                <c:pt idx="5">
                  <c:v>2.0275099999999999</c:v>
                </c:pt>
                <c:pt idx="6">
                  <c:v>2.4357600000000001</c:v>
                </c:pt>
                <c:pt idx="7">
                  <c:v>2.8443900000000002</c:v>
                </c:pt>
                <c:pt idx="8">
                  <c:v>3.2472400000000001</c:v>
                </c:pt>
                <c:pt idx="9">
                  <c:v>3.65516</c:v>
                </c:pt>
                <c:pt idx="10">
                  <c:v>4.0600300000000002</c:v>
                </c:pt>
                <c:pt idx="11">
                  <c:v>4.4663300000000001</c:v>
                </c:pt>
                <c:pt idx="12">
                  <c:v>4.8699700000000004</c:v>
                </c:pt>
                <c:pt idx="13">
                  <c:v>5.2790600000000003</c:v>
                </c:pt>
                <c:pt idx="14">
                  <c:v>5.6866300000000001</c:v>
                </c:pt>
                <c:pt idx="15">
                  <c:v>6.0926200000000001</c:v>
                </c:pt>
                <c:pt idx="16">
                  <c:v>6.4965700000000002</c:v>
                </c:pt>
                <c:pt idx="17">
                  <c:v>6.9055</c:v>
                </c:pt>
                <c:pt idx="18">
                  <c:v>7.3116399999999997</c:v>
                </c:pt>
                <c:pt idx="19">
                  <c:v>7.7162600000000001</c:v>
                </c:pt>
                <c:pt idx="20">
                  <c:v>8.1252099999999992</c:v>
                </c:pt>
                <c:pt idx="21">
                  <c:v>8.5261099999999992</c:v>
                </c:pt>
                <c:pt idx="22">
                  <c:v>8.9349900000000009</c:v>
                </c:pt>
                <c:pt idx="23">
                  <c:v>9.3429400000000005</c:v>
                </c:pt>
                <c:pt idx="24">
                  <c:v>9.7488799999999998</c:v>
                </c:pt>
                <c:pt idx="25">
                  <c:v>10.1538</c:v>
                </c:pt>
                <c:pt idx="26">
                  <c:v>10.5596</c:v>
                </c:pt>
                <c:pt idx="27">
                  <c:v>10.9657</c:v>
                </c:pt>
                <c:pt idx="28">
                  <c:v>11.374499999999999</c:v>
                </c:pt>
                <c:pt idx="29">
                  <c:v>11.7805</c:v>
                </c:pt>
                <c:pt idx="30">
                  <c:v>12.1853</c:v>
                </c:pt>
                <c:pt idx="31">
                  <c:v>12.591200000000001</c:v>
                </c:pt>
                <c:pt idx="32">
                  <c:v>12.9962</c:v>
                </c:pt>
                <c:pt idx="33">
                  <c:v>13.404299999999999</c:v>
                </c:pt>
                <c:pt idx="34">
                  <c:v>13.808999999999999</c:v>
                </c:pt>
                <c:pt idx="35">
                  <c:v>14.212400000000001</c:v>
                </c:pt>
                <c:pt idx="36">
                  <c:v>14.620799999999999</c:v>
                </c:pt>
                <c:pt idx="37">
                  <c:v>15.0267</c:v>
                </c:pt>
                <c:pt idx="38">
                  <c:v>15.435600000000001</c:v>
                </c:pt>
                <c:pt idx="39">
                  <c:v>15.839600000000001</c:v>
                </c:pt>
                <c:pt idx="40">
                  <c:v>16.246200000000002</c:v>
                </c:pt>
                <c:pt idx="41">
                  <c:v>16.657299999999999</c:v>
                </c:pt>
                <c:pt idx="42">
                  <c:v>17.061399999999999</c:v>
                </c:pt>
                <c:pt idx="43">
                  <c:v>17.467199999999998</c:v>
                </c:pt>
                <c:pt idx="44">
                  <c:v>17.868099999999998</c:v>
                </c:pt>
                <c:pt idx="45">
                  <c:v>18.2742</c:v>
                </c:pt>
                <c:pt idx="46">
                  <c:v>18.684000000000001</c:v>
                </c:pt>
                <c:pt idx="47">
                  <c:v>19.093900000000001</c:v>
                </c:pt>
                <c:pt idx="48">
                  <c:v>19.495899999999999</c:v>
                </c:pt>
                <c:pt idx="49">
                  <c:v>19.909800000000001</c:v>
                </c:pt>
                <c:pt idx="50">
                  <c:v>20.309200000000001</c:v>
                </c:pt>
                <c:pt idx="51">
                  <c:v>20.718499999999999</c:v>
                </c:pt>
                <c:pt idx="52">
                  <c:v>21.121400000000001</c:v>
                </c:pt>
                <c:pt idx="53">
                  <c:v>21.528700000000001</c:v>
                </c:pt>
                <c:pt idx="54">
                  <c:v>21.9343</c:v>
                </c:pt>
                <c:pt idx="55">
                  <c:v>22.340299999999999</c:v>
                </c:pt>
                <c:pt idx="56">
                  <c:v>22.751000000000001</c:v>
                </c:pt>
                <c:pt idx="57">
                  <c:v>23.152899999999999</c:v>
                </c:pt>
                <c:pt idx="58">
                  <c:v>23.559799999999999</c:v>
                </c:pt>
                <c:pt idx="59">
                  <c:v>23.964600000000001</c:v>
                </c:pt>
                <c:pt idx="60">
                  <c:v>24.368500000000001</c:v>
                </c:pt>
                <c:pt idx="61">
                  <c:v>24.776399999999999</c:v>
                </c:pt>
                <c:pt idx="62">
                  <c:v>25.185600000000001</c:v>
                </c:pt>
                <c:pt idx="63">
                  <c:v>25.592400000000001</c:v>
                </c:pt>
                <c:pt idx="64">
                  <c:v>25.996400000000001</c:v>
                </c:pt>
                <c:pt idx="65">
                  <c:v>26.4025</c:v>
                </c:pt>
                <c:pt idx="66">
                  <c:v>26.808199999999999</c:v>
                </c:pt>
                <c:pt idx="67">
                  <c:v>27.214200000000002</c:v>
                </c:pt>
                <c:pt idx="68">
                  <c:v>27.625</c:v>
                </c:pt>
                <c:pt idx="69">
                  <c:v>28.024899999999999</c:v>
                </c:pt>
                <c:pt idx="70">
                  <c:v>28.430800000000001</c:v>
                </c:pt>
                <c:pt idx="71">
                  <c:v>28.844999999999999</c:v>
                </c:pt>
                <c:pt idx="72">
                  <c:v>29.246700000000001</c:v>
                </c:pt>
                <c:pt idx="73">
                  <c:v>29.6526</c:v>
                </c:pt>
                <c:pt idx="74">
                  <c:v>30.057500000000001</c:v>
                </c:pt>
                <c:pt idx="75">
                  <c:v>30.465599999999998</c:v>
                </c:pt>
                <c:pt idx="76">
                  <c:v>30.876300000000001</c:v>
                </c:pt>
                <c:pt idx="77">
                  <c:v>31.278600000000001</c:v>
                </c:pt>
                <c:pt idx="78">
                  <c:v>31.68</c:v>
                </c:pt>
                <c:pt idx="79">
                  <c:v>32.091099999999997</c:v>
                </c:pt>
                <c:pt idx="80">
                  <c:v>32.497100000000003</c:v>
                </c:pt>
                <c:pt idx="81">
                  <c:v>32.902900000000002</c:v>
                </c:pt>
                <c:pt idx="82">
                  <c:v>33.312100000000001</c:v>
                </c:pt>
                <c:pt idx="83">
                  <c:v>33.717700000000001</c:v>
                </c:pt>
                <c:pt idx="84">
                  <c:v>34.124600000000001</c:v>
                </c:pt>
                <c:pt idx="85">
                  <c:v>34.5276</c:v>
                </c:pt>
                <c:pt idx="86">
                  <c:v>34.933199999999999</c:v>
                </c:pt>
                <c:pt idx="87">
                  <c:v>35.340400000000002</c:v>
                </c:pt>
                <c:pt idx="88">
                  <c:v>35.751399999999997</c:v>
                </c:pt>
                <c:pt idx="89">
                  <c:v>36.153100000000002</c:v>
                </c:pt>
                <c:pt idx="90">
                  <c:v>36.557099999999998</c:v>
                </c:pt>
                <c:pt idx="91">
                  <c:v>36.962699999999998</c:v>
                </c:pt>
                <c:pt idx="92">
                  <c:v>37.371000000000002</c:v>
                </c:pt>
                <c:pt idx="93">
                  <c:v>37.78</c:v>
                </c:pt>
                <c:pt idx="94">
                  <c:v>38.184800000000003</c:v>
                </c:pt>
                <c:pt idx="95">
                  <c:v>38.590699999999998</c:v>
                </c:pt>
                <c:pt idx="96">
                  <c:v>38.997300000000003</c:v>
                </c:pt>
                <c:pt idx="97">
                  <c:v>39.403500000000001</c:v>
                </c:pt>
                <c:pt idx="98">
                  <c:v>39.804900000000004</c:v>
                </c:pt>
                <c:pt idx="99">
                  <c:v>40.214700000000001</c:v>
                </c:pt>
                <c:pt idx="100">
                  <c:v>40.624299999999998</c:v>
                </c:pt>
                <c:pt idx="101">
                  <c:v>41.031199999999998</c:v>
                </c:pt>
                <c:pt idx="102">
                  <c:v>41.435099999999998</c:v>
                </c:pt>
                <c:pt idx="103">
                  <c:v>41.841099999999997</c:v>
                </c:pt>
                <c:pt idx="104">
                  <c:v>42.247</c:v>
                </c:pt>
                <c:pt idx="105">
                  <c:v>42.652799999999999</c:v>
                </c:pt>
                <c:pt idx="106">
                  <c:v>43.060699999999997</c:v>
                </c:pt>
                <c:pt idx="107">
                  <c:v>43.467700000000001</c:v>
                </c:pt>
                <c:pt idx="108">
                  <c:v>43.874699999999997</c:v>
                </c:pt>
                <c:pt idx="109">
                  <c:v>44.279499999999999</c:v>
                </c:pt>
                <c:pt idx="110">
                  <c:v>44.684399999999997</c:v>
                </c:pt>
                <c:pt idx="111">
                  <c:v>45.093200000000003</c:v>
                </c:pt>
                <c:pt idx="112">
                  <c:v>45.501199999999997</c:v>
                </c:pt>
                <c:pt idx="113">
                  <c:v>45.9009</c:v>
                </c:pt>
                <c:pt idx="114">
                  <c:v>46.306899999999999</c:v>
                </c:pt>
                <c:pt idx="115">
                  <c:v>46.713099999999997</c:v>
                </c:pt>
                <c:pt idx="116">
                  <c:v>47.1248</c:v>
                </c:pt>
                <c:pt idx="117">
                  <c:v>47.529800000000002</c:v>
                </c:pt>
                <c:pt idx="118">
                  <c:v>47.933799999999998</c:v>
                </c:pt>
                <c:pt idx="119">
                  <c:v>48.3416</c:v>
                </c:pt>
                <c:pt idx="120">
                  <c:v>48.743499999999997</c:v>
                </c:pt>
                <c:pt idx="121">
                  <c:v>49.153100000000002</c:v>
                </c:pt>
                <c:pt idx="122">
                  <c:v>49.560299999999998</c:v>
                </c:pt>
                <c:pt idx="123">
                  <c:v>49.965299999999999</c:v>
                </c:pt>
                <c:pt idx="124">
                  <c:v>50.371299999999998</c:v>
                </c:pt>
                <c:pt idx="125">
                  <c:v>50.78</c:v>
                </c:pt>
                <c:pt idx="126">
                  <c:v>51.184899999999999</c:v>
                </c:pt>
                <c:pt idx="127">
                  <c:v>51.5929</c:v>
                </c:pt>
                <c:pt idx="128">
                  <c:v>51.995899999999999</c:v>
                </c:pt>
                <c:pt idx="129">
                  <c:v>52.402799999999999</c:v>
                </c:pt>
                <c:pt idx="130">
                  <c:v>52.814700000000002</c:v>
                </c:pt>
                <c:pt idx="131">
                  <c:v>53.2196</c:v>
                </c:pt>
                <c:pt idx="132">
                  <c:v>53.621499999999997</c:v>
                </c:pt>
                <c:pt idx="133">
                  <c:v>54.026400000000002</c:v>
                </c:pt>
                <c:pt idx="134">
                  <c:v>54.433199999999999</c:v>
                </c:pt>
                <c:pt idx="135">
                  <c:v>54.839100000000002</c:v>
                </c:pt>
                <c:pt idx="136">
                  <c:v>55.247999999999998</c:v>
                </c:pt>
                <c:pt idx="137">
                  <c:v>55.652000000000001</c:v>
                </c:pt>
                <c:pt idx="138">
                  <c:v>56.059899999999999</c:v>
                </c:pt>
                <c:pt idx="139">
                  <c:v>56.4664</c:v>
                </c:pt>
                <c:pt idx="140">
                  <c:v>56.871899999999997</c:v>
                </c:pt>
                <c:pt idx="141">
                  <c:v>57.279000000000003</c:v>
                </c:pt>
                <c:pt idx="142">
                  <c:v>57.6828</c:v>
                </c:pt>
                <c:pt idx="143">
                  <c:v>58.090600000000002</c:v>
                </c:pt>
                <c:pt idx="144">
                  <c:v>58.497700000000002</c:v>
                </c:pt>
                <c:pt idx="145">
                  <c:v>58.9054</c:v>
                </c:pt>
                <c:pt idx="146">
                  <c:v>59.312600000000003</c:v>
                </c:pt>
                <c:pt idx="147">
                  <c:v>59.716200000000001</c:v>
                </c:pt>
                <c:pt idx="148">
                  <c:v>60.123100000000001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2.1490999999999998</c:v>
                </c:pt>
                <c:pt idx="1">
                  <c:v>2.2403999999999997</c:v>
                </c:pt>
                <c:pt idx="2">
                  <c:v>2.3350999999999997</c:v>
                </c:pt>
                <c:pt idx="3">
                  <c:v>2.4295200000000001</c:v>
                </c:pt>
                <c:pt idx="4">
                  <c:v>2.5268299999999999</c:v>
                </c:pt>
                <c:pt idx="5">
                  <c:v>2.6262999999999996</c:v>
                </c:pt>
                <c:pt idx="6">
                  <c:v>2.7262999999999997</c:v>
                </c:pt>
                <c:pt idx="7">
                  <c:v>2.82653</c:v>
                </c:pt>
                <c:pt idx="8">
                  <c:v>2.9226799999999997</c:v>
                </c:pt>
                <c:pt idx="9">
                  <c:v>3.01701</c:v>
                </c:pt>
                <c:pt idx="10">
                  <c:v>3.1152200000000003</c:v>
                </c:pt>
                <c:pt idx="11">
                  <c:v>3.2179899999999999</c:v>
                </c:pt>
                <c:pt idx="12">
                  <c:v>3.3200000000000003</c:v>
                </c:pt>
                <c:pt idx="13">
                  <c:v>3.4204499999999998</c:v>
                </c:pt>
                <c:pt idx="14">
                  <c:v>3.5218100000000003</c:v>
                </c:pt>
                <c:pt idx="15">
                  <c:v>3.6253600000000001</c:v>
                </c:pt>
                <c:pt idx="16">
                  <c:v>3.7297799999999999</c:v>
                </c:pt>
                <c:pt idx="17">
                  <c:v>3.8339299999999996</c:v>
                </c:pt>
                <c:pt idx="18">
                  <c:v>3.9344800000000002</c:v>
                </c:pt>
                <c:pt idx="19">
                  <c:v>4.0343200000000001</c:v>
                </c:pt>
                <c:pt idx="20">
                  <c:v>4.1314899999999994</c:v>
                </c:pt>
                <c:pt idx="21">
                  <c:v>4.2258000000000004</c:v>
                </c:pt>
                <c:pt idx="22">
                  <c:v>4.3187300000000004</c:v>
                </c:pt>
                <c:pt idx="23">
                  <c:v>4.4055299999999997</c:v>
                </c:pt>
                <c:pt idx="24">
                  <c:v>4.4896799999999999</c:v>
                </c:pt>
                <c:pt idx="25">
                  <c:v>4.5697399999999995</c:v>
                </c:pt>
                <c:pt idx="26">
                  <c:v>4.6458199999999996</c:v>
                </c:pt>
                <c:pt idx="27">
                  <c:v>4.71692</c:v>
                </c:pt>
                <c:pt idx="28">
                  <c:v>4.7866900000000001</c:v>
                </c:pt>
                <c:pt idx="29">
                  <c:v>4.8515899999999998</c:v>
                </c:pt>
                <c:pt idx="30">
                  <c:v>4.9118399999999998</c:v>
                </c:pt>
                <c:pt idx="31">
                  <c:v>4.9698500000000001</c:v>
                </c:pt>
                <c:pt idx="32">
                  <c:v>5.0249200000000007</c:v>
                </c:pt>
                <c:pt idx="33">
                  <c:v>5.0749900000000006</c:v>
                </c:pt>
                <c:pt idx="34">
                  <c:v>5.1176300000000001</c:v>
                </c:pt>
                <c:pt idx="35">
                  <c:v>5.154069999999999</c:v>
                </c:pt>
                <c:pt idx="36">
                  <c:v>5.1849100000000004</c:v>
                </c:pt>
                <c:pt idx="37">
                  <c:v>5.2142999999999997</c:v>
                </c:pt>
                <c:pt idx="38">
                  <c:v>5.2423099999999998</c:v>
                </c:pt>
                <c:pt idx="39">
                  <c:v>5.2658199999999997</c:v>
                </c:pt>
                <c:pt idx="40">
                  <c:v>5.2855100000000004</c:v>
                </c:pt>
                <c:pt idx="41">
                  <c:v>5.3019600000000002</c:v>
                </c:pt>
                <c:pt idx="42">
                  <c:v>5.31555</c:v>
                </c:pt>
                <c:pt idx="43">
                  <c:v>5.3305199999999999</c:v>
                </c:pt>
                <c:pt idx="44">
                  <c:v>5.3438499999999998</c:v>
                </c:pt>
                <c:pt idx="45">
                  <c:v>5.3539899999999996</c:v>
                </c:pt>
                <c:pt idx="46">
                  <c:v>5.36442</c:v>
                </c:pt>
                <c:pt idx="47">
                  <c:v>5.3725999999999994</c:v>
                </c:pt>
                <c:pt idx="48">
                  <c:v>5.3779200000000005</c:v>
                </c:pt>
                <c:pt idx="49">
                  <c:v>5.3783700000000003</c:v>
                </c:pt>
                <c:pt idx="50">
                  <c:v>5.3779900000000005</c:v>
                </c:pt>
                <c:pt idx="51">
                  <c:v>5.3779299999999992</c:v>
                </c:pt>
                <c:pt idx="52">
                  <c:v>5.3785000000000007</c:v>
                </c:pt>
                <c:pt idx="53">
                  <c:v>5.375259999999999</c:v>
                </c:pt>
                <c:pt idx="54">
                  <c:v>5.3705599999999993</c:v>
                </c:pt>
                <c:pt idx="55">
                  <c:v>5.3637500000000005</c:v>
                </c:pt>
                <c:pt idx="56">
                  <c:v>5.3544199999999993</c:v>
                </c:pt>
                <c:pt idx="57">
                  <c:v>5.3451599999999999</c:v>
                </c:pt>
                <c:pt idx="58">
                  <c:v>5.3358000000000008</c:v>
                </c:pt>
                <c:pt idx="59">
                  <c:v>5.3291900000000005</c:v>
                </c:pt>
                <c:pt idx="60">
                  <c:v>5.32273</c:v>
                </c:pt>
                <c:pt idx="61">
                  <c:v>5.3164699999999998</c:v>
                </c:pt>
                <c:pt idx="62">
                  <c:v>5.30694</c:v>
                </c:pt>
                <c:pt idx="63">
                  <c:v>5.29542</c:v>
                </c:pt>
                <c:pt idx="64">
                  <c:v>5.28559</c:v>
                </c:pt>
                <c:pt idx="65">
                  <c:v>5.2777700000000003</c:v>
                </c:pt>
                <c:pt idx="66">
                  <c:v>5.2685599999999999</c:v>
                </c:pt>
                <c:pt idx="67">
                  <c:v>5.2570499999999996</c:v>
                </c:pt>
                <c:pt idx="68">
                  <c:v>5.2426300000000001</c:v>
                </c:pt>
                <c:pt idx="69">
                  <c:v>5.2293799999999999</c:v>
                </c:pt>
                <c:pt idx="70">
                  <c:v>5.2185499999999996</c:v>
                </c:pt>
                <c:pt idx="71">
                  <c:v>5.2055199999999999</c:v>
                </c:pt>
                <c:pt idx="72">
                  <c:v>5.1929499999999997</c:v>
                </c:pt>
                <c:pt idx="73">
                  <c:v>5.1842299999999994</c:v>
                </c:pt>
                <c:pt idx="74">
                  <c:v>5.1777799999999994</c:v>
                </c:pt>
                <c:pt idx="75">
                  <c:v>5.1676699999999993</c:v>
                </c:pt>
                <c:pt idx="76">
                  <c:v>5.1556100000000002</c:v>
                </c:pt>
                <c:pt idx="77">
                  <c:v>5.1400100000000002</c:v>
                </c:pt>
                <c:pt idx="78">
                  <c:v>5.125</c:v>
                </c:pt>
                <c:pt idx="79">
                  <c:v>5.1120299999999999</c:v>
                </c:pt>
                <c:pt idx="80">
                  <c:v>5.1008399999999998</c:v>
                </c:pt>
                <c:pt idx="81">
                  <c:v>5.0895900000000003</c:v>
                </c:pt>
                <c:pt idx="82">
                  <c:v>5.0756999999999994</c:v>
                </c:pt>
                <c:pt idx="83">
                  <c:v>5.0613200000000003</c:v>
                </c:pt>
                <c:pt idx="84">
                  <c:v>5.0445500000000001</c:v>
                </c:pt>
                <c:pt idx="85">
                  <c:v>5.0309699999999999</c:v>
                </c:pt>
                <c:pt idx="86">
                  <c:v>5.0202200000000001</c:v>
                </c:pt>
                <c:pt idx="87">
                  <c:v>5.0111099999999995</c:v>
                </c:pt>
                <c:pt idx="88">
                  <c:v>5.0035499999999997</c:v>
                </c:pt>
                <c:pt idx="89">
                  <c:v>4.9947299999999997</c:v>
                </c:pt>
                <c:pt idx="90">
                  <c:v>4.9822499999999996</c:v>
                </c:pt>
                <c:pt idx="91">
                  <c:v>4.9709099999999999</c:v>
                </c:pt>
                <c:pt idx="92">
                  <c:v>4.9643700000000006</c:v>
                </c:pt>
                <c:pt idx="93">
                  <c:v>4.9573299999999998</c:v>
                </c:pt>
                <c:pt idx="94">
                  <c:v>4.9468300000000003</c:v>
                </c:pt>
                <c:pt idx="95">
                  <c:v>4.9337999999999997</c:v>
                </c:pt>
                <c:pt idx="96">
                  <c:v>4.9209399999999999</c:v>
                </c:pt>
                <c:pt idx="97">
                  <c:v>4.9086699999999999</c:v>
                </c:pt>
                <c:pt idx="98">
                  <c:v>4.8974099999999998</c:v>
                </c:pt>
                <c:pt idx="99">
                  <c:v>4.8915300000000004</c:v>
                </c:pt>
                <c:pt idx="100">
                  <c:v>4.8902800000000006</c:v>
                </c:pt>
                <c:pt idx="101">
                  <c:v>4.8870699999999996</c:v>
                </c:pt>
                <c:pt idx="102">
                  <c:v>4.8893399999999998</c:v>
                </c:pt>
                <c:pt idx="103">
                  <c:v>4.8943700000000003</c:v>
                </c:pt>
                <c:pt idx="104">
                  <c:v>4.9002299999999996</c:v>
                </c:pt>
                <c:pt idx="105">
                  <c:v>4.90733</c:v>
                </c:pt>
                <c:pt idx="106">
                  <c:v>4.9153900000000004</c:v>
                </c:pt>
                <c:pt idx="107">
                  <c:v>4.9243800000000002</c:v>
                </c:pt>
                <c:pt idx="108">
                  <c:v>4.9368699999999999</c:v>
                </c:pt>
                <c:pt idx="109">
                  <c:v>4.9541000000000004</c:v>
                </c:pt>
                <c:pt idx="110">
                  <c:v>4.97044</c:v>
                </c:pt>
                <c:pt idx="111">
                  <c:v>4.9833999999999996</c:v>
                </c:pt>
                <c:pt idx="112">
                  <c:v>4.9989299999999997</c:v>
                </c:pt>
                <c:pt idx="113">
                  <c:v>5.0175199999999993</c:v>
                </c:pt>
                <c:pt idx="114">
                  <c:v>5.0352100000000002</c:v>
                </c:pt>
                <c:pt idx="115">
                  <c:v>5.0522799999999997</c:v>
                </c:pt>
                <c:pt idx="116">
                  <c:v>5.0718100000000002</c:v>
                </c:pt>
                <c:pt idx="117">
                  <c:v>5.0911200000000001</c:v>
                </c:pt>
                <c:pt idx="118">
                  <c:v>5.1095999999999995</c:v>
                </c:pt>
                <c:pt idx="119">
                  <c:v>5.1295100000000007</c:v>
                </c:pt>
                <c:pt idx="120">
                  <c:v>5.1529699999999998</c:v>
                </c:pt>
                <c:pt idx="121">
                  <c:v>5.1769400000000001</c:v>
                </c:pt>
                <c:pt idx="122">
                  <c:v>5.2005299999999997</c:v>
                </c:pt>
                <c:pt idx="123">
                  <c:v>5.2225799999999998</c:v>
                </c:pt>
                <c:pt idx="124">
                  <c:v>5.2373400000000006</c:v>
                </c:pt>
                <c:pt idx="125">
                  <c:v>5.2465099999999998</c:v>
                </c:pt>
                <c:pt idx="126">
                  <c:v>5.25807</c:v>
                </c:pt>
                <c:pt idx="127">
                  <c:v>5.2685400000000007</c:v>
                </c:pt>
                <c:pt idx="128">
                  <c:v>5.278929999999999</c:v>
                </c:pt>
                <c:pt idx="129">
                  <c:v>5.2888599999999997</c:v>
                </c:pt>
                <c:pt idx="130">
                  <c:v>5.2990000000000004</c:v>
                </c:pt>
                <c:pt idx="131">
                  <c:v>5.3100400000000008</c:v>
                </c:pt>
                <c:pt idx="132">
                  <c:v>5.3223000000000003</c:v>
                </c:pt>
                <c:pt idx="133">
                  <c:v>5.3336799999999993</c:v>
                </c:pt>
                <c:pt idx="134">
                  <c:v>5.3431300000000004</c:v>
                </c:pt>
                <c:pt idx="135">
                  <c:v>5.3532400000000004</c:v>
                </c:pt>
                <c:pt idx="136">
                  <c:v>5.3668099999999992</c:v>
                </c:pt>
                <c:pt idx="137">
                  <c:v>5.3788100000000005</c:v>
                </c:pt>
                <c:pt idx="138">
                  <c:v>5.3869500000000006</c:v>
                </c:pt>
                <c:pt idx="139">
                  <c:v>5.3977900000000005</c:v>
                </c:pt>
                <c:pt idx="140">
                  <c:v>5.4114199999999997</c:v>
                </c:pt>
                <c:pt idx="141">
                  <c:v>5.4213399999999998</c:v>
                </c:pt>
                <c:pt idx="142">
                  <c:v>5.4292899999999999</c:v>
                </c:pt>
                <c:pt idx="143">
                  <c:v>5.4425699999999999</c:v>
                </c:pt>
                <c:pt idx="144">
                  <c:v>5.4555199999999999</c:v>
                </c:pt>
                <c:pt idx="145">
                  <c:v>5.4589600000000003</c:v>
                </c:pt>
                <c:pt idx="146">
                  <c:v>5.4628800000000002</c:v>
                </c:pt>
                <c:pt idx="147">
                  <c:v>5.4647299999999994</c:v>
                </c:pt>
                <c:pt idx="148">
                  <c:v>5.4813700000000001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0.40223999999999999</c:v>
                </c:pt>
                <c:pt idx="2">
                  <c:v>0.81081099999999995</c:v>
                </c:pt>
                <c:pt idx="3">
                  <c:v>1.2188300000000001</c:v>
                </c:pt>
                <c:pt idx="4">
                  <c:v>1.6246100000000001</c:v>
                </c:pt>
                <c:pt idx="5">
                  <c:v>2.0275099999999999</c:v>
                </c:pt>
                <c:pt idx="6">
                  <c:v>2.4357600000000001</c:v>
                </c:pt>
                <c:pt idx="7">
                  <c:v>2.8443900000000002</c:v>
                </c:pt>
                <c:pt idx="8">
                  <c:v>3.2472400000000001</c:v>
                </c:pt>
                <c:pt idx="9">
                  <c:v>3.65516</c:v>
                </c:pt>
                <c:pt idx="10">
                  <c:v>4.0600300000000002</c:v>
                </c:pt>
                <c:pt idx="11">
                  <c:v>4.4663300000000001</c:v>
                </c:pt>
                <c:pt idx="12">
                  <c:v>4.8699700000000004</c:v>
                </c:pt>
                <c:pt idx="13">
                  <c:v>5.2790600000000003</c:v>
                </c:pt>
                <c:pt idx="14">
                  <c:v>5.6866300000000001</c:v>
                </c:pt>
                <c:pt idx="15">
                  <c:v>6.0926200000000001</c:v>
                </c:pt>
                <c:pt idx="16">
                  <c:v>6.4965700000000002</c:v>
                </c:pt>
                <c:pt idx="17">
                  <c:v>6.9055</c:v>
                </c:pt>
                <c:pt idx="18">
                  <c:v>7.3116399999999997</c:v>
                </c:pt>
                <c:pt idx="19">
                  <c:v>7.7162600000000001</c:v>
                </c:pt>
                <c:pt idx="20">
                  <c:v>8.1252099999999992</c:v>
                </c:pt>
                <c:pt idx="21">
                  <c:v>8.5261099999999992</c:v>
                </c:pt>
                <c:pt idx="22">
                  <c:v>8.9349900000000009</c:v>
                </c:pt>
                <c:pt idx="23">
                  <c:v>9.3429400000000005</c:v>
                </c:pt>
                <c:pt idx="24">
                  <c:v>9.7488799999999998</c:v>
                </c:pt>
                <c:pt idx="25">
                  <c:v>10.1538</c:v>
                </c:pt>
                <c:pt idx="26">
                  <c:v>10.5596</c:v>
                </c:pt>
                <c:pt idx="27">
                  <c:v>10.9657</c:v>
                </c:pt>
                <c:pt idx="28">
                  <c:v>11.374499999999999</c:v>
                </c:pt>
                <c:pt idx="29">
                  <c:v>11.7805</c:v>
                </c:pt>
                <c:pt idx="30">
                  <c:v>12.1853</c:v>
                </c:pt>
                <c:pt idx="31">
                  <c:v>12.591200000000001</c:v>
                </c:pt>
                <c:pt idx="32">
                  <c:v>12.9962</c:v>
                </c:pt>
                <c:pt idx="33">
                  <c:v>13.404299999999999</c:v>
                </c:pt>
                <c:pt idx="34">
                  <c:v>13.808999999999999</c:v>
                </c:pt>
                <c:pt idx="35">
                  <c:v>14.212400000000001</c:v>
                </c:pt>
                <c:pt idx="36">
                  <c:v>14.620799999999999</c:v>
                </c:pt>
                <c:pt idx="37">
                  <c:v>15.0267</c:v>
                </c:pt>
                <c:pt idx="38">
                  <c:v>15.435600000000001</c:v>
                </c:pt>
                <c:pt idx="39">
                  <c:v>15.839600000000001</c:v>
                </c:pt>
                <c:pt idx="40">
                  <c:v>16.246200000000002</c:v>
                </c:pt>
                <c:pt idx="41">
                  <c:v>16.657299999999999</c:v>
                </c:pt>
                <c:pt idx="42">
                  <c:v>17.061399999999999</c:v>
                </c:pt>
                <c:pt idx="43">
                  <c:v>17.467199999999998</c:v>
                </c:pt>
                <c:pt idx="44">
                  <c:v>17.868099999999998</c:v>
                </c:pt>
                <c:pt idx="45">
                  <c:v>18.2742</c:v>
                </c:pt>
                <c:pt idx="46">
                  <c:v>18.684000000000001</c:v>
                </c:pt>
                <c:pt idx="47">
                  <c:v>19.093900000000001</c:v>
                </c:pt>
                <c:pt idx="48">
                  <c:v>19.495899999999999</c:v>
                </c:pt>
                <c:pt idx="49">
                  <c:v>19.909800000000001</c:v>
                </c:pt>
                <c:pt idx="50">
                  <c:v>20.309200000000001</c:v>
                </c:pt>
                <c:pt idx="51">
                  <c:v>20.718499999999999</c:v>
                </c:pt>
                <c:pt idx="52">
                  <c:v>21.121400000000001</c:v>
                </c:pt>
                <c:pt idx="53">
                  <c:v>21.528700000000001</c:v>
                </c:pt>
                <c:pt idx="54">
                  <c:v>21.9343</c:v>
                </c:pt>
                <c:pt idx="55">
                  <c:v>22.340299999999999</c:v>
                </c:pt>
                <c:pt idx="56">
                  <c:v>22.751000000000001</c:v>
                </c:pt>
                <c:pt idx="57">
                  <c:v>23.152899999999999</c:v>
                </c:pt>
                <c:pt idx="58">
                  <c:v>23.559799999999999</c:v>
                </c:pt>
                <c:pt idx="59">
                  <c:v>23.964600000000001</c:v>
                </c:pt>
                <c:pt idx="60">
                  <c:v>24.368500000000001</c:v>
                </c:pt>
                <c:pt idx="61">
                  <c:v>24.776399999999999</c:v>
                </c:pt>
                <c:pt idx="62">
                  <c:v>25.185600000000001</c:v>
                </c:pt>
                <c:pt idx="63">
                  <c:v>25.592400000000001</c:v>
                </c:pt>
                <c:pt idx="64">
                  <c:v>25.996400000000001</c:v>
                </c:pt>
                <c:pt idx="65">
                  <c:v>26.4025</c:v>
                </c:pt>
                <c:pt idx="66">
                  <c:v>26.808199999999999</c:v>
                </c:pt>
                <c:pt idx="67">
                  <c:v>27.214200000000002</c:v>
                </c:pt>
                <c:pt idx="68">
                  <c:v>27.625</c:v>
                </c:pt>
                <c:pt idx="69">
                  <c:v>28.024899999999999</c:v>
                </c:pt>
                <c:pt idx="70">
                  <c:v>28.430800000000001</c:v>
                </c:pt>
                <c:pt idx="71">
                  <c:v>28.844999999999999</c:v>
                </c:pt>
                <c:pt idx="72">
                  <c:v>29.246700000000001</c:v>
                </c:pt>
                <c:pt idx="73">
                  <c:v>29.6526</c:v>
                </c:pt>
                <c:pt idx="74">
                  <c:v>30.057500000000001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2.1490999999999998</c:v>
                </c:pt>
                <c:pt idx="1">
                  <c:v>2.2403999999999997</c:v>
                </c:pt>
                <c:pt idx="2">
                  <c:v>2.3350999999999997</c:v>
                </c:pt>
                <c:pt idx="3">
                  <c:v>2.4295200000000001</c:v>
                </c:pt>
                <c:pt idx="4">
                  <c:v>2.5268299999999999</c:v>
                </c:pt>
                <c:pt idx="5">
                  <c:v>2.6262999999999996</c:v>
                </c:pt>
                <c:pt idx="6">
                  <c:v>2.7262999999999997</c:v>
                </c:pt>
                <c:pt idx="7">
                  <c:v>2.82653</c:v>
                </c:pt>
                <c:pt idx="8">
                  <c:v>2.9226799999999997</c:v>
                </c:pt>
                <c:pt idx="9">
                  <c:v>3.01701</c:v>
                </c:pt>
                <c:pt idx="10">
                  <c:v>3.1152200000000003</c:v>
                </c:pt>
                <c:pt idx="11">
                  <c:v>3.2179899999999999</c:v>
                </c:pt>
                <c:pt idx="12">
                  <c:v>3.3200000000000003</c:v>
                </c:pt>
                <c:pt idx="13">
                  <c:v>3.4204499999999998</c:v>
                </c:pt>
                <c:pt idx="14">
                  <c:v>3.5218100000000003</c:v>
                </c:pt>
                <c:pt idx="15">
                  <c:v>3.6253600000000001</c:v>
                </c:pt>
                <c:pt idx="16">
                  <c:v>3.7297799999999999</c:v>
                </c:pt>
                <c:pt idx="17">
                  <c:v>3.8339299999999996</c:v>
                </c:pt>
                <c:pt idx="18">
                  <c:v>3.9344800000000002</c:v>
                </c:pt>
                <c:pt idx="19">
                  <c:v>4.0343200000000001</c:v>
                </c:pt>
                <c:pt idx="20">
                  <c:v>4.1314899999999994</c:v>
                </c:pt>
                <c:pt idx="21">
                  <c:v>4.2258000000000004</c:v>
                </c:pt>
                <c:pt idx="22">
                  <c:v>4.3187300000000004</c:v>
                </c:pt>
                <c:pt idx="23">
                  <c:v>4.4055299999999997</c:v>
                </c:pt>
                <c:pt idx="24">
                  <c:v>4.4896799999999999</c:v>
                </c:pt>
                <c:pt idx="25">
                  <c:v>4.5697399999999995</c:v>
                </c:pt>
                <c:pt idx="26">
                  <c:v>4.6458199999999996</c:v>
                </c:pt>
                <c:pt idx="27">
                  <c:v>4.71692</c:v>
                </c:pt>
                <c:pt idx="28">
                  <c:v>4.7866900000000001</c:v>
                </c:pt>
                <c:pt idx="29">
                  <c:v>4.8515899999999998</c:v>
                </c:pt>
                <c:pt idx="30">
                  <c:v>4.9118399999999998</c:v>
                </c:pt>
                <c:pt idx="31">
                  <c:v>4.9698500000000001</c:v>
                </c:pt>
                <c:pt idx="32">
                  <c:v>5.0249200000000007</c:v>
                </c:pt>
                <c:pt idx="33">
                  <c:v>5.0749900000000006</c:v>
                </c:pt>
                <c:pt idx="34">
                  <c:v>5.1176300000000001</c:v>
                </c:pt>
                <c:pt idx="35">
                  <c:v>5.154069999999999</c:v>
                </c:pt>
                <c:pt idx="36">
                  <c:v>5.1849100000000004</c:v>
                </c:pt>
                <c:pt idx="37">
                  <c:v>5.2142999999999997</c:v>
                </c:pt>
                <c:pt idx="38">
                  <c:v>5.2423099999999998</c:v>
                </c:pt>
                <c:pt idx="39">
                  <c:v>5.2658199999999997</c:v>
                </c:pt>
                <c:pt idx="40">
                  <c:v>5.2855100000000004</c:v>
                </c:pt>
                <c:pt idx="41">
                  <c:v>5.3019600000000002</c:v>
                </c:pt>
                <c:pt idx="42">
                  <c:v>5.31555</c:v>
                </c:pt>
                <c:pt idx="43">
                  <c:v>5.3305199999999999</c:v>
                </c:pt>
                <c:pt idx="44">
                  <c:v>5.3438499999999998</c:v>
                </c:pt>
                <c:pt idx="45">
                  <c:v>5.3539899999999996</c:v>
                </c:pt>
                <c:pt idx="46">
                  <c:v>5.36442</c:v>
                </c:pt>
                <c:pt idx="47">
                  <c:v>5.3725999999999994</c:v>
                </c:pt>
                <c:pt idx="48">
                  <c:v>5.3779200000000005</c:v>
                </c:pt>
                <c:pt idx="49">
                  <c:v>5.3783700000000003</c:v>
                </c:pt>
                <c:pt idx="50">
                  <c:v>5.3779900000000005</c:v>
                </c:pt>
                <c:pt idx="51">
                  <c:v>5.3779299999999992</c:v>
                </c:pt>
                <c:pt idx="52">
                  <c:v>5.3785000000000007</c:v>
                </c:pt>
                <c:pt idx="53">
                  <c:v>5.375259999999999</c:v>
                </c:pt>
                <c:pt idx="54">
                  <c:v>5.3705599999999993</c:v>
                </c:pt>
                <c:pt idx="55">
                  <c:v>5.3637500000000005</c:v>
                </c:pt>
                <c:pt idx="56">
                  <c:v>5.3544199999999993</c:v>
                </c:pt>
                <c:pt idx="57">
                  <c:v>5.3451599999999999</c:v>
                </c:pt>
                <c:pt idx="58">
                  <c:v>5.3358000000000008</c:v>
                </c:pt>
                <c:pt idx="59">
                  <c:v>5.3291900000000005</c:v>
                </c:pt>
                <c:pt idx="60">
                  <c:v>5.32273</c:v>
                </c:pt>
                <c:pt idx="61">
                  <c:v>5.3164699999999998</c:v>
                </c:pt>
                <c:pt idx="62">
                  <c:v>5.30694</c:v>
                </c:pt>
                <c:pt idx="63">
                  <c:v>5.29542</c:v>
                </c:pt>
                <c:pt idx="64">
                  <c:v>5.28559</c:v>
                </c:pt>
                <c:pt idx="65">
                  <c:v>5.2777700000000003</c:v>
                </c:pt>
                <c:pt idx="66">
                  <c:v>5.2685599999999999</c:v>
                </c:pt>
                <c:pt idx="67">
                  <c:v>5.2570499999999996</c:v>
                </c:pt>
                <c:pt idx="68">
                  <c:v>5.2426300000000001</c:v>
                </c:pt>
                <c:pt idx="69">
                  <c:v>5.2293799999999999</c:v>
                </c:pt>
                <c:pt idx="70">
                  <c:v>5.2185499999999996</c:v>
                </c:pt>
                <c:pt idx="71">
                  <c:v>5.2055199999999999</c:v>
                </c:pt>
                <c:pt idx="72">
                  <c:v>5.1929499999999997</c:v>
                </c:pt>
                <c:pt idx="73">
                  <c:v>5.1842299999999994</c:v>
                </c:pt>
                <c:pt idx="74">
                  <c:v>5.1777799999999994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30.057500000000001</c:v>
                </c:pt>
                <c:pt idx="1">
                  <c:v>30.465599999999998</c:v>
                </c:pt>
                <c:pt idx="2">
                  <c:v>30.876300000000001</c:v>
                </c:pt>
                <c:pt idx="3">
                  <c:v>31.278600000000001</c:v>
                </c:pt>
                <c:pt idx="4">
                  <c:v>31.68</c:v>
                </c:pt>
                <c:pt idx="5">
                  <c:v>32.091099999999997</c:v>
                </c:pt>
                <c:pt idx="6">
                  <c:v>32.497100000000003</c:v>
                </c:pt>
                <c:pt idx="7">
                  <c:v>32.902900000000002</c:v>
                </c:pt>
                <c:pt idx="8">
                  <c:v>33.312100000000001</c:v>
                </c:pt>
                <c:pt idx="9">
                  <c:v>33.717700000000001</c:v>
                </c:pt>
                <c:pt idx="10">
                  <c:v>34.124600000000001</c:v>
                </c:pt>
                <c:pt idx="11">
                  <c:v>34.5276</c:v>
                </c:pt>
                <c:pt idx="12">
                  <c:v>34.933199999999999</c:v>
                </c:pt>
                <c:pt idx="13">
                  <c:v>35.340400000000002</c:v>
                </c:pt>
                <c:pt idx="14">
                  <c:v>35.751399999999997</c:v>
                </c:pt>
                <c:pt idx="15">
                  <c:v>36.153100000000002</c:v>
                </c:pt>
                <c:pt idx="16">
                  <c:v>36.557099999999998</c:v>
                </c:pt>
                <c:pt idx="17">
                  <c:v>36.962699999999998</c:v>
                </c:pt>
                <c:pt idx="18">
                  <c:v>37.371000000000002</c:v>
                </c:pt>
                <c:pt idx="19">
                  <c:v>37.78</c:v>
                </c:pt>
                <c:pt idx="20">
                  <c:v>38.184800000000003</c:v>
                </c:pt>
                <c:pt idx="21">
                  <c:v>38.590699999999998</c:v>
                </c:pt>
                <c:pt idx="22">
                  <c:v>38.997300000000003</c:v>
                </c:pt>
                <c:pt idx="23">
                  <c:v>39.403500000000001</c:v>
                </c:pt>
                <c:pt idx="24">
                  <c:v>39.804900000000004</c:v>
                </c:pt>
                <c:pt idx="25">
                  <c:v>40.214700000000001</c:v>
                </c:pt>
                <c:pt idx="26">
                  <c:v>40.624299999999998</c:v>
                </c:pt>
                <c:pt idx="27">
                  <c:v>41.031199999999998</c:v>
                </c:pt>
                <c:pt idx="28">
                  <c:v>41.435099999999998</c:v>
                </c:pt>
                <c:pt idx="29">
                  <c:v>41.841099999999997</c:v>
                </c:pt>
                <c:pt idx="30">
                  <c:v>42.247</c:v>
                </c:pt>
                <c:pt idx="31">
                  <c:v>42.652799999999999</c:v>
                </c:pt>
                <c:pt idx="32">
                  <c:v>43.060699999999997</c:v>
                </c:pt>
                <c:pt idx="33">
                  <c:v>43.467700000000001</c:v>
                </c:pt>
                <c:pt idx="34">
                  <c:v>43.874699999999997</c:v>
                </c:pt>
                <c:pt idx="35">
                  <c:v>44.279499999999999</c:v>
                </c:pt>
                <c:pt idx="36">
                  <c:v>44.684399999999997</c:v>
                </c:pt>
                <c:pt idx="37">
                  <c:v>45.093200000000003</c:v>
                </c:pt>
                <c:pt idx="38">
                  <c:v>45.501199999999997</c:v>
                </c:pt>
                <c:pt idx="39">
                  <c:v>45.9009</c:v>
                </c:pt>
                <c:pt idx="40">
                  <c:v>46.306899999999999</c:v>
                </c:pt>
                <c:pt idx="41">
                  <c:v>46.713099999999997</c:v>
                </c:pt>
                <c:pt idx="42">
                  <c:v>47.1248</c:v>
                </c:pt>
                <c:pt idx="43">
                  <c:v>47.529800000000002</c:v>
                </c:pt>
                <c:pt idx="44">
                  <c:v>47.933799999999998</c:v>
                </c:pt>
                <c:pt idx="45">
                  <c:v>48.3416</c:v>
                </c:pt>
                <c:pt idx="46">
                  <c:v>48.743499999999997</c:v>
                </c:pt>
                <c:pt idx="47">
                  <c:v>49.153100000000002</c:v>
                </c:pt>
                <c:pt idx="48">
                  <c:v>49.560299999999998</c:v>
                </c:pt>
                <c:pt idx="49">
                  <c:v>49.965299999999999</c:v>
                </c:pt>
                <c:pt idx="50">
                  <c:v>50.371299999999998</c:v>
                </c:pt>
                <c:pt idx="51">
                  <c:v>50.78</c:v>
                </c:pt>
                <c:pt idx="52">
                  <c:v>51.184899999999999</c:v>
                </c:pt>
                <c:pt idx="53">
                  <c:v>51.5929</c:v>
                </c:pt>
                <c:pt idx="54">
                  <c:v>51.995899999999999</c:v>
                </c:pt>
                <c:pt idx="55">
                  <c:v>52.402799999999999</c:v>
                </c:pt>
                <c:pt idx="56">
                  <c:v>52.814700000000002</c:v>
                </c:pt>
                <c:pt idx="57">
                  <c:v>53.2196</c:v>
                </c:pt>
                <c:pt idx="58">
                  <c:v>53.621499999999997</c:v>
                </c:pt>
                <c:pt idx="59">
                  <c:v>54.026400000000002</c:v>
                </c:pt>
                <c:pt idx="60">
                  <c:v>54.433199999999999</c:v>
                </c:pt>
                <c:pt idx="61">
                  <c:v>54.839100000000002</c:v>
                </c:pt>
                <c:pt idx="62">
                  <c:v>55.247999999999998</c:v>
                </c:pt>
                <c:pt idx="63">
                  <c:v>55.652000000000001</c:v>
                </c:pt>
                <c:pt idx="64">
                  <c:v>56.059899999999999</c:v>
                </c:pt>
                <c:pt idx="65">
                  <c:v>56.4664</c:v>
                </c:pt>
                <c:pt idx="66">
                  <c:v>56.871899999999997</c:v>
                </c:pt>
                <c:pt idx="67">
                  <c:v>57.279000000000003</c:v>
                </c:pt>
                <c:pt idx="68">
                  <c:v>57.6828</c:v>
                </c:pt>
                <c:pt idx="69">
                  <c:v>58.090600000000002</c:v>
                </c:pt>
                <c:pt idx="70">
                  <c:v>58.497700000000002</c:v>
                </c:pt>
                <c:pt idx="71">
                  <c:v>58.9054</c:v>
                </c:pt>
                <c:pt idx="72">
                  <c:v>59.312600000000003</c:v>
                </c:pt>
                <c:pt idx="73">
                  <c:v>59.716200000000001</c:v>
                </c:pt>
                <c:pt idx="74">
                  <c:v>60.123100000000001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5.1777799999999994</c:v>
                </c:pt>
                <c:pt idx="1">
                  <c:v>5.1676699999999993</c:v>
                </c:pt>
                <c:pt idx="2">
                  <c:v>5.1556100000000002</c:v>
                </c:pt>
                <c:pt idx="3">
                  <c:v>5.1400100000000002</c:v>
                </c:pt>
                <c:pt idx="4">
                  <c:v>5.125</c:v>
                </c:pt>
                <c:pt idx="5">
                  <c:v>5.1120299999999999</c:v>
                </c:pt>
                <c:pt idx="6">
                  <c:v>5.1008399999999998</c:v>
                </c:pt>
                <c:pt idx="7">
                  <c:v>5.0895900000000003</c:v>
                </c:pt>
                <c:pt idx="8">
                  <c:v>5.0756999999999994</c:v>
                </c:pt>
                <c:pt idx="9">
                  <c:v>5.0613200000000003</c:v>
                </c:pt>
                <c:pt idx="10">
                  <c:v>5.0445500000000001</c:v>
                </c:pt>
                <c:pt idx="11">
                  <c:v>5.0309699999999999</c:v>
                </c:pt>
                <c:pt idx="12">
                  <c:v>5.0202200000000001</c:v>
                </c:pt>
                <c:pt idx="13">
                  <c:v>5.0111099999999995</c:v>
                </c:pt>
                <c:pt idx="14">
                  <c:v>5.0035499999999997</c:v>
                </c:pt>
                <c:pt idx="15">
                  <c:v>4.9947299999999997</c:v>
                </c:pt>
                <c:pt idx="16">
                  <c:v>4.9822499999999996</c:v>
                </c:pt>
                <c:pt idx="17">
                  <c:v>4.9709099999999999</c:v>
                </c:pt>
                <c:pt idx="18">
                  <c:v>4.9643700000000006</c:v>
                </c:pt>
                <c:pt idx="19">
                  <c:v>4.9573299999999998</c:v>
                </c:pt>
                <c:pt idx="20">
                  <c:v>4.9468300000000003</c:v>
                </c:pt>
                <c:pt idx="21">
                  <c:v>4.9337999999999997</c:v>
                </c:pt>
                <c:pt idx="22">
                  <c:v>4.9209399999999999</c:v>
                </c:pt>
                <c:pt idx="23">
                  <c:v>4.9086699999999999</c:v>
                </c:pt>
                <c:pt idx="24">
                  <c:v>4.8974099999999998</c:v>
                </c:pt>
                <c:pt idx="25">
                  <c:v>4.8915300000000004</c:v>
                </c:pt>
                <c:pt idx="26">
                  <c:v>4.8902800000000006</c:v>
                </c:pt>
                <c:pt idx="27">
                  <c:v>4.8870699999999996</c:v>
                </c:pt>
                <c:pt idx="28">
                  <c:v>4.8893399999999998</c:v>
                </c:pt>
                <c:pt idx="29">
                  <c:v>4.8943700000000003</c:v>
                </c:pt>
                <c:pt idx="30">
                  <c:v>4.9002299999999996</c:v>
                </c:pt>
                <c:pt idx="31">
                  <c:v>4.90733</c:v>
                </c:pt>
                <c:pt idx="32">
                  <c:v>4.9153900000000004</c:v>
                </c:pt>
                <c:pt idx="33">
                  <c:v>4.9243800000000002</c:v>
                </c:pt>
                <c:pt idx="34">
                  <c:v>4.9368699999999999</c:v>
                </c:pt>
                <c:pt idx="35">
                  <c:v>4.9541000000000004</c:v>
                </c:pt>
                <c:pt idx="36">
                  <c:v>4.97044</c:v>
                </c:pt>
                <c:pt idx="37">
                  <c:v>4.9833999999999996</c:v>
                </c:pt>
                <c:pt idx="38">
                  <c:v>4.9989299999999997</c:v>
                </c:pt>
                <c:pt idx="39">
                  <c:v>5.0175199999999993</c:v>
                </c:pt>
                <c:pt idx="40">
                  <c:v>5.0352100000000002</c:v>
                </c:pt>
                <c:pt idx="41">
                  <c:v>5.0522799999999997</c:v>
                </c:pt>
                <c:pt idx="42">
                  <c:v>5.0718100000000002</c:v>
                </c:pt>
                <c:pt idx="43">
                  <c:v>5.0911200000000001</c:v>
                </c:pt>
                <c:pt idx="44">
                  <c:v>5.1095999999999995</c:v>
                </c:pt>
                <c:pt idx="45">
                  <c:v>5.1295100000000007</c:v>
                </c:pt>
                <c:pt idx="46">
                  <c:v>5.1529699999999998</c:v>
                </c:pt>
                <c:pt idx="47">
                  <c:v>5.1769400000000001</c:v>
                </c:pt>
                <c:pt idx="48">
                  <c:v>5.2005299999999997</c:v>
                </c:pt>
                <c:pt idx="49">
                  <c:v>5.2225799999999998</c:v>
                </c:pt>
                <c:pt idx="50">
                  <c:v>5.2373400000000006</c:v>
                </c:pt>
                <c:pt idx="51">
                  <c:v>5.2465099999999998</c:v>
                </c:pt>
                <c:pt idx="52">
                  <c:v>5.25807</c:v>
                </c:pt>
                <c:pt idx="53">
                  <c:v>5.2685400000000007</c:v>
                </c:pt>
                <c:pt idx="54">
                  <c:v>5.278929999999999</c:v>
                </c:pt>
                <c:pt idx="55">
                  <c:v>5.2888599999999997</c:v>
                </c:pt>
                <c:pt idx="56">
                  <c:v>5.2990000000000004</c:v>
                </c:pt>
                <c:pt idx="57">
                  <c:v>5.3100400000000008</c:v>
                </c:pt>
                <c:pt idx="58">
                  <c:v>5.3223000000000003</c:v>
                </c:pt>
                <c:pt idx="59">
                  <c:v>5.3336799999999993</c:v>
                </c:pt>
                <c:pt idx="60">
                  <c:v>5.3431300000000004</c:v>
                </c:pt>
                <c:pt idx="61">
                  <c:v>5.3532400000000004</c:v>
                </c:pt>
                <c:pt idx="62">
                  <c:v>5.3668099999999992</c:v>
                </c:pt>
                <c:pt idx="63">
                  <c:v>5.3788100000000005</c:v>
                </c:pt>
                <c:pt idx="64">
                  <c:v>5.3869500000000006</c:v>
                </c:pt>
                <c:pt idx="65">
                  <c:v>5.3977900000000005</c:v>
                </c:pt>
                <c:pt idx="66">
                  <c:v>5.4114199999999997</c:v>
                </c:pt>
                <c:pt idx="67">
                  <c:v>5.4213399999999998</c:v>
                </c:pt>
                <c:pt idx="68">
                  <c:v>5.4292899999999999</c:v>
                </c:pt>
                <c:pt idx="69">
                  <c:v>5.4425699999999999</c:v>
                </c:pt>
                <c:pt idx="70">
                  <c:v>5.4555199999999999</c:v>
                </c:pt>
                <c:pt idx="71">
                  <c:v>5.4589600000000003</c:v>
                </c:pt>
                <c:pt idx="72">
                  <c:v>5.4628800000000002</c:v>
                </c:pt>
                <c:pt idx="73">
                  <c:v>5.4647299999999994</c:v>
                </c:pt>
                <c:pt idx="74">
                  <c:v>5.4813700000000001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15.030775</c:v>
                </c:pt>
                <c:pt idx="1">
                  <c:v>45.092325000000002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4.5742267567567572</c:v>
                </c:pt>
                <c:pt idx="1">
                  <c:v>5.1299139189189189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0.40223999999999999</c:v>
                </c:pt>
                <c:pt idx="2">
                  <c:v>0.81081099999999995</c:v>
                </c:pt>
                <c:pt idx="3">
                  <c:v>1.2188300000000001</c:v>
                </c:pt>
                <c:pt idx="4">
                  <c:v>1.6246100000000001</c:v>
                </c:pt>
                <c:pt idx="5">
                  <c:v>2.0275099999999999</c:v>
                </c:pt>
                <c:pt idx="6">
                  <c:v>2.4357600000000001</c:v>
                </c:pt>
                <c:pt idx="7">
                  <c:v>2.8443900000000002</c:v>
                </c:pt>
                <c:pt idx="8">
                  <c:v>3.2472400000000001</c:v>
                </c:pt>
                <c:pt idx="9">
                  <c:v>3.65516</c:v>
                </c:pt>
                <c:pt idx="10">
                  <c:v>4.0600300000000002</c:v>
                </c:pt>
                <c:pt idx="11">
                  <c:v>4.4663300000000001</c:v>
                </c:pt>
                <c:pt idx="12">
                  <c:v>4.8699700000000004</c:v>
                </c:pt>
                <c:pt idx="13">
                  <c:v>5.2790600000000003</c:v>
                </c:pt>
                <c:pt idx="14">
                  <c:v>5.6866300000000001</c:v>
                </c:pt>
                <c:pt idx="15">
                  <c:v>6.0926200000000001</c:v>
                </c:pt>
                <c:pt idx="16">
                  <c:v>6.4965700000000002</c:v>
                </c:pt>
                <c:pt idx="17">
                  <c:v>6.9055</c:v>
                </c:pt>
                <c:pt idx="18">
                  <c:v>7.3116399999999997</c:v>
                </c:pt>
                <c:pt idx="19">
                  <c:v>7.7162600000000001</c:v>
                </c:pt>
                <c:pt idx="20">
                  <c:v>8.1252099999999992</c:v>
                </c:pt>
                <c:pt idx="21">
                  <c:v>8.5261099999999992</c:v>
                </c:pt>
                <c:pt idx="22">
                  <c:v>8.9349900000000009</c:v>
                </c:pt>
                <c:pt idx="23">
                  <c:v>9.3429400000000005</c:v>
                </c:pt>
                <c:pt idx="24">
                  <c:v>9.7488799999999998</c:v>
                </c:pt>
                <c:pt idx="25">
                  <c:v>10.1538</c:v>
                </c:pt>
                <c:pt idx="26">
                  <c:v>10.5596</c:v>
                </c:pt>
                <c:pt idx="27">
                  <c:v>10.9657</c:v>
                </c:pt>
                <c:pt idx="28">
                  <c:v>11.374499999999999</c:v>
                </c:pt>
                <c:pt idx="29">
                  <c:v>11.7805</c:v>
                </c:pt>
                <c:pt idx="30">
                  <c:v>12.1853</c:v>
                </c:pt>
                <c:pt idx="31">
                  <c:v>12.591200000000001</c:v>
                </c:pt>
                <c:pt idx="32">
                  <c:v>12.9962</c:v>
                </c:pt>
                <c:pt idx="33">
                  <c:v>13.404299999999999</c:v>
                </c:pt>
                <c:pt idx="34">
                  <c:v>13.808999999999999</c:v>
                </c:pt>
                <c:pt idx="35">
                  <c:v>14.212400000000001</c:v>
                </c:pt>
                <c:pt idx="36">
                  <c:v>14.620799999999999</c:v>
                </c:pt>
                <c:pt idx="37">
                  <c:v>15.0267</c:v>
                </c:pt>
                <c:pt idx="38">
                  <c:v>15.435600000000001</c:v>
                </c:pt>
                <c:pt idx="39">
                  <c:v>15.839600000000001</c:v>
                </c:pt>
                <c:pt idx="40">
                  <c:v>16.246200000000002</c:v>
                </c:pt>
                <c:pt idx="41">
                  <c:v>16.657299999999999</c:v>
                </c:pt>
                <c:pt idx="42">
                  <c:v>17.061399999999999</c:v>
                </c:pt>
                <c:pt idx="43">
                  <c:v>17.467199999999998</c:v>
                </c:pt>
                <c:pt idx="44">
                  <c:v>17.868099999999998</c:v>
                </c:pt>
                <c:pt idx="45">
                  <c:v>18.2742</c:v>
                </c:pt>
                <c:pt idx="46">
                  <c:v>18.684000000000001</c:v>
                </c:pt>
                <c:pt idx="47">
                  <c:v>19.093900000000001</c:v>
                </c:pt>
                <c:pt idx="48">
                  <c:v>19.495899999999999</c:v>
                </c:pt>
                <c:pt idx="49">
                  <c:v>19.909800000000001</c:v>
                </c:pt>
                <c:pt idx="50">
                  <c:v>20.309200000000001</c:v>
                </c:pt>
                <c:pt idx="51">
                  <c:v>20.718499999999999</c:v>
                </c:pt>
                <c:pt idx="52">
                  <c:v>21.121400000000001</c:v>
                </c:pt>
                <c:pt idx="53">
                  <c:v>21.528700000000001</c:v>
                </c:pt>
                <c:pt idx="54">
                  <c:v>21.9343</c:v>
                </c:pt>
                <c:pt idx="55">
                  <c:v>22.340299999999999</c:v>
                </c:pt>
                <c:pt idx="56">
                  <c:v>22.751000000000001</c:v>
                </c:pt>
                <c:pt idx="57">
                  <c:v>23.152899999999999</c:v>
                </c:pt>
                <c:pt idx="58">
                  <c:v>23.559799999999999</c:v>
                </c:pt>
                <c:pt idx="59">
                  <c:v>23.964600000000001</c:v>
                </c:pt>
                <c:pt idx="60">
                  <c:v>24.368500000000001</c:v>
                </c:pt>
                <c:pt idx="61">
                  <c:v>24.776399999999999</c:v>
                </c:pt>
                <c:pt idx="62">
                  <c:v>25.185600000000001</c:v>
                </c:pt>
                <c:pt idx="63">
                  <c:v>25.592400000000001</c:v>
                </c:pt>
                <c:pt idx="64">
                  <c:v>25.996400000000001</c:v>
                </c:pt>
                <c:pt idx="65">
                  <c:v>26.4025</c:v>
                </c:pt>
                <c:pt idx="66">
                  <c:v>26.808199999999999</c:v>
                </c:pt>
                <c:pt idx="67">
                  <c:v>27.214200000000002</c:v>
                </c:pt>
                <c:pt idx="68">
                  <c:v>27.625</c:v>
                </c:pt>
                <c:pt idx="69">
                  <c:v>28.024899999999999</c:v>
                </c:pt>
                <c:pt idx="70">
                  <c:v>28.430800000000001</c:v>
                </c:pt>
                <c:pt idx="71">
                  <c:v>28.844999999999999</c:v>
                </c:pt>
                <c:pt idx="72">
                  <c:v>29.246700000000001</c:v>
                </c:pt>
                <c:pt idx="73">
                  <c:v>29.6526</c:v>
                </c:pt>
                <c:pt idx="74">
                  <c:v>30.057500000000001</c:v>
                </c:pt>
                <c:pt idx="75">
                  <c:v>30.465599999999998</c:v>
                </c:pt>
                <c:pt idx="76">
                  <c:v>30.876300000000001</c:v>
                </c:pt>
                <c:pt idx="77">
                  <c:v>31.278600000000001</c:v>
                </c:pt>
                <c:pt idx="78">
                  <c:v>31.68</c:v>
                </c:pt>
                <c:pt idx="79">
                  <c:v>32.091099999999997</c:v>
                </c:pt>
                <c:pt idx="80">
                  <c:v>32.497100000000003</c:v>
                </c:pt>
                <c:pt idx="81">
                  <c:v>32.902900000000002</c:v>
                </c:pt>
                <c:pt idx="82">
                  <c:v>33.312100000000001</c:v>
                </c:pt>
                <c:pt idx="83">
                  <c:v>33.717700000000001</c:v>
                </c:pt>
                <c:pt idx="84">
                  <c:v>34.124600000000001</c:v>
                </c:pt>
                <c:pt idx="85">
                  <c:v>34.5276</c:v>
                </c:pt>
                <c:pt idx="86">
                  <c:v>34.933199999999999</c:v>
                </c:pt>
                <c:pt idx="87">
                  <c:v>35.340400000000002</c:v>
                </c:pt>
                <c:pt idx="88">
                  <c:v>35.751399999999997</c:v>
                </c:pt>
                <c:pt idx="89">
                  <c:v>36.153100000000002</c:v>
                </c:pt>
                <c:pt idx="90">
                  <c:v>36.557099999999998</c:v>
                </c:pt>
                <c:pt idx="91">
                  <c:v>36.962699999999998</c:v>
                </c:pt>
                <c:pt idx="92">
                  <c:v>37.371000000000002</c:v>
                </c:pt>
                <c:pt idx="93">
                  <c:v>37.78</c:v>
                </c:pt>
                <c:pt idx="94">
                  <c:v>38.184800000000003</c:v>
                </c:pt>
                <c:pt idx="95">
                  <c:v>38.590699999999998</c:v>
                </c:pt>
                <c:pt idx="96">
                  <c:v>38.997300000000003</c:v>
                </c:pt>
                <c:pt idx="97">
                  <c:v>39.403500000000001</c:v>
                </c:pt>
                <c:pt idx="98">
                  <c:v>39.804900000000004</c:v>
                </c:pt>
                <c:pt idx="99">
                  <c:v>40.214700000000001</c:v>
                </c:pt>
                <c:pt idx="100">
                  <c:v>40.624299999999998</c:v>
                </c:pt>
                <c:pt idx="101">
                  <c:v>41.031199999999998</c:v>
                </c:pt>
                <c:pt idx="102">
                  <c:v>41.435099999999998</c:v>
                </c:pt>
                <c:pt idx="103">
                  <c:v>41.841099999999997</c:v>
                </c:pt>
                <c:pt idx="104">
                  <c:v>42.247</c:v>
                </c:pt>
                <c:pt idx="105">
                  <c:v>42.652799999999999</c:v>
                </c:pt>
                <c:pt idx="106">
                  <c:v>43.060699999999997</c:v>
                </c:pt>
                <c:pt idx="107">
                  <c:v>43.467700000000001</c:v>
                </c:pt>
                <c:pt idx="108">
                  <c:v>43.874699999999997</c:v>
                </c:pt>
                <c:pt idx="109">
                  <c:v>44.279499999999999</c:v>
                </c:pt>
                <c:pt idx="110">
                  <c:v>44.684399999999997</c:v>
                </c:pt>
                <c:pt idx="111">
                  <c:v>45.093200000000003</c:v>
                </c:pt>
                <c:pt idx="112">
                  <c:v>45.501199999999997</c:v>
                </c:pt>
                <c:pt idx="113">
                  <c:v>45.9009</c:v>
                </c:pt>
                <c:pt idx="114">
                  <c:v>46.306899999999999</c:v>
                </c:pt>
                <c:pt idx="115">
                  <c:v>46.713099999999997</c:v>
                </c:pt>
                <c:pt idx="116">
                  <c:v>47.1248</c:v>
                </c:pt>
                <c:pt idx="117">
                  <c:v>47.529800000000002</c:v>
                </c:pt>
                <c:pt idx="118">
                  <c:v>47.933799999999998</c:v>
                </c:pt>
                <c:pt idx="119">
                  <c:v>48.3416</c:v>
                </c:pt>
                <c:pt idx="120">
                  <c:v>48.743499999999997</c:v>
                </c:pt>
                <c:pt idx="121">
                  <c:v>49.153100000000002</c:v>
                </c:pt>
                <c:pt idx="122">
                  <c:v>49.560299999999998</c:v>
                </c:pt>
                <c:pt idx="123">
                  <c:v>49.965299999999999</c:v>
                </c:pt>
                <c:pt idx="124">
                  <c:v>50.371299999999998</c:v>
                </c:pt>
                <c:pt idx="125">
                  <c:v>50.78</c:v>
                </c:pt>
                <c:pt idx="126">
                  <c:v>51.184899999999999</c:v>
                </c:pt>
                <c:pt idx="127">
                  <c:v>51.5929</c:v>
                </c:pt>
                <c:pt idx="128">
                  <c:v>51.995899999999999</c:v>
                </c:pt>
                <c:pt idx="129">
                  <c:v>52.402799999999999</c:v>
                </c:pt>
                <c:pt idx="130">
                  <c:v>52.814700000000002</c:v>
                </c:pt>
                <c:pt idx="131">
                  <c:v>53.2196</c:v>
                </c:pt>
                <c:pt idx="132">
                  <c:v>53.621499999999997</c:v>
                </c:pt>
                <c:pt idx="133">
                  <c:v>54.026400000000002</c:v>
                </c:pt>
                <c:pt idx="134">
                  <c:v>54.433199999999999</c:v>
                </c:pt>
                <c:pt idx="135">
                  <c:v>54.839100000000002</c:v>
                </c:pt>
                <c:pt idx="136">
                  <c:v>55.247999999999998</c:v>
                </c:pt>
                <c:pt idx="137">
                  <c:v>55.652000000000001</c:v>
                </c:pt>
                <c:pt idx="138">
                  <c:v>56.059899999999999</c:v>
                </c:pt>
                <c:pt idx="139">
                  <c:v>56.4664</c:v>
                </c:pt>
                <c:pt idx="140">
                  <c:v>56.871899999999997</c:v>
                </c:pt>
                <c:pt idx="141">
                  <c:v>57.279000000000003</c:v>
                </c:pt>
                <c:pt idx="142">
                  <c:v>57.6828</c:v>
                </c:pt>
                <c:pt idx="143">
                  <c:v>58.090600000000002</c:v>
                </c:pt>
                <c:pt idx="144">
                  <c:v>58.497700000000002</c:v>
                </c:pt>
                <c:pt idx="145">
                  <c:v>58.9054</c:v>
                </c:pt>
                <c:pt idx="146">
                  <c:v>59.312600000000003</c:v>
                </c:pt>
                <c:pt idx="147">
                  <c:v>59.716200000000001</c:v>
                </c:pt>
                <c:pt idx="148">
                  <c:v>60.123100000000001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62.069200000000002</c:v>
                </c:pt>
                <c:pt idx="1">
                  <c:v>61.2958</c:v>
                </c:pt>
                <c:pt idx="2">
                  <c:v>60.430799999999998</c:v>
                </c:pt>
                <c:pt idx="3">
                  <c:v>59.648400000000002</c:v>
                </c:pt>
                <c:pt idx="4">
                  <c:v>58.707000000000001</c:v>
                </c:pt>
                <c:pt idx="5">
                  <c:v>57.65</c:v>
                </c:pt>
                <c:pt idx="6">
                  <c:v>56.593499999999999</c:v>
                </c:pt>
                <c:pt idx="7">
                  <c:v>55.524399999999993</c:v>
                </c:pt>
                <c:pt idx="8">
                  <c:v>54.309300000000007</c:v>
                </c:pt>
                <c:pt idx="9">
                  <c:v>53.019099999999995</c:v>
                </c:pt>
                <c:pt idx="10">
                  <c:v>51.636299999999999</c:v>
                </c:pt>
                <c:pt idx="11">
                  <c:v>50.146900000000002</c:v>
                </c:pt>
                <c:pt idx="12">
                  <c:v>48.781200000000005</c:v>
                </c:pt>
                <c:pt idx="13">
                  <c:v>47.614600000000003</c:v>
                </c:pt>
                <c:pt idx="14">
                  <c:v>46.504200000000004</c:v>
                </c:pt>
                <c:pt idx="15">
                  <c:v>45.436500000000002</c:v>
                </c:pt>
                <c:pt idx="16">
                  <c:v>44.4803</c:v>
                </c:pt>
                <c:pt idx="17">
                  <c:v>43.706200000000003</c:v>
                </c:pt>
                <c:pt idx="18">
                  <c:v>43.162800000000004</c:v>
                </c:pt>
                <c:pt idx="19">
                  <c:v>42.773000000000003</c:v>
                </c:pt>
                <c:pt idx="20">
                  <c:v>42.496899999999997</c:v>
                </c:pt>
                <c:pt idx="21">
                  <c:v>42.407499999999999</c:v>
                </c:pt>
                <c:pt idx="22">
                  <c:v>42.4709</c:v>
                </c:pt>
                <c:pt idx="23">
                  <c:v>42.765000000000001</c:v>
                </c:pt>
                <c:pt idx="24">
                  <c:v>43.076700000000002</c:v>
                </c:pt>
                <c:pt idx="25">
                  <c:v>43.421399999999998</c:v>
                </c:pt>
                <c:pt idx="26">
                  <c:v>43.775500000000001</c:v>
                </c:pt>
                <c:pt idx="27">
                  <c:v>44.1355</c:v>
                </c:pt>
                <c:pt idx="28">
                  <c:v>44.45</c:v>
                </c:pt>
                <c:pt idx="29">
                  <c:v>44.776700000000005</c:v>
                </c:pt>
                <c:pt idx="30">
                  <c:v>45.078200000000002</c:v>
                </c:pt>
                <c:pt idx="31">
                  <c:v>45.319500000000005</c:v>
                </c:pt>
                <c:pt idx="32">
                  <c:v>45.512300000000003</c:v>
                </c:pt>
                <c:pt idx="33">
                  <c:v>45.691099999999999</c:v>
                </c:pt>
                <c:pt idx="34">
                  <c:v>45.783000000000001</c:v>
                </c:pt>
                <c:pt idx="35">
                  <c:v>45.8947</c:v>
                </c:pt>
                <c:pt idx="36">
                  <c:v>45.927299999999995</c:v>
                </c:pt>
                <c:pt idx="37">
                  <c:v>45.916699999999999</c:v>
                </c:pt>
                <c:pt idx="38">
                  <c:v>45.877000000000002</c:v>
                </c:pt>
                <c:pt idx="39">
                  <c:v>45.8598</c:v>
                </c:pt>
                <c:pt idx="40">
                  <c:v>45.807199999999995</c:v>
                </c:pt>
                <c:pt idx="41">
                  <c:v>45.746199999999995</c:v>
                </c:pt>
                <c:pt idx="42">
                  <c:v>45.718599999999995</c:v>
                </c:pt>
                <c:pt idx="43">
                  <c:v>45.723200000000006</c:v>
                </c:pt>
                <c:pt idx="44">
                  <c:v>45.707099999999997</c:v>
                </c:pt>
                <c:pt idx="45">
                  <c:v>45.7378</c:v>
                </c:pt>
                <c:pt idx="46">
                  <c:v>45.716000000000001</c:v>
                </c:pt>
                <c:pt idx="47">
                  <c:v>45.592500000000001</c:v>
                </c:pt>
                <c:pt idx="48">
                  <c:v>45.4983</c:v>
                </c:pt>
                <c:pt idx="49">
                  <c:v>45.447700000000005</c:v>
                </c:pt>
                <c:pt idx="50">
                  <c:v>45.379899999999999</c:v>
                </c:pt>
                <c:pt idx="51">
                  <c:v>45.3309</c:v>
                </c:pt>
                <c:pt idx="52">
                  <c:v>45.330199999999998</c:v>
                </c:pt>
                <c:pt idx="53">
                  <c:v>45.373400000000004</c:v>
                </c:pt>
                <c:pt idx="54">
                  <c:v>45.448</c:v>
                </c:pt>
                <c:pt idx="55">
                  <c:v>45.555399999999999</c:v>
                </c:pt>
                <c:pt idx="56">
                  <c:v>45.7149</c:v>
                </c:pt>
                <c:pt idx="57">
                  <c:v>45.963999999999999</c:v>
                </c:pt>
                <c:pt idx="58">
                  <c:v>46.270499999999998</c:v>
                </c:pt>
                <c:pt idx="59">
                  <c:v>46.640500000000003</c:v>
                </c:pt>
                <c:pt idx="60">
                  <c:v>46.922699999999999</c:v>
                </c:pt>
                <c:pt idx="61">
                  <c:v>47.209000000000003</c:v>
                </c:pt>
                <c:pt idx="62">
                  <c:v>47.491299999999995</c:v>
                </c:pt>
                <c:pt idx="63">
                  <c:v>47.772399999999998</c:v>
                </c:pt>
                <c:pt idx="64">
                  <c:v>47.993099999999998</c:v>
                </c:pt>
                <c:pt idx="65">
                  <c:v>48.2102</c:v>
                </c:pt>
                <c:pt idx="66">
                  <c:v>48.349399999999996</c:v>
                </c:pt>
                <c:pt idx="67">
                  <c:v>48.380400000000002</c:v>
                </c:pt>
                <c:pt idx="68">
                  <c:v>48.427500000000002</c:v>
                </c:pt>
                <c:pt idx="69">
                  <c:v>48.537999999999997</c:v>
                </c:pt>
                <c:pt idx="70">
                  <c:v>48.543100000000003</c:v>
                </c:pt>
                <c:pt idx="71">
                  <c:v>48.619800000000005</c:v>
                </c:pt>
                <c:pt idx="72">
                  <c:v>48.793100000000003</c:v>
                </c:pt>
                <c:pt idx="73">
                  <c:v>48.928600000000003</c:v>
                </c:pt>
                <c:pt idx="74">
                  <c:v>49.016799999999996</c:v>
                </c:pt>
                <c:pt idx="75">
                  <c:v>49.138300000000001</c:v>
                </c:pt>
                <c:pt idx="76">
                  <c:v>49.259100000000004</c:v>
                </c:pt>
                <c:pt idx="77">
                  <c:v>49.3444</c:v>
                </c:pt>
                <c:pt idx="78">
                  <c:v>49.3521</c:v>
                </c:pt>
                <c:pt idx="79">
                  <c:v>49.326799999999999</c:v>
                </c:pt>
                <c:pt idx="80">
                  <c:v>49.248199999999997</c:v>
                </c:pt>
                <c:pt idx="81">
                  <c:v>49.119700000000002</c:v>
                </c:pt>
                <c:pt idx="82">
                  <c:v>48.945699999999995</c:v>
                </c:pt>
                <c:pt idx="83">
                  <c:v>48.7194</c:v>
                </c:pt>
                <c:pt idx="84">
                  <c:v>48.4482</c:v>
                </c:pt>
                <c:pt idx="85">
                  <c:v>48.1646</c:v>
                </c:pt>
                <c:pt idx="86">
                  <c:v>47.846800000000002</c:v>
                </c:pt>
                <c:pt idx="87">
                  <c:v>47.478500000000004</c:v>
                </c:pt>
                <c:pt idx="88">
                  <c:v>47.120400000000004</c:v>
                </c:pt>
                <c:pt idx="89">
                  <c:v>46.853099999999998</c:v>
                </c:pt>
                <c:pt idx="90">
                  <c:v>46.607700000000001</c:v>
                </c:pt>
                <c:pt idx="91">
                  <c:v>46.432000000000002</c:v>
                </c:pt>
                <c:pt idx="92">
                  <c:v>46.292200000000001</c:v>
                </c:pt>
                <c:pt idx="93">
                  <c:v>46.138500000000001</c:v>
                </c:pt>
                <c:pt idx="94">
                  <c:v>45.922899999999998</c:v>
                </c:pt>
                <c:pt idx="95">
                  <c:v>45.802199999999999</c:v>
                </c:pt>
                <c:pt idx="96">
                  <c:v>45.704299999999996</c:v>
                </c:pt>
                <c:pt idx="97">
                  <c:v>45.650600000000004</c:v>
                </c:pt>
                <c:pt idx="98">
                  <c:v>45.585799999999999</c:v>
                </c:pt>
                <c:pt idx="99">
                  <c:v>45.479199999999999</c:v>
                </c:pt>
                <c:pt idx="100">
                  <c:v>45.389600000000002</c:v>
                </c:pt>
                <c:pt idx="101">
                  <c:v>45.381899999999995</c:v>
                </c:pt>
                <c:pt idx="102">
                  <c:v>45.358800000000002</c:v>
                </c:pt>
                <c:pt idx="103">
                  <c:v>45.330799999999996</c:v>
                </c:pt>
                <c:pt idx="104">
                  <c:v>45.241799999999998</c:v>
                </c:pt>
                <c:pt idx="105">
                  <c:v>45.155899999999995</c:v>
                </c:pt>
                <c:pt idx="106">
                  <c:v>45.075500000000005</c:v>
                </c:pt>
                <c:pt idx="107">
                  <c:v>44.971200000000003</c:v>
                </c:pt>
                <c:pt idx="108">
                  <c:v>44.836500000000001</c:v>
                </c:pt>
                <c:pt idx="109">
                  <c:v>44.791699999999999</c:v>
                </c:pt>
                <c:pt idx="110">
                  <c:v>44.822899999999997</c:v>
                </c:pt>
                <c:pt idx="111">
                  <c:v>44.9099</c:v>
                </c:pt>
                <c:pt idx="112">
                  <c:v>44.972999999999999</c:v>
                </c:pt>
                <c:pt idx="113">
                  <c:v>45.020600000000002</c:v>
                </c:pt>
                <c:pt idx="114">
                  <c:v>45.053899999999999</c:v>
                </c:pt>
                <c:pt idx="115">
                  <c:v>45.164700000000003</c:v>
                </c:pt>
                <c:pt idx="116">
                  <c:v>45.303199999999997</c:v>
                </c:pt>
                <c:pt idx="117">
                  <c:v>45.4527</c:v>
                </c:pt>
                <c:pt idx="118">
                  <c:v>45.6511</c:v>
                </c:pt>
                <c:pt idx="119">
                  <c:v>45.901599999999995</c:v>
                </c:pt>
                <c:pt idx="120">
                  <c:v>46.160600000000002</c:v>
                </c:pt>
                <c:pt idx="121">
                  <c:v>46.276600000000002</c:v>
                </c:pt>
                <c:pt idx="122">
                  <c:v>46.319000000000003</c:v>
                </c:pt>
                <c:pt idx="123">
                  <c:v>46.247799999999998</c:v>
                </c:pt>
                <c:pt idx="124">
                  <c:v>46.171099999999996</c:v>
                </c:pt>
                <c:pt idx="125">
                  <c:v>46.227699999999999</c:v>
                </c:pt>
                <c:pt idx="126">
                  <c:v>46.278200000000005</c:v>
                </c:pt>
                <c:pt idx="127">
                  <c:v>46.317399999999999</c:v>
                </c:pt>
                <c:pt idx="128">
                  <c:v>46.383299999999998</c:v>
                </c:pt>
                <c:pt idx="129">
                  <c:v>46.489100000000001</c:v>
                </c:pt>
                <c:pt idx="130">
                  <c:v>46.602700000000006</c:v>
                </c:pt>
                <c:pt idx="131">
                  <c:v>46.724800000000002</c:v>
                </c:pt>
                <c:pt idx="132">
                  <c:v>46.894599999999997</c:v>
                </c:pt>
                <c:pt idx="133">
                  <c:v>47.081899999999997</c:v>
                </c:pt>
                <c:pt idx="134">
                  <c:v>47.222099999999998</c:v>
                </c:pt>
                <c:pt idx="135">
                  <c:v>47.2986</c:v>
                </c:pt>
                <c:pt idx="136">
                  <c:v>47.3748</c:v>
                </c:pt>
                <c:pt idx="137">
                  <c:v>47.523700000000005</c:v>
                </c:pt>
                <c:pt idx="138">
                  <c:v>47.661500000000004</c:v>
                </c:pt>
                <c:pt idx="139">
                  <c:v>47.801100000000005</c:v>
                </c:pt>
                <c:pt idx="140">
                  <c:v>47.821100000000001</c:v>
                </c:pt>
                <c:pt idx="141">
                  <c:v>47.6417</c:v>
                </c:pt>
                <c:pt idx="142">
                  <c:v>47.311799999999998</c:v>
                </c:pt>
                <c:pt idx="143">
                  <c:v>46.922899999999998</c:v>
                </c:pt>
                <c:pt idx="144">
                  <c:v>46.303199999999997</c:v>
                </c:pt>
                <c:pt idx="145">
                  <c:v>45.164300000000004</c:v>
                </c:pt>
                <c:pt idx="146">
                  <c:v>44.203499999999998</c:v>
                </c:pt>
                <c:pt idx="147">
                  <c:v>42.893500000000003</c:v>
                </c:pt>
                <c:pt idx="148">
                  <c:v>41.230200000000004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0.40223999999999999</c:v>
                </c:pt>
                <c:pt idx="2">
                  <c:v>0.81081099999999995</c:v>
                </c:pt>
                <c:pt idx="3">
                  <c:v>1.2188300000000001</c:v>
                </c:pt>
                <c:pt idx="4">
                  <c:v>1.6246100000000001</c:v>
                </c:pt>
                <c:pt idx="5">
                  <c:v>2.0275099999999999</c:v>
                </c:pt>
                <c:pt idx="6">
                  <c:v>2.4357600000000001</c:v>
                </c:pt>
                <c:pt idx="7">
                  <c:v>2.8443900000000002</c:v>
                </c:pt>
                <c:pt idx="8">
                  <c:v>3.2472400000000001</c:v>
                </c:pt>
                <c:pt idx="9">
                  <c:v>3.65516</c:v>
                </c:pt>
                <c:pt idx="10">
                  <c:v>4.0600300000000002</c:v>
                </c:pt>
                <c:pt idx="11">
                  <c:v>4.4663300000000001</c:v>
                </c:pt>
                <c:pt idx="12">
                  <c:v>4.8699700000000004</c:v>
                </c:pt>
                <c:pt idx="13">
                  <c:v>5.2790600000000003</c:v>
                </c:pt>
                <c:pt idx="14">
                  <c:v>5.6866300000000001</c:v>
                </c:pt>
                <c:pt idx="15">
                  <c:v>6.0926200000000001</c:v>
                </c:pt>
                <c:pt idx="16">
                  <c:v>6.4965700000000002</c:v>
                </c:pt>
                <c:pt idx="17">
                  <c:v>6.9055</c:v>
                </c:pt>
                <c:pt idx="18">
                  <c:v>7.3116399999999997</c:v>
                </c:pt>
                <c:pt idx="19">
                  <c:v>7.7162600000000001</c:v>
                </c:pt>
                <c:pt idx="20">
                  <c:v>8.1252099999999992</c:v>
                </c:pt>
                <c:pt idx="21">
                  <c:v>8.5261099999999992</c:v>
                </c:pt>
                <c:pt idx="22">
                  <c:v>8.9349900000000009</c:v>
                </c:pt>
                <c:pt idx="23">
                  <c:v>9.3429400000000005</c:v>
                </c:pt>
                <c:pt idx="24">
                  <c:v>9.7488799999999998</c:v>
                </c:pt>
                <c:pt idx="25">
                  <c:v>10.1538</c:v>
                </c:pt>
                <c:pt idx="26">
                  <c:v>10.5596</c:v>
                </c:pt>
                <c:pt idx="27">
                  <c:v>10.9657</c:v>
                </c:pt>
                <c:pt idx="28">
                  <c:v>11.374499999999999</c:v>
                </c:pt>
                <c:pt idx="29">
                  <c:v>11.7805</c:v>
                </c:pt>
                <c:pt idx="30">
                  <c:v>12.1853</c:v>
                </c:pt>
                <c:pt idx="31">
                  <c:v>12.591200000000001</c:v>
                </c:pt>
                <c:pt idx="32">
                  <c:v>12.9962</c:v>
                </c:pt>
                <c:pt idx="33">
                  <c:v>13.404299999999999</c:v>
                </c:pt>
                <c:pt idx="34">
                  <c:v>13.808999999999999</c:v>
                </c:pt>
                <c:pt idx="35">
                  <c:v>14.212400000000001</c:v>
                </c:pt>
                <c:pt idx="36">
                  <c:v>14.620799999999999</c:v>
                </c:pt>
                <c:pt idx="37">
                  <c:v>15.0267</c:v>
                </c:pt>
                <c:pt idx="38">
                  <c:v>15.435600000000001</c:v>
                </c:pt>
                <c:pt idx="39">
                  <c:v>15.839600000000001</c:v>
                </c:pt>
                <c:pt idx="40">
                  <c:v>16.246200000000002</c:v>
                </c:pt>
                <c:pt idx="41">
                  <c:v>16.657299999999999</c:v>
                </c:pt>
                <c:pt idx="42">
                  <c:v>17.061399999999999</c:v>
                </c:pt>
                <c:pt idx="43">
                  <c:v>17.467199999999998</c:v>
                </c:pt>
                <c:pt idx="44">
                  <c:v>17.868099999999998</c:v>
                </c:pt>
                <c:pt idx="45">
                  <c:v>18.2742</c:v>
                </c:pt>
                <c:pt idx="46">
                  <c:v>18.684000000000001</c:v>
                </c:pt>
                <c:pt idx="47">
                  <c:v>19.093900000000001</c:v>
                </c:pt>
                <c:pt idx="48">
                  <c:v>19.495899999999999</c:v>
                </c:pt>
                <c:pt idx="49">
                  <c:v>19.909800000000001</c:v>
                </c:pt>
                <c:pt idx="50">
                  <c:v>20.309200000000001</c:v>
                </c:pt>
                <c:pt idx="51">
                  <c:v>20.718499999999999</c:v>
                </c:pt>
                <c:pt idx="52">
                  <c:v>21.121400000000001</c:v>
                </c:pt>
                <c:pt idx="53">
                  <c:v>21.528700000000001</c:v>
                </c:pt>
                <c:pt idx="54">
                  <c:v>21.9343</c:v>
                </c:pt>
                <c:pt idx="55">
                  <c:v>22.340299999999999</c:v>
                </c:pt>
                <c:pt idx="56">
                  <c:v>22.751000000000001</c:v>
                </c:pt>
                <c:pt idx="57">
                  <c:v>23.152899999999999</c:v>
                </c:pt>
                <c:pt idx="58">
                  <c:v>23.559799999999999</c:v>
                </c:pt>
                <c:pt idx="59">
                  <c:v>23.964600000000001</c:v>
                </c:pt>
                <c:pt idx="60">
                  <c:v>24.368500000000001</c:v>
                </c:pt>
                <c:pt idx="61">
                  <c:v>24.776399999999999</c:v>
                </c:pt>
                <c:pt idx="62">
                  <c:v>25.185600000000001</c:v>
                </c:pt>
                <c:pt idx="63">
                  <c:v>25.592400000000001</c:v>
                </c:pt>
                <c:pt idx="64">
                  <c:v>25.996400000000001</c:v>
                </c:pt>
                <c:pt idx="65">
                  <c:v>26.4025</c:v>
                </c:pt>
                <c:pt idx="66">
                  <c:v>26.808199999999999</c:v>
                </c:pt>
                <c:pt idx="67">
                  <c:v>27.214200000000002</c:v>
                </c:pt>
                <c:pt idx="68">
                  <c:v>27.625</c:v>
                </c:pt>
                <c:pt idx="69">
                  <c:v>28.024899999999999</c:v>
                </c:pt>
                <c:pt idx="70">
                  <c:v>28.430800000000001</c:v>
                </c:pt>
                <c:pt idx="71">
                  <c:v>28.844999999999999</c:v>
                </c:pt>
                <c:pt idx="72">
                  <c:v>29.246700000000001</c:v>
                </c:pt>
                <c:pt idx="73">
                  <c:v>29.6526</c:v>
                </c:pt>
                <c:pt idx="74">
                  <c:v>30.057500000000001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62.069200000000002</c:v>
                </c:pt>
                <c:pt idx="1">
                  <c:v>61.2958</c:v>
                </c:pt>
                <c:pt idx="2">
                  <c:v>60.430799999999998</c:v>
                </c:pt>
                <c:pt idx="3">
                  <c:v>59.648400000000002</c:v>
                </c:pt>
                <c:pt idx="4">
                  <c:v>58.707000000000001</c:v>
                </c:pt>
                <c:pt idx="5">
                  <c:v>57.65</c:v>
                </c:pt>
                <c:pt idx="6">
                  <c:v>56.593499999999999</c:v>
                </c:pt>
                <c:pt idx="7">
                  <c:v>55.524399999999993</c:v>
                </c:pt>
                <c:pt idx="8">
                  <c:v>54.309300000000007</c:v>
                </c:pt>
                <c:pt idx="9">
                  <c:v>53.019099999999995</c:v>
                </c:pt>
                <c:pt idx="10">
                  <c:v>51.636299999999999</c:v>
                </c:pt>
                <c:pt idx="11">
                  <c:v>50.146900000000002</c:v>
                </c:pt>
                <c:pt idx="12">
                  <c:v>48.781200000000005</c:v>
                </c:pt>
                <c:pt idx="13">
                  <c:v>47.614600000000003</c:v>
                </c:pt>
                <c:pt idx="14">
                  <c:v>46.504200000000004</c:v>
                </c:pt>
                <c:pt idx="15">
                  <c:v>45.436500000000002</c:v>
                </c:pt>
                <c:pt idx="16">
                  <c:v>44.4803</c:v>
                </c:pt>
                <c:pt idx="17">
                  <c:v>43.706200000000003</c:v>
                </c:pt>
                <c:pt idx="18">
                  <c:v>43.162800000000004</c:v>
                </c:pt>
                <c:pt idx="19">
                  <c:v>42.773000000000003</c:v>
                </c:pt>
                <c:pt idx="20">
                  <c:v>42.496899999999997</c:v>
                </c:pt>
                <c:pt idx="21">
                  <c:v>42.407499999999999</c:v>
                </c:pt>
                <c:pt idx="22">
                  <c:v>42.4709</c:v>
                </c:pt>
                <c:pt idx="23">
                  <c:v>42.765000000000001</c:v>
                </c:pt>
                <c:pt idx="24">
                  <c:v>43.076700000000002</c:v>
                </c:pt>
                <c:pt idx="25">
                  <c:v>43.421399999999998</c:v>
                </c:pt>
                <c:pt idx="26">
                  <c:v>43.775500000000001</c:v>
                </c:pt>
                <c:pt idx="27">
                  <c:v>44.1355</c:v>
                </c:pt>
                <c:pt idx="28">
                  <c:v>44.45</c:v>
                </c:pt>
                <c:pt idx="29">
                  <c:v>44.776700000000005</c:v>
                </c:pt>
                <c:pt idx="30">
                  <c:v>45.078200000000002</c:v>
                </c:pt>
                <c:pt idx="31">
                  <c:v>45.319500000000005</c:v>
                </c:pt>
                <c:pt idx="32">
                  <c:v>45.512300000000003</c:v>
                </c:pt>
                <c:pt idx="33">
                  <c:v>45.691099999999999</c:v>
                </c:pt>
                <c:pt idx="34">
                  <c:v>45.783000000000001</c:v>
                </c:pt>
                <c:pt idx="35">
                  <c:v>45.8947</c:v>
                </c:pt>
                <c:pt idx="36">
                  <c:v>45.927299999999995</c:v>
                </c:pt>
                <c:pt idx="37">
                  <c:v>45.916699999999999</c:v>
                </c:pt>
                <c:pt idx="38">
                  <c:v>45.877000000000002</c:v>
                </c:pt>
                <c:pt idx="39">
                  <c:v>45.8598</c:v>
                </c:pt>
                <c:pt idx="40">
                  <c:v>45.807199999999995</c:v>
                </c:pt>
                <c:pt idx="41">
                  <c:v>45.746199999999995</c:v>
                </c:pt>
                <c:pt idx="42">
                  <c:v>45.718599999999995</c:v>
                </c:pt>
                <c:pt idx="43">
                  <c:v>45.723200000000006</c:v>
                </c:pt>
                <c:pt idx="44">
                  <c:v>45.707099999999997</c:v>
                </c:pt>
                <c:pt idx="45">
                  <c:v>45.7378</c:v>
                </c:pt>
                <c:pt idx="46">
                  <c:v>45.716000000000001</c:v>
                </c:pt>
                <c:pt idx="47">
                  <c:v>45.592500000000001</c:v>
                </c:pt>
                <c:pt idx="48">
                  <c:v>45.4983</c:v>
                </c:pt>
                <c:pt idx="49">
                  <c:v>45.447700000000005</c:v>
                </c:pt>
                <c:pt idx="50">
                  <c:v>45.379899999999999</c:v>
                </c:pt>
                <c:pt idx="51">
                  <c:v>45.3309</c:v>
                </c:pt>
                <c:pt idx="52">
                  <c:v>45.330199999999998</c:v>
                </c:pt>
                <c:pt idx="53">
                  <c:v>45.373400000000004</c:v>
                </c:pt>
                <c:pt idx="54">
                  <c:v>45.448</c:v>
                </c:pt>
                <c:pt idx="55">
                  <c:v>45.555399999999999</c:v>
                </c:pt>
                <c:pt idx="56">
                  <c:v>45.7149</c:v>
                </c:pt>
                <c:pt idx="57">
                  <c:v>45.963999999999999</c:v>
                </c:pt>
                <c:pt idx="58">
                  <c:v>46.270499999999998</c:v>
                </c:pt>
                <c:pt idx="59">
                  <c:v>46.640500000000003</c:v>
                </c:pt>
                <c:pt idx="60">
                  <c:v>46.922699999999999</c:v>
                </c:pt>
                <c:pt idx="61">
                  <c:v>47.209000000000003</c:v>
                </c:pt>
                <c:pt idx="62">
                  <c:v>47.491299999999995</c:v>
                </c:pt>
                <c:pt idx="63">
                  <c:v>47.772399999999998</c:v>
                </c:pt>
                <c:pt idx="64">
                  <c:v>47.993099999999998</c:v>
                </c:pt>
                <c:pt idx="65">
                  <c:v>48.2102</c:v>
                </c:pt>
                <c:pt idx="66">
                  <c:v>48.349399999999996</c:v>
                </c:pt>
                <c:pt idx="67">
                  <c:v>48.380400000000002</c:v>
                </c:pt>
                <c:pt idx="68">
                  <c:v>48.427500000000002</c:v>
                </c:pt>
                <c:pt idx="69">
                  <c:v>48.537999999999997</c:v>
                </c:pt>
                <c:pt idx="70">
                  <c:v>48.543100000000003</c:v>
                </c:pt>
                <c:pt idx="71">
                  <c:v>48.619800000000005</c:v>
                </c:pt>
                <c:pt idx="72">
                  <c:v>48.793100000000003</c:v>
                </c:pt>
                <c:pt idx="73">
                  <c:v>48.928600000000003</c:v>
                </c:pt>
                <c:pt idx="74">
                  <c:v>49.016799999999996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30.057500000000001</c:v>
                </c:pt>
                <c:pt idx="1">
                  <c:v>30.465599999999998</c:v>
                </c:pt>
                <c:pt idx="2">
                  <c:v>30.876300000000001</c:v>
                </c:pt>
                <c:pt idx="3">
                  <c:v>31.278600000000001</c:v>
                </c:pt>
                <c:pt idx="4">
                  <c:v>31.68</c:v>
                </c:pt>
                <c:pt idx="5">
                  <c:v>32.091099999999997</c:v>
                </c:pt>
                <c:pt idx="6">
                  <c:v>32.497100000000003</c:v>
                </c:pt>
                <c:pt idx="7">
                  <c:v>32.902900000000002</c:v>
                </c:pt>
                <c:pt idx="8">
                  <c:v>33.312100000000001</c:v>
                </c:pt>
                <c:pt idx="9">
                  <c:v>33.717700000000001</c:v>
                </c:pt>
                <c:pt idx="10">
                  <c:v>34.124600000000001</c:v>
                </c:pt>
                <c:pt idx="11">
                  <c:v>34.5276</c:v>
                </c:pt>
                <c:pt idx="12">
                  <c:v>34.933199999999999</c:v>
                </c:pt>
                <c:pt idx="13">
                  <c:v>35.340400000000002</c:v>
                </c:pt>
                <c:pt idx="14">
                  <c:v>35.751399999999997</c:v>
                </c:pt>
                <c:pt idx="15">
                  <c:v>36.153100000000002</c:v>
                </c:pt>
                <c:pt idx="16">
                  <c:v>36.557099999999998</c:v>
                </c:pt>
                <c:pt idx="17">
                  <c:v>36.962699999999998</c:v>
                </c:pt>
                <c:pt idx="18">
                  <c:v>37.371000000000002</c:v>
                </c:pt>
                <c:pt idx="19">
                  <c:v>37.78</c:v>
                </c:pt>
                <c:pt idx="20">
                  <c:v>38.184800000000003</c:v>
                </c:pt>
                <c:pt idx="21">
                  <c:v>38.590699999999998</c:v>
                </c:pt>
                <c:pt idx="22">
                  <c:v>38.997300000000003</c:v>
                </c:pt>
                <c:pt idx="23">
                  <c:v>39.403500000000001</c:v>
                </c:pt>
                <c:pt idx="24">
                  <c:v>39.804900000000004</c:v>
                </c:pt>
                <c:pt idx="25">
                  <c:v>40.214700000000001</c:v>
                </c:pt>
                <c:pt idx="26">
                  <c:v>40.624299999999998</c:v>
                </c:pt>
                <c:pt idx="27">
                  <c:v>41.031199999999998</c:v>
                </c:pt>
                <c:pt idx="28">
                  <c:v>41.435099999999998</c:v>
                </c:pt>
                <c:pt idx="29">
                  <c:v>41.841099999999997</c:v>
                </c:pt>
                <c:pt idx="30">
                  <c:v>42.247</c:v>
                </c:pt>
                <c:pt idx="31">
                  <c:v>42.652799999999999</c:v>
                </c:pt>
                <c:pt idx="32">
                  <c:v>43.060699999999997</c:v>
                </c:pt>
                <c:pt idx="33">
                  <c:v>43.467700000000001</c:v>
                </c:pt>
                <c:pt idx="34">
                  <c:v>43.874699999999997</c:v>
                </c:pt>
                <c:pt idx="35">
                  <c:v>44.279499999999999</c:v>
                </c:pt>
                <c:pt idx="36">
                  <c:v>44.684399999999997</c:v>
                </c:pt>
                <c:pt idx="37">
                  <c:v>45.093200000000003</c:v>
                </c:pt>
                <c:pt idx="38">
                  <c:v>45.501199999999997</c:v>
                </c:pt>
                <c:pt idx="39">
                  <c:v>45.9009</c:v>
                </c:pt>
                <c:pt idx="40">
                  <c:v>46.306899999999999</c:v>
                </c:pt>
                <c:pt idx="41">
                  <c:v>46.713099999999997</c:v>
                </c:pt>
                <c:pt idx="42">
                  <c:v>47.1248</c:v>
                </c:pt>
                <c:pt idx="43">
                  <c:v>47.529800000000002</c:v>
                </c:pt>
                <c:pt idx="44">
                  <c:v>47.933799999999998</c:v>
                </c:pt>
                <c:pt idx="45">
                  <c:v>48.3416</c:v>
                </c:pt>
                <c:pt idx="46">
                  <c:v>48.743499999999997</c:v>
                </c:pt>
                <c:pt idx="47">
                  <c:v>49.153100000000002</c:v>
                </c:pt>
                <c:pt idx="48">
                  <c:v>49.560299999999998</c:v>
                </c:pt>
                <c:pt idx="49">
                  <c:v>49.965299999999999</c:v>
                </c:pt>
                <c:pt idx="50">
                  <c:v>50.371299999999998</c:v>
                </c:pt>
                <c:pt idx="51">
                  <c:v>50.78</c:v>
                </c:pt>
                <c:pt idx="52">
                  <c:v>51.184899999999999</c:v>
                </c:pt>
                <c:pt idx="53">
                  <c:v>51.5929</c:v>
                </c:pt>
                <c:pt idx="54">
                  <c:v>51.995899999999999</c:v>
                </c:pt>
                <c:pt idx="55">
                  <c:v>52.402799999999999</c:v>
                </c:pt>
                <c:pt idx="56">
                  <c:v>52.814700000000002</c:v>
                </c:pt>
                <c:pt idx="57">
                  <c:v>53.2196</c:v>
                </c:pt>
                <c:pt idx="58">
                  <c:v>53.621499999999997</c:v>
                </c:pt>
                <c:pt idx="59">
                  <c:v>54.026400000000002</c:v>
                </c:pt>
                <c:pt idx="60">
                  <c:v>54.433199999999999</c:v>
                </c:pt>
                <c:pt idx="61">
                  <c:v>54.839100000000002</c:v>
                </c:pt>
                <c:pt idx="62">
                  <c:v>55.247999999999998</c:v>
                </c:pt>
                <c:pt idx="63">
                  <c:v>55.652000000000001</c:v>
                </c:pt>
                <c:pt idx="64">
                  <c:v>56.059899999999999</c:v>
                </c:pt>
                <c:pt idx="65">
                  <c:v>56.4664</c:v>
                </c:pt>
                <c:pt idx="66">
                  <c:v>56.871899999999997</c:v>
                </c:pt>
                <c:pt idx="67">
                  <c:v>57.279000000000003</c:v>
                </c:pt>
                <c:pt idx="68">
                  <c:v>57.6828</c:v>
                </c:pt>
                <c:pt idx="69">
                  <c:v>58.090600000000002</c:v>
                </c:pt>
                <c:pt idx="70">
                  <c:v>58.497700000000002</c:v>
                </c:pt>
                <c:pt idx="71">
                  <c:v>58.9054</c:v>
                </c:pt>
                <c:pt idx="72">
                  <c:v>59.312600000000003</c:v>
                </c:pt>
                <c:pt idx="73">
                  <c:v>59.716200000000001</c:v>
                </c:pt>
                <c:pt idx="74">
                  <c:v>60.123100000000001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49.016799999999996</c:v>
                </c:pt>
                <c:pt idx="1">
                  <c:v>49.138300000000001</c:v>
                </c:pt>
                <c:pt idx="2">
                  <c:v>49.259100000000004</c:v>
                </c:pt>
                <c:pt idx="3">
                  <c:v>49.3444</c:v>
                </c:pt>
                <c:pt idx="4">
                  <c:v>49.3521</c:v>
                </c:pt>
                <c:pt idx="5">
                  <c:v>49.326799999999999</c:v>
                </c:pt>
                <c:pt idx="6">
                  <c:v>49.248199999999997</c:v>
                </c:pt>
                <c:pt idx="7">
                  <c:v>49.119700000000002</c:v>
                </c:pt>
                <c:pt idx="8">
                  <c:v>48.945699999999995</c:v>
                </c:pt>
                <c:pt idx="9">
                  <c:v>48.7194</c:v>
                </c:pt>
                <c:pt idx="10">
                  <c:v>48.4482</c:v>
                </c:pt>
                <c:pt idx="11">
                  <c:v>48.1646</c:v>
                </c:pt>
                <c:pt idx="12">
                  <c:v>47.846800000000002</c:v>
                </c:pt>
                <c:pt idx="13">
                  <c:v>47.478500000000004</c:v>
                </c:pt>
                <c:pt idx="14">
                  <c:v>47.120400000000004</c:v>
                </c:pt>
                <c:pt idx="15">
                  <c:v>46.853099999999998</c:v>
                </c:pt>
                <c:pt idx="16">
                  <c:v>46.607700000000001</c:v>
                </c:pt>
                <c:pt idx="17">
                  <c:v>46.432000000000002</c:v>
                </c:pt>
                <c:pt idx="18">
                  <c:v>46.292200000000001</c:v>
                </c:pt>
                <c:pt idx="19">
                  <c:v>46.138500000000001</c:v>
                </c:pt>
                <c:pt idx="20">
                  <c:v>45.922899999999998</c:v>
                </c:pt>
                <c:pt idx="21">
                  <c:v>45.802199999999999</c:v>
                </c:pt>
                <c:pt idx="22">
                  <c:v>45.704299999999996</c:v>
                </c:pt>
                <c:pt idx="23">
                  <c:v>45.650600000000004</c:v>
                </c:pt>
                <c:pt idx="24">
                  <c:v>45.585799999999999</c:v>
                </c:pt>
                <c:pt idx="25">
                  <c:v>45.479199999999999</c:v>
                </c:pt>
                <c:pt idx="26">
                  <c:v>45.389600000000002</c:v>
                </c:pt>
                <c:pt idx="27">
                  <c:v>45.381899999999995</c:v>
                </c:pt>
                <c:pt idx="28">
                  <c:v>45.358800000000002</c:v>
                </c:pt>
                <c:pt idx="29">
                  <c:v>45.330799999999996</c:v>
                </c:pt>
                <c:pt idx="30">
                  <c:v>45.241799999999998</c:v>
                </c:pt>
                <c:pt idx="31">
                  <c:v>45.155899999999995</c:v>
                </c:pt>
                <c:pt idx="32">
                  <c:v>45.075500000000005</c:v>
                </c:pt>
                <c:pt idx="33">
                  <c:v>44.971200000000003</c:v>
                </c:pt>
                <c:pt idx="34">
                  <c:v>44.836500000000001</c:v>
                </c:pt>
                <c:pt idx="35">
                  <c:v>44.791699999999999</c:v>
                </c:pt>
                <c:pt idx="36">
                  <c:v>44.822899999999997</c:v>
                </c:pt>
                <c:pt idx="37">
                  <c:v>44.9099</c:v>
                </c:pt>
                <c:pt idx="38">
                  <c:v>44.972999999999999</c:v>
                </c:pt>
                <c:pt idx="39">
                  <c:v>45.020600000000002</c:v>
                </c:pt>
                <c:pt idx="40">
                  <c:v>45.053899999999999</c:v>
                </c:pt>
                <c:pt idx="41">
                  <c:v>45.164700000000003</c:v>
                </c:pt>
                <c:pt idx="42">
                  <c:v>45.303199999999997</c:v>
                </c:pt>
                <c:pt idx="43">
                  <c:v>45.4527</c:v>
                </c:pt>
                <c:pt idx="44">
                  <c:v>45.6511</c:v>
                </c:pt>
                <c:pt idx="45">
                  <c:v>45.901599999999995</c:v>
                </c:pt>
                <c:pt idx="46">
                  <c:v>46.160600000000002</c:v>
                </c:pt>
                <c:pt idx="47">
                  <c:v>46.276600000000002</c:v>
                </c:pt>
                <c:pt idx="48">
                  <c:v>46.319000000000003</c:v>
                </c:pt>
                <c:pt idx="49">
                  <c:v>46.247799999999998</c:v>
                </c:pt>
                <c:pt idx="50">
                  <c:v>46.171099999999996</c:v>
                </c:pt>
                <c:pt idx="51">
                  <c:v>46.227699999999999</c:v>
                </c:pt>
                <c:pt idx="52">
                  <c:v>46.278200000000005</c:v>
                </c:pt>
                <c:pt idx="53">
                  <c:v>46.317399999999999</c:v>
                </c:pt>
                <c:pt idx="54">
                  <c:v>46.383299999999998</c:v>
                </c:pt>
                <c:pt idx="55">
                  <c:v>46.489100000000001</c:v>
                </c:pt>
                <c:pt idx="56">
                  <c:v>46.602700000000006</c:v>
                </c:pt>
                <c:pt idx="57">
                  <c:v>46.724800000000002</c:v>
                </c:pt>
                <c:pt idx="58">
                  <c:v>46.894599999999997</c:v>
                </c:pt>
                <c:pt idx="59">
                  <c:v>47.081899999999997</c:v>
                </c:pt>
                <c:pt idx="60">
                  <c:v>47.222099999999998</c:v>
                </c:pt>
                <c:pt idx="61">
                  <c:v>47.2986</c:v>
                </c:pt>
                <c:pt idx="62">
                  <c:v>47.3748</c:v>
                </c:pt>
                <c:pt idx="63">
                  <c:v>47.523700000000005</c:v>
                </c:pt>
                <c:pt idx="64">
                  <c:v>47.661500000000004</c:v>
                </c:pt>
                <c:pt idx="65">
                  <c:v>47.801100000000005</c:v>
                </c:pt>
                <c:pt idx="66">
                  <c:v>47.821100000000001</c:v>
                </c:pt>
                <c:pt idx="67">
                  <c:v>47.6417</c:v>
                </c:pt>
                <c:pt idx="68">
                  <c:v>47.311799999999998</c:v>
                </c:pt>
                <c:pt idx="69">
                  <c:v>46.922899999999998</c:v>
                </c:pt>
                <c:pt idx="70">
                  <c:v>46.303199999999997</c:v>
                </c:pt>
                <c:pt idx="71">
                  <c:v>45.164300000000004</c:v>
                </c:pt>
                <c:pt idx="72">
                  <c:v>44.203499999999998</c:v>
                </c:pt>
                <c:pt idx="73">
                  <c:v>42.893500000000003</c:v>
                </c:pt>
                <c:pt idx="74">
                  <c:v>41.230200000000004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15.030775</c:v>
                </c:pt>
                <c:pt idx="1">
                  <c:v>45.092325000000002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47.594677027027039</c:v>
                </c:pt>
                <c:pt idx="1">
                  <c:v>46.541937837837835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41.990499999999997</c:v>
                </c:pt>
                <c:pt idx="1">
                  <c:v>19.9849</c:v>
                </c:pt>
                <c:pt idx="2">
                  <c:v>7.4942599999999997</c:v>
                </c:pt>
                <c:pt idx="3">
                  <c:v>22.279399999999999</c:v>
                </c:pt>
                <c:pt idx="4">
                  <c:v>73.818200000000004</c:v>
                </c:pt>
                <c:pt idx="5">
                  <c:v>81.987700000000004</c:v>
                </c:pt>
                <c:pt idx="6">
                  <c:v>35.816099999999999</c:v>
                </c:pt>
                <c:pt idx="7">
                  <c:v>77.446700000000007</c:v>
                </c:pt>
                <c:pt idx="8">
                  <c:v>29.167300000000001</c:v>
                </c:pt>
                <c:pt idx="9">
                  <c:v>73.942099999999996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47.4788</c:v>
                </c:pt>
                <c:pt idx="1">
                  <c:v>17.273199999999999</c:v>
                </c:pt>
                <c:pt idx="2">
                  <c:v>8.5875199999999996</c:v>
                </c:pt>
                <c:pt idx="3">
                  <c:v>24.6358</c:v>
                </c:pt>
                <c:pt idx="4">
                  <c:v>67.7483</c:v>
                </c:pt>
                <c:pt idx="5">
                  <c:v>81.424700000000001</c:v>
                </c:pt>
                <c:pt idx="6">
                  <c:v>40.593800000000002</c:v>
                </c:pt>
                <c:pt idx="7">
                  <c:v>74.675399999999996</c:v>
                </c:pt>
                <c:pt idx="8">
                  <c:v>30.74</c:v>
                </c:pt>
                <c:pt idx="9">
                  <c:v>65.756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0.47451737503486552</c:v>
                </c:pt>
                <c:pt idx="1">
                  <c:v>0.16180448752722396</c:v>
                </c:pt>
                <c:pt idx="2">
                  <c:v>0.3636781374379105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138</c:v>
                </c:pt>
                <c:pt idx="7">
                  <c:v>0</c:v>
                </c:pt>
                <c:pt idx="8">
                  <c:v>421</c:v>
                </c:pt>
                <c:pt idx="9">
                  <c:v>0</c:v>
                </c:pt>
                <c:pt idx="10">
                  <c:v>0</c:v>
                </c:pt>
                <c:pt idx="11">
                  <c:v>1193</c:v>
                </c:pt>
                <c:pt idx="12">
                  <c:v>0</c:v>
                </c:pt>
                <c:pt idx="13">
                  <c:v>2545</c:v>
                </c:pt>
                <c:pt idx="14">
                  <c:v>0</c:v>
                </c:pt>
                <c:pt idx="15">
                  <c:v>0</c:v>
                </c:pt>
                <c:pt idx="16">
                  <c:v>5015</c:v>
                </c:pt>
                <c:pt idx="17">
                  <c:v>0</c:v>
                </c:pt>
                <c:pt idx="18">
                  <c:v>0</c:v>
                </c:pt>
                <c:pt idx="19">
                  <c:v>10501</c:v>
                </c:pt>
                <c:pt idx="20">
                  <c:v>0</c:v>
                </c:pt>
                <c:pt idx="21">
                  <c:v>13941</c:v>
                </c:pt>
                <c:pt idx="22">
                  <c:v>0</c:v>
                </c:pt>
                <c:pt idx="23">
                  <c:v>0</c:v>
                </c:pt>
                <c:pt idx="24">
                  <c:v>16029</c:v>
                </c:pt>
                <c:pt idx="25">
                  <c:v>0</c:v>
                </c:pt>
                <c:pt idx="26">
                  <c:v>18573</c:v>
                </c:pt>
                <c:pt idx="27">
                  <c:v>0</c:v>
                </c:pt>
                <c:pt idx="28">
                  <c:v>0</c:v>
                </c:pt>
                <c:pt idx="29">
                  <c:v>20012</c:v>
                </c:pt>
                <c:pt idx="30">
                  <c:v>0</c:v>
                </c:pt>
                <c:pt idx="31">
                  <c:v>22089</c:v>
                </c:pt>
                <c:pt idx="32">
                  <c:v>0</c:v>
                </c:pt>
                <c:pt idx="33">
                  <c:v>0</c:v>
                </c:pt>
                <c:pt idx="34">
                  <c:v>23144</c:v>
                </c:pt>
                <c:pt idx="35">
                  <c:v>0</c:v>
                </c:pt>
                <c:pt idx="36">
                  <c:v>0</c:v>
                </c:pt>
                <c:pt idx="37">
                  <c:v>29164</c:v>
                </c:pt>
                <c:pt idx="38">
                  <c:v>0</c:v>
                </c:pt>
                <c:pt idx="39">
                  <c:v>30808</c:v>
                </c:pt>
                <c:pt idx="40">
                  <c:v>0</c:v>
                </c:pt>
                <c:pt idx="41">
                  <c:v>0</c:v>
                </c:pt>
                <c:pt idx="42">
                  <c:v>40788</c:v>
                </c:pt>
                <c:pt idx="43">
                  <c:v>0</c:v>
                </c:pt>
                <c:pt idx="44">
                  <c:v>44280</c:v>
                </c:pt>
                <c:pt idx="45">
                  <c:v>0</c:v>
                </c:pt>
                <c:pt idx="46">
                  <c:v>0</c:v>
                </c:pt>
                <c:pt idx="47">
                  <c:v>46110</c:v>
                </c:pt>
                <c:pt idx="48">
                  <c:v>0</c:v>
                </c:pt>
                <c:pt idx="49">
                  <c:v>49188</c:v>
                </c:pt>
                <c:pt idx="50">
                  <c:v>0</c:v>
                </c:pt>
                <c:pt idx="51">
                  <c:v>0</c:v>
                </c:pt>
                <c:pt idx="52">
                  <c:v>47800</c:v>
                </c:pt>
                <c:pt idx="53">
                  <c:v>0</c:v>
                </c:pt>
                <c:pt idx="54">
                  <c:v>0</c:v>
                </c:pt>
                <c:pt idx="55">
                  <c:v>52990</c:v>
                </c:pt>
                <c:pt idx="56">
                  <c:v>0</c:v>
                </c:pt>
                <c:pt idx="57">
                  <c:v>56361</c:v>
                </c:pt>
                <c:pt idx="58">
                  <c:v>0</c:v>
                </c:pt>
                <c:pt idx="59">
                  <c:v>0</c:v>
                </c:pt>
                <c:pt idx="60">
                  <c:v>67504</c:v>
                </c:pt>
                <c:pt idx="61">
                  <c:v>0</c:v>
                </c:pt>
                <c:pt idx="62">
                  <c:v>63455</c:v>
                </c:pt>
                <c:pt idx="63">
                  <c:v>0</c:v>
                </c:pt>
                <c:pt idx="64">
                  <c:v>0</c:v>
                </c:pt>
                <c:pt idx="65">
                  <c:v>58977</c:v>
                </c:pt>
                <c:pt idx="66">
                  <c:v>0</c:v>
                </c:pt>
                <c:pt idx="67">
                  <c:v>60291</c:v>
                </c:pt>
                <c:pt idx="68">
                  <c:v>0</c:v>
                </c:pt>
                <c:pt idx="69">
                  <c:v>0</c:v>
                </c:pt>
                <c:pt idx="70">
                  <c:v>56150</c:v>
                </c:pt>
                <c:pt idx="71">
                  <c:v>0</c:v>
                </c:pt>
                <c:pt idx="72">
                  <c:v>0</c:v>
                </c:pt>
                <c:pt idx="73">
                  <c:v>62897</c:v>
                </c:pt>
                <c:pt idx="74">
                  <c:v>0</c:v>
                </c:pt>
                <c:pt idx="75">
                  <c:v>63459</c:v>
                </c:pt>
                <c:pt idx="76">
                  <c:v>0</c:v>
                </c:pt>
                <c:pt idx="77">
                  <c:v>0</c:v>
                </c:pt>
                <c:pt idx="78">
                  <c:v>67496</c:v>
                </c:pt>
                <c:pt idx="79">
                  <c:v>0</c:v>
                </c:pt>
                <c:pt idx="80">
                  <c:v>65487</c:v>
                </c:pt>
                <c:pt idx="81">
                  <c:v>0</c:v>
                </c:pt>
                <c:pt idx="82">
                  <c:v>0</c:v>
                </c:pt>
                <c:pt idx="83">
                  <c:v>73603</c:v>
                </c:pt>
                <c:pt idx="84">
                  <c:v>0</c:v>
                </c:pt>
                <c:pt idx="85">
                  <c:v>0</c:v>
                </c:pt>
                <c:pt idx="86">
                  <c:v>77518</c:v>
                </c:pt>
                <c:pt idx="87">
                  <c:v>0</c:v>
                </c:pt>
                <c:pt idx="88">
                  <c:v>79305</c:v>
                </c:pt>
                <c:pt idx="89">
                  <c:v>0</c:v>
                </c:pt>
                <c:pt idx="90">
                  <c:v>0</c:v>
                </c:pt>
                <c:pt idx="91">
                  <c:v>80490</c:v>
                </c:pt>
                <c:pt idx="92">
                  <c:v>0</c:v>
                </c:pt>
                <c:pt idx="93">
                  <c:v>78695</c:v>
                </c:pt>
                <c:pt idx="94">
                  <c:v>0</c:v>
                </c:pt>
                <c:pt idx="95">
                  <c:v>0</c:v>
                </c:pt>
                <c:pt idx="96">
                  <c:v>84469</c:v>
                </c:pt>
                <c:pt idx="97">
                  <c:v>0</c:v>
                </c:pt>
                <c:pt idx="98">
                  <c:v>88452</c:v>
                </c:pt>
                <c:pt idx="99">
                  <c:v>0</c:v>
                </c:pt>
                <c:pt idx="100">
                  <c:v>0</c:v>
                </c:pt>
                <c:pt idx="101">
                  <c:v>94429</c:v>
                </c:pt>
                <c:pt idx="102">
                  <c:v>0</c:v>
                </c:pt>
                <c:pt idx="103">
                  <c:v>0</c:v>
                </c:pt>
                <c:pt idx="104">
                  <c:v>94564</c:v>
                </c:pt>
                <c:pt idx="105">
                  <c:v>0</c:v>
                </c:pt>
                <c:pt idx="106">
                  <c:v>95314</c:v>
                </c:pt>
                <c:pt idx="107">
                  <c:v>0</c:v>
                </c:pt>
                <c:pt idx="108">
                  <c:v>0</c:v>
                </c:pt>
                <c:pt idx="109">
                  <c:v>106373</c:v>
                </c:pt>
                <c:pt idx="110">
                  <c:v>0</c:v>
                </c:pt>
                <c:pt idx="111">
                  <c:v>117044</c:v>
                </c:pt>
                <c:pt idx="112">
                  <c:v>0</c:v>
                </c:pt>
                <c:pt idx="113">
                  <c:v>0</c:v>
                </c:pt>
                <c:pt idx="114">
                  <c:v>121600</c:v>
                </c:pt>
                <c:pt idx="115">
                  <c:v>0</c:v>
                </c:pt>
                <c:pt idx="116">
                  <c:v>144768</c:v>
                </c:pt>
                <c:pt idx="117">
                  <c:v>0</c:v>
                </c:pt>
                <c:pt idx="118">
                  <c:v>0</c:v>
                </c:pt>
                <c:pt idx="119">
                  <c:v>151917</c:v>
                </c:pt>
                <c:pt idx="120">
                  <c:v>0</c:v>
                </c:pt>
                <c:pt idx="121">
                  <c:v>0</c:v>
                </c:pt>
                <c:pt idx="122">
                  <c:v>162552</c:v>
                </c:pt>
                <c:pt idx="123">
                  <c:v>0</c:v>
                </c:pt>
                <c:pt idx="124">
                  <c:v>157966</c:v>
                </c:pt>
                <c:pt idx="125">
                  <c:v>0</c:v>
                </c:pt>
                <c:pt idx="126">
                  <c:v>0</c:v>
                </c:pt>
                <c:pt idx="127">
                  <c:v>170729</c:v>
                </c:pt>
                <c:pt idx="128">
                  <c:v>0</c:v>
                </c:pt>
                <c:pt idx="129">
                  <c:v>174162</c:v>
                </c:pt>
                <c:pt idx="130">
                  <c:v>0</c:v>
                </c:pt>
                <c:pt idx="131">
                  <c:v>0</c:v>
                </c:pt>
                <c:pt idx="132">
                  <c:v>165057</c:v>
                </c:pt>
                <c:pt idx="133">
                  <c:v>0</c:v>
                </c:pt>
                <c:pt idx="134">
                  <c:v>165682</c:v>
                </c:pt>
                <c:pt idx="135">
                  <c:v>0</c:v>
                </c:pt>
                <c:pt idx="136">
                  <c:v>0</c:v>
                </c:pt>
                <c:pt idx="137">
                  <c:v>165622</c:v>
                </c:pt>
                <c:pt idx="138">
                  <c:v>0</c:v>
                </c:pt>
                <c:pt idx="139">
                  <c:v>0</c:v>
                </c:pt>
                <c:pt idx="140">
                  <c:v>157190</c:v>
                </c:pt>
                <c:pt idx="141">
                  <c:v>0</c:v>
                </c:pt>
                <c:pt idx="142">
                  <c:v>164294</c:v>
                </c:pt>
                <c:pt idx="143">
                  <c:v>0</c:v>
                </c:pt>
                <c:pt idx="144">
                  <c:v>0</c:v>
                </c:pt>
                <c:pt idx="145">
                  <c:v>163614</c:v>
                </c:pt>
                <c:pt idx="146">
                  <c:v>0</c:v>
                </c:pt>
                <c:pt idx="147">
                  <c:v>163834</c:v>
                </c:pt>
                <c:pt idx="148">
                  <c:v>0</c:v>
                </c:pt>
                <c:pt idx="149">
                  <c:v>0</c:v>
                </c:pt>
                <c:pt idx="150">
                  <c:v>166963</c:v>
                </c:pt>
                <c:pt idx="151">
                  <c:v>0</c:v>
                </c:pt>
                <c:pt idx="152">
                  <c:v>158261</c:v>
                </c:pt>
                <c:pt idx="153">
                  <c:v>0</c:v>
                </c:pt>
                <c:pt idx="154">
                  <c:v>0</c:v>
                </c:pt>
                <c:pt idx="155">
                  <c:v>141484</c:v>
                </c:pt>
                <c:pt idx="156">
                  <c:v>0</c:v>
                </c:pt>
                <c:pt idx="157">
                  <c:v>0</c:v>
                </c:pt>
                <c:pt idx="158">
                  <c:v>128390</c:v>
                </c:pt>
                <c:pt idx="159">
                  <c:v>0</c:v>
                </c:pt>
                <c:pt idx="160">
                  <c:v>113040</c:v>
                </c:pt>
                <c:pt idx="161">
                  <c:v>0</c:v>
                </c:pt>
                <c:pt idx="162">
                  <c:v>0</c:v>
                </c:pt>
                <c:pt idx="163">
                  <c:v>106444</c:v>
                </c:pt>
                <c:pt idx="164">
                  <c:v>0</c:v>
                </c:pt>
                <c:pt idx="165">
                  <c:v>92791</c:v>
                </c:pt>
                <c:pt idx="166">
                  <c:v>0</c:v>
                </c:pt>
                <c:pt idx="167">
                  <c:v>0</c:v>
                </c:pt>
                <c:pt idx="168">
                  <c:v>84833</c:v>
                </c:pt>
                <c:pt idx="169">
                  <c:v>0</c:v>
                </c:pt>
                <c:pt idx="170">
                  <c:v>0</c:v>
                </c:pt>
                <c:pt idx="171">
                  <c:v>79672</c:v>
                </c:pt>
                <c:pt idx="172">
                  <c:v>0</c:v>
                </c:pt>
                <c:pt idx="173">
                  <c:v>72575</c:v>
                </c:pt>
                <c:pt idx="174">
                  <c:v>0</c:v>
                </c:pt>
                <c:pt idx="175">
                  <c:v>0</c:v>
                </c:pt>
                <c:pt idx="176">
                  <c:v>62331</c:v>
                </c:pt>
                <c:pt idx="177">
                  <c:v>0</c:v>
                </c:pt>
                <c:pt idx="178">
                  <c:v>49427</c:v>
                </c:pt>
                <c:pt idx="179">
                  <c:v>0</c:v>
                </c:pt>
                <c:pt idx="180">
                  <c:v>0</c:v>
                </c:pt>
                <c:pt idx="181">
                  <c:v>40433</c:v>
                </c:pt>
                <c:pt idx="182">
                  <c:v>0</c:v>
                </c:pt>
                <c:pt idx="183">
                  <c:v>38021</c:v>
                </c:pt>
                <c:pt idx="184">
                  <c:v>0</c:v>
                </c:pt>
                <c:pt idx="185">
                  <c:v>0</c:v>
                </c:pt>
                <c:pt idx="186">
                  <c:v>22158</c:v>
                </c:pt>
                <c:pt idx="187">
                  <c:v>0</c:v>
                </c:pt>
                <c:pt idx="188">
                  <c:v>0</c:v>
                </c:pt>
                <c:pt idx="189">
                  <c:v>15210</c:v>
                </c:pt>
                <c:pt idx="190">
                  <c:v>0</c:v>
                </c:pt>
                <c:pt idx="191">
                  <c:v>9632</c:v>
                </c:pt>
                <c:pt idx="192">
                  <c:v>0</c:v>
                </c:pt>
                <c:pt idx="193">
                  <c:v>0</c:v>
                </c:pt>
                <c:pt idx="194">
                  <c:v>4104</c:v>
                </c:pt>
                <c:pt idx="195">
                  <c:v>0</c:v>
                </c:pt>
                <c:pt idx="196">
                  <c:v>1967</c:v>
                </c:pt>
                <c:pt idx="197">
                  <c:v>0</c:v>
                </c:pt>
                <c:pt idx="198">
                  <c:v>0</c:v>
                </c:pt>
                <c:pt idx="199">
                  <c:v>229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133</c:v>
                </c:pt>
                <c:pt idx="9">
                  <c:v>0</c:v>
                </c:pt>
                <c:pt idx="10">
                  <c:v>0</c:v>
                </c:pt>
                <c:pt idx="11">
                  <c:v>156</c:v>
                </c:pt>
                <c:pt idx="12">
                  <c:v>0</c:v>
                </c:pt>
                <c:pt idx="13">
                  <c:v>167</c:v>
                </c:pt>
                <c:pt idx="14">
                  <c:v>0</c:v>
                </c:pt>
                <c:pt idx="15">
                  <c:v>0</c:v>
                </c:pt>
                <c:pt idx="16">
                  <c:v>127</c:v>
                </c:pt>
                <c:pt idx="17">
                  <c:v>0</c:v>
                </c:pt>
                <c:pt idx="18">
                  <c:v>0</c:v>
                </c:pt>
                <c:pt idx="19">
                  <c:v>691</c:v>
                </c:pt>
                <c:pt idx="20">
                  <c:v>0</c:v>
                </c:pt>
                <c:pt idx="21">
                  <c:v>326</c:v>
                </c:pt>
                <c:pt idx="22">
                  <c:v>0</c:v>
                </c:pt>
                <c:pt idx="23">
                  <c:v>0</c:v>
                </c:pt>
                <c:pt idx="24">
                  <c:v>260</c:v>
                </c:pt>
                <c:pt idx="25">
                  <c:v>0</c:v>
                </c:pt>
                <c:pt idx="26">
                  <c:v>377</c:v>
                </c:pt>
                <c:pt idx="27">
                  <c:v>0</c:v>
                </c:pt>
                <c:pt idx="28">
                  <c:v>0</c:v>
                </c:pt>
                <c:pt idx="29">
                  <c:v>893</c:v>
                </c:pt>
                <c:pt idx="30">
                  <c:v>0</c:v>
                </c:pt>
                <c:pt idx="31">
                  <c:v>859</c:v>
                </c:pt>
                <c:pt idx="32">
                  <c:v>0</c:v>
                </c:pt>
                <c:pt idx="33">
                  <c:v>0</c:v>
                </c:pt>
                <c:pt idx="34">
                  <c:v>2745</c:v>
                </c:pt>
                <c:pt idx="35">
                  <c:v>0</c:v>
                </c:pt>
                <c:pt idx="36">
                  <c:v>0</c:v>
                </c:pt>
                <c:pt idx="37">
                  <c:v>4308</c:v>
                </c:pt>
                <c:pt idx="38">
                  <c:v>0</c:v>
                </c:pt>
                <c:pt idx="39">
                  <c:v>3193</c:v>
                </c:pt>
                <c:pt idx="40">
                  <c:v>0</c:v>
                </c:pt>
                <c:pt idx="41">
                  <c:v>0</c:v>
                </c:pt>
                <c:pt idx="42">
                  <c:v>3208</c:v>
                </c:pt>
                <c:pt idx="43">
                  <c:v>0</c:v>
                </c:pt>
                <c:pt idx="44">
                  <c:v>6017</c:v>
                </c:pt>
                <c:pt idx="45">
                  <c:v>0</c:v>
                </c:pt>
                <c:pt idx="46">
                  <c:v>0</c:v>
                </c:pt>
                <c:pt idx="47">
                  <c:v>4947</c:v>
                </c:pt>
                <c:pt idx="48">
                  <c:v>0</c:v>
                </c:pt>
                <c:pt idx="49">
                  <c:v>4104</c:v>
                </c:pt>
                <c:pt idx="50">
                  <c:v>0</c:v>
                </c:pt>
                <c:pt idx="51">
                  <c:v>0</c:v>
                </c:pt>
                <c:pt idx="52">
                  <c:v>3143</c:v>
                </c:pt>
                <c:pt idx="53">
                  <c:v>0</c:v>
                </c:pt>
                <c:pt idx="54">
                  <c:v>0</c:v>
                </c:pt>
                <c:pt idx="55">
                  <c:v>5279</c:v>
                </c:pt>
                <c:pt idx="56">
                  <c:v>0</c:v>
                </c:pt>
                <c:pt idx="57">
                  <c:v>6205</c:v>
                </c:pt>
                <c:pt idx="58">
                  <c:v>0</c:v>
                </c:pt>
                <c:pt idx="59">
                  <c:v>0</c:v>
                </c:pt>
                <c:pt idx="60">
                  <c:v>7905</c:v>
                </c:pt>
                <c:pt idx="61">
                  <c:v>0</c:v>
                </c:pt>
                <c:pt idx="62">
                  <c:v>10984</c:v>
                </c:pt>
                <c:pt idx="63">
                  <c:v>0</c:v>
                </c:pt>
                <c:pt idx="64">
                  <c:v>0</c:v>
                </c:pt>
                <c:pt idx="65">
                  <c:v>23505</c:v>
                </c:pt>
                <c:pt idx="66">
                  <c:v>0</c:v>
                </c:pt>
                <c:pt idx="67">
                  <c:v>33602</c:v>
                </c:pt>
                <c:pt idx="68">
                  <c:v>0</c:v>
                </c:pt>
                <c:pt idx="69">
                  <c:v>0</c:v>
                </c:pt>
                <c:pt idx="70">
                  <c:v>44253</c:v>
                </c:pt>
                <c:pt idx="71">
                  <c:v>0</c:v>
                </c:pt>
                <c:pt idx="72">
                  <c:v>0</c:v>
                </c:pt>
                <c:pt idx="73">
                  <c:v>49507</c:v>
                </c:pt>
                <c:pt idx="74">
                  <c:v>0</c:v>
                </c:pt>
                <c:pt idx="75">
                  <c:v>62417</c:v>
                </c:pt>
                <c:pt idx="76">
                  <c:v>0</c:v>
                </c:pt>
                <c:pt idx="77">
                  <c:v>0</c:v>
                </c:pt>
                <c:pt idx="78">
                  <c:v>71222</c:v>
                </c:pt>
                <c:pt idx="79">
                  <c:v>0</c:v>
                </c:pt>
                <c:pt idx="80">
                  <c:v>71213</c:v>
                </c:pt>
                <c:pt idx="81">
                  <c:v>0</c:v>
                </c:pt>
                <c:pt idx="82">
                  <c:v>0</c:v>
                </c:pt>
                <c:pt idx="83">
                  <c:v>72286</c:v>
                </c:pt>
                <c:pt idx="84">
                  <c:v>0</c:v>
                </c:pt>
                <c:pt idx="85">
                  <c:v>0</c:v>
                </c:pt>
                <c:pt idx="86">
                  <c:v>80530</c:v>
                </c:pt>
                <c:pt idx="87">
                  <c:v>0</c:v>
                </c:pt>
                <c:pt idx="88">
                  <c:v>83458</c:v>
                </c:pt>
                <c:pt idx="89">
                  <c:v>0</c:v>
                </c:pt>
                <c:pt idx="90">
                  <c:v>0</c:v>
                </c:pt>
                <c:pt idx="91">
                  <c:v>87650</c:v>
                </c:pt>
                <c:pt idx="92">
                  <c:v>0</c:v>
                </c:pt>
                <c:pt idx="93">
                  <c:v>97296</c:v>
                </c:pt>
                <c:pt idx="94">
                  <c:v>0</c:v>
                </c:pt>
                <c:pt idx="95">
                  <c:v>0</c:v>
                </c:pt>
                <c:pt idx="96">
                  <c:v>108837</c:v>
                </c:pt>
                <c:pt idx="97">
                  <c:v>0</c:v>
                </c:pt>
                <c:pt idx="98">
                  <c:v>113854</c:v>
                </c:pt>
                <c:pt idx="99">
                  <c:v>0</c:v>
                </c:pt>
                <c:pt idx="100">
                  <c:v>0</c:v>
                </c:pt>
                <c:pt idx="101">
                  <c:v>124979</c:v>
                </c:pt>
                <c:pt idx="102">
                  <c:v>0</c:v>
                </c:pt>
                <c:pt idx="103">
                  <c:v>0</c:v>
                </c:pt>
                <c:pt idx="104">
                  <c:v>136451</c:v>
                </c:pt>
                <c:pt idx="105">
                  <c:v>0</c:v>
                </c:pt>
                <c:pt idx="106">
                  <c:v>143178</c:v>
                </c:pt>
                <c:pt idx="107">
                  <c:v>0</c:v>
                </c:pt>
                <c:pt idx="108">
                  <c:v>0</c:v>
                </c:pt>
                <c:pt idx="109">
                  <c:v>161074</c:v>
                </c:pt>
                <c:pt idx="110">
                  <c:v>0</c:v>
                </c:pt>
                <c:pt idx="111">
                  <c:v>174021</c:v>
                </c:pt>
                <c:pt idx="112">
                  <c:v>0</c:v>
                </c:pt>
                <c:pt idx="113">
                  <c:v>0</c:v>
                </c:pt>
                <c:pt idx="114">
                  <c:v>191308</c:v>
                </c:pt>
                <c:pt idx="115">
                  <c:v>0</c:v>
                </c:pt>
                <c:pt idx="116">
                  <c:v>217850</c:v>
                </c:pt>
                <c:pt idx="117">
                  <c:v>0</c:v>
                </c:pt>
                <c:pt idx="118">
                  <c:v>0</c:v>
                </c:pt>
                <c:pt idx="119">
                  <c:v>234676</c:v>
                </c:pt>
                <c:pt idx="120">
                  <c:v>0</c:v>
                </c:pt>
                <c:pt idx="121">
                  <c:v>0</c:v>
                </c:pt>
                <c:pt idx="122">
                  <c:v>241017</c:v>
                </c:pt>
                <c:pt idx="123">
                  <c:v>0</c:v>
                </c:pt>
                <c:pt idx="124">
                  <c:v>235853</c:v>
                </c:pt>
                <c:pt idx="125">
                  <c:v>0</c:v>
                </c:pt>
                <c:pt idx="126">
                  <c:v>0</c:v>
                </c:pt>
                <c:pt idx="127">
                  <c:v>252030</c:v>
                </c:pt>
                <c:pt idx="128">
                  <c:v>0</c:v>
                </c:pt>
                <c:pt idx="129">
                  <c:v>257712</c:v>
                </c:pt>
                <c:pt idx="130">
                  <c:v>0</c:v>
                </c:pt>
                <c:pt idx="131">
                  <c:v>0</c:v>
                </c:pt>
                <c:pt idx="132">
                  <c:v>241664</c:v>
                </c:pt>
                <c:pt idx="133">
                  <c:v>0</c:v>
                </c:pt>
                <c:pt idx="134">
                  <c:v>242787</c:v>
                </c:pt>
                <c:pt idx="135">
                  <c:v>0</c:v>
                </c:pt>
                <c:pt idx="136">
                  <c:v>0</c:v>
                </c:pt>
                <c:pt idx="137">
                  <c:v>257464</c:v>
                </c:pt>
                <c:pt idx="138">
                  <c:v>0</c:v>
                </c:pt>
                <c:pt idx="139">
                  <c:v>0</c:v>
                </c:pt>
                <c:pt idx="140">
                  <c:v>277197</c:v>
                </c:pt>
                <c:pt idx="141">
                  <c:v>0</c:v>
                </c:pt>
                <c:pt idx="142">
                  <c:v>293068</c:v>
                </c:pt>
                <c:pt idx="143">
                  <c:v>0</c:v>
                </c:pt>
                <c:pt idx="144">
                  <c:v>0</c:v>
                </c:pt>
                <c:pt idx="145">
                  <c:v>300225</c:v>
                </c:pt>
                <c:pt idx="146">
                  <c:v>0</c:v>
                </c:pt>
                <c:pt idx="147">
                  <c:v>313555</c:v>
                </c:pt>
                <c:pt idx="148">
                  <c:v>0</c:v>
                </c:pt>
                <c:pt idx="149">
                  <c:v>0</c:v>
                </c:pt>
                <c:pt idx="150">
                  <c:v>298644</c:v>
                </c:pt>
                <c:pt idx="151">
                  <c:v>0</c:v>
                </c:pt>
                <c:pt idx="152">
                  <c:v>267973</c:v>
                </c:pt>
                <c:pt idx="153">
                  <c:v>0</c:v>
                </c:pt>
                <c:pt idx="154">
                  <c:v>0</c:v>
                </c:pt>
                <c:pt idx="155">
                  <c:v>254610</c:v>
                </c:pt>
                <c:pt idx="156">
                  <c:v>0</c:v>
                </c:pt>
                <c:pt idx="157">
                  <c:v>0</c:v>
                </c:pt>
                <c:pt idx="158">
                  <c:v>216852</c:v>
                </c:pt>
                <c:pt idx="159">
                  <c:v>0</c:v>
                </c:pt>
                <c:pt idx="160">
                  <c:v>187087</c:v>
                </c:pt>
                <c:pt idx="161">
                  <c:v>0</c:v>
                </c:pt>
                <c:pt idx="162">
                  <c:v>0</c:v>
                </c:pt>
                <c:pt idx="163">
                  <c:v>153905</c:v>
                </c:pt>
                <c:pt idx="164">
                  <c:v>0</c:v>
                </c:pt>
                <c:pt idx="165">
                  <c:v>136665</c:v>
                </c:pt>
                <c:pt idx="166">
                  <c:v>0</c:v>
                </c:pt>
                <c:pt idx="167">
                  <c:v>0</c:v>
                </c:pt>
                <c:pt idx="168">
                  <c:v>124806</c:v>
                </c:pt>
                <c:pt idx="169">
                  <c:v>0</c:v>
                </c:pt>
                <c:pt idx="170">
                  <c:v>0</c:v>
                </c:pt>
                <c:pt idx="171">
                  <c:v>103654</c:v>
                </c:pt>
                <c:pt idx="172">
                  <c:v>0</c:v>
                </c:pt>
                <c:pt idx="173">
                  <c:v>90886</c:v>
                </c:pt>
                <c:pt idx="174">
                  <c:v>0</c:v>
                </c:pt>
                <c:pt idx="175">
                  <c:v>0</c:v>
                </c:pt>
                <c:pt idx="176">
                  <c:v>71250</c:v>
                </c:pt>
                <c:pt idx="177">
                  <c:v>0</c:v>
                </c:pt>
                <c:pt idx="178">
                  <c:v>66333</c:v>
                </c:pt>
                <c:pt idx="179">
                  <c:v>0</c:v>
                </c:pt>
                <c:pt idx="180">
                  <c:v>0</c:v>
                </c:pt>
                <c:pt idx="181">
                  <c:v>46977</c:v>
                </c:pt>
                <c:pt idx="182">
                  <c:v>0</c:v>
                </c:pt>
                <c:pt idx="183">
                  <c:v>30518</c:v>
                </c:pt>
                <c:pt idx="184">
                  <c:v>0</c:v>
                </c:pt>
                <c:pt idx="185">
                  <c:v>0</c:v>
                </c:pt>
                <c:pt idx="186">
                  <c:v>18929</c:v>
                </c:pt>
                <c:pt idx="187">
                  <c:v>0</c:v>
                </c:pt>
                <c:pt idx="188">
                  <c:v>0</c:v>
                </c:pt>
                <c:pt idx="189">
                  <c:v>7965</c:v>
                </c:pt>
                <c:pt idx="190">
                  <c:v>0</c:v>
                </c:pt>
                <c:pt idx="191">
                  <c:v>4183</c:v>
                </c:pt>
                <c:pt idx="192">
                  <c:v>0</c:v>
                </c:pt>
                <c:pt idx="193">
                  <c:v>0</c:v>
                </c:pt>
                <c:pt idx="194">
                  <c:v>729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0.17622648364218263</c:v>
                </c:pt>
                <c:pt idx="1">
                  <c:v>0.49540741839798036</c:v>
                </c:pt>
                <c:pt idx="2">
                  <c:v>0.32836609795983707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0.47612111510079985</c:v>
                </c:pt>
                <c:pt idx="1">
                  <c:v>0.17640194572106005</c:v>
                </c:pt>
                <c:pt idx="2">
                  <c:v>0.34747693917814015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6.5442625000000003</c:v>
                </c:pt>
                <c:pt idx="1">
                  <c:v>37.136337499999996</c:v>
                </c:pt>
                <c:pt idx="2">
                  <c:v>31.084849999999999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0.40223999999999999</c:v>
                </c:pt>
                <c:pt idx="2">
                  <c:v>0.81081099999999995</c:v>
                </c:pt>
                <c:pt idx="3">
                  <c:v>1.2188300000000001</c:v>
                </c:pt>
                <c:pt idx="4">
                  <c:v>1.6246100000000001</c:v>
                </c:pt>
                <c:pt idx="5">
                  <c:v>2.0275099999999999</c:v>
                </c:pt>
                <c:pt idx="6">
                  <c:v>2.4357600000000001</c:v>
                </c:pt>
                <c:pt idx="7">
                  <c:v>2.8443900000000002</c:v>
                </c:pt>
                <c:pt idx="8">
                  <c:v>3.2472400000000001</c:v>
                </c:pt>
                <c:pt idx="9">
                  <c:v>3.65516</c:v>
                </c:pt>
                <c:pt idx="10">
                  <c:v>4.0600300000000002</c:v>
                </c:pt>
                <c:pt idx="11">
                  <c:v>4.4663300000000001</c:v>
                </c:pt>
                <c:pt idx="12">
                  <c:v>4.8699700000000004</c:v>
                </c:pt>
                <c:pt idx="13">
                  <c:v>5.2790600000000003</c:v>
                </c:pt>
                <c:pt idx="14">
                  <c:v>5.6866300000000001</c:v>
                </c:pt>
                <c:pt idx="15">
                  <c:v>6.0926200000000001</c:v>
                </c:pt>
                <c:pt idx="16">
                  <c:v>6.4965700000000002</c:v>
                </c:pt>
                <c:pt idx="17">
                  <c:v>6.9055</c:v>
                </c:pt>
                <c:pt idx="18">
                  <c:v>7.3116399999999997</c:v>
                </c:pt>
                <c:pt idx="19">
                  <c:v>7.7162600000000001</c:v>
                </c:pt>
                <c:pt idx="20">
                  <c:v>8.1252099999999992</c:v>
                </c:pt>
                <c:pt idx="21">
                  <c:v>8.5261099999999992</c:v>
                </c:pt>
                <c:pt idx="22">
                  <c:v>8.9349900000000009</c:v>
                </c:pt>
                <c:pt idx="23">
                  <c:v>9.3429400000000005</c:v>
                </c:pt>
                <c:pt idx="24">
                  <c:v>9.7488799999999998</c:v>
                </c:pt>
                <c:pt idx="25">
                  <c:v>10.1538</c:v>
                </c:pt>
                <c:pt idx="26">
                  <c:v>10.5596</c:v>
                </c:pt>
                <c:pt idx="27">
                  <c:v>10.9657</c:v>
                </c:pt>
                <c:pt idx="28">
                  <c:v>11.374499999999999</c:v>
                </c:pt>
                <c:pt idx="29">
                  <c:v>11.7805</c:v>
                </c:pt>
                <c:pt idx="30">
                  <c:v>12.1853</c:v>
                </c:pt>
                <c:pt idx="31">
                  <c:v>12.591200000000001</c:v>
                </c:pt>
                <c:pt idx="32">
                  <c:v>12.9962</c:v>
                </c:pt>
                <c:pt idx="33">
                  <c:v>13.404299999999999</c:v>
                </c:pt>
                <c:pt idx="34">
                  <c:v>13.808999999999999</c:v>
                </c:pt>
                <c:pt idx="35">
                  <c:v>14.212400000000001</c:v>
                </c:pt>
                <c:pt idx="36">
                  <c:v>14.620799999999999</c:v>
                </c:pt>
                <c:pt idx="37">
                  <c:v>15.0267</c:v>
                </c:pt>
                <c:pt idx="38">
                  <c:v>15.435600000000001</c:v>
                </c:pt>
                <c:pt idx="39">
                  <c:v>15.839600000000001</c:v>
                </c:pt>
                <c:pt idx="40">
                  <c:v>16.246200000000002</c:v>
                </c:pt>
                <c:pt idx="41">
                  <c:v>16.657299999999999</c:v>
                </c:pt>
                <c:pt idx="42">
                  <c:v>17.061399999999999</c:v>
                </c:pt>
                <c:pt idx="43">
                  <c:v>17.467199999999998</c:v>
                </c:pt>
                <c:pt idx="44">
                  <c:v>17.868099999999998</c:v>
                </c:pt>
                <c:pt idx="45">
                  <c:v>18.2742</c:v>
                </c:pt>
                <c:pt idx="46">
                  <c:v>18.684000000000001</c:v>
                </c:pt>
                <c:pt idx="47">
                  <c:v>19.093900000000001</c:v>
                </c:pt>
                <c:pt idx="48">
                  <c:v>19.495899999999999</c:v>
                </c:pt>
                <c:pt idx="49">
                  <c:v>19.909800000000001</c:v>
                </c:pt>
                <c:pt idx="50">
                  <c:v>20.309200000000001</c:v>
                </c:pt>
                <c:pt idx="51">
                  <c:v>20.718499999999999</c:v>
                </c:pt>
                <c:pt idx="52">
                  <c:v>21.121400000000001</c:v>
                </c:pt>
                <c:pt idx="53">
                  <c:v>21.528700000000001</c:v>
                </c:pt>
                <c:pt idx="54">
                  <c:v>21.9343</c:v>
                </c:pt>
                <c:pt idx="55">
                  <c:v>22.340299999999999</c:v>
                </c:pt>
                <c:pt idx="56">
                  <c:v>22.751000000000001</c:v>
                </c:pt>
                <c:pt idx="57">
                  <c:v>23.152899999999999</c:v>
                </c:pt>
                <c:pt idx="58">
                  <c:v>23.559799999999999</c:v>
                </c:pt>
                <c:pt idx="59">
                  <c:v>23.964600000000001</c:v>
                </c:pt>
                <c:pt idx="60">
                  <c:v>24.368500000000001</c:v>
                </c:pt>
                <c:pt idx="61">
                  <c:v>24.776399999999999</c:v>
                </c:pt>
                <c:pt idx="62">
                  <c:v>25.185600000000001</c:v>
                </c:pt>
                <c:pt idx="63">
                  <c:v>25.592400000000001</c:v>
                </c:pt>
                <c:pt idx="64">
                  <c:v>25.996400000000001</c:v>
                </c:pt>
                <c:pt idx="65">
                  <c:v>26.4025</c:v>
                </c:pt>
                <c:pt idx="66">
                  <c:v>26.808199999999999</c:v>
                </c:pt>
                <c:pt idx="67">
                  <c:v>27.214200000000002</c:v>
                </c:pt>
                <c:pt idx="68">
                  <c:v>27.625</c:v>
                </c:pt>
                <c:pt idx="69">
                  <c:v>28.024899999999999</c:v>
                </c:pt>
                <c:pt idx="70">
                  <c:v>28.430800000000001</c:v>
                </c:pt>
                <c:pt idx="71">
                  <c:v>28.844999999999999</c:v>
                </c:pt>
                <c:pt idx="72">
                  <c:v>29.246700000000001</c:v>
                </c:pt>
                <c:pt idx="73">
                  <c:v>29.6526</c:v>
                </c:pt>
                <c:pt idx="74">
                  <c:v>30.057500000000001</c:v>
                </c:pt>
                <c:pt idx="75">
                  <c:v>30.465599999999998</c:v>
                </c:pt>
                <c:pt idx="76">
                  <c:v>30.876300000000001</c:v>
                </c:pt>
                <c:pt idx="77">
                  <c:v>31.278600000000001</c:v>
                </c:pt>
                <c:pt idx="78">
                  <c:v>31.68</c:v>
                </c:pt>
                <c:pt idx="79">
                  <c:v>32.091099999999997</c:v>
                </c:pt>
                <c:pt idx="80">
                  <c:v>32.497100000000003</c:v>
                </c:pt>
                <c:pt idx="81">
                  <c:v>32.902900000000002</c:v>
                </c:pt>
                <c:pt idx="82">
                  <c:v>33.312100000000001</c:v>
                </c:pt>
                <c:pt idx="83">
                  <c:v>33.717700000000001</c:v>
                </c:pt>
                <c:pt idx="84">
                  <c:v>34.124600000000001</c:v>
                </c:pt>
                <c:pt idx="85">
                  <c:v>34.5276</c:v>
                </c:pt>
                <c:pt idx="86">
                  <c:v>34.933199999999999</c:v>
                </c:pt>
                <c:pt idx="87">
                  <c:v>35.340400000000002</c:v>
                </c:pt>
                <c:pt idx="88">
                  <c:v>35.751399999999997</c:v>
                </c:pt>
                <c:pt idx="89">
                  <c:v>36.153100000000002</c:v>
                </c:pt>
                <c:pt idx="90">
                  <c:v>36.557099999999998</c:v>
                </c:pt>
                <c:pt idx="91">
                  <c:v>36.962699999999998</c:v>
                </c:pt>
                <c:pt idx="92">
                  <c:v>37.371000000000002</c:v>
                </c:pt>
                <c:pt idx="93">
                  <c:v>37.78</c:v>
                </c:pt>
                <c:pt idx="94">
                  <c:v>38.184800000000003</c:v>
                </c:pt>
                <c:pt idx="95">
                  <c:v>38.590699999999998</c:v>
                </c:pt>
                <c:pt idx="96">
                  <c:v>38.997300000000003</c:v>
                </c:pt>
                <c:pt idx="97">
                  <c:v>39.403500000000001</c:v>
                </c:pt>
                <c:pt idx="98">
                  <c:v>39.804900000000004</c:v>
                </c:pt>
                <c:pt idx="99">
                  <c:v>40.214700000000001</c:v>
                </c:pt>
                <c:pt idx="100">
                  <c:v>40.624299999999998</c:v>
                </c:pt>
                <c:pt idx="101">
                  <c:v>41.031199999999998</c:v>
                </c:pt>
                <c:pt idx="102">
                  <c:v>41.435099999999998</c:v>
                </c:pt>
                <c:pt idx="103">
                  <c:v>41.841099999999997</c:v>
                </c:pt>
                <c:pt idx="104">
                  <c:v>42.247</c:v>
                </c:pt>
                <c:pt idx="105">
                  <c:v>42.652799999999999</c:v>
                </c:pt>
                <c:pt idx="106">
                  <c:v>43.060699999999997</c:v>
                </c:pt>
                <c:pt idx="107">
                  <c:v>43.467700000000001</c:v>
                </c:pt>
                <c:pt idx="108">
                  <c:v>43.874699999999997</c:v>
                </c:pt>
                <c:pt idx="109">
                  <c:v>44.279499999999999</c:v>
                </c:pt>
                <c:pt idx="110">
                  <c:v>44.684399999999997</c:v>
                </c:pt>
                <c:pt idx="111">
                  <c:v>45.093200000000003</c:v>
                </c:pt>
                <c:pt idx="112">
                  <c:v>45.501199999999997</c:v>
                </c:pt>
                <c:pt idx="113">
                  <c:v>45.9009</c:v>
                </c:pt>
                <c:pt idx="114">
                  <c:v>46.306899999999999</c:v>
                </c:pt>
                <c:pt idx="115">
                  <c:v>46.713099999999997</c:v>
                </c:pt>
                <c:pt idx="116">
                  <c:v>47.1248</c:v>
                </c:pt>
                <c:pt idx="117">
                  <c:v>47.529800000000002</c:v>
                </c:pt>
                <c:pt idx="118">
                  <c:v>47.933799999999998</c:v>
                </c:pt>
                <c:pt idx="119">
                  <c:v>48.3416</c:v>
                </c:pt>
                <c:pt idx="120">
                  <c:v>48.743499999999997</c:v>
                </c:pt>
                <c:pt idx="121">
                  <c:v>49.153100000000002</c:v>
                </c:pt>
                <c:pt idx="122">
                  <c:v>49.560299999999998</c:v>
                </c:pt>
                <c:pt idx="123">
                  <c:v>49.965299999999999</c:v>
                </c:pt>
                <c:pt idx="124">
                  <c:v>50.371299999999998</c:v>
                </c:pt>
                <c:pt idx="125">
                  <c:v>50.78</c:v>
                </c:pt>
                <c:pt idx="126">
                  <c:v>51.184899999999999</c:v>
                </c:pt>
                <c:pt idx="127">
                  <c:v>51.5929</c:v>
                </c:pt>
                <c:pt idx="128">
                  <c:v>51.995899999999999</c:v>
                </c:pt>
                <c:pt idx="129">
                  <c:v>52.402799999999999</c:v>
                </c:pt>
                <c:pt idx="130">
                  <c:v>52.814700000000002</c:v>
                </c:pt>
                <c:pt idx="131">
                  <c:v>53.2196</c:v>
                </c:pt>
                <c:pt idx="132">
                  <c:v>53.621499999999997</c:v>
                </c:pt>
                <c:pt idx="133">
                  <c:v>54.026400000000002</c:v>
                </c:pt>
                <c:pt idx="134">
                  <c:v>54.433199999999999</c:v>
                </c:pt>
                <c:pt idx="135">
                  <c:v>54.839100000000002</c:v>
                </c:pt>
                <c:pt idx="136">
                  <c:v>55.247999999999998</c:v>
                </c:pt>
                <c:pt idx="137">
                  <c:v>55.652000000000001</c:v>
                </c:pt>
                <c:pt idx="138">
                  <c:v>56.059899999999999</c:v>
                </c:pt>
                <c:pt idx="139">
                  <c:v>56.4664</c:v>
                </c:pt>
                <c:pt idx="140">
                  <c:v>56.871899999999997</c:v>
                </c:pt>
                <c:pt idx="141">
                  <c:v>57.279000000000003</c:v>
                </c:pt>
                <c:pt idx="142">
                  <c:v>57.6828</c:v>
                </c:pt>
                <c:pt idx="143">
                  <c:v>58.090600000000002</c:v>
                </c:pt>
                <c:pt idx="144">
                  <c:v>58.497700000000002</c:v>
                </c:pt>
                <c:pt idx="145">
                  <c:v>58.9054</c:v>
                </c:pt>
                <c:pt idx="146">
                  <c:v>59.312600000000003</c:v>
                </c:pt>
                <c:pt idx="147">
                  <c:v>59.716200000000001</c:v>
                </c:pt>
                <c:pt idx="148">
                  <c:v>60.123100000000001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2.1490999999999998</c:v>
                </c:pt>
                <c:pt idx="1">
                  <c:v>2.2403999999999997</c:v>
                </c:pt>
                <c:pt idx="2">
                  <c:v>2.3350999999999997</c:v>
                </c:pt>
                <c:pt idx="3">
                  <c:v>2.4295200000000001</c:v>
                </c:pt>
                <c:pt idx="4">
                  <c:v>2.5268299999999999</c:v>
                </c:pt>
                <c:pt idx="5">
                  <c:v>2.6262999999999996</c:v>
                </c:pt>
                <c:pt idx="6">
                  <c:v>2.7262999999999997</c:v>
                </c:pt>
                <c:pt idx="7">
                  <c:v>2.82653</c:v>
                </c:pt>
                <c:pt idx="8">
                  <c:v>2.9226799999999997</c:v>
                </c:pt>
                <c:pt idx="9">
                  <c:v>3.01701</c:v>
                </c:pt>
                <c:pt idx="10">
                  <c:v>3.1152200000000003</c:v>
                </c:pt>
                <c:pt idx="11">
                  <c:v>3.2179899999999999</c:v>
                </c:pt>
                <c:pt idx="12">
                  <c:v>3.3200000000000003</c:v>
                </c:pt>
                <c:pt idx="13">
                  <c:v>3.4204499999999998</c:v>
                </c:pt>
                <c:pt idx="14">
                  <c:v>3.5218100000000003</c:v>
                </c:pt>
                <c:pt idx="15">
                  <c:v>3.6253600000000001</c:v>
                </c:pt>
                <c:pt idx="16">
                  <c:v>3.7297799999999999</c:v>
                </c:pt>
                <c:pt idx="17">
                  <c:v>3.8339299999999996</c:v>
                </c:pt>
                <c:pt idx="18">
                  <c:v>3.9344800000000002</c:v>
                </c:pt>
                <c:pt idx="19">
                  <c:v>4.0343200000000001</c:v>
                </c:pt>
                <c:pt idx="20">
                  <c:v>4.1314899999999994</c:v>
                </c:pt>
                <c:pt idx="21">
                  <c:v>4.2258000000000004</c:v>
                </c:pt>
                <c:pt idx="22">
                  <c:v>4.3187300000000004</c:v>
                </c:pt>
                <c:pt idx="23">
                  <c:v>4.4055299999999997</c:v>
                </c:pt>
                <c:pt idx="24">
                  <c:v>4.4896799999999999</c:v>
                </c:pt>
                <c:pt idx="25">
                  <c:v>4.5697399999999995</c:v>
                </c:pt>
                <c:pt idx="26">
                  <c:v>4.6458199999999996</c:v>
                </c:pt>
                <c:pt idx="27">
                  <c:v>4.71692</c:v>
                </c:pt>
                <c:pt idx="28">
                  <c:v>4.7866900000000001</c:v>
                </c:pt>
                <c:pt idx="29">
                  <c:v>4.8515899999999998</c:v>
                </c:pt>
                <c:pt idx="30">
                  <c:v>4.9118399999999998</c:v>
                </c:pt>
                <c:pt idx="31">
                  <c:v>4.9698500000000001</c:v>
                </c:pt>
                <c:pt idx="32">
                  <c:v>5.0249200000000007</c:v>
                </c:pt>
                <c:pt idx="33">
                  <c:v>5.0749900000000006</c:v>
                </c:pt>
                <c:pt idx="34">
                  <c:v>5.1176300000000001</c:v>
                </c:pt>
                <c:pt idx="35">
                  <c:v>5.154069999999999</c:v>
                </c:pt>
                <c:pt idx="36">
                  <c:v>5.1849100000000004</c:v>
                </c:pt>
                <c:pt idx="37">
                  <c:v>5.2142999999999997</c:v>
                </c:pt>
                <c:pt idx="38">
                  <c:v>5.2423099999999998</c:v>
                </c:pt>
                <c:pt idx="39">
                  <c:v>5.2658199999999997</c:v>
                </c:pt>
                <c:pt idx="40">
                  <c:v>5.2855100000000004</c:v>
                </c:pt>
                <c:pt idx="41">
                  <c:v>5.3019600000000002</c:v>
                </c:pt>
                <c:pt idx="42">
                  <c:v>5.31555</c:v>
                </c:pt>
                <c:pt idx="43">
                  <c:v>5.3305199999999999</c:v>
                </c:pt>
                <c:pt idx="44">
                  <c:v>5.3438499999999998</c:v>
                </c:pt>
                <c:pt idx="45">
                  <c:v>5.3539899999999996</c:v>
                </c:pt>
                <c:pt idx="46">
                  <c:v>5.36442</c:v>
                </c:pt>
                <c:pt idx="47">
                  <c:v>5.3725999999999994</c:v>
                </c:pt>
                <c:pt idx="48">
                  <c:v>5.3779200000000005</c:v>
                </c:pt>
                <c:pt idx="49">
                  <c:v>5.3783700000000003</c:v>
                </c:pt>
                <c:pt idx="50">
                  <c:v>5.3779900000000005</c:v>
                </c:pt>
                <c:pt idx="51">
                  <c:v>5.3779299999999992</c:v>
                </c:pt>
                <c:pt idx="52">
                  <c:v>5.3785000000000007</c:v>
                </c:pt>
                <c:pt idx="53">
                  <c:v>5.375259999999999</c:v>
                </c:pt>
                <c:pt idx="54">
                  <c:v>5.3705599999999993</c:v>
                </c:pt>
                <c:pt idx="55">
                  <c:v>5.3637500000000005</c:v>
                </c:pt>
                <c:pt idx="56">
                  <c:v>5.3544199999999993</c:v>
                </c:pt>
                <c:pt idx="57">
                  <c:v>5.3451599999999999</c:v>
                </c:pt>
                <c:pt idx="58">
                  <c:v>5.3358000000000008</c:v>
                </c:pt>
                <c:pt idx="59">
                  <c:v>5.3291900000000005</c:v>
                </c:pt>
                <c:pt idx="60">
                  <c:v>5.32273</c:v>
                </c:pt>
                <c:pt idx="61">
                  <c:v>5.3164699999999998</c:v>
                </c:pt>
                <c:pt idx="62">
                  <c:v>5.30694</c:v>
                </c:pt>
                <c:pt idx="63">
                  <c:v>5.29542</c:v>
                </c:pt>
                <c:pt idx="64">
                  <c:v>5.28559</c:v>
                </c:pt>
                <c:pt idx="65">
                  <c:v>5.2777700000000003</c:v>
                </c:pt>
                <c:pt idx="66">
                  <c:v>5.2685599999999999</c:v>
                </c:pt>
                <c:pt idx="67">
                  <c:v>5.2570499999999996</c:v>
                </c:pt>
                <c:pt idx="68">
                  <c:v>5.2426300000000001</c:v>
                </c:pt>
                <c:pt idx="69">
                  <c:v>5.2293799999999999</c:v>
                </c:pt>
                <c:pt idx="70">
                  <c:v>5.2185499999999996</c:v>
                </c:pt>
                <c:pt idx="71">
                  <c:v>5.2055199999999999</c:v>
                </c:pt>
                <c:pt idx="72">
                  <c:v>5.1929499999999997</c:v>
                </c:pt>
                <c:pt idx="73">
                  <c:v>5.1842299999999994</c:v>
                </c:pt>
                <c:pt idx="74">
                  <c:v>5.1777799999999994</c:v>
                </c:pt>
                <c:pt idx="75">
                  <c:v>5.1676699999999993</c:v>
                </c:pt>
                <c:pt idx="76">
                  <c:v>5.1556100000000002</c:v>
                </c:pt>
                <c:pt idx="77">
                  <c:v>5.1400100000000002</c:v>
                </c:pt>
                <c:pt idx="78">
                  <c:v>5.125</c:v>
                </c:pt>
                <c:pt idx="79">
                  <c:v>5.1120299999999999</c:v>
                </c:pt>
                <c:pt idx="80">
                  <c:v>5.1008399999999998</c:v>
                </c:pt>
                <c:pt idx="81">
                  <c:v>5.0895900000000003</c:v>
                </c:pt>
                <c:pt idx="82">
                  <c:v>5.0756999999999994</c:v>
                </c:pt>
                <c:pt idx="83">
                  <c:v>5.0613200000000003</c:v>
                </c:pt>
                <c:pt idx="84">
                  <c:v>5.0445500000000001</c:v>
                </c:pt>
                <c:pt idx="85">
                  <c:v>5.0309699999999999</c:v>
                </c:pt>
                <c:pt idx="86">
                  <c:v>5.0202200000000001</c:v>
                </c:pt>
                <c:pt idx="87">
                  <c:v>5.0111099999999995</c:v>
                </c:pt>
                <c:pt idx="88">
                  <c:v>5.0035499999999997</c:v>
                </c:pt>
                <c:pt idx="89">
                  <c:v>4.9947299999999997</c:v>
                </c:pt>
                <c:pt idx="90">
                  <c:v>4.9822499999999996</c:v>
                </c:pt>
                <c:pt idx="91">
                  <c:v>4.9709099999999999</c:v>
                </c:pt>
                <c:pt idx="92">
                  <c:v>4.9643700000000006</c:v>
                </c:pt>
                <c:pt idx="93">
                  <c:v>4.9573299999999998</c:v>
                </c:pt>
                <c:pt idx="94">
                  <c:v>4.9468300000000003</c:v>
                </c:pt>
                <c:pt idx="95">
                  <c:v>4.9337999999999997</c:v>
                </c:pt>
                <c:pt idx="96">
                  <c:v>4.9209399999999999</c:v>
                </c:pt>
                <c:pt idx="97">
                  <c:v>4.9086699999999999</c:v>
                </c:pt>
                <c:pt idx="98">
                  <c:v>4.8974099999999998</c:v>
                </c:pt>
                <c:pt idx="99">
                  <c:v>4.8915300000000004</c:v>
                </c:pt>
                <c:pt idx="100">
                  <c:v>4.8902800000000006</c:v>
                </c:pt>
                <c:pt idx="101">
                  <c:v>4.8870699999999996</c:v>
                </c:pt>
                <c:pt idx="102">
                  <c:v>4.8893399999999998</c:v>
                </c:pt>
                <c:pt idx="103">
                  <c:v>4.8943700000000003</c:v>
                </c:pt>
                <c:pt idx="104">
                  <c:v>4.9002299999999996</c:v>
                </c:pt>
                <c:pt idx="105">
                  <c:v>4.90733</c:v>
                </c:pt>
                <c:pt idx="106">
                  <c:v>4.9153900000000004</c:v>
                </c:pt>
                <c:pt idx="107">
                  <c:v>4.9243800000000002</c:v>
                </c:pt>
                <c:pt idx="108">
                  <c:v>4.9368699999999999</c:v>
                </c:pt>
                <c:pt idx="109">
                  <c:v>4.9541000000000004</c:v>
                </c:pt>
                <c:pt idx="110">
                  <c:v>4.97044</c:v>
                </c:pt>
                <c:pt idx="111">
                  <c:v>4.9833999999999996</c:v>
                </c:pt>
                <c:pt idx="112">
                  <c:v>4.9989299999999997</c:v>
                </c:pt>
                <c:pt idx="113">
                  <c:v>5.0175199999999993</c:v>
                </c:pt>
                <c:pt idx="114">
                  <c:v>5.0352100000000002</c:v>
                </c:pt>
                <c:pt idx="115">
                  <c:v>5.0522799999999997</c:v>
                </c:pt>
                <c:pt idx="116">
                  <c:v>5.0718100000000002</c:v>
                </c:pt>
                <c:pt idx="117">
                  <c:v>5.0911200000000001</c:v>
                </c:pt>
                <c:pt idx="118">
                  <c:v>5.1095999999999995</c:v>
                </c:pt>
                <c:pt idx="119">
                  <c:v>5.1295100000000007</c:v>
                </c:pt>
                <c:pt idx="120">
                  <c:v>5.1529699999999998</c:v>
                </c:pt>
                <c:pt idx="121">
                  <c:v>5.1769400000000001</c:v>
                </c:pt>
                <c:pt idx="122">
                  <c:v>5.2005299999999997</c:v>
                </c:pt>
                <c:pt idx="123">
                  <c:v>5.2225799999999998</c:v>
                </c:pt>
                <c:pt idx="124">
                  <c:v>5.2373400000000006</c:v>
                </c:pt>
                <c:pt idx="125">
                  <c:v>5.2465099999999998</c:v>
                </c:pt>
                <c:pt idx="126">
                  <c:v>5.25807</c:v>
                </c:pt>
                <c:pt idx="127">
                  <c:v>5.2685400000000007</c:v>
                </c:pt>
                <c:pt idx="128">
                  <c:v>5.278929999999999</c:v>
                </c:pt>
                <c:pt idx="129">
                  <c:v>5.2888599999999997</c:v>
                </c:pt>
                <c:pt idx="130">
                  <c:v>5.2990000000000004</c:v>
                </c:pt>
                <c:pt idx="131">
                  <c:v>5.3100400000000008</c:v>
                </c:pt>
                <c:pt idx="132">
                  <c:v>5.3223000000000003</c:v>
                </c:pt>
                <c:pt idx="133">
                  <c:v>5.3336799999999993</c:v>
                </c:pt>
                <c:pt idx="134">
                  <c:v>5.3431300000000004</c:v>
                </c:pt>
                <c:pt idx="135">
                  <c:v>5.3532400000000004</c:v>
                </c:pt>
                <c:pt idx="136">
                  <c:v>5.3668099999999992</c:v>
                </c:pt>
                <c:pt idx="137">
                  <c:v>5.3788100000000005</c:v>
                </c:pt>
                <c:pt idx="138">
                  <c:v>5.3869500000000006</c:v>
                </c:pt>
                <c:pt idx="139">
                  <c:v>5.3977900000000005</c:v>
                </c:pt>
                <c:pt idx="140">
                  <c:v>5.4114199999999997</c:v>
                </c:pt>
                <c:pt idx="141">
                  <c:v>5.4213399999999998</c:v>
                </c:pt>
                <c:pt idx="142">
                  <c:v>5.4292899999999999</c:v>
                </c:pt>
                <c:pt idx="143">
                  <c:v>5.4425699999999999</c:v>
                </c:pt>
                <c:pt idx="144">
                  <c:v>5.4555199999999999</c:v>
                </c:pt>
                <c:pt idx="145">
                  <c:v>5.4589600000000003</c:v>
                </c:pt>
                <c:pt idx="146">
                  <c:v>5.4628800000000002</c:v>
                </c:pt>
                <c:pt idx="147">
                  <c:v>5.4647299999999994</c:v>
                </c:pt>
                <c:pt idx="148">
                  <c:v>5.4813700000000001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0.40223999999999999</c:v>
                </c:pt>
                <c:pt idx="2">
                  <c:v>0.81081099999999995</c:v>
                </c:pt>
                <c:pt idx="3">
                  <c:v>1.2188300000000001</c:v>
                </c:pt>
                <c:pt idx="4">
                  <c:v>1.6246100000000001</c:v>
                </c:pt>
                <c:pt idx="5">
                  <c:v>2.0275099999999999</c:v>
                </c:pt>
                <c:pt idx="6">
                  <c:v>2.4357600000000001</c:v>
                </c:pt>
                <c:pt idx="7">
                  <c:v>2.8443900000000002</c:v>
                </c:pt>
                <c:pt idx="8">
                  <c:v>3.2472400000000001</c:v>
                </c:pt>
                <c:pt idx="9">
                  <c:v>3.65516</c:v>
                </c:pt>
                <c:pt idx="10">
                  <c:v>4.0600300000000002</c:v>
                </c:pt>
                <c:pt idx="11">
                  <c:v>4.4663300000000001</c:v>
                </c:pt>
                <c:pt idx="12">
                  <c:v>4.8699700000000004</c:v>
                </c:pt>
                <c:pt idx="13">
                  <c:v>5.2790600000000003</c:v>
                </c:pt>
                <c:pt idx="14">
                  <c:v>5.6866300000000001</c:v>
                </c:pt>
                <c:pt idx="15">
                  <c:v>6.0926200000000001</c:v>
                </c:pt>
                <c:pt idx="16">
                  <c:v>6.4965700000000002</c:v>
                </c:pt>
                <c:pt idx="17">
                  <c:v>6.9055</c:v>
                </c:pt>
                <c:pt idx="18">
                  <c:v>7.3116399999999997</c:v>
                </c:pt>
                <c:pt idx="19">
                  <c:v>7.7162600000000001</c:v>
                </c:pt>
                <c:pt idx="20">
                  <c:v>8.1252099999999992</c:v>
                </c:pt>
                <c:pt idx="21">
                  <c:v>8.5261099999999992</c:v>
                </c:pt>
                <c:pt idx="22">
                  <c:v>8.9349900000000009</c:v>
                </c:pt>
                <c:pt idx="23">
                  <c:v>9.3429400000000005</c:v>
                </c:pt>
                <c:pt idx="24">
                  <c:v>9.7488799999999998</c:v>
                </c:pt>
                <c:pt idx="25">
                  <c:v>10.1538</c:v>
                </c:pt>
                <c:pt idx="26">
                  <c:v>10.5596</c:v>
                </c:pt>
                <c:pt idx="27">
                  <c:v>10.9657</c:v>
                </c:pt>
                <c:pt idx="28">
                  <c:v>11.374499999999999</c:v>
                </c:pt>
                <c:pt idx="29">
                  <c:v>11.7805</c:v>
                </c:pt>
                <c:pt idx="30">
                  <c:v>12.1853</c:v>
                </c:pt>
                <c:pt idx="31">
                  <c:v>12.591200000000001</c:v>
                </c:pt>
                <c:pt idx="32">
                  <c:v>12.9962</c:v>
                </c:pt>
                <c:pt idx="33">
                  <c:v>13.404299999999999</c:v>
                </c:pt>
                <c:pt idx="34">
                  <c:v>13.808999999999999</c:v>
                </c:pt>
                <c:pt idx="35">
                  <c:v>14.212400000000001</c:v>
                </c:pt>
                <c:pt idx="36">
                  <c:v>14.620799999999999</c:v>
                </c:pt>
                <c:pt idx="37">
                  <c:v>15.0267</c:v>
                </c:pt>
                <c:pt idx="38">
                  <c:v>15.435600000000001</c:v>
                </c:pt>
                <c:pt idx="39">
                  <c:v>15.839600000000001</c:v>
                </c:pt>
                <c:pt idx="40">
                  <c:v>16.246200000000002</c:v>
                </c:pt>
                <c:pt idx="41">
                  <c:v>16.657299999999999</c:v>
                </c:pt>
                <c:pt idx="42">
                  <c:v>17.061399999999999</c:v>
                </c:pt>
                <c:pt idx="43">
                  <c:v>17.467199999999998</c:v>
                </c:pt>
                <c:pt idx="44">
                  <c:v>17.868099999999998</c:v>
                </c:pt>
                <c:pt idx="45">
                  <c:v>18.2742</c:v>
                </c:pt>
                <c:pt idx="46">
                  <c:v>18.684000000000001</c:v>
                </c:pt>
                <c:pt idx="47">
                  <c:v>19.093900000000001</c:v>
                </c:pt>
                <c:pt idx="48">
                  <c:v>19.495899999999999</c:v>
                </c:pt>
                <c:pt idx="49">
                  <c:v>19.909800000000001</c:v>
                </c:pt>
                <c:pt idx="50">
                  <c:v>20.309200000000001</c:v>
                </c:pt>
                <c:pt idx="51">
                  <c:v>20.718499999999999</c:v>
                </c:pt>
                <c:pt idx="52">
                  <c:v>21.121400000000001</c:v>
                </c:pt>
                <c:pt idx="53">
                  <c:v>21.528700000000001</c:v>
                </c:pt>
                <c:pt idx="54">
                  <c:v>21.9343</c:v>
                </c:pt>
                <c:pt idx="55">
                  <c:v>22.340299999999999</c:v>
                </c:pt>
                <c:pt idx="56">
                  <c:v>22.751000000000001</c:v>
                </c:pt>
                <c:pt idx="57">
                  <c:v>23.152899999999999</c:v>
                </c:pt>
                <c:pt idx="58">
                  <c:v>23.559799999999999</c:v>
                </c:pt>
                <c:pt idx="59">
                  <c:v>23.964600000000001</c:v>
                </c:pt>
                <c:pt idx="60">
                  <c:v>24.368500000000001</c:v>
                </c:pt>
                <c:pt idx="61">
                  <c:v>24.776399999999999</c:v>
                </c:pt>
                <c:pt idx="62">
                  <c:v>25.185600000000001</c:v>
                </c:pt>
                <c:pt idx="63">
                  <c:v>25.592400000000001</c:v>
                </c:pt>
                <c:pt idx="64">
                  <c:v>25.996400000000001</c:v>
                </c:pt>
                <c:pt idx="65">
                  <c:v>26.4025</c:v>
                </c:pt>
                <c:pt idx="66">
                  <c:v>26.808199999999999</c:v>
                </c:pt>
                <c:pt idx="67">
                  <c:v>27.214200000000002</c:v>
                </c:pt>
                <c:pt idx="68">
                  <c:v>27.625</c:v>
                </c:pt>
                <c:pt idx="69">
                  <c:v>28.024899999999999</c:v>
                </c:pt>
                <c:pt idx="70">
                  <c:v>28.430800000000001</c:v>
                </c:pt>
                <c:pt idx="71">
                  <c:v>28.844999999999999</c:v>
                </c:pt>
                <c:pt idx="72">
                  <c:v>29.246700000000001</c:v>
                </c:pt>
                <c:pt idx="73">
                  <c:v>29.6526</c:v>
                </c:pt>
                <c:pt idx="74">
                  <c:v>30.057500000000001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2.1490999999999998</c:v>
                </c:pt>
                <c:pt idx="1">
                  <c:v>2.2403999999999997</c:v>
                </c:pt>
                <c:pt idx="2">
                  <c:v>2.3350999999999997</c:v>
                </c:pt>
                <c:pt idx="3">
                  <c:v>2.4295200000000001</c:v>
                </c:pt>
                <c:pt idx="4">
                  <c:v>2.5268299999999999</c:v>
                </c:pt>
                <c:pt idx="5">
                  <c:v>2.6262999999999996</c:v>
                </c:pt>
                <c:pt idx="6">
                  <c:v>2.7262999999999997</c:v>
                </c:pt>
                <c:pt idx="7">
                  <c:v>2.82653</c:v>
                </c:pt>
                <c:pt idx="8">
                  <c:v>2.9226799999999997</c:v>
                </c:pt>
                <c:pt idx="9">
                  <c:v>3.01701</c:v>
                </c:pt>
                <c:pt idx="10">
                  <c:v>3.1152200000000003</c:v>
                </c:pt>
                <c:pt idx="11">
                  <c:v>3.2179899999999999</c:v>
                </c:pt>
                <c:pt idx="12">
                  <c:v>3.3200000000000003</c:v>
                </c:pt>
                <c:pt idx="13">
                  <c:v>3.4204499999999998</c:v>
                </c:pt>
                <c:pt idx="14">
                  <c:v>3.5218100000000003</c:v>
                </c:pt>
                <c:pt idx="15">
                  <c:v>3.6253600000000001</c:v>
                </c:pt>
                <c:pt idx="16">
                  <c:v>3.7297799999999999</c:v>
                </c:pt>
                <c:pt idx="17">
                  <c:v>3.8339299999999996</c:v>
                </c:pt>
                <c:pt idx="18">
                  <c:v>3.9344800000000002</c:v>
                </c:pt>
                <c:pt idx="19">
                  <c:v>4.0343200000000001</c:v>
                </c:pt>
                <c:pt idx="20">
                  <c:v>4.1314899999999994</c:v>
                </c:pt>
                <c:pt idx="21">
                  <c:v>4.2258000000000004</c:v>
                </c:pt>
                <c:pt idx="22">
                  <c:v>4.3187300000000004</c:v>
                </c:pt>
                <c:pt idx="23">
                  <c:v>4.4055299999999997</c:v>
                </c:pt>
                <c:pt idx="24">
                  <c:v>4.4896799999999999</c:v>
                </c:pt>
                <c:pt idx="25">
                  <c:v>4.5697399999999995</c:v>
                </c:pt>
                <c:pt idx="26">
                  <c:v>4.6458199999999996</c:v>
                </c:pt>
                <c:pt idx="27">
                  <c:v>4.71692</c:v>
                </c:pt>
                <c:pt idx="28">
                  <c:v>4.7866900000000001</c:v>
                </c:pt>
                <c:pt idx="29">
                  <c:v>4.8515899999999998</c:v>
                </c:pt>
                <c:pt idx="30">
                  <c:v>4.9118399999999998</c:v>
                </c:pt>
                <c:pt idx="31">
                  <c:v>4.9698500000000001</c:v>
                </c:pt>
                <c:pt idx="32">
                  <c:v>5.0249200000000007</c:v>
                </c:pt>
                <c:pt idx="33">
                  <c:v>5.0749900000000006</c:v>
                </c:pt>
                <c:pt idx="34">
                  <c:v>5.1176300000000001</c:v>
                </c:pt>
                <c:pt idx="35">
                  <c:v>5.154069999999999</c:v>
                </c:pt>
                <c:pt idx="36">
                  <c:v>5.1849100000000004</c:v>
                </c:pt>
                <c:pt idx="37">
                  <c:v>5.2142999999999997</c:v>
                </c:pt>
                <c:pt idx="38">
                  <c:v>5.2423099999999998</c:v>
                </c:pt>
                <c:pt idx="39">
                  <c:v>5.2658199999999997</c:v>
                </c:pt>
                <c:pt idx="40">
                  <c:v>5.2855100000000004</c:v>
                </c:pt>
                <c:pt idx="41">
                  <c:v>5.3019600000000002</c:v>
                </c:pt>
                <c:pt idx="42">
                  <c:v>5.31555</c:v>
                </c:pt>
                <c:pt idx="43">
                  <c:v>5.3305199999999999</c:v>
                </c:pt>
                <c:pt idx="44">
                  <c:v>5.3438499999999998</c:v>
                </c:pt>
                <c:pt idx="45">
                  <c:v>5.3539899999999996</c:v>
                </c:pt>
                <c:pt idx="46">
                  <c:v>5.36442</c:v>
                </c:pt>
                <c:pt idx="47">
                  <c:v>5.3725999999999994</c:v>
                </c:pt>
                <c:pt idx="48">
                  <c:v>5.3779200000000005</c:v>
                </c:pt>
                <c:pt idx="49">
                  <c:v>5.3783700000000003</c:v>
                </c:pt>
                <c:pt idx="50">
                  <c:v>5.3779900000000005</c:v>
                </c:pt>
                <c:pt idx="51">
                  <c:v>5.3779299999999992</c:v>
                </c:pt>
                <c:pt idx="52">
                  <c:v>5.3785000000000007</c:v>
                </c:pt>
                <c:pt idx="53">
                  <c:v>5.375259999999999</c:v>
                </c:pt>
                <c:pt idx="54">
                  <c:v>5.3705599999999993</c:v>
                </c:pt>
                <c:pt idx="55">
                  <c:v>5.3637500000000005</c:v>
                </c:pt>
                <c:pt idx="56">
                  <c:v>5.3544199999999993</c:v>
                </c:pt>
                <c:pt idx="57">
                  <c:v>5.3451599999999999</c:v>
                </c:pt>
                <c:pt idx="58">
                  <c:v>5.3358000000000008</c:v>
                </c:pt>
                <c:pt idx="59">
                  <c:v>5.3291900000000005</c:v>
                </c:pt>
                <c:pt idx="60">
                  <c:v>5.32273</c:v>
                </c:pt>
                <c:pt idx="61">
                  <c:v>5.3164699999999998</c:v>
                </c:pt>
                <c:pt idx="62">
                  <c:v>5.30694</c:v>
                </c:pt>
                <c:pt idx="63">
                  <c:v>5.29542</c:v>
                </c:pt>
                <c:pt idx="64">
                  <c:v>5.28559</c:v>
                </c:pt>
                <c:pt idx="65">
                  <c:v>5.2777700000000003</c:v>
                </c:pt>
                <c:pt idx="66">
                  <c:v>5.2685599999999999</c:v>
                </c:pt>
                <c:pt idx="67">
                  <c:v>5.2570499999999996</c:v>
                </c:pt>
                <c:pt idx="68">
                  <c:v>5.2426300000000001</c:v>
                </c:pt>
                <c:pt idx="69">
                  <c:v>5.2293799999999999</c:v>
                </c:pt>
                <c:pt idx="70">
                  <c:v>5.2185499999999996</c:v>
                </c:pt>
                <c:pt idx="71">
                  <c:v>5.2055199999999999</c:v>
                </c:pt>
                <c:pt idx="72">
                  <c:v>5.1929499999999997</c:v>
                </c:pt>
                <c:pt idx="73">
                  <c:v>5.1842299999999994</c:v>
                </c:pt>
                <c:pt idx="74">
                  <c:v>5.1777799999999994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30.057500000000001</c:v>
                </c:pt>
                <c:pt idx="1">
                  <c:v>30.465599999999998</c:v>
                </c:pt>
                <c:pt idx="2">
                  <c:v>30.876300000000001</c:v>
                </c:pt>
                <c:pt idx="3">
                  <c:v>31.278600000000001</c:v>
                </c:pt>
                <c:pt idx="4">
                  <c:v>31.68</c:v>
                </c:pt>
                <c:pt idx="5">
                  <c:v>32.091099999999997</c:v>
                </c:pt>
                <c:pt idx="6">
                  <c:v>32.497100000000003</c:v>
                </c:pt>
                <c:pt idx="7">
                  <c:v>32.902900000000002</c:v>
                </c:pt>
                <c:pt idx="8">
                  <c:v>33.312100000000001</c:v>
                </c:pt>
                <c:pt idx="9">
                  <c:v>33.717700000000001</c:v>
                </c:pt>
                <c:pt idx="10">
                  <c:v>34.124600000000001</c:v>
                </c:pt>
                <c:pt idx="11">
                  <c:v>34.5276</c:v>
                </c:pt>
                <c:pt idx="12">
                  <c:v>34.933199999999999</c:v>
                </c:pt>
                <c:pt idx="13">
                  <c:v>35.340400000000002</c:v>
                </c:pt>
                <c:pt idx="14">
                  <c:v>35.751399999999997</c:v>
                </c:pt>
                <c:pt idx="15">
                  <c:v>36.153100000000002</c:v>
                </c:pt>
                <c:pt idx="16">
                  <c:v>36.557099999999998</c:v>
                </c:pt>
                <c:pt idx="17">
                  <c:v>36.962699999999998</c:v>
                </c:pt>
                <c:pt idx="18">
                  <c:v>37.371000000000002</c:v>
                </c:pt>
                <c:pt idx="19">
                  <c:v>37.78</c:v>
                </c:pt>
                <c:pt idx="20">
                  <c:v>38.184800000000003</c:v>
                </c:pt>
                <c:pt idx="21">
                  <c:v>38.590699999999998</c:v>
                </c:pt>
                <c:pt idx="22">
                  <c:v>38.997300000000003</c:v>
                </c:pt>
                <c:pt idx="23">
                  <c:v>39.403500000000001</c:v>
                </c:pt>
                <c:pt idx="24">
                  <c:v>39.804900000000004</c:v>
                </c:pt>
                <c:pt idx="25">
                  <c:v>40.214700000000001</c:v>
                </c:pt>
                <c:pt idx="26">
                  <c:v>40.624299999999998</c:v>
                </c:pt>
                <c:pt idx="27">
                  <c:v>41.031199999999998</c:v>
                </c:pt>
                <c:pt idx="28">
                  <c:v>41.435099999999998</c:v>
                </c:pt>
                <c:pt idx="29">
                  <c:v>41.841099999999997</c:v>
                </c:pt>
                <c:pt idx="30">
                  <c:v>42.247</c:v>
                </c:pt>
                <c:pt idx="31">
                  <c:v>42.652799999999999</c:v>
                </c:pt>
                <c:pt idx="32">
                  <c:v>43.060699999999997</c:v>
                </c:pt>
                <c:pt idx="33">
                  <c:v>43.467700000000001</c:v>
                </c:pt>
                <c:pt idx="34">
                  <c:v>43.874699999999997</c:v>
                </c:pt>
                <c:pt idx="35">
                  <c:v>44.279499999999999</c:v>
                </c:pt>
                <c:pt idx="36">
                  <c:v>44.684399999999997</c:v>
                </c:pt>
                <c:pt idx="37">
                  <c:v>45.093200000000003</c:v>
                </c:pt>
                <c:pt idx="38">
                  <c:v>45.501199999999997</c:v>
                </c:pt>
                <c:pt idx="39">
                  <c:v>45.9009</c:v>
                </c:pt>
                <c:pt idx="40">
                  <c:v>46.306899999999999</c:v>
                </c:pt>
                <c:pt idx="41">
                  <c:v>46.713099999999997</c:v>
                </c:pt>
                <c:pt idx="42">
                  <c:v>47.1248</c:v>
                </c:pt>
                <c:pt idx="43">
                  <c:v>47.529800000000002</c:v>
                </c:pt>
                <c:pt idx="44">
                  <c:v>47.933799999999998</c:v>
                </c:pt>
                <c:pt idx="45">
                  <c:v>48.3416</c:v>
                </c:pt>
                <c:pt idx="46">
                  <c:v>48.743499999999997</c:v>
                </c:pt>
                <c:pt idx="47">
                  <c:v>49.153100000000002</c:v>
                </c:pt>
                <c:pt idx="48">
                  <c:v>49.560299999999998</c:v>
                </c:pt>
                <c:pt idx="49">
                  <c:v>49.965299999999999</c:v>
                </c:pt>
                <c:pt idx="50">
                  <c:v>50.371299999999998</c:v>
                </c:pt>
                <c:pt idx="51">
                  <c:v>50.78</c:v>
                </c:pt>
                <c:pt idx="52">
                  <c:v>51.184899999999999</c:v>
                </c:pt>
                <c:pt idx="53">
                  <c:v>51.5929</c:v>
                </c:pt>
                <c:pt idx="54">
                  <c:v>51.995899999999999</c:v>
                </c:pt>
                <c:pt idx="55">
                  <c:v>52.402799999999999</c:v>
                </c:pt>
                <c:pt idx="56">
                  <c:v>52.814700000000002</c:v>
                </c:pt>
                <c:pt idx="57">
                  <c:v>53.2196</c:v>
                </c:pt>
                <c:pt idx="58">
                  <c:v>53.621499999999997</c:v>
                </c:pt>
                <c:pt idx="59">
                  <c:v>54.026400000000002</c:v>
                </c:pt>
                <c:pt idx="60">
                  <c:v>54.433199999999999</c:v>
                </c:pt>
                <c:pt idx="61">
                  <c:v>54.839100000000002</c:v>
                </c:pt>
                <c:pt idx="62">
                  <c:v>55.247999999999998</c:v>
                </c:pt>
                <c:pt idx="63">
                  <c:v>55.652000000000001</c:v>
                </c:pt>
                <c:pt idx="64">
                  <c:v>56.059899999999999</c:v>
                </c:pt>
                <c:pt idx="65">
                  <c:v>56.4664</c:v>
                </c:pt>
                <c:pt idx="66">
                  <c:v>56.871899999999997</c:v>
                </c:pt>
                <c:pt idx="67">
                  <c:v>57.279000000000003</c:v>
                </c:pt>
                <c:pt idx="68">
                  <c:v>57.6828</c:v>
                </c:pt>
                <c:pt idx="69">
                  <c:v>58.090600000000002</c:v>
                </c:pt>
                <c:pt idx="70">
                  <c:v>58.497700000000002</c:v>
                </c:pt>
                <c:pt idx="71">
                  <c:v>58.9054</c:v>
                </c:pt>
                <c:pt idx="72">
                  <c:v>59.312600000000003</c:v>
                </c:pt>
                <c:pt idx="73">
                  <c:v>59.716200000000001</c:v>
                </c:pt>
                <c:pt idx="74">
                  <c:v>60.123100000000001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5.1777799999999994</c:v>
                </c:pt>
                <c:pt idx="1">
                  <c:v>5.1676699999999993</c:v>
                </c:pt>
                <c:pt idx="2">
                  <c:v>5.1556100000000002</c:v>
                </c:pt>
                <c:pt idx="3">
                  <c:v>5.1400100000000002</c:v>
                </c:pt>
                <c:pt idx="4">
                  <c:v>5.125</c:v>
                </c:pt>
                <c:pt idx="5">
                  <c:v>5.1120299999999999</c:v>
                </c:pt>
                <c:pt idx="6">
                  <c:v>5.1008399999999998</c:v>
                </c:pt>
                <c:pt idx="7">
                  <c:v>5.0895900000000003</c:v>
                </c:pt>
                <c:pt idx="8">
                  <c:v>5.0756999999999994</c:v>
                </c:pt>
                <c:pt idx="9">
                  <c:v>5.0613200000000003</c:v>
                </c:pt>
                <c:pt idx="10">
                  <c:v>5.0445500000000001</c:v>
                </c:pt>
                <c:pt idx="11">
                  <c:v>5.0309699999999999</c:v>
                </c:pt>
                <c:pt idx="12">
                  <c:v>5.0202200000000001</c:v>
                </c:pt>
                <c:pt idx="13">
                  <c:v>5.0111099999999995</c:v>
                </c:pt>
                <c:pt idx="14">
                  <c:v>5.0035499999999997</c:v>
                </c:pt>
                <c:pt idx="15">
                  <c:v>4.9947299999999997</c:v>
                </c:pt>
                <c:pt idx="16">
                  <c:v>4.9822499999999996</c:v>
                </c:pt>
                <c:pt idx="17">
                  <c:v>4.9709099999999999</c:v>
                </c:pt>
                <c:pt idx="18">
                  <c:v>4.9643700000000006</c:v>
                </c:pt>
                <c:pt idx="19">
                  <c:v>4.9573299999999998</c:v>
                </c:pt>
                <c:pt idx="20">
                  <c:v>4.9468300000000003</c:v>
                </c:pt>
                <c:pt idx="21">
                  <c:v>4.9337999999999997</c:v>
                </c:pt>
                <c:pt idx="22">
                  <c:v>4.9209399999999999</c:v>
                </c:pt>
                <c:pt idx="23">
                  <c:v>4.9086699999999999</c:v>
                </c:pt>
                <c:pt idx="24">
                  <c:v>4.8974099999999998</c:v>
                </c:pt>
                <c:pt idx="25">
                  <c:v>4.8915300000000004</c:v>
                </c:pt>
                <c:pt idx="26">
                  <c:v>4.8902800000000006</c:v>
                </c:pt>
                <c:pt idx="27">
                  <c:v>4.8870699999999996</c:v>
                </c:pt>
                <c:pt idx="28">
                  <c:v>4.8893399999999998</c:v>
                </c:pt>
                <c:pt idx="29">
                  <c:v>4.8943700000000003</c:v>
                </c:pt>
                <c:pt idx="30">
                  <c:v>4.9002299999999996</c:v>
                </c:pt>
                <c:pt idx="31">
                  <c:v>4.90733</c:v>
                </c:pt>
                <c:pt idx="32">
                  <c:v>4.9153900000000004</c:v>
                </c:pt>
                <c:pt idx="33">
                  <c:v>4.9243800000000002</c:v>
                </c:pt>
                <c:pt idx="34">
                  <c:v>4.9368699999999999</c:v>
                </c:pt>
                <c:pt idx="35">
                  <c:v>4.9541000000000004</c:v>
                </c:pt>
                <c:pt idx="36">
                  <c:v>4.97044</c:v>
                </c:pt>
                <c:pt idx="37">
                  <c:v>4.9833999999999996</c:v>
                </c:pt>
                <c:pt idx="38">
                  <c:v>4.9989299999999997</c:v>
                </c:pt>
                <c:pt idx="39">
                  <c:v>5.0175199999999993</c:v>
                </c:pt>
                <c:pt idx="40">
                  <c:v>5.0352100000000002</c:v>
                </c:pt>
                <c:pt idx="41">
                  <c:v>5.0522799999999997</c:v>
                </c:pt>
                <c:pt idx="42">
                  <c:v>5.0718100000000002</c:v>
                </c:pt>
                <c:pt idx="43">
                  <c:v>5.0911200000000001</c:v>
                </c:pt>
                <c:pt idx="44">
                  <c:v>5.1095999999999995</c:v>
                </c:pt>
                <c:pt idx="45">
                  <c:v>5.1295100000000007</c:v>
                </c:pt>
                <c:pt idx="46">
                  <c:v>5.1529699999999998</c:v>
                </c:pt>
                <c:pt idx="47">
                  <c:v>5.1769400000000001</c:v>
                </c:pt>
                <c:pt idx="48">
                  <c:v>5.2005299999999997</c:v>
                </c:pt>
                <c:pt idx="49">
                  <c:v>5.2225799999999998</c:v>
                </c:pt>
                <c:pt idx="50">
                  <c:v>5.2373400000000006</c:v>
                </c:pt>
                <c:pt idx="51">
                  <c:v>5.2465099999999998</c:v>
                </c:pt>
                <c:pt idx="52">
                  <c:v>5.25807</c:v>
                </c:pt>
                <c:pt idx="53">
                  <c:v>5.2685400000000007</c:v>
                </c:pt>
                <c:pt idx="54">
                  <c:v>5.278929999999999</c:v>
                </c:pt>
                <c:pt idx="55">
                  <c:v>5.2888599999999997</c:v>
                </c:pt>
                <c:pt idx="56">
                  <c:v>5.2990000000000004</c:v>
                </c:pt>
                <c:pt idx="57">
                  <c:v>5.3100400000000008</c:v>
                </c:pt>
                <c:pt idx="58">
                  <c:v>5.3223000000000003</c:v>
                </c:pt>
                <c:pt idx="59">
                  <c:v>5.3336799999999993</c:v>
                </c:pt>
                <c:pt idx="60">
                  <c:v>5.3431300000000004</c:v>
                </c:pt>
                <c:pt idx="61">
                  <c:v>5.3532400000000004</c:v>
                </c:pt>
                <c:pt idx="62">
                  <c:v>5.3668099999999992</c:v>
                </c:pt>
                <c:pt idx="63">
                  <c:v>5.3788100000000005</c:v>
                </c:pt>
                <c:pt idx="64">
                  <c:v>5.3869500000000006</c:v>
                </c:pt>
                <c:pt idx="65">
                  <c:v>5.3977900000000005</c:v>
                </c:pt>
                <c:pt idx="66">
                  <c:v>5.4114199999999997</c:v>
                </c:pt>
                <c:pt idx="67">
                  <c:v>5.4213399999999998</c:v>
                </c:pt>
                <c:pt idx="68">
                  <c:v>5.4292899999999999</c:v>
                </c:pt>
                <c:pt idx="69">
                  <c:v>5.4425699999999999</c:v>
                </c:pt>
                <c:pt idx="70">
                  <c:v>5.4555199999999999</c:v>
                </c:pt>
                <c:pt idx="71">
                  <c:v>5.4589600000000003</c:v>
                </c:pt>
                <c:pt idx="72">
                  <c:v>5.4628800000000002</c:v>
                </c:pt>
                <c:pt idx="73">
                  <c:v>5.4647299999999994</c:v>
                </c:pt>
                <c:pt idx="74">
                  <c:v>5.4813700000000001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15.030775</c:v>
                </c:pt>
                <c:pt idx="1">
                  <c:v>45.092325000000002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4.5742267567567572</c:v>
                </c:pt>
                <c:pt idx="1">
                  <c:v>5.1299139189189189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0.40223999999999999</c:v>
                </c:pt>
                <c:pt idx="2">
                  <c:v>0.81081099999999995</c:v>
                </c:pt>
                <c:pt idx="3">
                  <c:v>1.2188300000000001</c:v>
                </c:pt>
                <c:pt idx="4">
                  <c:v>1.6246100000000001</c:v>
                </c:pt>
                <c:pt idx="5">
                  <c:v>2.0275099999999999</c:v>
                </c:pt>
                <c:pt idx="6">
                  <c:v>2.4357600000000001</c:v>
                </c:pt>
                <c:pt idx="7">
                  <c:v>2.8443900000000002</c:v>
                </c:pt>
                <c:pt idx="8">
                  <c:v>3.2472400000000001</c:v>
                </c:pt>
                <c:pt idx="9">
                  <c:v>3.65516</c:v>
                </c:pt>
                <c:pt idx="10">
                  <c:v>4.0600300000000002</c:v>
                </c:pt>
                <c:pt idx="11">
                  <c:v>4.4663300000000001</c:v>
                </c:pt>
                <c:pt idx="12">
                  <c:v>4.8699700000000004</c:v>
                </c:pt>
                <c:pt idx="13">
                  <c:v>5.2790600000000003</c:v>
                </c:pt>
                <c:pt idx="14">
                  <c:v>5.6866300000000001</c:v>
                </c:pt>
                <c:pt idx="15">
                  <c:v>6.0926200000000001</c:v>
                </c:pt>
                <c:pt idx="16">
                  <c:v>6.4965700000000002</c:v>
                </c:pt>
                <c:pt idx="17">
                  <c:v>6.9055</c:v>
                </c:pt>
                <c:pt idx="18">
                  <c:v>7.3116399999999997</c:v>
                </c:pt>
                <c:pt idx="19">
                  <c:v>7.7162600000000001</c:v>
                </c:pt>
                <c:pt idx="20">
                  <c:v>8.1252099999999992</c:v>
                </c:pt>
                <c:pt idx="21">
                  <c:v>8.5261099999999992</c:v>
                </c:pt>
                <c:pt idx="22">
                  <c:v>8.9349900000000009</c:v>
                </c:pt>
                <c:pt idx="23">
                  <c:v>9.3429400000000005</c:v>
                </c:pt>
                <c:pt idx="24">
                  <c:v>9.7488799999999998</c:v>
                </c:pt>
                <c:pt idx="25">
                  <c:v>10.1538</c:v>
                </c:pt>
                <c:pt idx="26">
                  <c:v>10.5596</c:v>
                </c:pt>
                <c:pt idx="27">
                  <c:v>10.9657</c:v>
                </c:pt>
                <c:pt idx="28">
                  <c:v>11.374499999999999</c:v>
                </c:pt>
                <c:pt idx="29">
                  <c:v>11.7805</c:v>
                </c:pt>
                <c:pt idx="30">
                  <c:v>12.1853</c:v>
                </c:pt>
                <c:pt idx="31">
                  <c:v>12.591200000000001</c:v>
                </c:pt>
                <c:pt idx="32">
                  <c:v>12.9962</c:v>
                </c:pt>
                <c:pt idx="33">
                  <c:v>13.404299999999999</c:v>
                </c:pt>
                <c:pt idx="34">
                  <c:v>13.808999999999999</c:v>
                </c:pt>
                <c:pt idx="35">
                  <c:v>14.212400000000001</c:v>
                </c:pt>
                <c:pt idx="36">
                  <c:v>14.620799999999999</c:v>
                </c:pt>
                <c:pt idx="37">
                  <c:v>15.0267</c:v>
                </c:pt>
                <c:pt idx="38">
                  <c:v>15.435600000000001</c:v>
                </c:pt>
                <c:pt idx="39">
                  <c:v>15.839600000000001</c:v>
                </c:pt>
                <c:pt idx="40">
                  <c:v>16.246200000000002</c:v>
                </c:pt>
                <c:pt idx="41">
                  <c:v>16.657299999999999</c:v>
                </c:pt>
                <c:pt idx="42">
                  <c:v>17.061399999999999</c:v>
                </c:pt>
                <c:pt idx="43">
                  <c:v>17.467199999999998</c:v>
                </c:pt>
                <c:pt idx="44">
                  <c:v>17.868099999999998</c:v>
                </c:pt>
                <c:pt idx="45">
                  <c:v>18.2742</c:v>
                </c:pt>
                <c:pt idx="46">
                  <c:v>18.684000000000001</c:v>
                </c:pt>
                <c:pt idx="47">
                  <c:v>19.093900000000001</c:v>
                </c:pt>
                <c:pt idx="48">
                  <c:v>19.495899999999999</c:v>
                </c:pt>
                <c:pt idx="49">
                  <c:v>19.909800000000001</c:v>
                </c:pt>
                <c:pt idx="50">
                  <c:v>20.309200000000001</c:v>
                </c:pt>
                <c:pt idx="51">
                  <c:v>20.718499999999999</c:v>
                </c:pt>
                <c:pt idx="52">
                  <c:v>21.121400000000001</c:v>
                </c:pt>
                <c:pt idx="53">
                  <c:v>21.528700000000001</c:v>
                </c:pt>
                <c:pt idx="54">
                  <c:v>21.9343</c:v>
                </c:pt>
                <c:pt idx="55">
                  <c:v>22.340299999999999</c:v>
                </c:pt>
                <c:pt idx="56">
                  <c:v>22.751000000000001</c:v>
                </c:pt>
                <c:pt idx="57">
                  <c:v>23.152899999999999</c:v>
                </c:pt>
                <c:pt idx="58">
                  <c:v>23.559799999999999</c:v>
                </c:pt>
                <c:pt idx="59">
                  <c:v>23.964600000000001</c:v>
                </c:pt>
                <c:pt idx="60">
                  <c:v>24.368500000000001</c:v>
                </c:pt>
                <c:pt idx="61">
                  <c:v>24.776399999999999</c:v>
                </c:pt>
                <c:pt idx="62">
                  <c:v>25.185600000000001</c:v>
                </c:pt>
                <c:pt idx="63">
                  <c:v>25.592400000000001</c:v>
                </c:pt>
                <c:pt idx="64">
                  <c:v>25.996400000000001</c:v>
                </c:pt>
                <c:pt idx="65">
                  <c:v>26.4025</c:v>
                </c:pt>
                <c:pt idx="66">
                  <c:v>26.808199999999999</c:v>
                </c:pt>
                <c:pt idx="67">
                  <c:v>27.214200000000002</c:v>
                </c:pt>
                <c:pt idx="68">
                  <c:v>27.625</c:v>
                </c:pt>
                <c:pt idx="69">
                  <c:v>28.024899999999999</c:v>
                </c:pt>
                <c:pt idx="70">
                  <c:v>28.430800000000001</c:v>
                </c:pt>
                <c:pt idx="71">
                  <c:v>28.844999999999999</c:v>
                </c:pt>
                <c:pt idx="72">
                  <c:v>29.246700000000001</c:v>
                </c:pt>
                <c:pt idx="73">
                  <c:v>29.6526</c:v>
                </c:pt>
                <c:pt idx="74">
                  <c:v>30.057500000000001</c:v>
                </c:pt>
                <c:pt idx="75">
                  <c:v>30.465599999999998</c:v>
                </c:pt>
                <c:pt idx="76">
                  <c:v>30.876300000000001</c:v>
                </c:pt>
                <c:pt idx="77">
                  <c:v>31.278600000000001</c:v>
                </c:pt>
                <c:pt idx="78">
                  <c:v>31.68</c:v>
                </c:pt>
                <c:pt idx="79">
                  <c:v>32.091099999999997</c:v>
                </c:pt>
                <c:pt idx="80">
                  <c:v>32.497100000000003</c:v>
                </c:pt>
                <c:pt idx="81">
                  <c:v>32.902900000000002</c:v>
                </c:pt>
                <c:pt idx="82">
                  <c:v>33.312100000000001</c:v>
                </c:pt>
                <c:pt idx="83">
                  <c:v>33.717700000000001</c:v>
                </c:pt>
                <c:pt idx="84">
                  <c:v>34.124600000000001</c:v>
                </c:pt>
                <c:pt idx="85">
                  <c:v>34.5276</c:v>
                </c:pt>
                <c:pt idx="86">
                  <c:v>34.933199999999999</c:v>
                </c:pt>
                <c:pt idx="87">
                  <c:v>35.340400000000002</c:v>
                </c:pt>
                <c:pt idx="88">
                  <c:v>35.751399999999997</c:v>
                </c:pt>
                <c:pt idx="89">
                  <c:v>36.153100000000002</c:v>
                </c:pt>
                <c:pt idx="90">
                  <c:v>36.557099999999998</c:v>
                </c:pt>
                <c:pt idx="91">
                  <c:v>36.962699999999998</c:v>
                </c:pt>
                <c:pt idx="92">
                  <c:v>37.371000000000002</c:v>
                </c:pt>
                <c:pt idx="93">
                  <c:v>37.78</c:v>
                </c:pt>
                <c:pt idx="94">
                  <c:v>38.184800000000003</c:v>
                </c:pt>
                <c:pt idx="95">
                  <c:v>38.590699999999998</c:v>
                </c:pt>
                <c:pt idx="96">
                  <c:v>38.997300000000003</c:v>
                </c:pt>
                <c:pt idx="97">
                  <c:v>39.403500000000001</c:v>
                </c:pt>
                <c:pt idx="98">
                  <c:v>39.804900000000004</c:v>
                </c:pt>
                <c:pt idx="99">
                  <c:v>40.214700000000001</c:v>
                </c:pt>
                <c:pt idx="100">
                  <c:v>40.624299999999998</c:v>
                </c:pt>
                <c:pt idx="101">
                  <c:v>41.031199999999998</c:v>
                </c:pt>
                <c:pt idx="102">
                  <c:v>41.435099999999998</c:v>
                </c:pt>
                <c:pt idx="103">
                  <c:v>41.841099999999997</c:v>
                </c:pt>
                <c:pt idx="104">
                  <c:v>42.247</c:v>
                </c:pt>
                <c:pt idx="105">
                  <c:v>42.652799999999999</c:v>
                </c:pt>
                <c:pt idx="106">
                  <c:v>43.060699999999997</c:v>
                </c:pt>
                <c:pt idx="107">
                  <c:v>43.467700000000001</c:v>
                </c:pt>
                <c:pt idx="108">
                  <c:v>43.874699999999997</c:v>
                </c:pt>
                <c:pt idx="109">
                  <c:v>44.279499999999999</c:v>
                </c:pt>
                <c:pt idx="110">
                  <c:v>44.684399999999997</c:v>
                </c:pt>
                <c:pt idx="111">
                  <c:v>45.093200000000003</c:v>
                </c:pt>
                <c:pt idx="112">
                  <c:v>45.501199999999997</c:v>
                </c:pt>
                <c:pt idx="113">
                  <c:v>45.9009</c:v>
                </c:pt>
                <c:pt idx="114">
                  <c:v>46.306899999999999</c:v>
                </c:pt>
                <c:pt idx="115">
                  <c:v>46.713099999999997</c:v>
                </c:pt>
                <c:pt idx="116">
                  <c:v>47.1248</c:v>
                </c:pt>
                <c:pt idx="117">
                  <c:v>47.529800000000002</c:v>
                </c:pt>
                <c:pt idx="118">
                  <c:v>47.933799999999998</c:v>
                </c:pt>
                <c:pt idx="119">
                  <c:v>48.3416</c:v>
                </c:pt>
                <c:pt idx="120">
                  <c:v>48.743499999999997</c:v>
                </c:pt>
                <c:pt idx="121">
                  <c:v>49.153100000000002</c:v>
                </c:pt>
                <c:pt idx="122">
                  <c:v>49.560299999999998</c:v>
                </c:pt>
                <c:pt idx="123">
                  <c:v>49.965299999999999</c:v>
                </c:pt>
                <c:pt idx="124">
                  <c:v>50.371299999999998</c:v>
                </c:pt>
                <c:pt idx="125">
                  <c:v>50.78</c:v>
                </c:pt>
                <c:pt idx="126">
                  <c:v>51.184899999999999</c:v>
                </c:pt>
                <c:pt idx="127">
                  <c:v>51.5929</c:v>
                </c:pt>
                <c:pt idx="128">
                  <c:v>51.995899999999999</c:v>
                </c:pt>
                <c:pt idx="129">
                  <c:v>52.402799999999999</c:v>
                </c:pt>
                <c:pt idx="130">
                  <c:v>52.814700000000002</c:v>
                </c:pt>
                <c:pt idx="131">
                  <c:v>53.2196</c:v>
                </c:pt>
                <c:pt idx="132">
                  <c:v>53.621499999999997</c:v>
                </c:pt>
                <c:pt idx="133">
                  <c:v>54.026400000000002</c:v>
                </c:pt>
                <c:pt idx="134">
                  <c:v>54.433199999999999</c:v>
                </c:pt>
                <c:pt idx="135">
                  <c:v>54.839100000000002</c:v>
                </c:pt>
                <c:pt idx="136">
                  <c:v>55.247999999999998</c:v>
                </c:pt>
                <c:pt idx="137">
                  <c:v>55.652000000000001</c:v>
                </c:pt>
                <c:pt idx="138">
                  <c:v>56.059899999999999</c:v>
                </c:pt>
                <c:pt idx="139">
                  <c:v>56.4664</c:v>
                </c:pt>
                <c:pt idx="140">
                  <c:v>56.871899999999997</c:v>
                </c:pt>
                <c:pt idx="141">
                  <c:v>57.279000000000003</c:v>
                </c:pt>
                <c:pt idx="142">
                  <c:v>57.6828</c:v>
                </c:pt>
                <c:pt idx="143">
                  <c:v>58.090600000000002</c:v>
                </c:pt>
                <c:pt idx="144">
                  <c:v>58.497700000000002</c:v>
                </c:pt>
                <c:pt idx="145">
                  <c:v>58.9054</c:v>
                </c:pt>
                <c:pt idx="146">
                  <c:v>59.312600000000003</c:v>
                </c:pt>
                <c:pt idx="147">
                  <c:v>59.716200000000001</c:v>
                </c:pt>
                <c:pt idx="148">
                  <c:v>60.123100000000001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62.069200000000002</c:v>
                </c:pt>
                <c:pt idx="1">
                  <c:v>61.2958</c:v>
                </c:pt>
                <c:pt idx="2">
                  <c:v>60.430799999999998</c:v>
                </c:pt>
                <c:pt idx="3">
                  <c:v>59.648400000000002</c:v>
                </c:pt>
                <c:pt idx="4">
                  <c:v>58.707000000000001</c:v>
                </c:pt>
                <c:pt idx="5">
                  <c:v>57.65</c:v>
                </c:pt>
                <c:pt idx="6">
                  <c:v>56.593499999999999</c:v>
                </c:pt>
                <c:pt idx="7">
                  <c:v>55.524399999999993</c:v>
                </c:pt>
                <c:pt idx="8">
                  <c:v>54.309300000000007</c:v>
                </c:pt>
                <c:pt idx="9">
                  <c:v>53.019099999999995</c:v>
                </c:pt>
                <c:pt idx="10">
                  <c:v>51.636299999999999</c:v>
                </c:pt>
                <c:pt idx="11">
                  <c:v>50.146900000000002</c:v>
                </c:pt>
                <c:pt idx="12">
                  <c:v>48.781200000000005</c:v>
                </c:pt>
                <c:pt idx="13">
                  <c:v>47.614600000000003</c:v>
                </c:pt>
                <c:pt idx="14">
                  <c:v>46.504200000000004</c:v>
                </c:pt>
                <c:pt idx="15">
                  <c:v>45.436500000000002</c:v>
                </c:pt>
                <c:pt idx="16">
                  <c:v>44.4803</c:v>
                </c:pt>
                <c:pt idx="17">
                  <c:v>43.706200000000003</c:v>
                </c:pt>
                <c:pt idx="18">
                  <c:v>43.162800000000004</c:v>
                </c:pt>
                <c:pt idx="19">
                  <c:v>42.773000000000003</c:v>
                </c:pt>
                <c:pt idx="20">
                  <c:v>42.496899999999997</c:v>
                </c:pt>
                <c:pt idx="21">
                  <c:v>42.407499999999999</c:v>
                </c:pt>
                <c:pt idx="22">
                  <c:v>42.4709</c:v>
                </c:pt>
                <c:pt idx="23">
                  <c:v>42.765000000000001</c:v>
                </c:pt>
                <c:pt idx="24">
                  <c:v>43.076700000000002</c:v>
                </c:pt>
                <c:pt idx="25">
                  <c:v>43.421399999999998</c:v>
                </c:pt>
                <c:pt idx="26">
                  <c:v>43.775500000000001</c:v>
                </c:pt>
                <c:pt idx="27">
                  <c:v>44.1355</c:v>
                </c:pt>
                <c:pt idx="28">
                  <c:v>44.45</c:v>
                </c:pt>
                <c:pt idx="29">
                  <c:v>44.776700000000005</c:v>
                </c:pt>
                <c:pt idx="30">
                  <c:v>45.078200000000002</c:v>
                </c:pt>
                <c:pt idx="31">
                  <c:v>45.319500000000005</c:v>
                </c:pt>
                <c:pt idx="32">
                  <c:v>45.512300000000003</c:v>
                </c:pt>
                <c:pt idx="33">
                  <c:v>45.691099999999999</c:v>
                </c:pt>
                <c:pt idx="34">
                  <c:v>45.783000000000001</c:v>
                </c:pt>
                <c:pt idx="35">
                  <c:v>45.8947</c:v>
                </c:pt>
                <c:pt idx="36">
                  <c:v>45.927299999999995</c:v>
                </c:pt>
                <c:pt idx="37">
                  <c:v>45.916699999999999</c:v>
                </c:pt>
                <c:pt idx="38">
                  <c:v>45.877000000000002</c:v>
                </c:pt>
                <c:pt idx="39">
                  <c:v>45.8598</c:v>
                </c:pt>
                <c:pt idx="40">
                  <c:v>45.807199999999995</c:v>
                </c:pt>
                <c:pt idx="41">
                  <c:v>45.746199999999995</c:v>
                </c:pt>
                <c:pt idx="42">
                  <c:v>45.718599999999995</c:v>
                </c:pt>
                <c:pt idx="43">
                  <c:v>45.723200000000006</c:v>
                </c:pt>
                <c:pt idx="44">
                  <c:v>45.707099999999997</c:v>
                </c:pt>
                <c:pt idx="45">
                  <c:v>45.7378</c:v>
                </c:pt>
                <c:pt idx="46">
                  <c:v>45.716000000000001</c:v>
                </c:pt>
                <c:pt idx="47">
                  <c:v>45.592500000000001</c:v>
                </c:pt>
                <c:pt idx="48">
                  <c:v>45.4983</c:v>
                </c:pt>
                <c:pt idx="49">
                  <c:v>45.447700000000005</c:v>
                </c:pt>
                <c:pt idx="50">
                  <c:v>45.379899999999999</c:v>
                </c:pt>
                <c:pt idx="51">
                  <c:v>45.3309</c:v>
                </c:pt>
                <c:pt idx="52">
                  <c:v>45.330199999999998</c:v>
                </c:pt>
                <c:pt idx="53">
                  <c:v>45.373400000000004</c:v>
                </c:pt>
                <c:pt idx="54">
                  <c:v>45.448</c:v>
                </c:pt>
                <c:pt idx="55">
                  <c:v>45.555399999999999</c:v>
                </c:pt>
                <c:pt idx="56">
                  <c:v>45.7149</c:v>
                </c:pt>
                <c:pt idx="57">
                  <c:v>45.963999999999999</c:v>
                </c:pt>
                <c:pt idx="58">
                  <c:v>46.270499999999998</c:v>
                </c:pt>
                <c:pt idx="59">
                  <c:v>46.640500000000003</c:v>
                </c:pt>
                <c:pt idx="60">
                  <c:v>46.922699999999999</c:v>
                </c:pt>
                <c:pt idx="61">
                  <c:v>47.209000000000003</c:v>
                </c:pt>
                <c:pt idx="62">
                  <c:v>47.491299999999995</c:v>
                </c:pt>
                <c:pt idx="63">
                  <c:v>47.772399999999998</c:v>
                </c:pt>
                <c:pt idx="64">
                  <c:v>47.993099999999998</c:v>
                </c:pt>
                <c:pt idx="65">
                  <c:v>48.2102</c:v>
                </c:pt>
                <c:pt idx="66">
                  <c:v>48.349399999999996</c:v>
                </c:pt>
                <c:pt idx="67">
                  <c:v>48.380400000000002</c:v>
                </c:pt>
                <c:pt idx="68">
                  <c:v>48.427500000000002</c:v>
                </c:pt>
                <c:pt idx="69">
                  <c:v>48.537999999999997</c:v>
                </c:pt>
                <c:pt idx="70">
                  <c:v>48.543100000000003</c:v>
                </c:pt>
                <c:pt idx="71">
                  <c:v>48.619800000000005</c:v>
                </c:pt>
                <c:pt idx="72">
                  <c:v>48.793100000000003</c:v>
                </c:pt>
                <c:pt idx="73">
                  <c:v>48.928600000000003</c:v>
                </c:pt>
                <c:pt idx="74">
                  <c:v>49.016799999999996</c:v>
                </c:pt>
                <c:pt idx="75">
                  <c:v>49.138300000000001</c:v>
                </c:pt>
                <c:pt idx="76">
                  <c:v>49.259100000000004</c:v>
                </c:pt>
                <c:pt idx="77">
                  <c:v>49.3444</c:v>
                </c:pt>
                <c:pt idx="78">
                  <c:v>49.3521</c:v>
                </c:pt>
                <c:pt idx="79">
                  <c:v>49.326799999999999</c:v>
                </c:pt>
                <c:pt idx="80">
                  <c:v>49.248199999999997</c:v>
                </c:pt>
                <c:pt idx="81">
                  <c:v>49.119700000000002</c:v>
                </c:pt>
                <c:pt idx="82">
                  <c:v>48.945699999999995</c:v>
                </c:pt>
                <c:pt idx="83">
                  <c:v>48.7194</c:v>
                </c:pt>
                <c:pt idx="84">
                  <c:v>48.4482</c:v>
                </c:pt>
                <c:pt idx="85">
                  <c:v>48.1646</c:v>
                </c:pt>
                <c:pt idx="86">
                  <c:v>47.846800000000002</c:v>
                </c:pt>
                <c:pt idx="87">
                  <c:v>47.478500000000004</c:v>
                </c:pt>
                <c:pt idx="88">
                  <c:v>47.120400000000004</c:v>
                </c:pt>
                <c:pt idx="89">
                  <c:v>46.853099999999998</c:v>
                </c:pt>
                <c:pt idx="90">
                  <c:v>46.607700000000001</c:v>
                </c:pt>
                <c:pt idx="91">
                  <c:v>46.432000000000002</c:v>
                </c:pt>
                <c:pt idx="92">
                  <c:v>46.292200000000001</c:v>
                </c:pt>
                <c:pt idx="93">
                  <c:v>46.138500000000001</c:v>
                </c:pt>
                <c:pt idx="94">
                  <c:v>45.922899999999998</c:v>
                </c:pt>
                <c:pt idx="95">
                  <c:v>45.802199999999999</c:v>
                </c:pt>
                <c:pt idx="96">
                  <c:v>45.704299999999996</c:v>
                </c:pt>
                <c:pt idx="97">
                  <c:v>45.650600000000004</c:v>
                </c:pt>
                <c:pt idx="98">
                  <c:v>45.585799999999999</c:v>
                </c:pt>
                <c:pt idx="99">
                  <c:v>45.479199999999999</c:v>
                </c:pt>
                <c:pt idx="100">
                  <c:v>45.389600000000002</c:v>
                </c:pt>
                <c:pt idx="101">
                  <c:v>45.381899999999995</c:v>
                </c:pt>
                <c:pt idx="102">
                  <c:v>45.358800000000002</c:v>
                </c:pt>
                <c:pt idx="103">
                  <c:v>45.330799999999996</c:v>
                </c:pt>
                <c:pt idx="104">
                  <c:v>45.241799999999998</c:v>
                </c:pt>
                <c:pt idx="105">
                  <c:v>45.155899999999995</c:v>
                </c:pt>
                <c:pt idx="106">
                  <c:v>45.075500000000005</c:v>
                </c:pt>
                <c:pt idx="107">
                  <c:v>44.971200000000003</c:v>
                </c:pt>
                <c:pt idx="108">
                  <c:v>44.836500000000001</c:v>
                </c:pt>
                <c:pt idx="109">
                  <c:v>44.791699999999999</c:v>
                </c:pt>
                <c:pt idx="110">
                  <c:v>44.822899999999997</c:v>
                </c:pt>
                <c:pt idx="111">
                  <c:v>44.9099</c:v>
                </c:pt>
                <c:pt idx="112">
                  <c:v>44.972999999999999</c:v>
                </c:pt>
                <c:pt idx="113">
                  <c:v>45.020600000000002</c:v>
                </c:pt>
                <c:pt idx="114">
                  <c:v>45.053899999999999</c:v>
                </c:pt>
                <c:pt idx="115">
                  <c:v>45.164700000000003</c:v>
                </c:pt>
                <c:pt idx="116">
                  <c:v>45.303199999999997</c:v>
                </c:pt>
                <c:pt idx="117">
                  <c:v>45.4527</c:v>
                </c:pt>
                <c:pt idx="118">
                  <c:v>45.6511</c:v>
                </c:pt>
                <c:pt idx="119">
                  <c:v>45.901599999999995</c:v>
                </c:pt>
                <c:pt idx="120">
                  <c:v>46.160600000000002</c:v>
                </c:pt>
                <c:pt idx="121">
                  <c:v>46.276600000000002</c:v>
                </c:pt>
                <c:pt idx="122">
                  <c:v>46.319000000000003</c:v>
                </c:pt>
                <c:pt idx="123">
                  <c:v>46.247799999999998</c:v>
                </c:pt>
                <c:pt idx="124">
                  <c:v>46.171099999999996</c:v>
                </c:pt>
                <c:pt idx="125">
                  <c:v>46.227699999999999</c:v>
                </c:pt>
                <c:pt idx="126">
                  <c:v>46.278200000000005</c:v>
                </c:pt>
                <c:pt idx="127">
                  <c:v>46.317399999999999</c:v>
                </c:pt>
                <c:pt idx="128">
                  <c:v>46.383299999999998</c:v>
                </c:pt>
                <c:pt idx="129">
                  <c:v>46.489100000000001</c:v>
                </c:pt>
                <c:pt idx="130">
                  <c:v>46.602700000000006</c:v>
                </c:pt>
                <c:pt idx="131">
                  <c:v>46.724800000000002</c:v>
                </c:pt>
                <c:pt idx="132">
                  <c:v>46.894599999999997</c:v>
                </c:pt>
                <c:pt idx="133">
                  <c:v>47.081899999999997</c:v>
                </c:pt>
                <c:pt idx="134">
                  <c:v>47.222099999999998</c:v>
                </c:pt>
                <c:pt idx="135">
                  <c:v>47.2986</c:v>
                </c:pt>
                <c:pt idx="136">
                  <c:v>47.3748</c:v>
                </c:pt>
                <c:pt idx="137">
                  <c:v>47.523700000000005</c:v>
                </c:pt>
                <c:pt idx="138">
                  <c:v>47.661500000000004</c:v>
                </c:pt>
                <c:pt idx="139">
                  <c:v>47.801100000000005</c:v>
                </c:pt>
                <c:pt idx="140">
                  <c:v>47.821100000000001</c:v>
                </c:pt>
                <c:pt idx="141">
                  <c:v>47.6417</c:v>
                </c:pt>
                <c:pt idx="142">
                  <c:v>47.311799999999998</c:v>
                </c:pt>
                <c:pt idx="143">
                  <c:v>46.922899999999998</c:v>
                </c:pt>
                <c:pt idx="144">
                  <c:v>46.303199999999997</c:v>
                </c:pt>
                <c:pt idx="145">
                  <c:v>45.164300000000004</c:v>
                </c:pt>
                <c:pt idx="146">
                  <c:v>44.203499999999998</c:v>
                </c:pt>
                <c:pt idx="147">
                  <c:v>42.893500000000003</c:v>
                </c:pt>
                <c:pt idx="148">
                  <c:v>41.230200000000004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0.40223999999999999</c:v>
                </c:pt>
                <c:pt idx="2">
                  <c:v>0.81081099999999995</c:v>
                </c:pt>
                <c:pt idx="3">
                  <c:v>1.2188300000000001</c:v>
                </c:pt>
                <c:pt idx="4">
                  <c:v>1.6246100000000001</c:v>
                </c:pt>
                <c:pt idx="5">
                  <c:v>2.0275099999999999</c:v>
                </c:pt>
                <c:pt idx="6">
                  <c:v>2.4357600000000001</c:v>
                </c:pt>
                <c:pt idx="7">
                  <c:v>2.8443900000000002</c:v>
                </c:pt>
                <c:pt idx="8">
                  <c:v>3.2472400000000001</c:v>
                </c:pt>
                <c:pt idx="9">
                  <c:v>3.65516</c:v>
                </c:pt>
                <c:pt idx="10">
                  <c:v>4.0600300000000002</c:v>
                </c:pt>
                <c:pt idx="11">
                  <c:v>4.4663300000000001</c:v>
                </c:pt>
                <c:pt idx="12">
                  <c:v>4.8699700000000004</c:v>
                </c:pt>
                <c:pt idx="13">
                  <c:v>5.2790600000000003</c:v>
                </c:pt>
                <c:pt idx="14">
                  <c:v>5.6866300000000001</c:v>
                </c:pt>
                <c:pt idx="15">
                  <c:v>6.0926200000000001</c:v>
                </c:pt>
                <c:pt idx="16">
                  <c:v>6.4965700000000002</c:v>
                </c:pt>
                <c:pt idx="17">
                  <c:v>6.9055</c:v>
                </c:pt>
                <c:pt idx="18">
                  <c:v>7.3116399999999997</c:v>
                </c:pt>
                <c:pt idx="19">
                  <c:v>7.7162600000000001</c:v>
                </c:pt>
                <c:pt idx="20">
                  <c:v>8.1252099999999992</c:v>
                </c:pt>
                <c:pt idx="21">
                  <c:v>8.5261099999999992</c:v>
                </c:pt>
                <c:pt idx="22">
                  <c:v>8.9349900000000009</c:v>
                </c:pt>
                <c:pt idx="23">
                  <c:v>9.3429400000000005</c:v>
                </c:pt>
                <c:pt idx="24">
                  <c:v>9.7488799999999998</c:v>
                </c:pt>
                <c:pt idx="25">
                  <c:v>10.1538</c:v>
                </c:pt>
                <c:pt idx="26">
                  <c:v>10.5596</c:v>
                </c:pt>
                <c:pt idx="27">
                  <c:v>10.9657</c:v>
                </c:pt>
                <c:pt idx="28">
                  <c:v>11.374499999999999</c:v>
                </c:pt>
                <c:pt idx="29">
                  <c:v>11.7805</c:v>
                </c:pt>
                <c:pt idx="30">
                  <c:v>12.1853</c:v>
                </c:pt>
                <c:pt idx="31">
                  <c:v>12.591200000000001</c:v>
                </c:pt>
                <c:pt idx="32">
                  <c:v>12.9962</c:v>
                </c:pt>
                <c:pt idx="33">
                  <c:v>13.404299999999999</c:v>
                </c:pt>
                <c:pt idx="34">
                  <c:v>13.808999999999999</c:v>
                </c:pt>
                <c:pt idx="35">
                  <c:v>14.212400000000001</c:v>
                </c:pt>
                <c:pt idx="36">
                  <c:v>14.620799999999999</c:v>
                </c:pt>
                <c:pt idx="37">
                  <c:v>15.0267</c:v>
                </c:pt>
                <c:pt idx="38">
                  <c:v>15.435600000000001</c:v>
                </c:pt>
                <c:pt idx="39">
                  <c:v>15.839600000000001</c:v>
                </c:pt>
                <c:pt idx="40">
                  <c:v>16.246200000000002</c:v>
                </c:pt>
                <c:pt idx="41">
                  <c:v>16.657299999999999</c:v>
                </c:pt>
                <c:pt idx="42">
                  <c:v>17.061399999999999</c:v>
                </c:pt>
                <c:pt idx="43">
                  <c:v>17.467199999999998</c:v>
                </c:pt>
                <c:pt idx="44">
                  <c:v>17.868099999999998</c:v>
                </c:pt>
                <c:pt idx="45">
                  <c:v>18.2742</c:v>
                </c:pt>
                <c:pt idx="46">
                  <c:v>18.684000000000001</c:v>
                </c:pt>
                <c:pt idx="47">
                  <c:v>19.093900000000001</c:v>
                </c:pt>
                <c:pt idx="48">
                  <c:v>19.495899999999999</c:v>
                </c:pt>
                <c:pt idx="49">
                  <c:v>19.909800000000001</c:v>
                </c:pt>
                <c:pt idx="50">
                  <c:v>20.309200000000001</c:v>
                </c:pt>
                <c:pt idx="51">
                  <c:v>20.718499999999999</c:v>
                </c:pt>
                <c:pt idx="52">
                  <c:v>21.121400000000001</c:v>
                </c:pt>
                <c:pt idx="53">
                  <c:v>21.528700000000001</c:v>
                </c:pt>
                <c:pt idx="54">
                  <c:v>21.9343</c:v>
                </c:pt>
                <c:pt idx="55">
                  <c:v>22.340299999999999</c:v>
                </c:pt>
                <c:pt idx="56">
                  <c:v>22.751000000000001</c:v>
                </c:pt>
                <c:pt idx="57">
                  <c:v>23.152899999999999</c:v>
                </c:pt>
                <c:pt idx="58">
                  <c:v>23.559799999999999</c:v>
                </c:pt>
                <c:pt idx="59">
                  <c:v>23.964600000000001</c:v>
                </c:pt>
                <c:pt idx="60">
                  <c:v>24.368500000000001</c:v>
                </c:pt>
                <c:pt idx="61">
                  <c:v>24.776399999999999</c:v>
                </c:pt>
                <c:pt idx="62">
                  <c:v>25.185600000000001</c:v>
                </c:pt>
                <c:pt idx="63">
                  <c:v>25.592400000000001</c:v>
                </c:pt>
                <c:pt idx="64">
                  <c:v>25.996400000000001</c:v>
                </c:pt>
                <c:pt idx="65">
                  <c:v>26.4025</c:v>
                </c:pt>
                <c:pt idx="66">
                  <c:v>26.808199999999999</c:v>
                </c:pt>
                <c:pt idx="67">
                  <c:v>27.214200000000002</c:v>
                </c:pt>
                <c:pt idx="68">
                  <c:v>27.625</c:v>
                </c:pt>
                <c:pt idx="69">
                  <c:v>28.024899999999999</c:v>
                </c:pt>
                <c:pt idx="70">
                  <c:v>28.430800000000001</c:v>
                </c:pt>
                <c:pt idx="71">
                  <c:v>28.844999999999999</c:v>
                </c:pt>
                <c:pt idx="72">
                  <c:v>29.246700000000001</c:v>
                </c:pt>
                <c:pt idx="73">
                  <c:v>29.6526</c:v>
                </c:pt>
                <c:pt idx="74">
                  <c:v>30.057500000000001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62.069200000000002</c:v>
                </c:pt>
                <c:pt idx="1">
                  <c:v>61.2958</c:v>
                </c:pt>
                <c:pt idx="2">
                  <c:v>60.430799999999998</c:v>
                </c:pt>
                <c:pt idx="3">
                  <c:v>59.648400000000002</c:v>
                </c:pt>
                <c:pt idx="4">
                  <c:v>58.707000000000001</c:v>
                </c:pt>
                <c:pt idx="5">
                  <c:v>57.65</c:v>
                </c:pt>
                <c:pt idx="6">
                  <c:v>56.593499999999999</c:v>
                </c:pt>
                <c:pt idx="7">
                  <c:v>55.524399999999993</c:v>
                </c:pt>
                <c:pt idx="8">
                  <c:v>54.309300000000007</c:v>
                </c:pt>
                <c:pt idx="9">
                  <c:v>53.019099999999995</c:v>
                </c:pt>
                <c:pt idx="10">
                  <c:v>51.636299999999999</c:v>
                </c:pt>
                <c:pt idx="11">
                  <c:v>50.146900000000002</c:v>
                </c:pt>
                <c:pt idx="12">
                  <c:v>48.781200000000005</c:v>
                </c:pt>
                <c:pt idx="13">
                  <c:v>47.614600000000003</c:v>
                </c:pt>
                <c:pt idx="14">
                  <c:v>46.504200000000004</c:v>
                </c:pt>
                <c:pt idx="15">
                  <c:v>45.436500000000002</c:v>
                </c:pt>
                <c:pt idx="16">
                  <c:v>44.4803</c:v>
                </c:pt>
                <c:pt idx="17">
                  <c:v>43.706200000000003</c:v>
                </c:pt>
                <c:pt idx="18">
                  <c:v>43.162800000000004</c:v>
                </c:pt>
                <c:pt idx="19">
                  <c:v>42.773000000000003</c:v>
                </c:pt>
                <c:pt idx="20">
                  <c:v>42.496899999999997</c:v>
                </c:pt>
                <c:pt idx="21">
                  <c:v>42.407499999999999</c:v>
                </c:pt>
                <c:pt idx="22">
                  <c:v>42.4709</c:v>
                </c:pt>
                <c:pt idx="23">
                  <c:v>42.765000000000001</c:v>
                </c:pt>
                <c:pt idx="24">
                  <c:v>43.076700000000002</c:v>
                </c:pt>
                <c:pt idx="25">
                  <c:v>43.421399999999998</c:v>
                </c:pt>
                <c:pt idx="26">
                  <c:v>43.775500000000001</c:v>
                </c:pt>
                <c:pt idx="27">
                  <c:v>44.1355</c:v>
                </c:pt>
                <c:pt idx="28">
                  <c:v>44.45</c:v>
                </c:pt>
                <c:pt idx="29">
                  <c:v>44.776700000000005</c:v>
                </c:pt>
                <c:pt idx="30">
                  <c:v>45.078200000000002</c:v>
                </c:pt>
                <c:pt idx="31">
                  <c:v>45.319500000000005</c:v>
                </c:pt>
                <c:pt idx="32">
                  <c:v>45.512300000000003</c:v>
                </c:pt>
                <c:pt idx="33">
                  <c:v>45.691099999999999</c:v>
                </c:pt>
                <c:pt idx="34">
                  <c:v>45.783000000000001</c:v>
                </c:pt>
                <c:pt idx="35">
                  <c:v>45.8947</c:v>
                </c:pt>
                <c:pt idx="36">
                  <c:v>45.927299999999995</c:v>
                </c:pt>
                <c:pt idx="37">
                  <c:v>45.916699999999999</c:v>
                </c:pt>
                <c:pt idx="38">
                  <c:v>45.877000000000002</c:v>
                </c:pt>
                <c:pt idx="39">
                  <c:v>45.8598</c:v>
                </c:pt>
                <c:pt idx="40">
                  <c:v>45.807199999999995</c:v>
                </c:pt>
                <c:pt idx="41">
                  <c:v>45.746199999999995</c:v>
                </c:pt>
                <c:pt idx="42">
                  <c:v>45.718599999999995</c:v>
                </c:pt>
                <c:pt idx="43">
                  <c:v>45.723200000000006</c:v>
                </c:pt>
                <c:pt idx="44">
                  <c:v>45.707099999999997</c:v>
                </c:pt>
                <c:pt idx="45">
                  <c:v>45.7378</c:v>
                </c:pt>
                <c:pt idx="46">
                  <c:v>45.716000000000001</c:v>
                </c:pt>
                <c:pt idx="47">
                  <c:v>45.592500000000001</c:v>
                </c:pt>
                <c:pt idx="48">
                  <c:v>45.4983</c:v>
                </c:pt>
                <c:pt idx="49">
                  <c:v>45.447700000000005</c:v>
                </c:pt>
                <c:pt idx="50">
                  <c:v>45.379899999999999</c:v>
                </c:pt>
                <c:pt idx="51">
                  <c:v>45.3309</c:v>
                </c:pt>
                <c:pt idx="52">
                  <c:v>45.330199999999998</c:v>
                </c:pt>
                <c:pt idx="53">
                  <c:v>45.373400000000004</c:v>
                </c:pt>
                <c:pt idx="54">
                  <c:v>45.448</c:v>
                </c:pt>
                <c:pt idx="55">
                  <c:v>45.555399999999999</c:v>
                </c:pt>
                <c:pt idx="56">
                  <c:v>45.7149</c:v>
                </c:pt>
                <c:pt idx="57">
                  <c:v>45.963999999999999</c:v>
                </c:pt>
                <c:pt idx="58">
                  <c:v>46.270499999999998</c:v>
                </c:pt>
                <c:pt idx="59">
                  <c:v>46.640500000000003</c:v>
                </c:pt>
                <c:pt idx="60">
                  <c:v>46.922699999999999</c:v>
                </c:pt>
                <c:pt idx="61">
                  <c:v>47.209000000000003</c:v>
                </c:pt>
                <c:pt idx="62">
                  <c:v>47.491299999999995</c:v>
                </c:pt>
                <c:pt idx="63">
                  <c:v>47.772399999999998</c:v>
                </c:pt>
                <c:pt idx="64">
                  <c:v>47.993099999999998</c:v>
                </c:pt>
                <c:pt idx="65">
                  <c:v>48.2102</c:v>
                </c:pt>
                <c:pt idx="66">
                  <c:v>48.349399999999996</c:v>
                </c:pt>
                <c:pt idx="67">
                  <c:v>48.380400000000002</c:v>
                </c:pt>
                <c:pt idx="68">
                  <c:v>48.427500000000002</c:v>
                </c:pt>
                <c:pt idx="69">
                  <c:v>48.537999999999997</c:v>
                </c:pt>
                <c:pt idx="70">
                  <c:v>48.543100000000003</c:v>
                </c:pt>
                <c:pt idx="71">
                  <c:v>48.619800000000005</c:v>
                </c:pt>
                <c:pt idx="72">
                  <c:v>48.793100000000003</c:v>
                </c:pt>
                <c:pt idx="73">
                  <c:v>48.928600000000003</c:v>
                </c:pt>
                <c:pt idx="74">
                  <c:v>49.016799999999996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30.057500000000001</c:v>
                </c:pt>
                <c:pt idx="1">
                  <c:v>30.465599999999998</c:v>
                </c:pt>
                <c:pt idx="2">
                  <c:v>30.876300000000001</c:v>
                </c:pt>
                <c:pt idx="3">
                  <c:v>31.278600000000001</c:v>
                </c:pt>
                <c:pt idx="4">
                  <c:v>31.68</c:v>
                </c:pt>
                <c:pt idx="5">
                  <c:v>32.091099999999997</c:v>
                </c:pt>
                <c:pt idx="6">
                  <c:v>32.497100000000003</c:v>
                </c:pt>
                <c:pt idx="7">
                  <c:v>32.902900000000002</c:v>
                </c:pt>
                <c:pt idx="8">
                  <c:v>33.312100000000001</c:v>
                </c:pt>
                <c:pt idx="9">
                  <c:v>33.717700000000001</c:v>
                </c:pt>
                <c:pt idx="10">
                  <c:v>34.124600000000001</c:v>
                </c:pt>
                <c:pt idx="11">
                  <c:v>34.5276</c:v>
                </c:pt>
                <c:pt idx="12">
                  <c:v>34.933199999999999</c:v>
                </c:pt>
                <c:pt idx="13">
                  <c:v>35.340400000000002</c:v>
                </c:pt>
                <c:pt idx="14">
                  <c:v>35.751399999999997</c:v>
                </c:pt>
                <c:pt idx="15">
                  <c:v>36.153100000000002</c:v>
                </c:pt>
                <c:pt idx="16">
                  <c:v>36.557099999999998</c:v>
                </c:pt>
                <c:pt idx="17">
                  <c:v>36.962699999999998</c:v>
                </c:pt>
                <c:pt idx="18">
                  <c:v>37.371000000000002</c:v>
                </c:pt>
                <c:pt idx="19">
                  <c:v>37.78</c:v>
                </c:pt>
                <c:pt idx="20">
                  <c:v>38.184800000000003</c:v>
                </c:pt>
                <c:pt idx="21">
                  <c:v>38.590699999999998</c:v>
                </c:pt>
                <c:pt idx="22">
                  <c:v>38.997300000000003</c:v>
                </c:pt>
                <c:pt idx="23">
                  <c:v>39.403500000000001</c:v>
                </c:pt>
                <c:pt idx="24">
                  <c:v>39.804900000000004</c:v>
                </c:pt>
                <c:pt idx="25">
                  <c:v>40.214700000000001</c:v>
                </c:pt>
                <c:pt idx="26">
                  <c:v>40.624299999999998</c:v>
                </c:pt>
                <c:pt idx="27">
                  <c:v>41.031199999999998</c:v>
                </c:pt>
                <c:pt idx="28">
                  <c:v>41.435099999999998</c:v>
                </c:pt>
                <c:pt idx="29">
                  <c:v>41.841099999999997</c:v>
                </c:pt>
                <c:pt idx="30">
                  <c:v>42.247</c:v>
                </c:pt>
                <c:pt idx="31">
                  <c:v>42.652799999999999</c:v>
                </c:pt>
                <c:pt idx="32">
                  <c:v>43.060699999999997</c:v>
                </c:pt>
                <c:pt idx="33">
                  <c:v>43.467700000000001</c:v>
                </c:pt>
                <c:pt idx="34">
                  <c:v>43.874699999999997</c:v>
                </c:pt>
                <c:pt idx="35">
                  <c:v>44.279499999999999</c:v>
                </c:pt>
                <c:pt idx="36">
                  <c:v>44.684399999999997</c:v>
                </c:pt>
                <c:pt idx="37">
                  <c:v>45.093200000000003</c:v>
                </c:pt>
                <c:pt idx="38">
                  <c:v>45.501199999999997</c:v>
                </c:pt>
                <c:pt idx="39">
                  <c:v>45.9009</c:v>
                </c:pt>
                <c:pt idx="40">
                  <c:v>46.306899999999999</c:v>
                </c:pt>
                <c:pt idx="41">
                  <c:v>46.713099999999997</c:v>
                </c:pt>
                <c:pt idx="42">
                  <c:v>47.1248</c:v>
                </c:pt>
                <c:pt idx="43">
                  <c:v>47.529800000000002</c:v>
                </c:pt>
                <c:pt idx="44">
                  <c:v>47.933799999999998</c:v>
                </c:pt>
                <c:pt idx="45">
                  <c:v>48.3416</c:v>
                </c:pt>
                <c:pt idx="46">
                  <c:v>48.743499999999997</c:v>
                </c:pt>
                <c:pt idx="47">
                  <c:v>49.153100000000002</c:v>
                </c:pt>
                <c:pt idx="48">
                  <c:v>49.560299999999998</c:v>
                </c:pt>
                <c:pt idx="49">
                  <c:v>49.965299999999999</c:v>
                </c:pt>
                <c:pt idx="50">
                  <c:v>50.371299999999998</c:v>
                </c:pt>
                <c:pt idx="51">
                  <c:v>50.78</c:v>
                </c:pt>
                <c:pt idx="52">
                  <c:v>51.184899999999999</c:v>
                </c:pt>
                <c:pt idx="53">
                  <c:v>51.5929</c:v>
                </c:pt>
                <c:pt idx="54">
                  <c:v>51.995899999999999</c:v>
                </c:pt>
                <c:pt idx="55">
                  <c:v>52.402799999999999</c:v>
                </c:pt>
                <c:pt idx="56">
                  <c:v>52.814700000000002</c:v>
                </c:pt>
                <c:pt idx="57">
                  <c:v>53.2196</c:v>
                </c:pt>
                <c:pt idx="58">
                  <c:v>53.621499999999997</c:v>
                </c:pt>
                <c:pt idx="59">
                  <c:v>54.026400000000002</c:v>
                </c:pt>
                <c:pt idx="60">
                  <c:v>54.433199999999999</c:v>
                </c:pt>
                <c:pt idx="61">
                  <c:v>54.839100000000002</c:v>
                </c:pt>
                <c:pt idx="62">
                  <c:v>55.247999999999998</c:v>
                </c:pt>
                <c:pt idx="63">
                  <c:v>55.652000000000001</c:v>
                </c:pt>
                <c:pt idx="64">
                  <c:v>56.059899999999999</c:v>
                </c:pt>
                <c:pt idx="65">
                  <c:v>56.4664</c:v>
                </c:pt>
                <c:pt idx="66">
                  <c:v>56.871899999999997</c:v>
                </c:pt>
                <c:pt idx="67">
                  <c:v>57.279000000000003</c:v>
                </c:pt>
                <c:pt idx="68">
                  <c:v>57.6828</c:v>
                </c:pt>
                <c:pt idx="69">
                  <c:v>58.090600000000002</c:v>
                </c:pt>
                <c:pt idx="70">
                  <c:v>58.497700000000002</c:v>
                </c:pt>
                <c:pt idx="71">
                  <c:v>58.9054</c:v>
                </c:pt>
                <c:pt idx="72">
                  <c:v>59.312600000000003</c:v>
                </c:pt>
                <c:pt idx="73">
                  <c:v>59.716200000000001</c:v>
                </c:pt>
                <c:pt idx="74">
                  <c:v>60.123100000000001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49.016799999999996</c:v>
                </c:pt>
                <c:pt idx="1">
                  <c:v>49.138300000000001</c:v>
                </c:pt>
                <c:pt idx="2">
                  <c:v>49.259100000000004</c:v>
                </c:pt>
                <c:pt idx="3">
                  <c:v>49.3444</c:v>
                </c:pt>
                <c:pt idx="4">
                  <c:v>49.3521</c:v>
                </c:pt>
                <c:pt idx="5">
                  <c:v>49.326799999999999</c:v>
                </c:pt>
                <c:pt idx="6">
                  <c:v>49.248199999999997</c:v>
                </c:pt>
                <c:pt idx="7">
                  <c:v>49.119700000000002</c:v>
                </c:pt>
                <c:pt idx="8">
                  <c:v>48.945699999999995</c:v>
                </c:pt>
                <c:pt idx="9">
                  <c:v>48.7194</c:v>
                </c:pt>
                <c:pt idx="10">
                  <c:v>48.4482</c:v>
                </c:pt>
                <c:pt idx="11">
                  <c:v>48.1646</c:v>
                </c:pt>
                <c:pt idx="12">
                  <c:v>47.846800000000002</c:v>
                </c:pt>
                <c:pt idx="13">
                  <c:v>47.478500000000004</c:v>
                </c:pt>
                <c:pt idx="14">
                  <c:v>47.120400000000004</c:v>
                </c:pt>
                <c:pt idx="15">
                  <c:v>46.853099999999998</c:v>
                </c:pt>
                <c:pt idx="16">
                  <c:v>46.607700000000001</c:v>
                </c:pt>
                <c:pt idx="17">
                  <c:v>46.432000000000002</c:v>
                </c:pt>
                <c:pt idx="18">
                  <c:v>46.292200000000001</c:v>
                </c:pt>
                <c:pt idx="19">
                  <c:v>46.138500000000001</c:v>
                </c:pt>
                <c:pt idx="20">
                  <c:v>45.922899999999998</c:v>
                </c:pt>
                <c:pt idx="21">
                  <c:v>45.802199999999999</c:v>
                </c:pt>
                <c:pt idx="22">
                  <c:v>45.704299999999996</c:v>
                </c:pt>
                <c:pt idx="23">
                  <c:v>45.650600000000004</c:v>
                </c:pt>
                <c:pt idx="24">
                  <c:v>45.585799999999999</c:v>
                </c:pt>
                <c:pt idx="25">
                  <c:v>45.479199999999999</c:v>
                </c:pt>
                <c:pt idx="26">
                  <c:v>45.389600000000002</c:v>
                </c:pt>
                <c:pt idx="27">
                  <c:v>45.381899999999995</c:v>
                </c:pt>
                <c:pt idx="28">
                  <c:v>45.358800000000002</c:v>
                </c:pt>
                <c:pt idx="29">
                  <c:v>45.330799999999996</c:v>
                </c:pt>
                <c:pt idx="30">
                  <c:v>45.241799999999998</c:v>
                </c:pt>
                <c:pt idx="31">
                  <c:v>45.155899999999995</c:v>
                </c:pt>
                <c:pt idx="32">
                  <c:v>45.075500000000005</c:v>
                </c:pt>
                <c:pt idx="33">
                  <c:v>44.971200000000003</c:v>
                </c:pt>
                <c:pt idx="34">
                  <c:v>44.836500000000001</c:v>
                </c:pt>
                <c:pt idx="35">
                  <c:v>44.791699999999999</c:v>
                </c:pt>
                <c:pt idx="36">
                  <c:v>44.822899999999997</c:v>
                </c:pt>
                <c:pt idx="37">
                  <c:v>44.9099</c:v>
                </c:pt>
                <c:pt idx="38">
                  <c:v>44.972999999999999</c:v>
                </c:pt>
                <c:pt idx="39">
                  <c:v>45.020600000000002</c:v>
                </c:pt>
                <c:pt idx="40">
                  <c:v>45.053899999999999</c:v>
                </c:pt>
                <c:pt idx="41">
                  <c:v>45.164700000000003</c:v>
                </c:pt>
                <c:pt idx="42">
                  <c:v>45.303199999999997</c:v>
                </c:pt>
                <c:pt idx="43">
                  <c:v>45.4527</c:v>
                </c:pt>
                <c:pt idx="44">
                  <c:v>45.6511</c:v>
                </c:pt>
                <c:pt idx="45">
                  <c:v>45.901599999999995</c:v>
                </c:pt>
                <c:pt idx="46">
                  <c:v>46.160600000000002</c:v>
                </c:pt>
                <c:pt idx="47">
                  <c:v>46.276600000000002</c:v>
                </c:pt>
                <c:pt idx="48">
                  <c:v>46.319000000000003</c:v>
                </c:pt>
                <c:pt idx="49">
                  <c:v>46.247799999999998</c:v>
                </c:pt>
                <c:pt idx="50">
                  <c:v>46.171099999999996</c:v>
                </c:pt>
                <c:pt idx="51">
                  <c:v>46.227699999999999</c:v>
                </c:pt>
                <c:pt idx="52">
                  <c:v>46.278200000000005</c:v>
                </c:pt>
                <c:pt idx="53">
                  <c:v>46.317399999999999</c:v>
                </c:pt>
                <c:pt idx="54">
                  <c:v>46.383299999999998</c:v>
                </c:pt>
                <c:pt idx="55">
                  <c:v>46.489100000000001</c:v>
                </c:pt>
                <c:pt idx="56">
                  <c:v>46.602700000000006</c:v>
                </c:pt>
                <c:pt idx="57">
                  <c:v>46.724800000000002</c:v>
                </c:pt>
                <c:pt idx="58">
                  <c:v>46.894599999999997</c:v>
                </c:pt>
                <c:pt idx="59">
                  <c:v>47.081899999999997</c:v>
                </c:pt>
                <c:pt idx="60">
                  <c:v>47.222099999999998</c:v>
                </c:pt>
                <c:pt idx="61">
                  <c:v>47.2986</c:v>
                </c:pt>
                <c:pt idx="62">
                  <c:v>47.3748</c:v>
                </c:pt>
                <c:pt idx="63">
                  <c:v>47.523700000000005</c:v>
                </c:pt>
                <c:pt idx="64">
                  <c:v>47.661500000000004</c:v>
                </c:pt>
                <c:pt idx="65">
                  <c:v>47.801100000000005</c:v>
                </c:pt>
                <c:pt idx="66">
                  <c:v>47.821100000000001</c:v>
                </c:pt>
                <c:pt idx="67">
                  <c:v>47.6417</c:v>
                </c:pt>
                <c:pt idx="68">
                  <c:v>47.311799999999998</c:v>
                </c:pt>
                <c:pt idx="69">
                  <c:v>46.922899999999998</c:v>
                </c:pt>
                <c:pt idx="70">
                  <c:v>46.303199999999997</c:v>
                </c:pt>
                <c:pt idx="71">
                  <c:v>45.164300000000004</c:v>
                </c:pt>
                <c:pt idx="72">
                  <c:v>44.203499999999998</c:v>
                </c:pt>
                <c:pt idx="73">
                  <c:v>42.893500000000003</c:v>
                </c:pt>
                <c:pt idx="74">
                  <c:v>41.230200000000004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15.030775</c:v>
                </c:pt>
                <c:pt idx="1">
                  <c:v>45.092325000000002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47.594677027027039</c:v>
                </c:pt>
                <c:pt idx="1">
                  <c:v>46.541937837837835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2.1490999999999998</c:v>
                </c:pt>
                <c:pt idx="1">
                  <c:v>2.2403999999999997</c:v>
                </c:pt>
                <c:pt idx="2">
                  <c:v>2.3350999999999997</c:v>
                </c:pt>
                <c:pt idx="3">
                  <c:v>2.4295200000000001</c:v>
                </c:pt>
                <c:pt idx="4">
                  <c:v>2.5268299999999999</c:v>
                </c:pt>
                <c:pt idx="5">
                  <c:v>2.6262999999999996</c:v>
                </c:pt>
                <c:pt idx="6">
                  <c:v>2.7262999999999997</c:v>
                </c:pt>
                <c:pt idx="7">
                  <c:v>2.82653</c:v>
                </c:pt>
                <c:pt idx="8">
                  <c:v>2.9226799999999997</c:v>
                </c:pt>
                <c:pt idx="9">
                  <c:v>3.01701</c:v>
                </c:pt>
                <c:pt idx="10">
                  <c:v>3.1152200000000003</c:v>
                </c:pt>
                <c:pt idx="11">
                  <c:v>3.2179899999999999</c:v>
                </c:pt>
                <c:pt idx="12">
                  <c:v>3.3200000000000003</c:v>
                </c:pt>
                <c:pt idx="13">
                  <c:v>3.4204499999999998</c:v>
                </c:pt>
                <c:pt idx="14">
                  <c:v>3.5218100000000003</c:v>
                </c:pt>
                <c:pt idx="15">
                  <c:v>3.6253600000000001</c:v>
                </c:pt>
                <c:pt idx="16">
                  <c:v>3.7297799999999999</c:v>
                </c:pt>
                <c:pt idx="17">
                  <c:v>3.8339299999999996</c:v>
                </c:pt>
                <c:pt idx="18">
                  <c:v>3.9344800000000002</c:v>
                </c:pt>
                <c:pt idx="19">
                  <c:v>4.0343200000000001</c:v>
                </c:pt>
                <c:pt idx="20">
                  <c:v>4.1314899999999994</c:v>
                </c:pt>
                <c:pt idx="21">
                  <c:v>4.2258000000000004</c:v>
                </c:pt>
                <c:pt idx="22">
                  <c:v>4.3187300000000004</c:v>
                </c:pt>
                <c:pt idx="23">
                  <c:v>4.4055299999999997</c:v>
                </c:pt>
                <c:pt idx="24">
                  <c:v>4.4896799999999999</c:v>
                </c:pt>
                <c:pt idx="25">
                  <c:v>4.5697399999999995</c:v>
                </c:pt>
                <c:pt idx="26">
                  <c:v>4.6458199999999996</c:v>
                </c:pt>
                <c:pt idx="27">
                  <c:v>4.71692</c:v>
                </c:pt>
                <c:pt idx="28">
                  <c:v>4.7866900000000001</c:v>
                </c:pt>
                <c:pt idx="29">
                  <c:v>4.8515899999999998</c:v>
                </c:pt>
                <c:pt idx="30">
                  <c:v>4.9118399999999998</c:v>
                </c:pt>
                <c:pt idx="31">
                  <c:v>4.9698500000000001</c:v>
                </c:pt>
                <c:pt idx="32">
                  <c:v>5.0249200000000007</c:v>
                </c:pt>
                <c:pt idx="33">
                  <c:v>5.0749900000000006</c:v>
                </c:pt>
                <c:pt idx="34">
                  <c:v>5.1176300000000001</c:v>
                </c:pt>
                <c:pt idx="35">
                  <c:v>5.154069999999999</c:v>
                </c:pt>
                <c:pt idx="36">
                  <c:v>5.1849100000000004</c:v>
                </c:pt>
                <c:pt idx="37">
                  <c:v>5.2142999999999997</c:v>
                </c:pt>
                <c:pt idx="38">
                  <c:v>5.2423099999999998</c:v>
                </c:pt>
                <c:pt idx="39">
                  <c:v>5.2658199999999997</c:v>
                </c:pt>
                <c:pt idx="40">
                  <c:v>5.2855100000000004</c:v>
                </c:pt>
                <c:pt idx="41">
                  <c:v>5.3019600000000002</c:v>
                </c:pt>
                <c:pt idx="42">
                  <c:v>5.31555</c:v>
                </c:pt>
                <c:pt idx="43">
                  <c:v>5.3305199999999999</c:v>
                </c:pt>
                <c:pt idx="44">
                  <c:v>5.3438499999999998</c:v>
                </c:pt>
                <c:pt idx="45">
                  <c:v>5.3539899999999996</c:v>
                </c:pt>
                <c:pt idx="46">
                  <c:v>5.36442</c:v>
                </c:pt>
                <c:pt idx="47">
                  <c:v>5.3725999999999994</c:v>
                </c:pt>
                <c:pt idx="48">
                  <c:v>5.3779200000000005</c:v>
                </c:pt>
                <c:pt idx="49">
                  <c:v>5.3783700000000003</c:v>
                </c:pt>
                <c:pt idx="50">
                  <c:v>5.3779900000000005</c:v>
                </c:pt>
                <c:pt idx="51">
                  <c:v>5.3779299999999992</c:v>
                </c:pt>
                <c:pt idx="52">
                  <c:v>5.3785000000000007</c:v>
                </c:pt>
                <c:pt idx="53">
                  <c:v>5.375259999999999</c:v>
                </c:pt>
                <c:pt idx="54">
                  <c:v>5.3705599999999993</c:v>
                </c:pt>
                <c:pt idx="55">
                  <c:v>5.3637500000000005</c:v>
                </c:pt>
                <c:pt idx="56">
                  <c:v>5.3544199999999993</c:v>
                </c:pt>
                <c:pt idx="57">
                  <c:v>5.3451599999999999</c:v>
                </c:pt>
                <c:pt idx="58">
                  <c:v>5.3358000000000008</c:v>
                </c:pt>
                <c:pt idx="59">
                  <c:v>5.3291900000000005</c:v>
                </c:pt>
                <c:pt idx="60">
                  <c:v>5.32273</c:v>
                </c:pt>
                <c:pt idx="61">
                  <c:v>5.3164699999999998</c:v>
                </c:pt>
                <c:pt idx="62">
                  <c:v>5.30694</c:v>
                </c:pt>
                <c:pt idx="63">
                  <c:v>5.29542</c:v>
                </c:pt>
                <c:pt idx="64">
                  <c:v>5.28559</c:v>
                </c:pt>
                <c:pt idx="65">
                  <c:v>5.2777700000000003</c:v>
                </c:pt>
                <c:pt idx="66">
                  <c:v>5.2685599999999999</c:v>
                </c:pt>
                <c:pt idx="67">
                  <c:v>5.2570499999999996</c:v>
                </c:pt>
                <c:pt idx="68">
                  <c:v>5.2426300000000001</c:v>
                </c:pt>
                <c:pt idx="69">
                  <c:v>5.2293799999999999</c:v>
                </c:pt>
                <c:pt idx="70">
                  <c:v>5.2185499999999996</c:v>
                </c:pt>
                <c:pt idx="71">
                  <c:v>5.2055199999999999</c:v>
                </c:pt>
                <c:pt idx="72">
                  <c:v>5.1929499999999997</c:v>
                </c:pt>
                <c:pt idx="73">
                  <c:v>5.1842299999999994</c:v>
                </c:pt>
                <c:pt idx="74">
                  <c:v>5.1777799999999994</c:v>
                </c:pt>
                <c:pt idx="75">
                  <c:v>5.1676699999999993</c:v>
                </c:pt>
                <c:pt idx="76">
                  <c:v>5.1556100000000002</c:v>
                </c:pt>
                <c:pt idx="77">
                  <c:v>5.1400100000000002</c:v>
                </c:pt>
                <c:pt idx="78">
                  <c:v>5.125</c:v>
                </c:pt>
                <c:pt idx="79">
                  <c:v>5.1120299999999999</c:v>
                </c:pt>
                <c:pt idx="80">
                  <c:v>5.1008399999999998</c:v>
                </c:pt>
                <c:pt idx="81">
                  <c:v>5.0895900000000003</c:v>
                </c:pt>
                <c:pt idx="82">
                  <c:v>5.0756999999999994</c:v>
                </c:pt>
                <c:pt idx="83">
                  <c:v>5.0613200000000003</c:v>
                </c:pt>
                <c:pt idx="84">
                  <c:v>5.0445500000000001</c:v>
                </c:pt>
                <c:pt idx="85">
                  <c:v>5.0309699999999999</c:v>
                </c:pt>
                <c:pt idx="86">
                  <c:v>5.0202200000000001</c:v>
                </c:pt>
                <c:pt idx="87">
                  <c:v>5.0111099999999995</c:v>
                </c:pt>
                <c:pt idx="88">
                  <c:v>5.0035499999999997</c:v>
                </c:pt>
                <c:pt idx="89">
                  <c:v>4.9947299999999997</c:v>
                </c:pt>
                <c:pt idx="90">
                  <c:v>4.9822499999999996</c:v>
                </c:pt>
                <c:pt idx="91">
                  <c:v>4.9709099999999999</c:v>
                </c:pt>
                <c:pt idx="92">
                  <c:v>4.9643700000000006</c:v>
                </c:pt>
                <c:pt idx="93">
                  <c:v>4.9573299999999998</c:v>
                </c:pt>
                <c:pt idx="94">
                  <c:v>4.9468300000000003</c:v>
                </c:pt>
                <c:pt idx="95">
                  <c:v>4.9337999999999997</c:v>
                </c:pt>
                <c:pt idx="96">
                  <c:v>4.9209399999999999</c:v>
                </c:pt>
                <c:pt idx="97">
                  <c:v>4.9086699999999999</c:v>
                </c:pt>
                <c:pt idx="98">
                  <c:v>4.8974099999999998</c:v>
                </c:pt>
                <c:pt idx="99">
                  <c:v>4.8915300000000004</c:v>
                </c:pt>
                <c:pt idx="100">
                  <c:v>4.8902800000000006</c:v>
                </c:pt>
                <c:pt idx="101">
                  <c:v>4.8870699999999996</c:v>
                </c:pt>
                <c:pt idx="102">
                  <c:v>4.8893399999999998</c:v>
                </c:pt>
                <c:pt idx="103">
                  <c:v>4.8943700000000003</c:v>
                </c:pt>
                <c:pt idx="104">
                  <c:v>4.9002299999999996</c:v>
                </c:pt>
                <c:pt idx="105">
                  <c:v>4.90733</c:v>
                </c:pt>
                <c:pt idx="106">
                  <c:v>4.9153900000000004</c:v>
                </c:pt>
                <c:pt idx="107">
                  <c:v>4.9243800000000002</c:v>
                </c:pt>
                <c:pt idx="108">
                  <c:v>4.9368699999999999</c:v>
                </c:pt>
                <c:pt idx="109">
                  <c:v>4.9541000000000004</c:v>
                </c:pt>
                <c:pt idx="110">
                  <c:v>4.97044</c:v>
                </c:pt>
                <c:pt idx="111">
                  <c:v>4.9833999999999996</c:v>
                </c:pt>
                <c:pt idx="112">
                  <c:v>4.9989299999999997</c:v>
                </c:pt>
                <c:pt idx="113">
                  <c:v>5.0175199999999993</c:v>
                </c:pt>
                <c:pt idx="114">
                  <c:v>5.0352100000000002</c:v>
                </c:pt>
                <c:pt idx="115">
                  <c:v>5.0522799999999997</c:v>
                </c:pt>
                <c:pt idx="116">
                  <c:v>5.0718100000000002</c:v>
                </c:pt>
                <c:pt idx="117">
                  <c:v>5.0911200000000001</c:v>
                </c:pt>
                <c:pt idx="118">
                  <c:v>5.1095999999999995</c:v>
                </c:pt>
                <c:pt idx="119">
                  <c:v>5.1295100000000007</c:v>
                </c:pt>
                <c:pt idx="120">
                  <c:v>5.1529699999999998</c:v>
                </c:pt>
                <c:pt idx="121">
                  <c:v>5.1769400000000001</c:v>
                </c:pt>
                <c:pt idx="122">
                  <c:v>5.2005299999999997</c:v>
                </c:pt>
                <c:pt idx="123">
                  <c:v>5.2225799999999998</c:v>
                </c:pt>
                <c:pt idx="124">
                  <c:v>5.2373400000000006</c:v>
                </c:pt>
                <c:pt idx="125">
                  <c:v>5.2465099999999998</c:v>
                </c:pt>
                <c:pt idx="126">
                  <c:v>5.25807</c:v>
                </c:pt>
                <c:pt idx="127">
                  <c:v>5.2685400000000007</c:v>
                </c:pt>
                <c:pt idx="128">
                  <c:v>5.278929999999999</c:v>
                </c:pt>
                <c:pt idx="129">
                  <c:v>5.2888599999999997</c:v>
                </c:pt>
                <c:pt idx="130">
                  <c:v>5.2990000000000004</c:v>
                </c:pt>
                <c:pt idx="131">
                  <c:v>5.3100400000000008</c:v>
                </c:pt>
                <c:pt idx="132">
                  <c:v>5.3223000000000003</c:v>
                </c:pt>
                <c:pt idx="133">
                  <c:v>5.3336799999999993</c:v>
                </c:pt>
                <c:pt idx="134">
                  <c:v>5.3431300000000004</c:v>
                </c:pt>
                <c:pt idx="135">
                  <c:v>5.3532400000000004</c:v>
                </c:pt>
                <c:pt idx="136">
                  <c:v>5.3668099999999992</c:v>
                </c:pt>
                <c:pt idx="137">
                  <c:v>5.3788100000000005</c:v>
                </c:pt>
                <c:pt idx="138">
                  <c:v>5.3869500000000006</c:v>
                </c:pt>
                <c:pt idx="139">
                  <c:v>5.3977900000000005</c:v>
                </c:pt>
                <c:pt idx="140">
                  <c:v>5.4114199999999997</c:v>
                </c:pt>
                <c:pt idx="141">
                  <c:v>5.4213399999999998</c:v>
                </c:pt>
                <c:pt idx="142">
                  <c:v>5.4292899999999999</c:v>
                </c:pt>
                <c:pt idx="143">
                  <c:v>5.4425699999999999</c:v>
                </c:pt>
                <c:pt idx="144">
                  <c:v>5.4555199999999999</c:v>
                </c:pt>
                <c:pt idx="145">
                  <c:v>5.4589600000000003</c:v>
                </c:pt>
                <c:pt idx="146">
                  <c:v>5.4628800000000002</c:v>
                </c:pt>
                <c:pt idx="147">
                  <c:v>5.4647299999999994</c:v>
                </c:pt>
                <c:pt idx="148">
                  <c:v>5.4813700000000001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62.069200000000002</c:v>
                </c:pt>
                <c:pt idx="1">
                  <c:v>61.2958</c:v>
                </c:pt>
                <c:pt idx="2">
                  <c:v>60.430799999999998</c:v>
                </c:pt>
                <c:pt idx="3">
                  <c:v>59.648400000000002</c:v>
                </c:pt>
                <c:pt idx="4">
                  <c:v>58.707000000000001</c:v>
                </c:pt>
                <c:pt idx="5">
                  <c:v>57.65</c:v>
                </c:pt>
                <c:pt idx="6">
                  <c:v>56.593499999999999</c:v>
                </c:pt>
                <c:pt idx="7">
                  <c:v>55.524399999999993</c:v>
                </c:pt>
                <c:pt idx="8">
                  <c:v>54.309300000000007</c:v>
                </c:pt>
                <c:pt idx="9">
                  <c:v>53.019099999999995</c:v>
                </c:pt>
                <c:pt idx="10">
                  <c:v>51.636299999999999</c:v>
                </c:pt>
                <c:pt idx="11">
                  <c:v>50.146900000000002</c:v>
                </c:pt>
                <c:pt idx="12">
                  <c:v>48.781200000000005</c:v>
                </c:pt>
                <c:pt idx="13">
                  <c:v>47.614600000000003</c:v>
                </c:pt>
                <c:pt idx="14">
                  <c:v>46.504200000000004</c:v>
                </c:pt>
                <c:pt idx="15">
                  <c:v>45.436500000000002</c:v>
                </c:pt>
                <c:pt idx="16">
                  <c:v>44.4803</c:v>
                </c:pt>
                <c:pt idx="17">
                  <c:v>43.706200000000003</c:v>
                </c:pt>
                <c:pt idx="18">
                  <c:v>43.162800000000004</c:v>
                </c:pt>
                <c:pt idx="19">
                  <c:v>42.773000000000003</c:v>
                </c:pt>
                <c:pt idx="20">
                  <c:v>42.496899999999997</c:v>
                </c:pt>
                <c:pt idx="21">
                  <c:v>42.407499999999999</c:v>
                </c:pt>
                <c:pt idx="22">
                  <c:v>42.4709</c:v>
                </c:pt>
                <c:pt idx="23">
                  <c:v>42.765000000000001</c:v>
                </c:pt>
                <c:pt idx="24">
                  <c:v>43.076700000000002</c:v>
                </c:pt>
                <c:pt idx="25">
                  <c:v>43.421399999999998</c:v>
                </c:pt>
                <c:pt idx="26">
                  <c:v>43.775500000000001</c:v>
                </c:pt>
                <c:pt idx="27">
                  <c:v>44.1355</c:v>
                </c:pt>
                <c:pt idx="28">
                  <c:v>44.45</c:v>
                </c:pt>
                <c:pt idx="29">
                  <c:v>44.776700000000005</c:v>
                </c:pt>
                <c:pt idx="30">
                  <c:v>45.078200000000002</c:v>
                </c:pt>
                <c:pt idx="31">
                  <c:v>45.319500000000005</c:v>
                </c:pt>
                <c:pt idx="32">
                  <c:v>45.512300000000003</c:v>
                </c:pt>
                <c:pt idx="33">
                  <c:v>45.691099999999999</c:v>
                </c:pt>
                <c:pt idx="34">
                  <c:v>45.783000000000001</c:v>
                </c:pt>
                <c:pt idx="35">
                  <c:v>45.8947</c:v>
                </c:pt>
                <c:pt idx="36">
                  <c:v>45.927299999999995</c:v>
                </c:pt>
                <c:pt idx="37">
                  <c:v>45.916699999999999</c:v>
                </c:pt>
                <c:pt idx="38">
                  <c:v>45.877000000000002</c:v>
                </c:pt>
                <c:pt idx="39">
                  <c:v>45.8598</c:v>
                </c:pt>
                <c:pt idx="40">
                  <c:v>45.807199999999995</c:v>
                </c:pt>
                <c:pt idx="41">
                  <c:v>45.746199999999995</c:v>
                </c:pt>
                <c:pt idx="42">
                  <c:v>45.718599999999995</c:v>
                </c:pt>
                <c:pt idx="43">
                  <c:v>45.723200000000006</c:v>
                </c:pt>
                <c:pt idx="44">
                  <c:v>45.707099999999997</c:v>
                </c:pt>
                <c:pt idx="45">
                  <c:v>45.7378</c:v>
                </c:pt>
                <c:pt idx="46">
                  <c:v>45.716000000000001</c:v>
                </c:pt>
                <c:pt idx="47">
                  <c:v>45.592500000000001</c:v>
                </c:pt>
                <c:pt idx="48">
                  <c:v>45.4983</c:v>
                </c:pt>
                <c:pt idx="49">
                  <c:v>45.447700000000005</c:v>
                </c:pt>
                <c:pt idx="50">
                  <c:v>45.379899999999999</c:v>
                </c:pt>
                <c:pt idx="51">
                  <c:v>45.3309</c:v>
                </c:pt>
                <c:pt idx="52">
                  <c:v>45.330199999999998</c:v>
                </c:pt>
                <c:pt idx="53">
                  <c:v>45.373400000000004</c:v>
                </c:pt>
                <c:pt idx="54">
                  <c:v>45.448</c:v>
                </c:pt>
                <c:pt idx="55">
                  <c:v>45.555399999999999</c:v>
                </c:pt>
                <c:pt idx="56">
                  <c:v>45.7149</c:v>
                </c:pt>
                <c:pt idx="57">
                  <c:v>45.963999999999999</c:v>
                </c:pt>
                <c:pt idx="58">
                  <c:v>46.270499999999998</c:v>
                </c:pt>
                <c:pt idx="59">
                  <c:v>46.640500000000003</c:v>
                </c:pt>
                <c:pt idx="60">
                  <c:v>46.922699999999999</c:v>
                </c:pt>
                <c:pt idx="61">
                  <c:v>47.209000000000003</c:v>
                </c:pt>
                <c:pt idx="62">
                  <c:v>47.491299999999995</c:v>
                </c:pt>
                <c:pt idx="63">
                  <c:v>47.772399999999998</c:v>
                </c:pt>
                <c:pt idx="64">
                  <c:v>47.993099999999998</c:v>
                </c:pt>
                <c:pt idx="65">
                  <c:v>48.2102</c:v>
                </c:pt>
                <c:pt idx="66">
                  <c:v>48.349399999999996</c:v>
                </c:pt>
                <c:pt idx="67">
                  <c:v>48.380400000000002</c:v>
                </c:pt>
                <c:pt idx="68">
                  <c:v>48.427500000000002</c:v>
                </c:pt>
                <c:pt idx="69">
                  <c:v>48.537999999999997</c:v>
                </c:pt>
                <c:pt idx="70">
                  <c:v>48.543100000000003</c:v>
                </c:pt>
                <c:pt idx="71">
                  <c:v>48.619800000000005</c:v>
                </c:pt>
                <c:pt idx="72">
                  <c:v>48.793100000000003</c:v>
                </c:pt>
                <c:pt idx="73">
                  <c:v>48.928600000000003</c:v>
                </c:pt>
                <c:pt idx="74">
                  <c:v>49.016799999999996</c:v>
                </c:pt>
                <c:pt idx="75">
                  <c:v>49.138300000000001</c:v>
                </c:pt>
                <c:pt idx="76">
                  <c:v>49.259100000000004</c:v>
                </c:pt>
                <c:pt idx="77">
                  <c:v>49.3444</c:v>
                </c:pt>
                <c:pt idx="78">
                  <c:v>49.3521</c:v>
                </c:pt>
                <c:pt idx="79">
                  <c:v>49.326799999999999</c:v>
                </c:pt>
                <c:pt idx="80">
                  <c:v>49.248199999999997</c:v>
                </c:pt>
                <c:pt idx="81">
                  <c:v>49.119700000000002</c:v>
                </c:pt>
                <c:pt idx="82">
                  <c:v>48.945699999999995</c:v>
                </c:pt>
                <c:pt idx="83">
                  <c:v>48.7194</c:v>
                </c:pt>
                <c:pt idx="84">
                  <c:v>48.4482</c:v>
                </c:pt>
                <c:pt idx="85">
                  <c:v>48.1646</c:v>
                </c:pt>
                <c:pt idx="86">
                  <c:v>47.846800000000002</c:v>
                </c:pt>
                <c:pt idx="87">
                  <c:v>47.478500000000004</c:v>
                </c:pt>
                <c:pt idx="88">
                  <c:v>47.120400000000004</c:v>
                </c:pt>
                <c:pt idx="89">
                  <c:v>46.853099999999998</c:v>
                </c:pt>
                <c:pt idx="90">
                  <c:v>46.607700000000001</c:v>
                </c:pt>
                <c:pt idx="91">
                  <c:v>46.432000000000002</c:v>
                </c:pt>
                <c:pt idx="92">
                  <c:v>46.292200000000001</c:v>
                </c:pt>
                <c:pt idx="93">
                  <c:v>46.138500000000001</c:v>
                </c:pt>
                <c:pt idx="94">
                  <c:v>45.922899999999998</c:v>
                </c:pt>
                <c:pt idx="95">
                  <c:v>45.802199999999999</c:v>
                </c:pt>
                <c:pt idx="96">
                  <c:v>45.704299999999996</c:v>
                </c:pt>
                <c:pt idx="97">
                  <c:v>45.650600000000004</c:v>
                </c:pt>
                <c:pt idx="98">
                  <c:v>45.585799999999999</c:v>
                </c:pt>
                <c:pt idx="99">
                  <c:v>45.479199999999999</c:v>
                </c:pt>
                <c:pt idx="100">
                  <c:v>45.389600000000002</c:v>
                </c:pt>
                <c:pt idx="101">
                  <c:v>45.381899999999995</c:v>
                </c:pt>
                <c:pt idx="102">
                  <c:v>45.358800000000002</c:v>
                </c:pt>
                <c:pt idx="103">
                  <c:v>45.330799999999996</c:v>
                </c:pt>
                <c:pt idx="104">
                  <c:v>45.241799999999998</c:v>
                </c:pt>
                <c:pt idx="105">
                  <c:v>45.155899999999995</c:v>
                </c:pt>
                <c:pt idx="106">
                  <c:v>45.075500000000005</c:v>
                </c:pt>
                <c:pt idx="107">
                  <c:v>44.971200000000003</c:v>
                </c:pt>
                <c:pt idx="108">
                  <c:v>44.836500000000001</c:v>
                </c:pt>
                <c:pt idx="109">
                  <c:v>44.791699999999999</c:v>
                </c:pt>
                <c:pt idx="110">
                  <c:v>44.822899999999997</c:v>
                </c:pt>
                <c:pt idx="111">
                  <c:v>44.9099</c:v>
                </c:pt>
                <c:pt idx="112">
                  <c:v>44.972999999999999</c:v>
                </c:pt>
                <c:pt idx="113">
                  <c:v>45.020600000000002</c:v>
                </c:pt>
                <c:pt idx="114">
                  <c:v>45.053899999999999</c:v>
                </c:pt>
                <c:pt idx="115">
                  <c:v>45.164700000000003</c:v>
                </c:pt>
                <c:pt idx="116">
                  <c:v>45.303199999999997</c:v>
                </c:pt>
                <c:pt idx="117">
                  <c:v>45.4527</c:v>
                </c:pt>
                <c:pt idx="118">
                  <c:v>45.6511</c:v>
                </c:pt>
                <c:pt idx="119">
                  <c:v>45.901599999999995</c:v>
                </c:pt>
                <c:pt idx="120">
                  <c:v>46.160600000000002</c:v>
                </c:pt>
                <c:pt idx="121">
                  <c:v>46.276600000000002</c:v>
                </c:pt>
                <c:pt idx="122">
                  <c:v>46.319000000000003</c:v>
                </c:pt>
                <c:pt idx="123">
                  <c:v>46.247799999999998</c:v>
                </c:pt>
                <c:pt idx="124">
                  <c:v>46.171099999999996</c:v>
                </c:pt>
                <c:pt idx="125">
                  <c:v>46.227699999999999</c:v>
                </c:pt>
                <c:pt idx="126">
                  <c:v>46.278200000000005</c:v>
                </c:pt>
                <c:pt idx="127">
                  <c:v>46.317399999999999</c:v>
                </c:pt>
                <c:pt idx="128">
                  <c:v>46.383299999999998</c:v>
                </c:pt>
                <c:pt idx="129">
                  <c:v>46.489100000000001</c:v>
                </c:pt>
                <c:pt idx="130">
                  <c:v>46.602700000000006</c:v>
                </c:pt>
                <c:pt idx="131">
                  <c:v>46.724800000000002</c:v>
                </c:pt>
                <c:pt idx="132">
                  <c:v>46.894599999999997</c:v>
                </c:pt>
                <c:pt idx="133">
                  <c:v>47.081899999999997</c:v>
                </c:pt>
                <c:pt idx="134">
                  <c:v>47.222099999999998</c:v>
                </c:pt>
                <c:pt idx="135">
                  <c:v>47.2986</c:v>
                </c:pt>
                <c:pt idx="136">
                  <c:v>47.3748</c:v>
                </c:pt>
                <c:pt idx="137">
                  <c:v>47.523700000000005</c:v>
                </c:pt>
                <c:pt idx="138">
                  <c:v>47.661500000000004</c:v>
                </c:pt>
                <c:pt idx="139">
                  <c:v>47.801100000000005</c:v>
                </c:pt>
                <c:pt idx="140">
                  <c:v>47.821100000000001</c:v>
                </c:pt>
                <c:pt idx="141">
                  <c:v>47.6417</c:v>
                </c:pt>
                <c:pt idx="142">
                  <c:v>47.311799999999998</c:v>
                </c:pt>
                <c:pt idx="143">
                  <c:v>46.922899999999998</c:v>
                </c:pt>
                <c:pt idx="144">
                  <c:v>46.303199999999997</c:v>
                </c:pt>
                <c:pt idx="145">
                  <c:v>45.164300000000004</c:v>
                </c:pt>
                <c:pt idx="146">
                  <c:v>44.203499999999998</c:v>
                </c:pt>
                <c:pt idx="147">
                  <c:v>42.893500000000003</c:v>
                </c:pt>
                <c:pt idx="148">
                  <c:v>41.230200000000004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2.1490999999999998</c:v>
                </c:pt>
                <c:pt idx="1">
                  <c:v>2.2403999999999997</c:v>
                </c:pt>
                <c:pt idx="2">
                  <c:v>2.3350999999999997</c:v>
                </c:pt>
                <c:pt idx="3">
                  <c:v>2.4295200000000001</c:v>
                </c:pt>
                <c:pt idx="4">
                  <c:v>2.5268299999999999</c:v>
                </c:pt>
                <c:pt idx="5">
                  <c:v>2.6262999999999996</c:v>
                </c:pt>
                <c:pt idx="6">
                  <c:v>2.7262999999999997</c:v>
                </c:pt>
                <c:pt idx="7">
                  <c:v>2.82653</c:v>
                </c:pt>
                <c:pt idx="8">
                  <c:v>2.9226799999999997</c:v>
                </c:pt>
                <c:pt idx="9">
                  <c:v>3.01701</c:v>
                </c:pt>
                <c:pt idx="10">
                  <c:v>3.1152200000000003</c:v>
                </c:pt>
                <c:pt idx="11">
                  <c:v>3.2179899999999999</c:v>
                </c:pt>
                <c:pt idx="12">
                  <c:v>3.3200000000000003</c:v>
                </c:pt>
                <c:pt idx="13">
                  <c:v>3.4204499999999998</c:v>
                </c:pt>
                <c:pt idx="14">
                  <c:v>3.5218100000000003</c:v>
                </c:pt>
                <c:pt idx="15">
                  <c:v>3.6253600000000001</c:v>
                </c:pt>
                <c:pt idx="16">
                  <c:v>3.7297799999999999</c:v>
                </c:pt>
                <c:pt idx="17">
                  <c:v>3.8339299999999996</c:v>
                </c:pt>
                <c:pt idx="18">
                  <c:v>3.9344800000000002</c:v>
                </c:pt>
                <c:pt idx="19">
                  <c:v>4.0343200000000001</c:v>
                </c:pt>
                <c:pt idx="20">
                  <c:v>4.1314899999999994</c:v>
                </c:pt>
                <c:pt idx="21">
                  <c:v>4.2258000000000004</c:v>
                </c:pt>
                <c:pt idx="22">
                  <c:v>4.3187300000000004</c:v>
                </c:pt>
                <c:pt idx="23">
                  <c:v>4.4055299999999997</c:v>
                </c:pt>
                <c:pt idx="24">
                  <c:v>4.4896799999999999</c:v>
                </c:pt>
                <c:pt idx="25">
                  <c:v>4.5697399999999995</c:v>
                </c:pt>
                <c:pt idx="26">
                  <c:v>4.6458199999999996</c:v>
                </c:pt>
                <c:pt idx="27">
                  <c:v>4.71692</c:v>
                </c:pt>
                <c:pt idx="28">
                  <c:v>4.7866900000000001</c:v>
                </c:pt>
                <c:pt idx="29">
                  <c:v>4.8515899999999998</c:v>
                </c:pt>
                <c:pt idx="30">
                  <c:v>4.9118399999999998</c:v>
                </c:pt>
                <c:pt idx="31">
                  <c:v>4.9698500000000001</c:v>
                </c:pt>
                <c:pt idx="32">
                  <c:v>5.0249200000000007</c:v>
                </c:pt>
                <c:pt idx="33">
                  <c:v>5.0749900000000006</c:v>
                </c:pt>
                <c:pt idx="34">
                  <c:v>5.1176300000000001</c:v>
                </c:pt>
                <c:pt idx="35">
                  <c:v>5.154069999999999</c:v>
                </c:pt>
                <c:pt idx="36">
                  <c:v>5.1849100000000004</c:v>
                </c:pt>
                <c:pt idx="37">
                  <c:v>5.2142999999999997</c:v>
                </c:pt>
                <c:pt idx="38">
                  <c:v>5.2423099999999998</c:v>
                </c:pt>
                <c:pt idx="39">
                  <c:v>5.2658199999999997</c:v>
                </c:pt>
                <c:pt idx="40">
                  <c:v>5.2855100000000004</c:v>
                </c:pt>
                <c:pt idx="41">
                  <c:v>5.3019600000000002</c:v>
                </c:pt>
                <c:pt idx="42">
                  <c:v>5.31555</c:v>
                </c:pt>
                <c:pt idx="43">
                  <c:v>5.3305199999999999</c:v>
                </c:pt>
                <c:pt idx="44">
                  <c:v>5.3438499999999998</c:v>
                </c:pt>
                <c:pt idx="45">
                  <c:v>5.3539899999999996</c:v>
                </c:pt>
                <c:pt idx="46">
                  <c:v>5.36442</c:v>
                </c:pt>
                <c:pt idx="47">
                  <c:v>5.3725999999999994</c:v>
                </c:pt>
                <c:pt idx="48">
                  <c:v>5.3779200000000005</c:v>
                </c:pt>
                <c:pt idx="49">
                  <c:v>5.3783700000000003</c:v>
                </c:pt>
                <c:pt idx="50">
                  <c:v>5.3779900000000005</c:v>
                </c:pt>
                <c:pt idx="51">
                  <c:v>5.3779299999999992</c:v>
                </c:pt>
                <c:pt idx="52">
                  <c:v>5.3785000000000007</c:v>
                </c:pt>
                <c:pt idx="53">
                  <c:v>5.375259999999999</c:v>
                </c:pt>
                <c:pt idx="54">
                  <c:v>5.3705599999999993</c:v>
                </c:pt>
                <c:pt idx="55">
                  <c:v>5.3637500000000005</c:v>
                </c:pt>
                <c:pt idx="56">
                  <c:v>5.3544199999999993</c:v>
                </c:pt>
                <c:pt idx="57">
                  <c:v>5.3451599999999999</c:v>
                </c:pt>
                <c:pt idx="58">
                  <c:v>5.3358000000000008</c:v>
                </c:pt>
                <c:pt idx="59">
                  <c:v>5.3291900000000005</c:v>
                </c:pt>
                <c:pt idx="60">
                  <c:v>5.32273</c:v>
                </c:pt>
                <c:pt idx="61">
                  <c:v>5.3164699999999998</c:v>
                </c:pt>
                <c:pt idx="62">
                  <c:v>5.30694</c:v>
                </c:pt>
                <c:pt idx="63">
                  <c:v>5.29542</c:v>
                </c:pt>
                <c:pt idx="64">
                  <c:v>5.28559</c:v>
                </c:pt>
                <c:pt idx="65">
                  <c:v>5.2777700000000003</c:v>
                </c:pt>
                <c:pt idx="66">
                  <c:v>5.2685599999999999</c:v>
                </c:pt>
                <c:pt idx="67">
                  <c:v>5.2570499999999996</c:v>
                </c:pt>
                <c:pt idx="68">
                  <c:v>5.2426300000000001</c:v>
                </c:pt>
                <c:pt idx="69">
                  <c:v>5.2293799999999999</c:v>
                </c:pt>
                <c:pt idx="70">
                  <c:v>5.2185499999999996</c:v>
                </c:pt>
                <c:pt idx="71">
                  <c:v>5.2055199999999999</c:v>
                </c:pt>
                <c:pt idx="72">
                  <c:v>5.1929499999999997</c:v>
                </c:pt>
                <c:pt idx="73">
                  <c:v>5.1842299999999994</c:v>
                </c:pt>
                <c:pt idx="74">
                  <c:v>5.1777799999999994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62.069200000000002</c:v>
                </c:pt>
                <c:pt idx="1">
                  <c:v>61.2958</c:v>
                </c:pt>
                <c:pt idx="2">
                  <c:v>60.430799999999998</c:v>
                </c:pt>
                <c:pt idx="3">
                  <c:v>59.648400000000002</c:v>
                </c:pt>
                <c:pt idx="4">
                  <c:v>58.707000000000001</c:v>
                </c:pt>
                <c:pt idx="5">
                  <c:v>57.65</c:v>
                </c:pt>
                <c:pt idx="6">
                  <c:v>56.593499999999999</c:v>
                </c:pt>
                <c:pt idx="7">
                  <c:v>55.524399999999993</c:v>
                </c:pt>
                <c:pt idx="8">
                  <c:v>54.309300000000007</c:v>
                </c:pt>
                <c:pt idx="9">
                  <c:v>53.019099999999995</c:v>
                </c:pt>
                <c:pt idx="10">
                  <c:v>51.636299999999999</c:v>
                </c:pt>
                <c:pt idx="11">
                  <c:v>50.146900000000002</c:v>
                </c:pt>
                <c:pt idx="12">
                  <c:v>48.781200000000005</c:v>
                </c:pt>
                <c:pt idx="13">
                  <c:v>47.614600000000003</c:v>
                </c:pt>
                <c:pt idx="14">
                  <c:v>46.504200000000004</c:v>
                </c:pt>
                <c:pt idx="15">
                  <c:v>45.436500000000002</c:v>
                </c:pt>
                <c:pt idx="16">
                  <c:v>44.4803</c:v>
                </c:pt>
                <c:pt idx="17">
                  <c:v>43.706200000000003</c:v>
                </c:pt>
                <c:pt idx="18">
                  <c:v>43.162800000000004</c:v>
                </c:pt>
                <c:pt idx="19">
                  <c:v>42.773000000000003</c:v>
                </c:pt>
                <c:pt idx="20">
                  <c:v>42.496899999999997</c:v>
                </c:pt>
                <c:pt idx="21">
                  <c:v>42.407499999999999</c:v>
                </c:pt>
                <c:pt idx="22">
                  <c:v>42.4709</c:v>
                </c:pt>
                <c:pt idx="23">
                  <c:v>42.765000000000001</c:v>
                </c:pt>
                <c:pt idx="24">
                  <c:v>43.076700000000002</c:v>
                </c:pt>
                <c:pt idx="25">
                  <c:v>43.421399999999998</c:v>
                </c:pt>
                <c:pt idx="26">
                  <c:v>43.775500000000001</c:v>
                </c:pt>
                <c:pt idx="27">
                  <c:v>44.1355</c:v>
                </c:pt>
                <c:pt idx="28">
                  <c:v>44.45</c:v>
                </c:pt>
                <c:pt idx="29">
                  <c:v>44.776700000000005</c:v>
                </c:pt>
                <c:pt idx="30">
                  <c:v>45.078200000000002</c:v>
                </c:pt>
                <c:pt idx="31">
                  <c:v>45.319500000000005</c:v>
                </c:pt>
                <c:pt idx="32">
                  <c:v>45.512300000000003</c:v>
                </c:pt>
                <c:pt idx="33">
                  <c:v>45.691099999999999</c:v>
                </c:pt>
                <c:pt idx="34">
                  <c:v>45.783000000000001</c:v>
                </c:pt>
                <c:pt idx="35">
                  <c:v>45.8947</c:v>
                </c:pt>
                <c:pt idx="36">
                  <c:v>45.927299999999995</c:v>
                </c:pt>
                <c:pt idx="37">
                  <c:v>45.916699999999999</c:v>
                </c:pt>
                <c:pt idx="38">
                  <c:v>45.877000000000002</c:v>
                </c:pt>
                <c:pt idx="39">
                  <c:v>45.8598</c:v>
                </c:pt>
                <c:pt idx="40">
                  <c:v>45.807199999999995</c:v>
                </c:pt>
                <c:pt idx="41">
                  <c:v>45.746199999999995</c:v>
                </c:pt>
                <c:pt idx="42">
                  <c:v>45.718599999999995</c:v>
                </c:pt>
                <c:pt idx="43">
                  <c:v>45.723200000000006</c:v>
                </c:pt>
                <c:pt idx="44">
                  <c:v>45.707099999999997</c:v>
                </c:pt>
                <c:pt idx="45">
                  <c:v>45.7378</c:v>
                </c:pt>
                <c:pt idx="46">
                  <c:v>45.716000000000001</c:v>
                </c:pt>
                <c:pt idx="47">
                  <c:v>45.592500000000001</c:v>
                </c:pt>
                <c:pt idx="48">
                  <c:v>45.4983</c:v>
                </c:pt>
                <c:pt idx="49">
                  <c:v>45.447700000000005</c:v>
                </c:pt>
                <c:pt idx="50">
                  <c:v>45.379899999999999</c:v>
                </c:pt>
                <c:pt idx="51">
                  <c:v>45.3309</c:v>
                </c:pt>
                <c:pt idx="52">
                  <c:v>45.330199999999998</c:v>
                </c:pt>
                <c:pt idx="53">
                  <c:v>45.373400000000004</c:v>
                </c:pt>
                <c:pt idx="54">
                  <c:v>45.448</c:v>
                </c:pt>
                <c:pt idx="55">
                  <c:v>45.555399999999999</c:v>
                </c:pt>
                <c:pt idx="56">
                  <c:v>45.7149</c:v>
                </c:pt>
                <c:pt idx="57">
                  <c:v>45.963999999999999</c:v>
                </c:pt>
                <c:pt idx="58">
                  <c:v>46.270499999999998</c:v>
                </c:pt>
                <c:pt idx="59">
                  <c:v>46.640500000000003</c:v>
                </c:pt>
                <c:pt idx="60">
                  <c:v>46.922699999999999</c:v>
                </c:pt>
                <c:pt idx="61">
                  <c:v>47.209000000000003</c:v>
                </c:pt>
                <c:pt idx="62">
                  <c:v>47.491299999999995</c:v>
                </c:pt>
                <c:pt idx="63">
                  <c:v>47.772399999999998</c:v>
                </c:pt>
                <c:pt idx="64">
                  <c:v>47.993099999999998</c:v>
                </c:pt>
                <c:pt idx="65">
                  <c:v>48.2102</c:v>
                </c:pt>
                <c:pt idx="66">
                  <c:v>48.349399999999996</c:v>
                </c:pt>
                <c:pt idx="67">
                  <c:v>48.380400000000002</c:v>
                </c:pt>
                <c:pt idx="68">
                  <c:v>48.427500000000002</c:v>
                </c:pt>
                <c:pt idx="69">
                  <c:v>48.537999999999997</c:v>
                </c:pt>
                <c:pt idx="70">
                  <c:v>48.543100000000003</c:v>
                </c:pt>
                <c:pt idx="71">
                  <c:v>48.619800000000005</c:v>
                </c:pt>
                <c:pt idx="72">
                  <c:v>48.793100000000003</c:v>
                </c:pt>
                <c:pt idx="73">
                  <c:v>48.928600000000003</c:v>
                </c:pt>
                <c:pt idx="74">
                  <c:v>49.016799999999996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5.1777799999999994</c:v>
                </c:pt>
                <c:pt idx="1">
                  <c:v>5.1676699999999993</c:v>
                </c:pt>
                <c:pt idx="2">
                  <c:v>5.1556100000000002</c:v>
                </c:pt>
                <c:pt idx="3">
                  <c:v>5.1400100000000002</c:v>
                </c:pt>
                <c:pt idx="4">
                  <c:v>5.125</c:v>
                </c:pt>
                <c:pt idx="5">
                  <c:v>5.1120299999999999</c:v>
                </c:pt>
                <c:pt idx="6">
                  <c:v>5.1008399999999998</c:v>
                </c:pt>
                <c:pt idx="7">
                  <c:v>5.0895900000000003</c:v>
                </c:pt>
                <c:pt idx="8">
                  <c:v>5.0756999999999994</c:v>
                </c:pt>
                <c:pt idx="9">
                  <c:v>5.0613200000000003</c:v>
                </c:pt>
                <c:pt idx="10">
                  <c:v>5.0445500000000001</c:v>
                </c:pt>
                <c:pt idx="11">
                  <c:v>5.0309699999999999</c:v>
                </c:pt>
                <c:pt idx="12">
                  <c:v>5.0202200000000001</c:v>
                </c:pt>
                <c:pt idx="13">
                  <c:v>5.0111099999999995</c:v>
                </c:pt>
                <c:pt idx="14">
                  <c:v>5.0035499999999997</c:v>
                </c:pt>
                <c:pt idx="15">
                  <c:v>4.9947299999999997</c:v>
                </c:pt>
                <c:pt idx="16">
                  <c:v>4.9822499999999996</c:v>
                </c:pt>
                <c:pt idx="17">
                  <c:v>4.9709099999999999</c:v>
                </c:pt>
                <c:pt idx="18">
                  <c:v>4.9643700000000006</c:v>
                </c:pt>
                <c:pt idx="19">
                  <c:v>4.9573299999999998</c:v>
                </c:pt>
                <c:pt idx="20">
                  <c:v>4.9468300000000003</c:v>
                </c:pt>
                <c:pt idx="21">
                  <c:v>4.9337999999999997</c:v>
                </c:pt>
                <c:pt idx="22">
                  <c:v>4.9209399999999999</c:v>
                </c:pt>
                <c:pt idx="23">
                  <c:v>4.9086699999999999</c:v>
                </c:pt>
                <c:pt idx="24">
                  <c:v>4.8974099999999998</c:v>
                </c:pt>
                <c:pt idx="25">
                  <c:v>4.8915300000000004</c:v>
                </c:pt>
                <c:pt idx="26">
                  <c:v>4.8902800000000006</c:v>
                </c:pt>
                <c:pt idx="27">
                  <c:v>4.8870699999999996</c:v>
                </c:pt>
                <c:pt idx="28">
                  <c:v>4.8893399999999998</c:v>
                </c:pt>
                <c:pt idx="29">
                  <c:v>4.8943700000000003</c:v>
                </c:pt>
                <c:pt idx="30">
                  <c:v>4.9002299999999996</c:v>
                </c:pt>
                <c:pt idx="31">
                  <c:v>4.90733</c:v>
                </c:pt>
                <c:pt idx="32">
                  <c:v>4.9153900000000004</c:v>
                </c:pt>
                <c:pt idx="33">
                  <c:v>4.9243800000000002</c:v>
                </c:pt>
                <c:pt idx="34">
                  <c:v>4.9368699999999999</c:v>
                </c:pt>
                <c:pt idx="35">
                  <c:v>4.9541000000000004</c:v>
                </c:pt>
                <c:pt idx="36">
                  <c:v>4.97044</c:v>
                </c:pt>
                <c:pt idx="37">
                  <c:v>4.9833999999999996</c:v>
                </c:pt>
                <c:pt idx="38">
                  <c:v>4.9989299999999997</c:v>
                </c:pt>
                <c:pt idx="39">
                  <c:v>5.0175199999999993</c:v>
                </c:pt>
                <c:pt idx="40">
                  <c:v>5.0352100000000002</c:v>
                </c:pt>
                <c:pt idx="41">
                  <c:v>5.0522799999999997</c:v>
                </c:pt>
                <c:pt idx="42">
                  <c:v>5.0718100000000002</c:v>
                </c:pt>
                <c:pt idx="43">
                  <c:v>5.0911200000000001</c:v>
                </c:pt>
                <c:pt idx="44">
                  <c:v>5.1095999999999995</c:v>
                </c:pt>
                <c:pt idx="45">
                  <c:v>5.1295100000000007</c:v>
                </c:pt>
                <c:pt idx="46">
                  <c:v>5.1529699999999998</c:v>
                </c:pt>
                <c:pt idx="47">
                  <c:v>5.1769400000000001</c:v>
                </c:pt>
                <c:pt idx="48">
                  <c:v>5.2005299999999997</c:v>
                </c:pt>
                <c:pt idx="49">
                  <c:v>5.2225799999999998</c:v>
                </c:pt>
                <c:pt idx="50">
                  <c:v>5.2373400000000006</c:v>
                </c:pt>
                <c:pt idx="51">
                  <c:v>5.2465099999999998</c:v>
                </c:pt>
                <c:pt idx="52">
                  <c:v>5.25807</c:v>
                </c:pt>
                <c:pt idx="53">
                  <c:v>5.2685400000000007</c:v>
                </c:pt>
                <c:pt idx="54">
                  <c:v>5.278929999999999</c:v>
                </c:pt>
                <c:pt idx="55">
                  <c:v>5.2888599999999997</c:v>
                </c:pt>
                <c:pt idx="56">
                  <c:v>5.2990000000000004</c:v>
                </c:pt>
                <c:pt idx="57">
                  <c:v>5.3100400000000008</c:v>
                </c:pt>
                <c:pt idx="58">
                  <c:v>5.3223000000000003</c:v>
                </c:pt>
                <c:pt idx="59">
                  <c:v>5.3336799999999993</c:v>
                </c:pt>
                <c:pt idx="60">
                  <c:v>5.3431300000000004</c:v>
                </c:pt>
                <c:pt idx="61">
                  <c:v>5.3532400000000004</c:v>
                </c:pt>
                <c:pt idx="62">
                  <c:v>5.3668099999999992</c:v>
                </c:pt>
                <c:pt idx="63">
                  <c:v>5.3788100000000005</c:v>
                </c:pt>
                <c:pt idx="64">
                  <c:v>5.3869500000000006</c:v>
                </c:pt>
                <c:pt idx="65">
                  <c:v>5.3977900000000005</c:v>
                </c:pt>
                <c:pt idx="66">
                  <c:v>5.4114199999999997</c:v>
                </c:pt>
                <c:pt idx="67">
                  <c:v>5.4213399999999998</c:v>
                </c:pt>
                <c:pt idx="68">
                  <c:v>5.4292899999999999</c:v>
                </c:pt>
                <c:pt idx="69">
                  <c:v>5.4425699999999999</c:v>
                </c:pt>
                <c:pt idx="70">
                  <c:v>5.4555199999999999</c:v>
                </c:pt>
                <c:pt idx="71">
                  <c:v>5.4589600000000003</c:v>
                </c:pt>
                <c:pt idx="72">
                  <c:v>5.4628800000000002</c:v>
                </c:pt>
                <c:pt idx="73">
                  <c:v>5.4647299999999994</c:v>
                </c:pt>
                <c:pt idx="74">
                  <c:v>5.4813700000000001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49.016799999999996</c:v>
                </c:pt>
                <c:pt idx="1">
                  <c:v>49.138300000000001</c:v>
                </c:pt>
                <c:pt idx="2">
                  <c:v>49.259100000000004</c:v>
                </c:pt>
                <c:pt idx="3">
                  <c:v>49.3444</c:v>
                </c:pt>
                <c:pt idx="4">
                  <c:v>49.3521</c:v>
                </c:pt>
                <c:pt idx="5">
                  <c:v>49.326799999999999</c:v>
                </c:pt>
                <c:pt idx="6">
                  <c:v>49.248199999999997</c:v>
                </c:pt>
                <c:pt idx="7">
                  <c:v>49.119700000000002</c:v>
                </c:pt>
                <c:pt idx="8">
                  <c:v>48.945699999999995</c:v>
                </c:pt>
                <c:pt idx="9">
                  <c:v>48.7194</c:v>
                </c:pt>
                <c:pt idx="10">
                  <c:v>48.4482</c:v>
                </c:pt>
                <c:pt idx="11">
                  <c:v>48.1646</c:v>
                </c:pt>
                <c:pt idx="12">
                  <c:v>47.846800000000002</c:v>
                </c:pt>
                <c:pt idx="13">
                  <c:v>47.478500000000004</c:v>
                </c:pt>
                <c:pt idx="14">
                  <c:v>47.120400000000004</c:v>
                </c:pt>
                <c:pt idx="15">
                  <c:v>46.853099999999998</c:v>
                </c:pt>
                <c:pt idx="16">
                  <c:v>46.607700000000001</c:v>
                </c:pt>
                <c:pt idx="17">
                  <c:v>46.432000000000002</c:v>
                </c:pt>
                <c:pt idx="18">
                  <c:v>46.292200000000001</c:v>
                </c:pt>
                <c:pt idx="19">
                  <c:v>46.138500000000001</c:v>
                </c:pt>
                <c:pt idx="20">
                  <c:v>45.922899999999998</c:v>
                </c:pt>
                <c:pt idx="21">
                  <c:v>45.802199999999999</c:v>
                </c:pt>
                <c:pt idx="22">
                  <c:v>45.704299999999996</c:v>
                </c:pt>
                <c:pt idx="23">
                  <c:v>45.650600000000004</c:v>
                </c:pt>
                <c:pt idx="24">
                  <c:v>45.585799999999999</c:v>
                </c:pt>
                <c:pt idx="25">
                  <c:v>45.479199999999999</c:v>
                </c:pt>
                <c:pt idx="26">
                  <c:v>45.389600000000002</c:v>
                </c:pt>
                <c:pt idx="27">
                  <c:v>45.381899999999995</c:v>
                </c:pt>
                <c:pt idx="28">
                  <c:v>45.358800000000002</c:v>
                </c:pt>
                <c:pt idx="29">
                  <c:v>45.330799999999996</c:v>
                </c:pt>
                <c:pt idx="30">
                  <c:v>45.241799999999998</c:v>
                </c:pt>
                <c:pt idx="31">
                  <c:v>45.155899999999995</c:v>
                </c:pt>
                <c:pt idx="32">
                  <c:v>45.075500000000005</c:v>
                </c:pt>
                <c:pt idx="33">
                  <c:v>44.971200000000003</c:v>
                </c:pt>
                <c:pt idx="34">
                  <c:v>44.836500000000001</c:v>
                </c:pt>
                <c:pt idx="35">
                  <c:v>44.791699999999999</c:v>
                </c:pt>
                <c:pt idx="36">
                  <c:v>44.822899999999997</c:v>
                </c:pt>
                <c:pt idx="37">
                  <c:v>44.9099</c:v>
                </c:pt>
                <c:pt idx="38">
                  <c:v>44.972999999999999</c:v>
                </c:pt>
                <c:pt idx="39">
                  <c:v>45.020600000000002</c:v>
                </c:pt>
                <c:pt idx="40">
                  <c:v>45.053899999999999</c:v>
                </c:pt>
                <c:pt idx="41">
                  <c:v>45.164700000000003</c:v>
                </c:pt>
                <c:pt idx="42">
                  <c:v>45.303199999999997</c:v>
                </c:pt>
                <c:pt idx="43">
                  <c:v>45.4527</c:v>
                </c:pt>
                <c:pt idx="44">
                  <c:v>45.6511</c:v>
                </c:pt>
                <c:pt idx="45">
                  <c:v>45.901599999999995</c:v>
                </c:pt>
                <c:pt idx="46">
                  <c:v>46.160600000000002</c:v>
                </c:pt>
                <c:pt idx="47">
                  <c:v>46.276600000000002</c:v>
                </c:pt>
                <c:pt idx="48">
                  <c:v>46.319000000000003</c:v>
                </c:pt>
                <c:pt idx="49">
                  <c:v>46.247799999999998</c:v>
                </c:pt>
                <c:pt idx="50">
                  <c:v>46.171099999999996</c:v>
                </c:pt>
                <c:pt idx="51">
                  <c:v>46.227699999999999</c:v>
                </c:pt>
                <c:pt idx="52">
                  <c:v>46.278200000000005</c:v>
                </c:pt>
                <c:pt idx="53">
                  <c:v>46.317399999999999</c:v>
                </c:pt>
                <c:pt idx="54">
                  <c:v>46.383299999999998</c:v>
                </c:pt>
                <c:pt idx="55">
                  <c:v>46.489100000000001</c:v>
                </c:pt>
                <c:pt idx="56">
                  <c:v>46.602700000000006</c:v>
                </c:pt>
                <c:pt idx="57">
                  <c:v>46.724800000000002</c:v>
                </c:pt>
                <c:pt idx="58">
                  <c:v>46.894599999999997</c:v>
                </c:pt>
                <c:pt idx="59">
                  <c:v>47.081899999999997</c:v>
                </c:pt>
                <c:pt idx="60">
                  <c:v>47.222099999999998</c:v>
                </c:pt>
                <c:pt idx="61">
                  <c:v>47.2986</c:v>
                </c:pt>
                <c:pt idx="62">
                  <c:v>47.3748</c:v>
                </c:pt>
                <c:pt idx="63">
                  <c:v>47.523700000000005</c:v>
                </c:pt>
                <c:pt idx="64">
                  <c:v>47.661500000000004</c:v>
                </c:pt>
                <c:pt idx="65">
                  <c:v>47.801100000000005</c:v>
                </c:pt>
                <c:pt idx="66">
                  <c:v>47.821100000000001</c:v>
                </c:pt>
                <c:pt idx="67">
                  <c:v>47.6417</c:v>
                </c:pt>
                <c:pt idx="68">
                  <c:v>47.311799999999998</c:v>
                </c:pt>
                <c:pt idx="69">
                  <c:v>46.922899999999998</c:v>
                </c:pt>
                <c:pt idx="70">
                  <c:v>46.303199999999997</c:v>
                </c:pt>
                <c:pt idx="71">
                  <c:v>45.164300000000004</c:v>
                </c:pt>
                <c:pt idx="72">
                  <c:v>44.203499999999998</c:v>
                </c:pt>
                <c:pt idx="73">
                  <c:v>42.893500000000003</c:v>
                </c:pt>
                <c:pt idx="74">
                  <c:v>41.230200000000004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2.1490999999999998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62.069200000000002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4.5742267567567572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47.594677027027039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5.1299139189189189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46.541937837837835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5.1299139189189189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46.541937837837835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572</v>
      </c>
      <c r="D5" s="191"/>
      <c r="E5" s="191"/>
      <c r="F5" s="192"/>
      <c r="G5" s="48" t="str">
        <f>lang!B27</f>
        <v>编号</v>
      </c>
      <c r="H5" s="190">
        <v>18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571</v>
      </c>
      <c r="D6" s="145"/>
      <c r="E6" s="145"/>
      <c r="F6" s="146"/>
      <c r="G6" s="49" t="str">
        <f>lang!B28</f>
        <v xml:space="preserve"> 日期</v>
      </c>
      <c r="H6" s="129">
        <f>FH_info!A2</f>
        <v>43608.445555555554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25</v>
      </c>
      <c r="D7" s="148"/>
      <c r="E7" s="148"/>
      <c r="F7" s="149"/>
      <c r="G7" s="50" t="str">
        <f>lang!B29</f>
        <v>误差率（%）</v>
      </c>
      <c r="H7" s="132">
        <f>M!B17*1</f>
        <v>27.9115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46.197899999999997</v>
      </c>
      <c r="O8" s="59">
        <f>M!C5*1</f>
        <v>11.6297</v>
      </c>
      <c r="P8" s="59">
        <f>M!D5*1</f>
        <v>25.1737</v>
      </c>
      <c r="Q8" s="59">
        <f>M!E5*1</f>
        <v>20</v>
      </c>
      <c r="R8" s="59">
        <f>M!F5*1</f>
        <v>7.7375499999999997</v>
      </c>
      <c r="S8" s="59">
        <f>M!G5*1</f>
        <v>50</v>
      </c>
      <c r="T8" s="59">
        <f>M!H5*1</f>
        <v>53.340600000000002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17.990300000000001</v>
      </c>
      <c r="O9" s="59">
        <f>M!C6*1</f>
        <v>3.1467200000000002</v>
      </c>
      <c r="P9" s="59">
        <f>M!D6*1</f>
        <v>17.491199999999999</v>
      </c>
      <c r="Q9" s="59">
        <f>M!E6*1</f>
        <v>20</v>
      </c>
      <c r="R9" s="59">
        <f>M!F6*1</f>
        <v>10.6982</v>
      </c>
      <c r="S9" s="59">
        <f>M!G6*1</f>
        <v>40</v>
      </c>
      <c r="T9" s="59">
        <f>M!H6*1</f>
        <v>23.245200000000001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7.7375499999999997</v>
      </c>
      <c r="D10" s="99">
        <f>N8</f>
        <v>46.197899999999997</v>
      </c>
      <c r="E10" s="100">
        <f>T8</f>
        <v>53.340600000000002</v>
      </c>
      <c r="F10" s="91">
        <f>P8</f>
        <v>25.1737</v>
      </c>
      <c r="G10" s="81" t="str">
        <f>CONCATENATE(M9,"
(20 ~ 40)")</f>
        <v>压力
(20 ~ 40)</v>
      </c>
      <c r="H10" s="98">
        <f>R9</f>
        <v>10.6982</v>
      </c>
      <c r="I10" s="108">
        <f>N9</f>
        <v>17.990300000000001</v>
      </c>
      <c r="J10" s="98">
        <f>T9</f>
        <v>23.245200000000001</v>
      </c>
      <c r="K10" s="92">
        <f>P9</f>
        <v>17.491199999999999</v>
      </c>
      <c r="L10" s="6"/>
      <c r="M10" s="27" t="str">
        <f>lang!B16</f>
        <v>焦虑</v>
      </c>
      <c r="N10" s="59">
        <f>M!B7*1</f>
        <v>8.0931899999999999</v>
      </c>
      <c r="O10" s="59">
        <f>M!C7*1</f>
        <v>8.7510700000000003</v>
      </c>
      <c r="P10" s="59">
        <f>M!D7*1</f>
        <v>108.129</v>
      </c>
      <c r="Q10" s="59">
        <f>M!E7*1</f>
        <v>15</v>
      </c>
      <c r="R10" s="59">
        <f>M!F7*1</f>
        <v>2.0086200000000001</v>
      </c>
      <c r="S10" s="59">
        <f>M!G7*1</f>
        <v>40</v>
      </c>
      <c r="T10" s="59">
        <f>M!H7*1</f>
        <v>36.955399999999997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2.0086200000000001</v>
      </c>
      <c r="D11" s="102">
        <f>N10</f>
        <v>8.0931899999999999</v>
      </c>
      <c r="E11" s="103">
        <f>T10</f>
        <v>36.955399999999997</v>
      </c>
      <c r="F11" s="94">
        <f>P10</f>
        <v>108.129</v>
      </c>
      <c r="G11" s="52" t="str">
        <f>CONCATENATE(M11,"
(20 ~ 50)")</f>
        <v>可疑
(20 ~ 50)</v>
      </c>
      <c r="H11" s="101">
        <f>R11</f>
        <v>14.589600000000001</v>
      </c>
      <c r="I11" s="104">
        <f>N11</f>
        <v>23.712700000000002</v>
      </c>
      <c r="J11" s="101">
        <f>T11</f>
        <v>32.853400000000001</v>
      </c>
      <c r="K11" s="95">
        <f>P11</f>
        <v>17.8001</v>
      </c>
      <c r="L11" s="4"/>
      <c r="M11" s="27" t="str">
        <f>lang!B17</f>
        <v>可疑</v>
      </c>
      <c r="N11" s="59">
        <f>M!B8*1</f>
        <v>23.712700000000002</v>
      </c>
      <c r="O11" s="59">
        <f>M!C8*1</f>
        <v>4.2208800000000002</v>
      </c>
      <c r="P11" s="59">
        <f>M!D8*1</f>
        <v>17.8001</v>
      </c>
      <c r="Q11" s="59">
        <f>M!E8*1</f>
        <v>20</v>
      </c>
      <c r="R11" s="59">
        <f>M!F8*1</f>
        <v>14.589600000000001</v>
      </c>
      <c r="S11" s="59">
        <f>M!G8*1</f>
        <v>50</v>
      </c>
      <c r="T11" s="59">
        <f>M!H8*1</f>
        <v>32.853400000000001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46.927700000000002</v>
      </c>
      <c r="D12" s="104">
        <f>N12</f>
        <v>69.800200000000004</v>
      </c>
      <c r="E12" s="101">
        <f>T12</f>
        <v>89.74</v>
      </c>
      <c r="F12" s="93">
        <f>P12</f>
        <v>12.431800000000001</v>
      </c>
      <c r="G12" s="52" t="str">
        <f>CONCATENATE(M13,"
(40 ~ 100)")</f>
        <v>自信
(40 ~ 100)</v>
      </c>
      <c r="H12" s="101">
        <f>R13</f>
        <v>69.354699999999994</v>
      </c>
      <c r="I12" s="104">
        <f>N13</f>
        <v>81.538600000000002</v>
      </c>
      <c r="J12" s="101">
        <f>T13</f>
        <v>89.633099999999999</v>
      </c>
      <c r="K12" s="95">
        <f>P13</f>
        <v>5.3499400000000001</v>
      </c>
      <c r="L12" s="4"/>
      <c r="M12" s="27" t="str">
        <f>lang!B18</f>
        <v>平衡</v>
      </c>
      <c r="N12" s="59">
        <f>M!B9*1</f>
        <v>69.800200000000004</v>
      </c>
      <c r="O12" s="59">
        <f>M!C9*1</f>
        <v>8.6774500000000003</v>
      </c>
      <c r="P12" s="59">
        <f>M!D9*1</f>
        <v>12.431800000000001</v>
      </c>
      <c r="Q12" s="59">
        <f>M!E9*1</f>
        <v>50</v>
      </c>
      <c r="R12" s="59">
        <f>M!F9*1</f>
        <v>46.927700000000002</v>
      </c>
      <c r="S12" s="59">
        <f>M!G9*1</f>
        <v>100</v>
      </c>
      <c r="T12" s="59">
        <f>M!H9*1</f>
        <v>89.74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6.2771100000000004</v>
      </c>
      <c r="D13" s="102">
        <f>N14</f>
        <v>39.676900000000003</v>
      </c>
      <c r="E13" s="103">
        <f>T14</f>
        <v>44.4968</v>
      </c>
      <c r="F13" s="94">
        <f>P14</f>
        <v>25.114799999999999</v>
      </c>
      <c r="G13" s="52" t="str">
        <f>CONCATENATE(M15,"
(50 ~ 100)")</f>
        <v>自我调节
(50 ~ 100)</v>
      </c>
      <c r="H13" s="101">
        <f>R15</f>
        <v>59.0261</v>
      </c>
      <c r="I13" s="104">
        <f>N15</f>
        <v>75.878900000000002</v>
      </c>
      <c r="J13" s="101">
        <f>T15</f>
        <v>87.985799999999998</v>
      </c>
      <c r="K13" s="95">
        <f>P15</f>
        <v>7.7338500000000003</v>
      </c>
      <c r="L13" s="4"/>
      <c r="M13" s="27" t="str">
        <f>lang!B19</f>
        <v>自信</v>
      </c>
      <c r="N13" s="59">
        <f>M!B10*1</f>
        <v>81.538600000000002</v>
      </c>
      <c r="O13" s="59">
        <f>M!C10*1</f>
        <v>4.3622699999999996</v>
      </c>
      <c r="P13" s="59">
        <f>M!D10*1</f>
        <v>5.3499400000000001</v>
      </c>
      <c r="Q13" s="59">
        <f>M!E10*1</f>
        <v>40</v>
      </c>
      <c r="R13" s="59">
        <f>M!F10*1</f>
        <v>69.354699999999994</v>
      </c>
      <c r="S13" s="59">
        <f>M!G10*1</f>
        <v>100</v>
      </c>
      <c r="T13" s="59">
        <f>M!H10*1</f>
        <v>89.633099999999999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13.4207</v>
      </c>
      <c r="D14" s="106">
        <f>N16</f>
        <v>30.0822</v>
      </c>
      <c r="E14" s="107">
        <f>T16</f>
        <v>54.136099999999999</v>
      </c>
      <c r="F14" s="96">
        <f>P16</f>
        <v>24.013300000000001</v>
      </c>
      <c r="G14" s="112" t="str">
        <f>CONCATENATE(M17,"
(10 ~ 50)")</f>
        <v>神经质
(10 ~ 50)</v>
      </c>
      <c r="H14" s="105">
        <f>R17</f>
        <v>0.89339900000000005</v>
      </c>
      <c r="I14" s="106">
        <f>N17</f>
        <v>72.237399999999994</v>
      </c>
      <c r="J14" s="107">
        <f>T17</f>
        <v>84.919600000000003</v>
      </c>
      <c r="K14" s="97">
        <f>P17</f>
        <v>35.877099999999999</v>
      </c>
      <c r="M14" s="27" t="str">
        <f>lang!B20</f>
        <v>活力</v>
      </c>
      <c r="N14" s="59">
        <f>M!B11*1</f>
        <v>39.676900000000003</v>
      </c>
      <c r="O14" s="59">
        <f>M!C11*1</f>
        <v>9.9647600000000001</v>
      </c>
      <c r="P14" s="59">
        <f>M!D11*1</f>
        <v>25.114799999999999</v>
      </c>
      <c r="Q14" s="59">
        <f>M!E11*1</f>
        <v>10</v>
      </c>
      <c r="R14" s="59">
        <f>M!F11*1</f>
        <v>6.2771100000000004</v>
      </c>
      <c r="S14" s="59">
        <f>M!G11*1</f>
        <v>50</v>
      </c>
      <c r="T14" s="59">
        <f>M!H11*1</f>
        <v>44.4968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75.878900000000002</v>
      </c>
      <c r="O15" s="59">
        <f>M!C12*1</f>
        <v>5.86836</v>
      </c>
      <c r="P15" s="59">
        <f>M!D12*1</f>
        <v>7.7338500000000003</v>
      </c>
      <c r="Q15" s="59">
        <f>M!E12*1</f>
        <v>50</v>
      </c>
      <c r="R15" s="59">
        <f>M!F12*1</f>
        <v>59.0261</v>
      </c>
      <c r="S15" s="59">
        <f>M!G12*1</f>
        <v>100</v>
      </c>
      <c r="T15" s="59">
        <f>M!H12*1</f>
        <v>87.985799999999998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30.0822</v>
      </c>
      <c r="O16" s="59">
        <f>M!C13*1</f>
        <v>7.2237400000000003</v>
      </c>
      <c r="P16" s="59">
        <f>M!D13*1</f>
        <v>24.013300000000001</v>
      </c>
      <c r="Q16" s="59">
        <f>M!E13*1</f>
        <v>10</v>
      </c>
      <c r="R16" s="59">
        <f>M!F13*1</f>
        <v>13.4207</v>
      </c>
      <c r="S16" s="59">
        <f>M!G13*1</f>
        <v>25</v>
      </c>
      <c r="T16" s="59">
        <f>M!H13*1</f>
        <v>54.136099999999999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72.237399999999994</v>
      </c>
      <c r="O17" s="59">
        <f>M!C14*1</f>
        <v>25.916699999999999</v>
      </c>
      <c r="P17" s="59">
        <f>M!D14*1</f>
        <v>35.877099999999999</v>
      </c>
      <c r="Q17" s="59">
        <f>M!E14*1</f>
        <v>10</v>
      </c>
      <c r="R17" s="59">
        <f>M!F14*1</f>
        <v>0.89339900000000005</v>
      </c>
      <c r="S17" s="59">
        <f>M!G14*1</f>
        <v>50</v>
      </c>
      <c r="T17" s="59">
        <f>M!H14*1</f>
        <v>84.919600000000003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66.723649999999992</v>
      </c>
      <c r="O18" s="22">
        <f>N18/(N18+N19+N20)</f>
        <v>0.47027574274807887</v>
      </c>
      <c r="P18" s="65">
        <f>SUM(P12:P15)/4</f>
        <v>12.657597500000001</v>
      </c>
      <c r="Q18" s="22">
        <f>P18/(P18+P19+P20)</f>
        <v>0.14934989638359228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23.998522499999996</v>
      </c>
      <c r="O19" s="22">
        <f>N19/(N18+N19+N20)</f>
        <v>0.16914426883936928</v>
      </c>
      <c r="P19" s="18">
        <f>SUM(P8:P11)/4</f>
        <v>42.148499999999999</v>
      </c>
      <c r="Q19" s="22">
        <f>P19/(P18+P19+P20)</f>
        <v>0.49731981979390938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51.159799999999997</v>
      </c>
      <c r="O20" s="22">
        <f>N20/(N18+N19+N20)</f>
        <v>0.36057998841255184</v>
      </c>
      <c r="P20" s="18">
        <f>(P16+P17)/2</f>
        <v>29.9452</v>
      </c>
      <c r="Q20" s="22">
        <f>P20/(P18+P19+P20)</f>
        <v>0.35333028382249843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-6.6096108108108231E-2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2.4186032526579626</v>
      </c>
      <c r="D25" s="44" t="str">
        <f>lang!B11</f>
        <v>频率方差</v>
      </c>
      <c r="E25" s="182">
        <f ca="1">FH!L3</f>
        <v>0.64036339683273757</v>
      </c>
      <c r="F25" s="183"/>
      <c r="G25" s="174" t="str">
        <f>lang!B12</f>
        <v>生理变化率</v>
      </c>
      <c r="H25" s="175"/>
      <c r="I25" s="62" t="str">
        <f ca="1">CONCATENATE(info!M7,"-",info!M8)</f>
        <v>41.2-62.1</v>
      </c>
      <c r="J25" s="42" t="str">
        <f>lang!B13</f>
        <v>千卡l/分钟</v>
      </c>
      <c r="K25" s="41" t="str">
        <f ca="1">CONCATENATE(info!M5,"-",info!M6)</f>
        <v>2.1-5.5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44.971899999999998</v>
      </c>
      <c r="F28" s="121"/>
      <c r="G28" s="135" t="str">
        <f>lang!B33</f>
        <v>稳定性</v>
      </c>
      <c r="H28" s="136"/>
      <c r="I28" s="137"/>
      <c r="J28" s="138">
        <f>M!B19*100</f>
        <v>39.591000000000001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43608.445555555554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5.4883000000000024</v>
      </c>
      <c r="O7" s="59">
        <f t="shared" ref="O7:T7" si="2">AG7-X7</f>
        <v>-10.483560000000001</v>
      </c>
      <c r="P7" s="59">
        <f t="shared" si="2"/>
        <v>-25.94585</v>
      </c>
      <c r="Q7" s="59">
        <f t="shared" si="2"/>
        <v>0</v>
      </c>
      <c r="R7" s="59">
        <f t="shared" si="2"/>
        <v>31.160650000000004</v>
      </c>
      <c r="S7" s="59">
        <f t="shared" si="2"/>
        <v>0</v>
      </c>
      <c r="T7" s="59">
        <f t="shared" si="2"/>
        <v>0.73720000000000141</v>
      </c>
      <c r="U7" s="14"/>
      <c r="V7" s="27" t="str">
        <f>M7</f>
        <v>攻击性</v>
      </c>
      <c r="W7" s="59">
        <f>'M1'!B5*1</f>
        <v>41.990499999999997</v>
      </c>
      <c r="X7" s="59">
        <f>'M1'!C5*1</f>
        <v>14.041600000000001</v>
      </c>
      <c r="Y7" s="59">
        <f>'M1'!D5*1</f>
        <v>33.439799999999998</v>
      </c>
      <c r="Z7" s="59">
        <f>'M1'!E5*1</f>
        <v>20</v>
      </c>
      <c r="AA7" s="59">
        <f>'M1'!F5*1</f>
        <v>7.7375499999999997</v>
      </c>
      <c r="AB7" s="59">
        <f>'M1'!G5*1</f>
        <v>50</v>
      </c>
      <c r="AC7" s="59">
        <f>'M1'!H5*1</f>
        <v>52.603400000000001</v>
      </c>
      <c r="AE7" s="27" t="str">
        <f>V7</f>
        <v>攻击性</v>
      </c>
      <c r="AF7" s="59">
        <f>'M2'!B5*1</f>
        <v>47.4788</v>
      </c>
      <c r="AG7" s="59">
        <f>'M2'!C5*1</f>
        <v>3.5580400000000001</v>
      </c>
      <c r="AH7" s="59">
        <f>'M2'!D5*1</f>
        <v>7.4939499999999999</v>
      </c>
      <c r="AI7" s="59">
        <f>'M2'!E5*1</f>
        <v>20</v>
      </c>
      <c r="AJ7" s="59">
        <f>'M2'!F5*1</f>
        <v>38.898200000000003</v>
      </c>
      <c r="AK7" s="59">
        <f>'M2'!G5*1</f>
        <v>50</v>
      </c>
      <c r="AL7" s="59">
        <f>'M2'!H5*1</f>
        <v>53.340600000000002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-2.7117000000000004</v>
      </c>
      <c r="O8" s="59">
        <f t="shared" ref="O8:O16" si="5">AG8-X8</f>
        <v>-0.28892000000000007</v>
      </c>
      <c r="P8" s="59">
        <f t="shared" ref="P8:P16" si="6">AH8-Y8</f>
        <v>0.78349999999999831</v>
      </c>
      <c r="Q8" s="59">
        <f t="shared" ref="Q8:Q16" si="7">AI8-Z8</f>
        <v>0</v>
      </c>
      <c r="R8" s="59">
        <f t="shared" ref="R8:R16" si="8">AJ8-AA8</f>
        <v>-0.20620000000000083</v>
      </c>
      <c r="S8" s="59">
        <f t="shared" ref="S8:S16" si="9">AK8-AB8</f>
        <v>0</v>
      </c>
      <c r="T8" s="59">
        <f t="shared" ref="T8:T16" si="10">AL8-AC8</f>
        <v>-1.6765000000000008</v>
      </c>
      <c r="U8" s="15"/>
      <c r="V8" s="27" t="str">
        <f t="shared" ref="V8:V16" si="11">M8</f>
        <v>压力</v>
      </c>
      <c r="W8" s="59">
        <f>'M1'!B6*1</f>
        <v>19.9849</v>
      </c>
      <c r="X8" s="59">
        <f>'M1'!C6*1</f>
        <v>3.1267399999999999</v>
      </c>
      <c r="Y8" s="59">
        <f>'M1'!D6*1</f>
        <v>15.6455</v>
      </c>
      <c r="Z8" s="59">
        <f>'M1'!E6*1</f>
        <v>20</v>
      </c>
      <c r="AA8" s="59">
        <f>'M1'!F6*1</f>
        <v>10.904400000000001</v>
      </c>
      <c r="AB8" s="59">
        <f>'M1'!G6*1</f>
        <v>40</v>
      </c>
      <c r="AC8" s="59">
        <f>'M1'!H6*1</f>
        <v>23.245200000000001</v>
      </c>
      <c r="AE8" s="27" t="str">
        <f t="shared" ref="AE8:AE16" si="12">V8</f>
        <v>压力</v>
      </c>
      <c r="AF8" s="59">
        <f>'M2'!B6*1</f>
        <v>17.273199999999999</v>
      </c>
      <c r="AG8" s="59">
        <f>'M2'!C6*1</f>
        <v>2.8378199999999998</v>
      </c>
      <c r="AH8" s="59">
        <f>'M2'!D6*1</f>
        <v>16.428999999999998</v>
      </c>
      <c r="AI8" s="59">
        <f>'M2'!E6*1</f>
        <v>20</v>
      </c>
      <c r="AJ8" s="59">
        <f>'M2'!F6*1</f>
        <v>10.6982</v>
      </c>
      <c r="AK8" s="59">
        <f>'M2'!G6*1</f>
        <v>40</v>
      </c>
      <c r="AL8" s="59">
        <f>'M2'!H6*1</f>
        <v>21.5687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31.160650000000004</v>
      </c>
      <c r="D9" s="78">
        <f>N7</f>
        <v>5.4883000000000024</v>
      </c>
      <c r="E9" s="79">
        <f>T7</f>
        <v>0.73720000000000141</v>
      </c>
      <c r="F9" s="79">
        <f>P7</f>
        <v>-25.94585</v>
      </c>
      <c r="G9" s="80" t="str">
        <f>CONCATENATE(M8,"
(20 ~ 40)")</f>
        <v>压力
(20 ~ 40)</v>
      </c>
      <c r="H9" s="77">
        <f>R8</f>
        <v>-0.20620000000000083</v>
      </c>
      <c r="I9" s="81">
        <f>N8</f>
        <v>-2.7117000000000004</v>
      </c>
      <c r="J9" s="77">
        <f>T8</f>
        <v>-1.6765000000000008</v>
      </c>
      <c r="K9" s="82">
        <f>P8</f>
        <v>0.78349999999999831</v>
      </c>
      <c r="L9" s="6"/>
      <c r="M9" s="27" t="str">
        <f>lang!B16</f>
        <v>焦虑</v>
      </c>
      <c r="N9" s="59">
        <f t="shared" si="4"/>
        <v>1.0932599999999999</v>
      </c>
      <c r="O9" s="59">
        <f t="shared" si="5"/>
        <v>1.7982600000000009</v>
      </c>
      <c r="P9" s="59">
        <f t="shared" si="6"/>
        <v>7.7920000000000016</v>
      </c>
      <c r="Q9" s="59">
        <f t="shared" si="7"/>
        <v>0</v>
      </c>
      <c r="R9" s="59">
        <f t="shared" si="8"/>
        <v>-0.39586999999999994</v>
      </c>
      <c r="S9" s="59">
        <f t="shared" si="9"/>
        <v>0</v>
      </c>
      <c r="T9" s="59">
        <f t="shared" si="10"/>
        <v>0.25880000000000081</v>
      </c>
      <c r="U9" s="14"/>
      <c r="V9" s="27" t="str">
        <f t="shared" si="11"/>
        <v>焦虑</v>
      </c>
      <c r="W9" s="59">
        <f>'M1'!B7*1</f>
        <v>7.4942599999999997</v>
      </c>
      <c r="X9" s="59">
        <f>'M1'!C7*1</f>
        <v>7.7399699999999996</v>
      </c>
      <c r="Y9" s="59">
        <f>'M1'!D7*1</f>
        <v>103.279</v>
      </c>
      <c r="Z9" s="59">
        <f>'M1'!E7*1</f>
        <v>15</v>
      </c>
      <c r="AA9" s="59">
        <f>'M1'!F7*1</f>
        <v>2.40449</v>
      </c>
      <c r="AB9" s="59">
        <f>'M1'!G7*1</f>
        <v>40</v>
      </c>
      <c r="AC9" s="59">
        <f>'M1'!H7*1</f>
        <v>36.696599999999997</v>
      </c>
      <c r="AE9" s="27" t="str">
        <f t="shared" si="12"/>
        <v>焦虑</v>
      </c>
      <c r="AF9" s="59">
        <f>'M2'!B7*1</f>
        <v>8.5875199999999996</v>
      </c>
      <c r="AG9" s="59">
        <f>'M2'!C7*1</f>
        <v>9.5382300000000004</v>
      </c>
      <c r="AH9" s="59">
        <f>'M2'!D7*1</f>
        <v>111.071</v>
      </c>
      <c r="AI9" s="59">
        <f>'M2'!E7*1</f>
        <v>15</v>
      </c>
      <c r="AJ9" s="59">
        <f>'M2'!F7*1</f>
        <v>2.0086200000000001</v>
      </c>
      <c r="AK9" s="59">
        <f>'M2'!G7*1</f>
        <v>40</v>
      </c>
      <c r="AL9" s="59">
        <f>'M2'!H7*1</f>
        <v>36.955399999999997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-0.39586999999999994</v>
      </c>
      <c r="D10" s="51">
        <f>N9</f>
        <v>1.0932599999999999</v>
      </c>
      <c r="E10" s="53">
        <f>T9</f>
        <v>0.25880000000000081</v>
      </c>
      <c r="F10" s="53">
        <f>P9</f>
        <v>7.7920000000000016</v>
      </c>
      <c r="G10" s="73" t="str">
        <f>CONCATENATE(M10,"
(20 ~ 50)")</f>
        <v>可疑
(20 ~ 50)</v>
      </c>
      <c r="H10" s="24">
        <f>R10</f>
        <v>6.1411999999999978</v>
      </c>
      <c r="I10" s="52">
        <f>N10</f>
        <v>2.3564000000000007</v>
      </c>
      <c r="J10" s="24">
        <f>T10</f>
        <v>4.1818999999999988</v>
      </c>
      <c r="K10" s="25">
        <f>P10</f>
        <v>-4.236600000000001</v>
      </c>
      <c r="L10" s="4"/>
      <c r="M10" s="27" t="str">
        <f>lang!B17</f>
        <v>可疑</v>
      </c>
      <c r="N10" s="59">
        <f t="shared" si="4"/>
        <v>2.3564000000000007</v>
      </c>
      <c r="O10" s="59">
        <f t="shared" si="5"/>
        <v>-0.62457999999999991</v>
      </c>
      <c r="P10" s="59">
        <f t="shared" si="6"/>
        <v>-4.236600000000001</v>
      </c>
      <c r="Q10" s="59">
        <f t="shared" si="7"/>
        <v>0</v>
      </c>
      <c r="R10" s="59">
        <f t="shared" si="8"/>
        <v>6.1411999999999978</v>
      </c>
      <c r="S10" s="59">
        <f t="shared" si="9"/>
        <v>0</v>
      </c>
      <c r="T10" s="59">
        <f t="shared" si="10"/>
        <v>4.1818999999999988</v>
      </c>
      <c r="U10" s="14"/>
      <c r="V10" s="27" t="str">
        <f t="shared" si="11"/>
        <v>可疑</v>
      </c>
      <c r="W10" s="59">
        <f>'M1'!B8*1</f>
        <v>22.279399999999999</v>
      </c>
      <c r="X10" s="59">
        <f>'M1'!C8*1</f>
        <v>3.96306</v>
      </c>
      <c r="Y10" s="59">
        <f>'M1'!D8*1</f>
        <v>17.788</v>
      </c>
      <c r="Z10" s="59">
        <f>'M1'!E8*1</f>
        <v>20</v>
      </c>
      <c r="AA10" s="59">
        <f>'M1'!F8*1</f>
        <v>14.589600000000001</v>
      </c>
      <c r="AB10" s="59">
        <f>'M1'!G8*1</f>
        <v>50</v>
      </c>
      <c r="AC10" s="59">
        <f>'M1'!H8*1</f>
        <v>28.671500000000002</v>
      </c>
      <c r="AE10" s="27" t="str">
        <f t="shared" si="12"/>
        <v>可疑</v>
      </c>
      <c r="AF10" s="59">
        <f>'M2'!B8*1</f>
        <v>24.6358</v>
      </c>
      <c r="AG10" s="59">
        <f>'M2'!C8*1</f>
        <v>3.3384800000000001</v>
      </c>
      <c r="AH10" s="59">
        <f>'M2'!D8*1</f>
        <v>13.551399999999999</v>
      </c>
      <c r="AI10" s="59">
        <f>'M2'!E8*1</f>
        <v>20</v>
      </c>
      <c r="AJ10" s="59">
        <f>'M2'!F8*1</f>
        <v>20.730799999999999</v>
      </c>
      <c r="AK10" s="59">
        <f>'M2'!G8*1</f>
        <v>50</v>
      </c>
      <c r="AL10" s="59">
        <f>'M2'!H8*1</f>
        <v>32.853400000000001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-1.7115000000000009</v>
      </c>
      <c r="D11" s="52">
        <f>N11</f>
        <v>-6.0699000000000041</v>
      </c>
      <c r="E11" s="24">
        <f>T11</f>
        <v>-9.7882999999999925</v>
      </c>
      <c r="F11" s="24">
        <f>P11</f>
        <v>-1.6346000000000007</v>
      </c>
      <c r="G11" s="73" t="str">
        <f>CONCATENATE(M12,"
(40 ~ 100)")</f>
        <v>自信
(40 ~ 100)</v>
      </c>
      <c r="H11" s="24">
        <f>R12</f>
        <v>3.2214000000000027</v>
      </c>
      <c r="I11" s="52">
        <f>N12</f>
        <v>-0.56300000000000239</v>
      </c>
      <c r="J11" s="24">
        <f>T12</f>
        <v>2.105400000000003</v>
      </c>
      <c r="K11" s="25">
        <f>P12</f>
        <v>-1.46793</v>
      </c>
      <c r="L11" s="4"/>
      <c r="M11" s="27" t="str">
        <f>lang!B18</f>
        <v>平衡</v>
      </c>
      <c r="N11" s="59">
        <f t="shared" si="4"/>
        <v>-6.0699000000000041</v>
      </c>
      <c r="O11" s="59">
        <f t="shared" si="5"/>
        <v>-1.8250700000000002</v>
      </c>
      <c r="P11" s="59">
        <f t="shared" si="6"/>
        <v>-1.6346000000000007</v>
      </c>
      <c r="Q11" s="59">
        <f t="shared" si="7"/>
        <v>0</v>
      </c>
      <c r="R11" s="59">
        <f t="shared" si="8"/>
        <v>-1.7115000000000009</v>
      </c>
      <c r="S11" s="59">
        <f t="shared" si="9"/>
        <v>0</v>
      </c>
      <c r="T11" s="59">
        <f t="shared" si="10"/>
        <v>-9.7882999999999925</v>
      </c>
      <c r="U11" s="14"/>
      <c r="V11" s="27" t="str">
        <f t="shared" si="11"/>
        <v>平衡</v>
      </c>
      <c r="W11" s="59">
        <f>'M1'!B9*1</f>
        <v>73.818200000000004</v>
      </c>
      <c r="X11" s="59">
        <f>'M1'!C9*1</f>
        <v>8.7273800000000001</v>
      </c>
      <c r="Y11" s="59">
        <f>'M1'!D9*1</f>
        <v>11.822800000000001</v>
      </c>
      <c r="Z11" s="59">
        <f>'M1'!E9*1</f>
        <v>50</v>
      </c>
      <c r="AA11" s="59">
        <f>'M1'!F9*1</f>
        <v>48.639200000000002</v>
      </c>
      <c r="AB11" s="59">
        <f>'M1'!G9*1</f>
        <v>100</v>
      </c>
      <c r="AC11" s="59">
        <f>'M1'!H9*1</f>
        <v>89.74</v>
      </c>
      <c r="AE11" s="27" t="str">
        <f t="shared" si="12"/>
        <v>平衡</v>
      </c>
      <c r="AF11" s="59">
        <f>'M2'!B9*1</f>
        <v>67.7483</v>
      </c>
      <c r="AG11" s="59">
        <f>'M2'!C9*1</f>
        <v>6.9023099999999999</v>
      </c>
      <c r="AH11" s="59">
        <f>'M2'!D9*1</f>
        <v>10.1882</v>
      </c>
      <c r="AI11" s="59">
        <f>'M2'!E9*1</f>
        <v>50</v>
      </c>
      <c r="AJ11" s="59">
        <f>'M2'!F9*1</f>
        <v>46.927700000000002</v>
      </c>
      <c r="AK11" s="59">
        <f>'M2'!G9*1</f>
        <v>100</v>
      </c>
      <c r="AL11" s="59">
        <f>'M2'!H9*1</f>
        <v>79.951700000000002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30.255290000000002</v>
      </c>
      <c r="D12" s="51">
        <f>N13</f>
        <v>4.7777000000000029</v>
      </c>
      <c r="E12" s="53">
        <f>T13</f>
        <v>0.55930000000000035</v>
      </c>
      <c r="F12" s="53">
        <f>P13</f>
        <v>-29.361150000000002</v>
      </c>
      <c r="G12" s="73" t="str">
        <f>CONCATENATE(M14,"
(50 ~ 100)")</f>
        <v>自我调节
(50 ~ 100)</v>
      </c>
      <c r="H12" s="24">
        <f>R14</f>
        <v>1.2409999999999997</v>
      </c>
      <c r="I12" s="52">
        <f>N14</f>
        <v>-2.7713000000000108</v>
      </c>
      <c r="J12" s="24">
        <f>T14</f>
        <v>-6.9418000000000006</v>
      </c>
      <c r="K12" s="25">
        <f>P14</f>
        <v>-1.8859000000000012</v>
      </c>
      <c r="L12" s="4"/>
      <c r="M12" s="27" t="str">
        <f>lang!B19</f>
        <v>自信</v>
      </c>
      <c r="N12" s="59">
        <f t="shared" si="4"/>
        <v>-0.56300000000000239</v>
      </c>
      <c r="O12" s="59">
        <f t="shared" si="5"/>
        <v>-1.2289099999999995</v>
      </c>
      <c r="P12" s="59">
        <f t="shared" si="6"/>
        <v>-1.46793</v>
      </c>
      <c r="Q12" s="59">
        <f t="shared" si="7"/>
        <v>0</v>
      </c>
      <c r="R12" s="59">
        <f t="shared" si="8"/>
        <v>3.2214000000000027</v>
      </c>
      <c r="S12" s="59">
        <f t="shared" si="9"/>
        <v>0</v>
      </c>
      <c r="T12" s="59">
        <f t="shared" si="10"/>
        <v>2.105400000000003</v>
      </c>
      <c r="U12" s="15"/>
      <c r="V12" s="27" t="str">
        <f t="shared" si="11"/>
        <v>自信</v>
      </c>
      <c r="W12" s="59">
        <f>'M1'!B10*1</f>
        <v>81.987700000000004</v>
      </c>
      <c r="X12" s="59">
        <f>'M1'!C10*1</f>
        <v>4.8999499999999996</v>
      </c>
      <c r="Y12" s="59">
        <f>'M1'!D10*1</f>
        <v>5.9764400000000002</v>
      </c>
      <c r="Z12" s="59">
        <f>'M1'!E10*1</f>
        <v>40</v>
      </c>
      <c r="AA12" s="59">
        <f>'M1'!F10*1</f>
        <v>69.354699999999994</v>
      </c>
      <c r="AB12" s="59">
        <f>'M1'!G10*1</f>
        <v>100</v>
      </c>
      <c r="AC12" s="59">
        <f>'M1'!H10*1</f>
        <v>87.527699999999996</v>
      </c>
      <c r="AE12" s="27" t="str">
        <f t="shared" si="12"/>
        <v>自信</v>
      </c>
      <c r="AF12" s="59">
        <f>'M2'!B10*1</f>
        <v>81.424700000000001</v>
      </c>
      <c r="AG12" s="59">
        <f>'M2'!C10*1</f>
        <v>3.6710400000000001</v>
      </c>
      <c r="AH12" s="59">
        <f>'M2'!D10*1</f>
        <v>4.5085100000000002</v>
      </c>
      <c r="AI12" s="59">
        <f>'M2'!E10*1</f>
        <v>40</v>
      </c>
      <c r="AJ12" s="59">
        <f>'M2'!F10*1</f>
        <v>72.576099999999997</v>
      </c>
      <c r="AK12" s="59">
        <f>'M2'!G10*1</f>
        <v>100</v>
      </c>
      <c r="AL12" s="59">
        <f>'M2'!H10*1</f>
        <v>89.633099999999999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9.2794999999999987</v>
      </c>
      <c r="D13" s="55">
        <f>N15</f>
        <v>1.5726999999999975</v>
      </c>
      <c r="E13" s="56">
        <f>T15</f>
        <v>8.9054000000000002</v>
      </c>
      <c r="F13" s="56">
        <f>P15</f>
        <v>-3.9600000000000009</v>
      </c>
      <c r="G13" s="74" t="str">
        <f>CONCATENATE(M16,"
(10 ~ 50)")</f>
        <v>神经质
(10 ~ 50)</v>
      </c>
      <c r="H13" s="54">
        <f>R16</f>
        <v>1.5419109999999998</v>
      </c>
      <c r="I13" s="55">
        <f>N16</f>
        <v>-8.1860999999999962</v>
      </c>
      <c r="J13" s="56">
        <f>T16</f>
        <v>10.095799999999997</v>
      </c>
      <c r="K13" s="57">
        <f>P16</f>
        <v>9.7394999999999996</v>
      </c>
      <c r="M13" s="27" t="str">
        <f>lang!B20</f>
        <v>活力</v>
      </c>
      <c r="N13" s="59">
        <f t="shared" si="4"/>
        <v>4.7777000000000029</v>
      </c>
      <c r="O13" s="59">
        <f t="shared" si="5"/>
        <v>-10.273960000000001</v>
      </c>
      <c r="P13" s="59">
        <f t="shared" si="6"/>
        <v>-29.361150000000002</v>
      </c>
      <c r="Q13" s="59">
        <f t="shared" si="7"/>
        <v>0</v>
      </c>
      <c r="R13" s="59">
        <f t="shared" si="8"/>
        <v>30.255290000000002</v>
      </c>
      <c r="S13" s="59">
        <f t="shared" si="9"/>
        <v>0</v>
      </c>
      <c r="T13" s="59">
        <f t="shared" si="10"/>
        <v>0.55930000000000035</v>
      </c>
      <c r="U13" s="14"/>
      <c r="V13" s="27" t="str">
        <f t="shared" si="11"/>
        <v>活力</v>
      </c>
      <c r="W13" s="59">
        <f>'M1'!B11*1</f>
        <v>35.816099999999999</v>
      </c>
      <c r="X13" s="59">
        <f>'M1'!C11*1</f>
        <v>12.330500000000001</v>
      </c>
      <c r="Y13" s="59">
        <f>'M1'!D11*1</f>
        <v>34.427300000000002</v>
      </c>
      <c r="Z13" s="59">
        <f>'M1'!E11*1</f>
        <v>10</v>
      </c>
      <c r="AA13" s="59">
        <f>'M1'!F11*1</f>
        <v>6.2771100000000004</v>
      </c>
      <c r="AB13" s="59">
        <f>'M1'!G11*1</f>
        <v>50</v>
      </c>
      <c r="AC13" s="59">
        <f>'M1'!H11*1</f>
        <v>43.9375</v>
      </c>
      <c r="AE13" s="27" t="str">
        <f t="shared" si="12"/>
        <v>活力</v>
      </c>
      <c r="AF13" s="59">
        <f>'M2'!B11*1</f>
        <v>40.593800000000002</v>
      </c>
      <c r="AG13" s="59">
        <f>'M2'!C11*1</f>
        <v>2.05654</v>
      </c>
      <c r="AH13" s="59">
        <f>'M2'!D11*1</f>
        <v>5.0661500000000004</v>
      </c>
      <c r="AI13" s="59">
        <f>'M2'!E11*1</f>
        <v>10</v>
      </c>
      <c r="AJ13" s="59">
        <f>'M2'!F11*1</f>
        <v>36.532400000000003</v>
      </c>
      <c r="AK13" s="59">
        <f>'M2'!G11*1</f>
        <v>50</v>
      </c>
      <c r="AL13" s="59">
        <f>'M2'!H11*1</f>
        <v>44.4968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-2.7713000000000108</v>
      </c>
      <c r="O14" s="59">
        <f t="shared" si="5"/>
        <v>-1.6383200000000002</v>
      </c>
      <c r="P14" s="59">
        <f t="shared" si="6"/>
        <v>-1.8859000000000012</v>
      </c>
      <c r="Q14" s="59">
        <f t="shared" si="7"/>
        <v>0</v>
      </c>
      <c r="R14" s="59">
        <f t="shared" si="8"/>
        <v>1.2409999999999997</v>
      </c>
      <c r="S14" s="59">
        <f t="shared" si="9"/>
        <v>0</v>
      </c>
      <c r="T14" s="59">
        <f t="shared" si="10"/>
        <v>-6.9418000000000006</v>
      </c>
      <c r="U14" s="14"/>
      <c r="V14" s="27" t="str">
        <f t="shared" si="11"/>
        <v>自我调节</v>
      </c>
      <c r="W14" s="59">
        <f>'M1'!B12*1</f>
        <v>77.446700000000007</v>
      </c>
      <c r="X14" s="59">
        <f>'M1'!C12*1</f>
        <v>6.42814</v>
      </c>
      <c r="Y14" s="59">
        <f>'M1'!D12*1</f>
        <v>8.3000900000000009</v>
      </c>
      <c r="Z14" s="59">
        <f>'M1'!E12*1</f>
        <v>50</v>
      </c>
      <c r="AA14" s="59">
        <f>'M1'!F12*1</f>
        <v>59.0261</v>
      </c>
      <c r="AB14" s="59">
        <f>'M1'!G12*1</f>
        <v>100</v>
      </c>
      <c r="AC14" s="59">
        <f>'M1'!H12*1</f>
        <v>87.985799999999998</v>
      </c>
      <c r="AE14" s="27" t="str">
        <f t="shared" si="12"/>
        <v>自我调节</v>
      </c>
      <c r="AF14" s="59">
        <f>'M2'!B12*1</f>
        <v>74.675399999999996</v>
      </c>
      <c r="AG14" s="59">
        <f>'M2'!C12*1</f>
        <v>4.7898199999999997</v>
      </c>
      <c r="AH14" s="59">
        <f>'M2'!D12*1</f>
        <v>6.4141899999999996</v>
      </c>
      <c r="AI14" s="59">
        <f>'M2'!E12*1</f>
        <v>50</v>
      </c>
      <c r="AJ14" s="59">
        <f>'M2'!F12*1</f>
        <v>60.267099999999999</v>
      </c>
      <c r="AK14" s="59">
        <f>'M2'!G12*1</f>
        <v>100</v>
      </c>
      <c r="AL14" s="59">
        <f>'M2'!H12*1</f>
        <v>81.043999999999997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1.5726999999999975</v>
      </c>
      <c r="O15" s="59">
        <f t="shared" si="5"/>
        <v>-0.8186100000000005</v>
      </c>
      <c r="P15" s="59">
        <f t="shared" si="6"/>
        <v>-3.9600000000000009</v>
      </c>
      <c r="Q15" s="59">
        <f t="shared" si="7"/>
        <v>0</v>
      </c>
      <c r="R15" s="59">
        <f t="shared" si="8"/>
        <v>9.2794999999999987</v>
      </c>
      <c r="S15" s="59">
        <f t="shared" si="9"/>
        <v>0</v>
      </c>
      <c r="T15" s="59">
        <f t="shared" si="10"/>
        <v>8.9054000000000002</v>
      </c>
      <c r="U15" s="14"/>
      <c r="V15" s="27" t="str">
        <f t="shared" si="11"/>
        <v>抑郁</v>
      </c>
      <c r="W15" s="59">
        <f>'M1'!B13*1</f>
        <v>29.167300000000001</v>
      </c>
      <c r="X15" s="59">
        <f>'M1'!C13*1</f>
        <v>7.3942100000000002</v>
      </c>
      <c r="Y15" s="59">
        <f>'M1'!D13*1</f>
        <v>25.350999999999999</v>
      </c>
      <c r="Z15" s="59">
        <f>'M1'!E13*1</f>
        <v>10</v>
      </c>
      <c r="AA15" s="59">
        <f>'M1'!F13*1</f>
        <v>13.4207</v>
      </c>
      <c r="AB15" s="59">
        <f>'M1'!G13*1</f>
        <v>25</v>
      </c>
      <c r="AC15" s="59">
        <f>'M1'!H13*1</f>
        <v>45.230699999999999</v>
      </c>
      <c r="AE15" s="27" t="str">
        <f t="shared" si="12"/>
        <v>抑郁</v>
      </c>
      <c r="AF15" s="59">
        <f>'M2'!B13*1</f>
        <v>30.74</v>
      </c>
      <c r="AG15" s="59">
        <f>'M2'!C13*1</f>
        <v>6.5755999999999997</v>
      </c>
      <c r="AH15" s="59">
        <f>'M2'!D13*1</f>
        <v>21.390999999999998</v>
      </c>
      <c r="AI15" s="59">
        <f>'M2'!E13*1</f>
        <v>10</v>
      </c>
      <c r="AJ15" s="59">
        <f>'M2'!F13*1</f>
        <v>22.700199999999999</v>
      </c>
      <c r="AK15" s="59">
        <f>'M2'!G13*1</f>
        <v>25</v>
      </c>
      <c r="AL15" s="59">
        <f>'M2'!H13*1</f>
        <v>54.136099999999999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-8.1860999999999962</v>
      </c>
      <c r="O16" s="59">
        <f t="shared" si="5"/>
        <v>3.8632999999999988</v>
      </c>
      <c r="P16" s="59">
        <f t="shared" si="6"/>
        <v>9.7394999999999996</v>
      </c>
      <c r="Q16" s="59">
        <f t="shared" si="7"/>
        <v>0</v>
      </c>
      <c r="R16" s="59">
        <f t="shared" si="8"/>
        <v>1.5419109999999998</v>
      </c>
      <c r="S16" s="59">
        <f t="shared" si="9"/>
        <v>0</v>
      </c>
      <c r="T16" s="59">
        <f t="shared" si="10"/>
        <v>10.095799999999997</v>
      </c>
      <c r="U16" s="15"/>
      <c r="V16" s="27" t="str">
        <f t="shared" si="11"/>
        <v>神经质</v>
      </c>
      <c r="W16" s="59">
        <f>'M1'!B14*1</f>
        <v>73.942099999999996</v>
      </c>
      <c r="X16" s="59">
        <f>'M1'!C14*1</f>
        <v>22.9511</v>
      </c>
      <c r="Y16" s="59">
        <f>'M1'!D14*1</f>
        <v>31.039200000000001</v>
      </c>
      <c r="Z16" s="59">
        <f>'M1'!E14*1</f>
        <v>10</v>
      </c>
      <c r="AA16" s="59">
        <f>'M1'!F14*1</f>
        <v>0.89339900000000005</v>
      </c>
      <c r="AB16" s="59">
        <f>'M1'!G14*1</f>
        <v>50</v>
      </c>
      <c r="AC16" s="59">
        <f>'M1'!H14*1</f>
        <v>74.823800000000006</v>
      </c>
      <c r="AE16" s="27" t="str">
        <f t="shared" si="12"/>
        <v>神经质</v>
      </c>
      <c r="AF16" s="59">
        <f>'M2'!B14*1</f>
        <v>65.756</v>
      </c>
      <c r="AG16" s="59">
        <f>'M2'!C14*1</f>
        <v>26.814399999999999</v>
      </c>
      <c r="AH16" s="59">
        <f>'M2'!D14*1</f>
        <v>40.778700000000001</v>
      </c>
      <c r="AI16" s="59">
        <f>'M2'!E14*1</f>
        <v>10</v>
      </c>
      <c r="AJ16" s="59">
        <f>'M2'!F14*1</f>
        <v>2.4353099999999999</v>
      </c>
      <c r="AK16" s="59">
        <f>'M2'!G14*1</f>
        <v>50</v>
      </c>
      <c r="AL16" s="59">
        <f>'M2'!H14*1</f>
        <v>84.919600000000003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-1.1566250000000036</v>
      </c>
      <c r="O17" s="22">
        <f>N17/(N17+N18+N19)</f>
        <v>0.39790866807029229</v>
      </c>
      <c r="P17" s="65">
        <f>SUM(P11:P14)/4</f>
        <v>-8.5873950000000008</v>
      </c>
      <c r="Q17" s="22">
        <f>P17/(P17+P18+P19)</f>
        <v>0.77368222961953048</v>
      </c>
      <c r="R17" s="14"/>
      <c r="S17" s="14"/>
      <c r="T17" s="14"/>
      <c r="U17" s="14"/>
      <c r="V17" s="21" t="str">
        <f>M17</f>
        <v>Positive</v>
      </c>
      <c r="W17" s="65">
        <f>SUM(W11:W14)/4</f>
        <v>67.267175000000009</v>
      </c>
      <c r="X17" s="22">
        <f>W17/(W17+W18+W19)</f>
        <v>0.47451737503486552</v>
      </c>
      <c r="Y17" s="65">
        <f>SUM(Y11:Y14)/4</f>
        <v>15.131657499999999</v>
      </c>
      <c r="Z17" s="22">
        <f>Y17/(Y17+Y18+Y19)</f>
        <v>0.17622648364218263</v>
      </c>
      <c r="AA17" s="14"/>
      <c r="AB17" s="14"/>
      <c r="AC17" s="14"/>
      <c r="AE17" s="21" t="str">
        <f>V17</f>
        <v>Positive</v>
      </c>
      <c r="AF17" s="65">
        <f>SUM(AF11:AF14)/4</f>
        <v>66.110549999999989</v>
      </c>
      <c r="AG17" s="22">
        <f>AF17/(AF17+AF18+AF19)</f>
        <v>0.47612111510079985</v>
      </c>
      <c r="AH17" s="65">
        <f>SUM(AH11:AH14)/4</f>
        <v>6.5442625000000003</v>
      </c>
      <c r="AI17" s="22">
        <f>AH17/(AH17+AH18+AH19)</f>
        <v>8.7530570604470379E-2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1.5565650000000006</v>
      </c>
      <c r="O18" s="22">
        <f>N18/(N17+N18+N19)</f>
        <v>-0.53549828675226008</v>
      </c>
      <c r="P18" s="18">
        <f>SUM(P7:P10)/4</f>
        <v>-5.4017375000000012</v>
      </c>
      <c r="Q18" s="22">
        <f>P18/(P17+P18+P19)</f>
        <v>0.48667009178213294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22.937264999999996</v>
      </c>
      <c r="X18" s="22">
        <f>W18/(W17+W18+W19)</f>
        <v>0.16180448752722396</v>
      </c>
      <c r="Y18" s="18">
        <f>SUM(Y7:Y10)/4</f>
        <v>42.538074999999999</v>
      </c>
      <c r="Z18" s="22">
        <f>Y18/(Y17+Y18+Y19)</f>
        <v>0.49540741839798036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24.493829999999999</v>
      </c>
      <c r="AG18" s="22">
        <f>AF18/(AF17+AF18+AF19)</f>
        <v>0.17640194572106005</v>
      </c>
      <c r="AH18" s="18">
        <f>SUM(AH7:AH10)/4</f>
        <v>37.136337499999996</v>
      </c>
      <c r="AI18" s="22">
        <f>AH18/(AH17+AH18+AH19)</f>
        <v>0.49670452729168346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-3.3066999999999993</v>
      </c>
      <c r="O19" s="22">
        <f>N19/(N17+N18+N19)</f>
        <v>1.1375896186819678</v>
      </c>
      <c r="P19" s="18">
        <f>(P15+P16)/2</f>
        <v>2.8897499999999994</v>
      </c>
      <c r="Q19" s="22">
        <f>P19/(P17+P18+P19)</f>
        <v>-0.26035232140166342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51.554699999999997</v>
      </c>
      <c r="X19" s="22">
        <f>W19/(W17+W18+W19)</f>
        <v>0.3636781374379105</v>
      </c>
      <c r="Y19" s="18">
        <f>(Y15+Y16)/2</f>
        <v>28.1951</v>
      </c>
      <c r="Z19" s="22">
        <f>Y19/(Y17+Y18+Y19)</f>
        <v>0.32836609795983707</v>
      </c>
      <c r="AA19" s="14"/>
      <c r="AB19" s="14"/>
      <c r="AC19" s="14"/>
      <c r="AE19" s="21" t="str">
        <f t="shared" si="14"/>
        <v>Physiological</v>
      </c>
      <c r="AF19" s="18">
        <f>(AF15+AF16)/2</f>
        <v>48.247999999999998</v>
      </c>
      <c r="AG19" s="22">
        <f>AF19/(AF17+AF18+AF19)</f>
        <v>0.34747693917814015</v>
      </c>
      <c r="AH19" s="18">
        <f>(AH15+AH16)/2</f>
        <v>31.084849999999999</v>
      </c>
      <c r="AI19" s="22">
        <f>AH19/(AH17+AH18+AH19)</f>
        <v>0.41576490210384609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2.29/2.52</v>
      </c>
      <c r="D24" s="44" t="str">
        <f>lang!B11</f>
        <v>频率方差</v>
      </c>
      <c r="E24" s="182" t="str">
        <f ca="1">CONCATENATE(ROUND('FH1'!L3,2),"/",ROUND('FH2'!L3,2))</f>
        <v>0.74/0.53</v>
      </c>
      <c r="F24" s="183"/>
      <c r="G24" s="174" t="str">
        <f>lang!B12</f>
        <v>生理变化率</v>
      </c>
      <c r="H24" s="175"/>
      <c r="I24" s="62" t="str">
        <f ca="1">CONCATENATE(info!M7,"-",info!M8)</f>
        <v>41.2-62.1</v>
      </c>
      <c r="J24" s="42" t="str">
        <f>lang!B13</f>
        <v>千卡l/分钟</v>
      </c>
      <c r="K24" s="41" t="str">
        <f ca="1">CONCATENATE(info!M5,"-",info!M6)</f>
        <v>2.1-5.5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-13.186700000000007</v>
      </c>
      <c r="F27" s="121"/>
      <c r="G27" s="135" t="str">
        <f>lang!B33</f>
        <v>稳定性</v>
      </c>
      <c r="H27" s="136"/>
      <c r="I27" s="137"/>
      <c r="J27" s="138">
        <f>dM!B19*100</f>
        <v>3.7480999999999987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-0.708119504430475</v>
      </c>
      <c r="C2">
        <f t="array" aca="1" ref="C2" ca="1">CORREL(FT_E02,FT_PH02)</f>
        <v>0.12180117078180216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2.1490999999999998</v>
      </c>
      <c r="G2" s="61">
        <f>IF(FT!B2&lt;&gt;"",FT!B2*100,"")</f>
        <v>62.069200000000002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2.2403999999999997</v>
      </c>
      <c r="G3" s="61">
        <f>IF(FT!B3&lt;&gt;"",FT!B3*100,"")</f>
        <v>61.2958</v>
      </c>
      <c r="H3" s="61">
        <f t="shared" ref="H3:H66" si="1">(IF(F3&lt;&gt;"",1,""))</f>
        <v>1</v>
      </c>
      <c r="I3" t="str">
        <f>IF(FT!B3&lt;&gt;"",FT!E3,"")</f>
        <v>1 [0.402240]</v>
      </c>
      <c r="J3">
        <f>IF(FT!B3&lt;&gt;"",FT!C3,"")</f>
        <v>0.40223999999999999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0.47594677027027038</v>
      </c>
      <c r="V3">
        <f ca="1">AVERAGE(OFFSET(FT!B2,info!$L$3/2,0,info!$L$3/2,1))</f>
        <v>0.46541937837837832</v>
      </c>
      <c r="W3">
        <f ca="1">AVERAGE(OFFSET(FT!A2,0,0,info!$L$3/2,1))</f>
        <v>0.45742267567567574</v>
      </c>
      <c r="X3">
        <f ca="1">AVERAGE(OFFSET(FT!A2,info!$L$3/2,0,info!$L$3/2,1))</f>
        <v>0.51299139189189191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2.3350999999999997</v>
      </c>
      <c r="G4" s="61">
        <f>IF(FT!B4&lt;&gt;"",FT!B4*100,"")</f>
        <v>60.430799999999998</v>
      </c>
      <c r="H4" s="61">
        <f t="shared" si="1"/>
        <v>1</v>
      </c>
      <c r="I4" t="str">
        <f>IF(FT!B4&lt;&gt;"",FT!E4,"")</f>
        <v>1 [0.810811]</v>
      </c>
      <c r="J4">
        <f>IF(FT!B4&lt;&gt;"",FT!C4,"")</f>
        <v>0.81081099999999995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15.030775</v>
      </c>
      <c r="V4">
        <f>U4*3</f>
        <v>45.092325000000002</v>
      </c>
      <c r="W4">
        <f>U4</f>
        <v>15.030775</v>
      </c>
      <c r="X4">
        <f>V4</f>
        <v>45.092325000000002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2.4295200000000001</v>
      </c>
      <c r="G5" s="61">
        <f>IF(FT!B5&lt;&gt;"",FT!B5*100,"")</f>
        <v>59.648400000000002</v>
      </c>
      <c r="H5" s="61">
        <f t="shared" si="1"/>
        <v>1</v>
      </c>
      <c r="I5" t="str">
        <f>IF(FT!B5&lt;&gt;"",FT!E5,"")</f>
        <v>1 [1.218832]</v>
      </c>
      <c r="J5">
        <f>IF(FT!B5&lt;&gt;"",FT!C5,"")</f>
        <v>1.2188300000000001</v>
      </c>
      <c r="K5" t="s">
        <v>53</v>
      </c>
      <c r="L5" s="63">
        <f ca="1">MIN(FT_E)</f>
        <v>2.1490999999999998</v>
      </c>
      <c r="M5" s="63">
        <f ca="1">ROUND(L5,1)</f>
        <v>2.1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47.594677027027039</v>
      </c>
      <c r="V5">
        <f ca="1">V3*100</f>
        <v>46.541937837837835</v>
      </c>
      <c r="W5">
        <f ca="1">W3*10</f>
        <v>4.5742267567567572</v>
      </c>
      <c r="X5">
        <f ca="1">X3*10</f>
        <v>5.1299139189189189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2.5268299999999999</v>
      </c>
      <c r="G6" s="61">
        <f>IF(FT!B6&lt;&gt;"",FT!B6*100,"")</f>
        <v>58.707000000000001</v>
      </c>
      <c r="H6" s="61">
        <f t="shared" si="1"/>
        <v>1</v>
      </c>
      <c r="I6" t="str">
        <f>IF(FT!B6&lt;&gt;"",FT!E6,"")</f>
        <v>1 [1.624611]</v>
      </c>
      <c r="J6">
        <f>IF(FT!B6&lt;&gt;"",FT!C6,"")</f>
        <v>1.6246100000000001</v>
      </c>
      <c r="K6" t="s">
        <v>54</v>
      </c>
      <c r="L6" s="63">
        <f ca="1">MAX(FT_E)</f>
        <v>5.4813700000000001</v>
      </c>
      <c r="M6" s="63">
        <f ca="1">ROUND(L6,1)</f>
        <v>5.5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2.6262999999999996</v>
      </c>
      <c r="G7" s="61">
        <f>IF(FT!B7&lt;&gt;"",FT!B7*100,"")</f>
        <v>57.65</v>
      </c>
      <c r="H7" s="61">
        <f t="shared" si="1"/>
        <v>1</v>
      </c>
      <c r="I7" t="str">
        <f>IF(FT!B7&lt;&gt;"",FT!E7,"")</f>
        <v>1 [2.027505]</v>
      </c>
      <c r="J7">
        <f>IF(FT!B7&lt;&gt;"",FT!C7,"")</f>
        <v>2.0275099999999999</v>
      </c>
      <c r="K7" t="s">
        <v>55</v>
      </c>
      <c r="L7" s="63">
        <f ca="1">MIN(FT_PH)</f>
        <v>41.230200000000004</v>
      </c>
      <c r="M7" s="63">
        <f ca="1">ROUND(L7,1)</f>
        <v>41.2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138</v>
      </c>
      <c r="D8" s="61">
        <f>FH!B8*1</f>
        <v>138</v>
      </c>
      <c r="E8">
        <f t="shared" si="3"/>
        <v>6</v>
      </c>
      <c r="F8" s="61">
        <f>IF(FT!A8&lt;&gt;"",FT!A8*10,"")</f>
        <v>2.7262999999999997</v>
      </c>
      <c r="G8" s="61">
        <f>IF(FT!B8&lt;&gt;"",FT!B8*100,"")</f>
        <v>56.593499999999999</v>
      </c>
      <c r="H8" s="61">
        <f t="shared" si="1"/>
        <v>1</v>
      </c>
      <c r="I8" t="str">
        <f>IF(FT!B8&lt;&gt;"",FT!E8,"")</f>
        <v>1 [2.435758]</v>
      </c>
      <c r="J8">
        <f>IF(FT!B8&lt;&gt;"",FT!C8,"")</f>
        <v>2.4357600000000001</v>
      </c>
      <c r="K8" t="s">
        <v>56</v>
      </c>
      <c r="L8" s="63">
        <f ca="1">MAX(FT_PH)</f>
        <v>62.069200000000002</v>
      </c>
      <c r="M8" s="63">
        <f ca="1">ROUND(L8,1)</f>
        <v>62.1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2.82653</v>
      </c>
      <c r="G9" s="61">
        <f>IF(FT!B9&lt;&gt;"",FT!B9*100,"")</f>
        <v>55.524399999999993</v>
      </c>
      <c r="H9" s="61">
        <f t="shared" si="1"/>
        <v>1</v>
      </c>
      <c r="I9" t="str">
        <f>IF(FT!B9&lt;&gt;"",FT!E9,"")</f>
        <v>1 [2.844385]</v>
      </c>
      <c r="J9">
        <f>IF(FT!B9&lt;&gt;"",FT!C9,"")</f>
        <v>2.8443900000000002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526</v>
      </c>
      <c r="D10" s="61">
        <f>FH!B10*1</f>
        <v>526</v>
      </c>
      <c r="E10">
        <f t="shared" si="3"/>
        <v>8</v>
      </c>
      <c r="F10" s="61">
        <f>IF(FT!A10&lt;&gt;"",FT!A10*10,"")</f>
        <v>2.9226799999999997</v>
      </c>
      <c r="G10" s="61">
        <f>IF(FT!B10&lt;&gt;"",FT!B10*100,"")</f>
        <v>54.309300000000007</v>
      </c>
      <c r="H10" s="61">
        <f t="shared" si="1"/>
        <v>1</v>
      </c>
      <c r="I10" t="str">
        <f>IF(FT!B10&lt;&gt;"",FT!E10,"")</f>
        <v>1 [3.247236]</v>
      </c>
      <c r="J10">
        <f>IF(FT!B10&lt;&gt;"",FT!C10,"")</f>
        <v>3.2472400000000001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3.01701</v>
      </c>
      <c r="G11" s="61">
        <f>IF(FT!B11&lt;&gt;"",FT!B11*100,"")</f>
        <v>53.019099999999995</v>
      </c>
      <c r="H11" s="61">
        <f t="shared" si="1"/>
        <v>1</v>
      </c>
      <c r="I11" t="str">
        <f>IF(FT!B11&lt;&gt;"",FT!E11,"")</f>
        <v>1 [3.655164]</v>
      </c>
      <c r="J11">
        <f>IF(FT!B11&lt;&gt;"",FT!C11,"")</f>
        <v>3.65516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3.1152200000000003</v>
      </c>
      <c r="G12" s="61">
        <f>IF(FT!B12&lt;&gt;"",FT!B12*100,"")</f>
        <v>51.636299999999999</v>
      </c>
      <c r="H12" s="61">
        <f t="shared" si="1"/>
        <v>1</v>
      </c>
      <c r="I12" t="str">
        <f>IF(FT!B12&lt;&gt;"",FT!E12,"")</f>
        <v>1 [4.060025]</v>
      </c>
      <c r="J12">
        <f>IF(FT!B12&lt;&gt;"",FT!C12,"")</f>
        <v>4.0600300000000002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1349</v>
      </c>
      <c r="D13" s="61">
        <f>FH!B13*1</f>
        <v>1349</v>
      </c>
      <c r="E13">
        <f t="shared" si="3"/>
        <v>11</v>
      </c>
      <c r="F13" s="61">
        <f>IF(FT!A13&lt;&gt;"",FT!A13*10,"")</f>
        <v>3.2179899999999999</v>
      </c>
      <c r="G13" s="61">
        <f>IF(FT!B13&lt;&gt;"",FT!B13*100,"")</f>
        <v>50.146900000000002</v>
      </c>
      <c r="H13" s="61">
        <f t="shared" si="1"/>
        <v>1</v>
      </c>
      <c r="I13" t="str">
        <f>IF(FT!B13&lt;&gt;"",FT!E13,"")</f>
        <v>1 [4.466326]</v>
      </c>
      <c r="J13">
        <f>IF(FT!B13&lt;&gt;"",FT!C13,"")</f>
        <v>4.4663300000000001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3.3200000000000003</v>
      </c>
      <c r="G14" s="61">
        <f>IF(FT!B14&lt;&gt;"",FT!B14*100,"")</f>
        <v>48.781200000000005</v>
      </c>
      <c r="H14" s="61">
        <f t="shared" si="1"/>
        <v>1</v>
      </c>
      <c r="I14" t="str">
        <f>IF(FT!B14&lt;&gt;"",FT!E14,"")</f>
        <v>1 [4.869965]</v>
      </c>
      <c r="J14">
        <f>IF(FT!B14&lt;&gt;"",FT!C14,"")</f>
        <v>4.8699700000000004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2712</v>
      </c>
      <c r="D15" s="61">
        <f>FH!B15*1</f>
        <v>2712</v>
      </c>
      <c r="E15">
        <f t="shared" si="3"/>
        <v>13</v>
      </c>
      <c r="F15" s="61">
        <f>IF(FT!A15&lt;&gt;"",FT!A15*10,"")</f>
        <v>3.4204499999999998</v>
      </c>
      <c r="G15" s="61">
        <f>IF(FT!B15&lt;&gt;"",FT!B15*100,"")</f>
        <v>47.614600000000003</v>
      </c>
      <c r="H15" s="61">
        <f t="shared" si="1"/>
        <v>1</v>
      </c>
      <c r="I15" t="str">
        <f>IF(FT!B15&lt;&gt;"",FT!E15,"")</f>
        <v>1 [5.279063]</v>
      </c>
      <c r="J15">
        <f>IF(FT!B15&lt;&gt;"",FT!C15,"")</f>
        <v>5.2790600000000003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3.5218100000000003</v>
      </c>
      <c r="G16" s="61">
        <f>IF(FT!B16&lt;&gt;"",FT!B16*100,"")</f>
        <v>46.504200000000004</v>
      </c>
      <c r="H16" s="61">
        <f t="shared" si="1"/>
        <v>1</v>
      </c>
      <c r="I16" t="str">
        <f>IF(FT!B16&lt;&gt;"",FT!E16,"")</f>
        <v>1 [5.686627]</v>
      </c>
      <c r="J16">
        <f>IF(FT!B16&lt;&gt;"",FT!C16,"")</f>
        <v>5.6866300000000001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3.6253600000000001</v>
      </c>
      <c r="G17" s="61">
        <f>IF(FT!B17&lt;&gt;"",FT!B17*100,"")</f>
        <v>45.436500000000002</v>
      </c>
      <c r="H17" s="61">
        <f t="shared" si="1"/>
        <v>1</v>
      </c>
      <c r="I17" t="str">
        <f>IF(FT!B17&lt;&gt;"",FT!E17,"")</f>
        <v>1 [6.092620]</v>
      </c>
      <c r="J17">
        <f>IF(FT!B17&lt;&gt;"",FT!C17,"")</f>
        <v>6.0926200000000001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5112</v>
      </c>
      <c r="D18" s="61">
        <f>FH!B18*1</f>
        <v>5112</v>
      </c>
      <c r="E18">
        <f t="shared" si="3"/>
        <v>16</v>
      </c>
      <c r="F18" s="61">
        <f>IF(FT!A18&lt;&gt;"",FT!A18*10,"")</f>
        <v>3.7297799999999999</v>
      </c>
      <c r="G18" s="61">
        <f>IF(FT!B18&lt;&gt;"",FT!B18*100,"")</f>
        <v>44.4803</v>
      </c>
      <c r="H18" s="61">
        <f t="shared" si="1"/>
        <v>1</v>
      </c>
      <c r="I18" t="str">
        <f>IF(FT!B18&lt;&gt;"",FT!E18,"")</f>
        <v>1 [6.496565]</v>
      </c>
      <c r="J18">
        <f>IF(FT!B18&lt;&gt;"",FT!C18,"")</f>
        <v>6.4965700000000002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3.8339299999999996</v>
      </c>
      <c r="G19" s="61">
        <f>IF(FT!B19&lt;&gt;"",FT!B19*100,"")</f>
        <v>43.706200000000003</v>
      </c>
      <c r="H19" s="61">
        <f t="shared" si="1"/>
        <v>1</v>
      </c>
      <c r="I19" t="str">
        <f>IF(FT!B19&lt;&gt;"",FT!E19,"")</f>
        <v>1 [6.905497]</v>
      </c>
      <c r="J19">
        <f>IF(FT!B19&lt;&gt;"",FT!C19,"")</f>
        <v>6.9055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3.9344800000000002</v>
      </c>
      <c r="G20" s="61">
        <f>IF(FT!B20&lt;&gt;"",FT!B20*100,"")</f>
        <v>43.162800000000004</v>
      </c>
      <c r="H20" s="61">
        <f t="shared" si="1"/>
        <v>1</v>
      </c>
      <c r="I20" t="str">
        <f>IF(FT!B20&lt;&gt;"",FT!E20,"")</f>
        <v>1 [7.311643]</v>
      </c>
      <c r="J20">
        <f>IF(FT!B20&lt;&gt;"",FT!C20,"")</f>
        <v>7.3116399999999997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11172</v>
      </c>
      <c r="D21" s="61">
        <f>FH!B21*1</f>
        <v>11172</v>
      </c>
      <c r="E21">
        <f t="shared" si="3"/>
        <v>19</v>
      </c>
      <c r="F21" s="61">
        <f>IF(FT!A21&lt;&gt;"",FT!A21*10,"")</f>
        <v>4.0343200000000001</v>
      </c>
      <c r="G21" s="61">
        <f>IF(FT!B21&lt;&gt;"",FT!B21*100,"")</f>
        <v>42.773000000000003</v>
      </c>
      <c r="H21" s="61">
        <f t="shared" si="1"/>
        <v>1</v>
      </c>
      <c r="I21" t="str">
        <f>IF(FT!B21&lt;&gt;"",FT!E21,"")</f>
        <v>1 [7.716258]</v>
      </c>
      <c r="J21">
        <f>IF(FT!B21&lt;&gt;"",FT!C21,"")</f>
        <v>7.7162600000000001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4.1314899999999994</v>
      </c>
      <c r="G22" s="61">
        <f>IF(FT!B22&lt;&gt;"",FT!B22*100,"")</f>
        <v>42.496899999999997</v>
      </c>
      <c r="H22" s="61">
        <f t="shared" si="1"/>
        <v>1</v>
      </c>
      <c r="I22" t="str">
        <f>IF(FT!B22&lt;&gt;"",FT!E22,"")</f>
        <v>1 [8.125206]</v>
      </c>
      <c r="J22">
        <f>IF(FT!B22&lt;&gt;"",FT!C22,"")</f>
        <v>8.1252099999999992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14231</v>
      </c>
      <c r="D23" s="61">
        <f>FH!B23*1</f>
        <v>14231</v>
      </c>
      <c r="E23">
        <f t="shared" si="3"/>
        <v>21</v>
      </c>
      <c r="F23" s="61">
        <f>IF(FT!A23&lt;&gt;"",FT!A23*10,"")</f>
        <v>4.2258000000000004</v>
      </c>
      <c r="G23" s="61">
        <f>IF(FT!B23&lt;&gt;"",FT!B23*100,"")</f>
        <v>42.407499999999999</v>
      </c>
      <c r="H23" s="61">
        <f t="shared" si="1"/>
        <v>1</v>
      </c>
      <c r="I23" t="str">
        <f>IF(FT!B23&lt;&gt;"",FT!E23,"")</f>
        <v>1 [8.526108]</v>
      </c>
      <c r="J23">
        <f>IF(FT!B23&lt;&gt;"",FT!C23,"")</f>
        <v>8.5261099999999992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4.3187300000000004</v>
      </c>
      <c r="G24" s="61">
        <f>IF(FT!B24&lt;&gt;"",FT!B24*100,"")</f>
        <v>42.4709</v>
      </c>
      <c r="H24" s="61">
        <f t="shared" si="1"/>
        <v>1</v>
      </c>
      <c r="I24" t="str">
        <f>IF(FT!B24&lt;&gt;"",FT!E24,"")</f>
        <v>1 [8.934990]</v>
      </c>
      <c r="J24">
        <f>IF(FT!B24&lt;&gt;"",FT!C24,"")</f>
        <v>8.9349900000000009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4.4055299999999997</v>
      </c>
      <c r="G25" s="61">
        <f>IF(FT!B25&lt;&gt;"",FT!B25*100,"")</f>
        <v>42.765000000000001</v>
      </c>
      <c r="H25" s="61">
        <f t="shared" si="1"/>
        <v>1</v>
      </c>
      <c r="I25" t="str">
        <f>IF(FT!B25&lt;&gt;"",FT!E25,"")</f>
        <v>1 [9.342939]</v>
      </c>
      <c r="J25">
        <f>IF(FT!B25&lt;&gt;"",FT!C25,"")</f>
        <v>9.3429400000000005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16289</v>
      </c>
      <c r="D26" s="61">
        <f>FH!B26*1</f>
        <v>16289</v>
      </c>
      <c r="E26">
        <f t="shared" si="3"/>
        <v>24</v>
      </c>
      <c r="F26" s="61">
        <f>IF(FT!A26&lt;&gt;"",FT!A26*10,"")</f>
        <v>4.4896799999999999</v>
      </c>
      <c r="G26" s="61">
        <f>IF(FT!B26&lt;&gt;"",FT!B26*100,"")</f>
        <v>43.076700000000002</v>
      </c>
      <c r="H26" s="61">
        <f t="shared" si="1"/>
        <v>1</v>
      </c>
      <c r="I26" t="str">
        <f>IF(FT!B26&lt;&gt;"",FT!E26,"")</f>
        <v>1 [9.748880]</v>
      </c>
      <c r="J26">
        <f>IF(FT!B26&lt;&gt;"",FT!C26,"")</f>
        <v>9.7488799999999998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4.5697399999999995</v>
      </c>
      <c r="G27" s="61">
        <f>IF(FT!B27&lt;&gt;"",FT!B27*100,"")</f>
        <v>43.421399999999998</v>
      </c>
      <c r="H27" s="61">
        <f t="shared" si="1"/>
        <v>1</v>
      </c>
      <c r="I27" t="str">
        <f>IF(FT!B27&lt;&gt;"",FT!E27,"")</f>
        <v>1 [10.153847]</v>
      </c>
      <c r="J27">
        <f>IF(FT!B27&lt;&gt;"",FT!C27,"")</f>
        <v>10.1538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18950</v>
      </c>
      <c r="D28" s="61">
        <f>FH!B28*1</f>
        <v>18950</v>
      </c>
      <c r="E28">
        <f t="shared" si="3"/>
        <v>26</v>
      </c>
      <c r="F28" s="61">
        <f>IF(FT!A28&lt;&gt;"",FT!A28*10,"")</f>
        <v>4.6458199999999996</v>
      </c>
      <c r="G28" s="61">
        <f>IF(FT!B28&lt;&gt;"",FT!B28*100,"")</f>
        <v>43.775500000000001</v>
      </c>
      <c r="H28" s="61">
        <f t="shared" si="1"/>
        <v>1</v>
      </c>
      <c r="I28" t="str">
        <f>IF(FT!B28&lt;&gt;"",FT!E28,"")</f>
        <v>1 [10.559645]</v>
      </c>
      <c r="J28">
        <f>IF(FT!B28&lt;&gt;"",FT!C28,"")</f>
        <v>10.5596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4.71692</v>
      </c>
      <c r="G29" s="61">
        <f>IF(FT!B29&lt;&gt;"",FT!B29*100,"")</f>
        <v>44.1355</v>
      </c>
      <c r="H29" s="61">
        <f t="shared" si="1"/>
        <v>1</v>
      </c>
      <c r="I29" t="str">
        <f>IF(FT!B29&lt;&gt;"",FT!E29,"")</f>
        <v>1 [10.965747]</v>
      </c>
      <c r="J29">
        <f>IF(FT!B29&lt;&gt;"",FT!C29,"")</f>
        <v>10.9657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4.7866900000000001</v>
      </c>
      <c r="G30" s="61">
        <f>IF(FT!B30&lt;&gt;"",FT!B30*100,"")</f>
        <v>44.45</v>
      </c>
      <c r="H30" s="61">
        <f t="shared" si="1"/>
        <v>1</v>
      </c>
      <c r="I30" t="str">
        <f>IF(FT!B30&lt;&gt;"",FT!E30,"")</f>
        <v>1 [11.374517]</v>
      </c>
      <c r="J30">
        <f>IF(FT!B30&lt;&gt;"",FT!C30,"")</f>
        <v>11.374499999999999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20881</v>
      </c>
      <c r="D31" s="61">
        <f>FH!B31*1</f>
        <v>20881</v>
      </c>
      <c r="E31">
        <f t="shared" si="3"/>
        <v>29</v>
      </c>
      <c r="F31" s="61">
        <f>IF(FT!A31&lt;&gt;"",FT!A31*10,"")</f>
        <v>4.8515899999999998</v>
      </c>
      <c r="G31" s="61">
        <f>IF(FT!B31&lt;&gt;"",FT!B31*100,"")</f>
        <v>44.776700000000005</v>
      </c>
      <c r="H31" s="61">
        <f t="shared" si="1"/>
        <v>1</v>
      </c>
      <c r="I31" t="str">
        <f>IF(FT!B31&lt;&gt;"",FT!E31,"")</f>
        <v>1 [11.780461]</v>
      </c>
      <c r="J31">
        <f>IF(FT!B31&lt;&gt;"",FT!C31,"")</f>
        <v>11.7805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4.9118399999999998</v>
      </c>
      <c r="G32" s="61">
        <f>IF(FT!B32&lt;&gt;"",FT!B32*100,"")</f>
        <v>45.078200000000002</v>
      </c>
      <c r="H32" s="61">
        <f t="shared" si="1"/>
        <v>1</v>
      </c>
      <c r="I32" t="str">
        <f>IF(FT!B32&lt;&gt;"",FT!E32,"")</f>
        <v>1 [12.185324]</v>
      </c>
      <c r="J32">
        <f>IF(FT!B32&lt;&gt;"",FT!C32,"")</f>
        <v>12.1853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22948</v>
      </c>
      <c r="D33" s="61">
        <f>FH!B33*1</f>
        <v>22948</v>
      </c>
      <c r="E33">
        <f t="shared" si="3"/>
        <v>31</v>
      </c>
      <c r="F33" s="61">
        <f>IF(FT!A33&lt;&gt;"",FT!A33*10,"")</f>
        <v>4.9698500000000001</v>
      </c>
      <c r="G33" s="61">
        <f>IF(FT!B33&lt;&gt;"",FT!B33*100,"")</f>
        <v>45.319500000000005</v>
      </c>
      <c r="H33" s="61">
        <f t="shared" si="1"/>
        <v>1</v>
      </c>
      <c r="I33" t="str">
        <f>IF(FT!B33&lt;&gt;"",FT!E33,"")</f>
        <v>1 [12.591240]</v>
      </c>
      <c r="J33">
        <f>IF(FT!B33&lt;&gt;"",FT!C33,"")</f>
        <v>12.591200000000001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5.0249200000000007</v>
      </c>
      <c r="G34" s="61">
        <f>IF(FT!B34&lt;&gt;"",FT!B34*100,"")</f>
        <v>45.512300000000003</v>
      </c>
      <c r="H34" s="61">
        <f t="shared" si="1"/>
        <v>1</v>
      </c>
      <c r="I34" t="str">
        <f>IF(FT!B34&lt;&gt;"",FT!E34,"")</f>
        <v>1 [12.996201]</v>
      </c>
      <c r="J34">
        <f>IF(FT!B34&lt;&gt;"",FT!C34,"")</f>
        <v>12.9962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5.0749900000000006</v>
      </c>
      <c r="G35" s="61">
        <f>IF(FT!B35&lt;&gt;"",FT!B35*100,"")</f>
        <v>45.691099999999999</v>
      </c>
      <c r="H35" s="61">
        <f t="shared" si="1"/>
        <v>1</v>
      </c>
      <c r="I35" t="str">
        <f>IF(FT!B35&lt;&gt;"",FT!E35,"")</f>
        <v>1 [13.404261]</v>
      </c>
      <c r="J35">
        <f>IF(FT!B35&lt;&gt;"",FT!C35,"")</f>
        <v>13.404299999999999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25863</v>
      </c>
      <c r="D36" s="61">
        <f>FH!B36*1</f>
        <v>25863</v>
      </c>
      <c r="E36">
        <f t="shared" si="3"/>
        <v>34</v>
      </c>
      <c r="F36" s="61">
        <f>IF(FT!A36&lt;&gt;"",FT!A36*10,"")</f>
        <v>5.1176300000000001</v>
      </c>
      <c r="G36" s="61">
        <f>IF(FT!B36&lt;&gt;"",FT!B36*100,"")</f>
        <v>45.783000000000001</v>
      </c>
      <c r="H36" s="61">
        <f t="shared" si="1"/>
        <v>1</v>
      </c>
      <c r="I36" t="str">
        <f>IF(FT!B36&lt;&gt;"",FT!E36,"")</f>
        <v>1 [13.808966]</v>
      </c>
      <c r="J36">
        <f>IF(FT!B36&lt;&gt;"",FT!C36,"")</f>
        <v>13.808999999999999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5.154069999999999</v>
      </c>
      <c r="G37" s="61">
        <f>IF(FT!B37&lt;&gt;"",FT!B37*100,"")</f>
        <v>45.8947</v>
      </c>
      <c r="H37" s="61">
        <f t="shared" si="1"/>
        <v>1</v>
      </c>
      <c r="I37" t="str">
        <f>IF(FT!B37&lt;&gt;"",FT!E37,"")</f>
        <v>1 [14.212395]</v>
      </c>
      <c r="J37">
        <f>IF(FT!B37&lt;&gt;"",FT!C37,"")</f>
        <v>14.212400000000001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5.1849100000000004</v>
      </c>
      <c r="G38" s="61">
        <f>IF(FT!B38&lt;&gt;"",FT!B38*100,"")</f>
        <v>45.927299999999995</v>
      </c>
      <c r="H38" s="61">
        <f t="shared" si="1"/>
        <v>1</v>
      </c>
      <c r="I38" t="str">
        <f>IF(FT!B38&lt;&gt;"",FT!E38,"")</f>
        <v>1 [14.620804]</v>
      </c>
      <c r="J38">
        <f>IF(FT!B38&lt;&gt;"",FT!C38,"")</f>
        <v>14.620799999999999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33266</v>
      </c>
      <c r="D39" s="61">
        <f>FH!B39*1</f>
        <v>33266</v>
      </c>
      <c r="E39">
        <f t="shared" si="3"/>
        <v>37</v>
      </c>
      <c r="F39" s="61">
        <f>IF(FT!A39&lt;&gt;"",FT!A39*10,"")</f>
        <v>5.2142999999999997</v>
      </c>
      <c r="G39" s="61">
        <f>IF(FT!B39&lt;&gt;"",FT!B39*100,"")</f>
        <v>45.916699999999999</v>
      </c>
      <c r="H39" s="61">
        <f t="shared" si="1"/>
        <v>1</v>
      </c>
      <c r="I39" t="str">
        <f>IF(FT!B39&lt;&gt;"",FT!E39,"")</f>
        <v>1 [15.026712]</v>
      </c>
      <c r="J39">
        <f>IF(FT!B39&lt;&gt;"",FT!C39,"")</f>
        <v>15.0267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5.2423099999999998</v>
      </c>
      <c r="G40" s="61">
        <f>IF(FT!B40&lt;&gt;"",FT!B40*100,"")</f>
        <v>45.877000000000002</v>
      </c>
      <c r="H40" s="61">
        <f t="shared" si="1"/>
        <v>1</v>
      </c>
      <c r="I40" t="str">
        <f>IF(FT!B40&lt;&gt;"",FT!E40,"")</f>
        <v>1 [15.435616]</v>
      </c>
      <c r="J40">
        <f>IF(FT!B40&lt;&gt;"",FT!C40,"")</f>
        <v>15.435600000000001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33846</v>
      </c>
      <c r="D41" s="61">
        <f>FH!B41*1</f>
        <v>33846</v>
      </c>
      <c r="E41">
        <f t="shared" si="3"/>
        <v>39</v>
      </c>
      <c r="F41" s="61">
        <f>IF(FT!A41&lt;&gt;"",FT!A41*10,"")</f>
        <v>5.2658199999999997</v>
      </c>
      <c r="G41" s="61">
        <f>IF(FT!B41&lt;&gt;"",FT!B41*100,"")</f>
        <v>45.8598</v>
      </c>
      <c r="H41" s="61">
        <f t="shared" si="1"/>
        <v>1</v>
      </c>
      <c r="I41" t="str">
        <f>IF(FT!B41&lt;&gt;"",FT!E41,"")</f>
        <v>1 [15.839613]</v>
      </c>
      <c r="J41">
        <f>IF(FT!B41&lt;&gt;"",FT!C41,"")</f>
        <v>15.839600000000001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5.2855100000000004</v>
      </c>
      <c r="G42" s="61">
        <f>IF(FT!B42&lt;&gt;"",FT!B42*100,"")</f>
        <v>45.807199999999995</v>
      </c>
      <c r="H42" s="61">
        <f t="shared" si="1"/>
        <v>1</v>
      </c>
      <c r="I42" t="str">
        <f>IF(FT!B42&lt;&gt;"",FT!E42,"")</f>
        <v>1 [16.246167]</v>
      </c>
      <c r="J42">
        <f>IF(FT!B42&lt;&gt;"",FT!C42,"")</f>
        <v>16.246200000000002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5.3019600000000002</v>
      </c>
      <c r="G43" s="61">
        <f>IF(FT!B43&lt;&gt;"",FT!B43*100,"")</f>
        <v>45.746199999999995</v>
      </c>
      <c r="H43" s="61">
        <f t="shared" si="1"/>
        <v>1</v>
      </c>
      <c r="I43" t="str">
        <f>IF(FT!B43&lt;&gt;"",FT!E43,"")</f>
        <v>1 [16.657290]</v>
      </c>
      <c r="J43">
        <f>IF(FT!B43&lt;&gt;"",FT!C43,"")</f>
        <v>16.657299999999999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43996</v>
      </c>
      <c r="D44" s="61">
        <f>FH!B44*1</f>
        <v>43996</v>
      </c>
      <c r="E44">
        <f t="shared" si="3"/>
        <v>42</v>
      </c>
      <c r="F44" s="61">
        <f>IF(FT!A44&lt;&gt;"",FT!A44*10,"")</f>
        <v>5.31555</v>
      </c>
      <c r="G44" s="61">
        <f>IF(FT!B44&lt;&gt;"",FT!B44*100,"")</f>
        <v>45.718599999999995</v>
      </c>
      <c r="H44" s="61">
        <f t="shared" si="1"/>
        <v>1</v>
      </c>
      <c r="I44" t="str">
        <f>IF(FT!B44&lt;&gt;"",FT!E44,"")</f>
        <v>1 [17.061398]</v>
      </c>
      <c r="J44">
        <f>IF(FT!B44&lt;&gt;"",FT!C44,"")</f>
        <v>17.061399999999999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5.3305199999999999</v>
      </c>
      <c r="G45" s="61">
        <f>IF(FT!B45&lt;&gt;"",FT!B45*100,"")</f>
        <v>45.723200000000006</v>
      </c>
      <c r="H45" s="61">
        <f t="shared" si="1"/>
        <v>1</v>
      </c>
      <c r="I45" t="str">
        <f>IF(FT!B45&lt;&gt;"",FT!E45,"")</f>
        <v>1 [17.467204]</v>
      </c>
      <c r="J45">
        <f>IF(FT!B45&lt;&gt;"",FT!C45,"")</f>
        <v>17.467199999999998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50264</v>
      </c>
      <c r="D46" s="61">
        <f>FH!B46*1</f>
        <v>50264</v>
      </c>
      <c r="E46">
        <f t="shared" si="3"/>
        <v>44</v>
      </c>
      <c r="F46" s="61">
        <f>IF(FT!A46&lt;&gt;"",FT!A46*10,"")</f>
        <v>5.3438499999999998</v>
      </c>
      <c r="G46" s="61">
        <f>IF(FT!B46&lt;&gt;"",FT!B46*100,"")</f>
        <v>45.707099999999997</v>
      </c>
      <c r="H46" s="61">
        <f t="shared" si="1"/>
        <v>1</v>
      </c>
      <c r="I46" t="str">
        <f>IF(FT!B46&lt;&gt;"",FT!E46,"")</f>
        <v>1 [17.868070]</v>
      </c>
      <c r="J46">
        <f>IF(FT!B46&lt;&gt;"",FT!C46,"")</f>
        <v>17.868099999999998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5.3539899999999996</v>
      </c>
      <c r="G47" s="61">
        <f>IF(FT!B47&lt;&gt;"",FT!B47*100,"")</f>
        <v>45.7378</v>
      </c>
      <c r="H47" s="61">
        <f t="shared" si="1"/>
        <v>1</v>
      </c>
      <c r="I47" t="str">
        <f>IF(FT!B47&lt;&gt;"",FT!E47,"")</f>
        <v>1 [18.274221]</v>
      </c>
      <c r="J47">
        <f>IF(FT!B47&lt;&gt;"",FT!C47,"")</f>
        <v>18.2742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5.36442</v>
      </c>
      <c r="G48" s="61">
        <f>IF(FT!B48&lt;&gt;"",FT!B48*100,"")</f>
        <v>45.716000000000001</v>
      </c>
      <c r="H48" s="61">
        <f t="shared" si="1"/>
        <v>1</v>
      </c>
      <c r="I48" t="str">
        <f>IF(FT!B48&lt;&gt;"",FT!E48,"")</f>
        <v>1 [18.683978]</v>
      </c>
      <c r="J48">
        <f>IF(FT!B48&lt;&gt;"",FT!C48,"")</f>
        <v>18.684000000000001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51027</v>
      </c>
      <c r="D49" s="61">
        <f>FH!B49*1</f>
        <v>51027</v>
      </c>
      <c r="E49">
        <f t="shared" si="3"/>
        <v>47</v>
      </c>
      <c r="F49" s="61">
        <f>IF(FT!A49&lt;&gt;"",FT!A49*10,"")</f>
        <v>5.3725999999999994</v>
      </c>
      <c r="G49" s="61">
        <f>IF(FT!B49&lt;&gt;"",FT!B49*100,"")</f>
        <v>45.592500000000001</v>
      </c>
      <c r="H49" s="61">
        <f t="shared" si="1"/>
        <v>1</v>
      </c>
      <c r="I49" t="str">
        <f>IF(FT!B49&lt;&gt;"",FT!E49,"")</f>
        <v>1 [19.093889]</v>
      </c>
      <c r="J49">
        <f>IF(FT!B49&lt;&gt;"",FT!C49,"")</f>
        <v>19.093900000000001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5.3779200000000005</v>
      </c>
      <c r="G50" s="61">
        <f>IF(FT!B50&lt;&gt;"",FT!B50*100,"")</f>
        <v>45.4983</v>
      </c>
      <c r="H50" s="61">
        <f t="shared" si="1"/>
        <v>1</v>
      </c>
      <c r="I50" t="str">
        <f>IF(FT!B50&lt;&gt;"",FT!E50,"")</f>
        <v>1 [19.495861]</v>
      </c>
      <c r="J50">
        <f>IF(FT!B50&lt;&gt;"",FT!C50,"")</f>
        <v>19.495899999999999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53138</v>
      </c>
      <c r="D51" s="61">
        <f>FH!B51*1</f>
        <v>53138</v>
      </c>
      <c r="E51">
        <f t="shared" si="3"/>
        <v>49</v>
      </c>
      <c r="F51" s="61">
        <f>IF(FT!A51&lt;&gt;"",FT!A51*10,"")</f>
        <v>5.3783700000000003</v>
      </c>
      <c r="G51" s="61">
        <f>IF(FT!B51&lt;&gt;"",FT!B51*100,"")</f>
        <v>45.447700000000005</v>
      </c>
      <c r="H51" s="61">
        <f t="shared" si="1"/>
        <v>1</v>
      </c>
      <c r="I51" t="str">
        <f>IF(FT!B51&lt;&gt;"",FT!E51,"")</f>
        <v>1 [19.909815]</v>
      </c>
      <c r="J51">
        <f>IF(FT!B51&lt;&gt;"",FT!C51,"")</f>
        <v>19.909800000000001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5.3779900000000005</v>
      </c>
      <c r="G52" s="61">
        <f>IF(FT!B52&lt;&gt;"",FT!B52*100,"")</f>
        <v>45.379899999999999</v>
      </c>
      <c r="H52" s="61">
        <f t="shared" si="1"/>
        <v>1</v>
      </c>
      <c r="I52" t="str">
        <f>IF(FT!B52&lt;&gt;"",FT!E52,"")</f>
        <v>1 [20.309209]</v>
      </c>
      <c r="J52">
        <f>IF(FT!B52&lt;&gt;"",FT!C52,"")</f>
        <v>20.309200000000001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5.3779299999999992</v>
      </c>
      <c r="G53" s="61">
        <f>IF(FT!B53&lt;&gt;"",FT!B53*100,"")</f>
        <v>45.3309</v>
      </c>
      <c r="H53" s="61">
        <f t="shared" si="1"/>
        <v>1</v>
      </c>
      <c r="I53" t="str">
        <f>IF(FT!B53&lt;&gt;"",FT!E53,"")</f>
        <v>1 [20.718468]</v>
      </c>
      <c r="J53">
        <f>IF(FT!B53&lt;&gt;"",FT!C53,"")</f>
        <v>20.718499999999999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50705</v>
      </c>
      <c r="D54" s="61">
        <f>FH!B54*1</f>
        <v>50705</v>
      </c>
      <c r="E54">
        <f t="shared" si="3"/>
        <v>52</v>
      </c>
      <c r="F54" s="61">
        <f>IF(FT!A54&lt;&gt;"",FT!A54*10,"")</f>
        <v>5.3785000000000007</v>
      </c>
      <c r="G54" s="61">
        <f>IF(FT!B54&lt;&gt;"",FT!B54*100,"")</f>
        <v>45.330199999999998</v>
      </c>
      <c r="H54" s="61">
        <f t="shared" si="1"/>
        <v>1</v>
      </c>
      <c r="I54" t="str">
        <f>IF(FT!B54&lt;&gt;"",FT!E54,"")</f>
        <v>1 [21.121374]</v>
      </c>
      <c r="J54">
        <f>IF(FT!B54&lt;&gt;"",FT!C54,"")</f>
        <v>21.121400000000001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5.375259999999999</v>
      </c>
      <c r="G55" s="61">
        <f>IF(FT!B55&lt;&gt;"",FT!B55*100,"")</f>
        <v>45.373400000000004</v>
      </c>
      <c r="H55" s="61">
        <f t="shared" si="1"/>
        <v>1</v>
      </c>
      <c r="I55" t="str">
        <f>IF(FT!B55&lt;&gt;"",FT!E55,"")</f>
        <v>1 [21.528679]</v>
      </c>
      <c r="J55">
        <f>IF(FT!B55&lt;&gt;"",FT!C55,"")</f>
        <v>21.528700000000001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5.3705599999999993</v>
      </c>
      <c r="G56" s="61">
        <f>IF(FT!B56&lt;&gt;"",FT!B56*100,"")</f>
        <v>45.448</v>
      </c>
      <c r="H56" s="61">
        <f t="shared" si="1"/>
        <v>1</v>
      </c>
      <c r="I56" t="str">
        <f>IF(FT!B56&lt;&gt;"",FT!E56,"")</f>
        <v>1 [21.934322]</v>
      </c>
      <c r="J56">
        <f>IF(FT!B56&lt;&gt;"",FT!C56,"")</f>
        <v>21.9343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57915</v>
      </c>
      <c r="D57" s="61">
        <f>FH!B57*1</f>
        <v>57915</v>
      </c>
      <c r="E57">
        <f t="shared" si="3"/>
        <v>55</v>
      </c>
      <c r="F57" s="61">
        <f>IF(FT!A57&lt;&gt;"",FT!A57*10,"")</f>
        <v>5.3637500000000005</v>
      </c>
      <c r="G57" s="61">
        <f>IF(FT!B57&lt;&gt;"",FT!B57*100,"")</f>
        <v>45.555399999999999</v>
      </c>
      <c r="H57" s="61">
        <f t="shared" si="1"/>
        <v>1</v>
      </c>
      <c r="I57" t="str">
        <f>IF(FT!B57&lt;&gt;"",FT!E57,"")</f>
        <v>1 [22.340292]</v>
      </c>
      <c r="J57">
        <f>IF(FT!B57&lt;&gt;"",FT!C57,"")</f>
        <v>22.340299999999999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5.3544199999999993</v>
      </c>
      <c r="G58" s="61">
        <f>IF(FT!B58&lt;&gt;"",FT!B58*100,"")</f>
        <v>45.7149</v>
      </c>
      <c r="H58" s="61">
        <f t="shared" si="1"/>
        <v>1</v>
      </c>
      <c r="I58" t="str">
        <f>IF(FT!B58&lt;&gt;"",FT!E58,"")</f>
        <v>1 [22.750977]</v>
      </c>
      <c r="J58">
        <f>IF(FT!B58&lt;&gt;"",FT!C58,"")</f>
        <v>22.751000000000001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62108</v>
      </c>
      <c r="D59" s="61">
        <f>FH!B59*1</f>
        <v>62108</v>
      </c>
      <c r="E59">
        <f t="shared" si="3"/>
        <v>57</v>
      </c>
      <c r="F59" s="61">
        <f>IF(FT!A59&lt;&gt;"",FT!A59*10,"")</f>
        <v>5.3451599999999999</v>
      </c>
      <c r="G59" s="61">
        <f>IF(FT!B59&lt;&gt;"",FT!B59*100,"")</f>
        <v>45.963999999999999</v>
      </c>
      <c r="H59" s="61">
        <f t="shared" si="1"/>
        <v>1</v>
      </c>
      <c r="I59" t="str">
        <f>IF(FT!B59&lt;&gt;"",FT!E59,"")</f>
        <v>1 [23.152946]</v>
      </c>
      <c r="J59">
        <f>IF(FT!B59&lt;&gt;"",FT!C59,"")</f>
        <v>23.152899999999999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5.3358000000000008</v>
      </c>
      <c r="G60" s="61">
        <f>IF(FT!B60&lt;&gt;"",FT!B60*100,"")</f>
        <v>46.270499999999998</v>
      </c>
      <c r="H60" s="61">
        <f t="shared" si="1"/>
        <v>1</v>
      </c>
      <c r="I60" t="str">
        <f>IF(FT!B60&lt;&gt;"",FT!E60,"")</f>
        <v>1 [23.559801]</v>
      </c>
      <c r="J60">
        <f>IF(FT!B60&lt;&gt;"",FT!C60,"")</f>
        <v>23.559799999999999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5.3291900000000005</v>
      </c>
      <c r="G61" s="61">
        <f>IF(FT!B61&lt;&gt;"",FT!B61*100,"")</f>
        <v>46.640500000000003</v>
      </c>
      <c r="H61" s="61">
        <f t="shared" si="1"/>
        <v>1</v>
      </c>
      <c r="I61" t="str">
        <f>IF(FT!B61&lt;&gt;"",FT!E61,"")</f>
        <v>1 [23.964622]</v>
      </c>
      <c r="J61">
        <f>IF(FT!B61&lt;&gt;"",FT!C61,"")</f>
        <v>23.964600000000001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74993</v>
      </c>
      <c r="D62" s="61">
        <f>FH!B62*1</f>
        <v>74993</v>
      </c>
      <c r="E62">
        <f t="shared" si="3"/>
        <v>60</v>
      </c>
      <c r="F62" s="61">
        <f>IF(FT!A62&lt;&gt;"",FT!A62*10,"")</f>
        <v>5.32273</v>
      </c>
      <c r="G62" s="61">
        <f>IF(FT!B62&lt;&gt;"",FT!B62*100,"")</f>
        <v>46.922699999999999</v>
      </c>
      <c r="H62" s="61">
        <f t="shared" si="1"/>
        <v>1</v>
      </c>
      <c r="I62" t="str">
        <f>IF(FT!B62&lt;&gt;"",FT!E62,"")</f>
        <v>1 [24.368547]</v>
      </c>
      <c r="J62">
        <f>IF(FT!B62&lt;&gt;"",FT!C62,"")</f>
        <v>24.368500000000001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5.3164699999999998</v>
      </c>
      <c r="G63" s="61">
        <f>IF(FT!B63&lt;&gt;"",FT!B63*100,"")</f>
        <v>47.209000000000003</v>
      </c>
      <c r="H63" s="61">
        <f t="shared" si="1"/>
        <v>1</v>
      </c>
      <c r="I63" t="str">
        <f>IF(FT!B63&lt;&gt;"",FT!E63,"")</f>
        <v>1 [24.776444]</v>
      </c>
      <c r="J63">
        <f>IF(FT!B63&lt;&gt;"",FT!C63,"")</f>
        <v>24.776399999999999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74353</v>
      </c>
      <c r="D64" s="61">
        <f>FH!B64*1</f>
        <v>74353</v>
      </c>
      <c r="E64">
        <f t="shared" si="3"/>
        <v>62</v>
      </c>
      <c r="F64" s="61">
        <f>IF(FT!A64&lt;&gt;"",FT!A64*10,"")</f>
        <v>5.30694</v>
      </c>
      <c r="G64" s="61">
        <f>IF(FT!B64&lt;&gt;"",FT!B64*100,"")</f>
        <v>47.491299999999995</v>
      </c>
      <c r="H64" s="61">
        <f t="shared" si="1"/>
        <v>1</v>
      </c>
      <c r="I64" t="str">
        <f>IF(FT!B64&lt;&gt;"",FT!E64,"")</f>
        <v>1 [25.185584]</v>
      </c>
      <c r="J64">
        <f>IF(FT!B64&lt;&gt;"",FT!C64,"")</f>
        <v>25.185600000000001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5.29542</v>
      </c>
      <c r="G65" s="61">
        <f>IF(FT!B65&lt;&gt;"",FT!B65*100,"")</f>
        <v>47.772399999999998</v>
      </c>
      <c r="H65" s="61">
        <f t="shared" si="1"/>
        <v>1</v>
      </c>
      <c r="I65" t="str">
        <f>IF(FT!B65&lt;&gt;"",FT!E65,"")</f>
        <v>1 [25.592412]</v>
      </c>
      <c r="J65">
        <f>IF(FT!B65&lt;&gt;"",FT!C65,"")</f>
        <v>25.592400000000001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5.28559</v>
      </c>
      <c r="G66" s="61">
        <f>IF(FT!B66&lt;&gt;"",FT!B66*100,"")</f>
        <v>47.993099999999998</v>
      </c>
      <c r="H66" s="61">
        <f t="shared" si="1"/>
        <v>1</v>
      </c>
      <c r="I66" t="str">
        <f>IF(FT!B66&lt;&gt;"",FT!E66,"")</f>
        <v>1 [25.996391]</v>
      </c>
      <c r="J66">
        <f>IF(FT!B66&lt;&gt;"",FT!C66,"")</f>
        <v>25.996400000000001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82247</v>
      </c>
      <c r="D67" s="61">
        <f>FH!B67*1</f>
        <v>82247</v>
      </c>
      <c r="E67">
        <f t="shared" si="3"/>
        <v>65</v>
      </c>
      <c r="F67" s="61">
        <f>IF(FT!A67&lt;&gt;"",FT!A67*10,"")</f>
        <v>5.2777700000000003</v>
      </c>
      <c r="G67" s="61">
        <f>IF(FT!B67&lt;&gt;"",FT!B67*100,"")</f>
        <v>48.2102</v>
      </c>
      <c r="H67" s="61">
        <f t="shared" ref="H67:H130" si="9">(IF(F67&lt;&gt;"",1,""))</f>
        <v>1</v>
      </c>
      <c r="I67" t="str">
        <f>IF(FT!B67&lt;&gt;"",FT!E67,"")</f>
        <v>1 [26.402451]</v>
      </c>
      <c r="J67">
        <f>IF(FT!B67&lt;&gt;"",FT!C67,"")</f>
        <v>26.4025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5.2685599999999999</v>
      </c>
      <c r="G68" s="61">
        <f>IF(FT!B68&lt;&gt;"",FT!B68*100,"")</f>
        <v>48.349399999999996</v>
      </c>
      <c r="H68" s="61">
        <f t="shared" si="9"/>
        <v>1</v>
      </c>
      <c r="I68" t="str">
        <f>IF(FT!B68&lt;&gt;"",FT!E68,"")</f>
        <v>1 [26.808163]</v>
      </c>
      <c r="J68">
        <f>IF(FT!B68&lt;&gt;"",FT!C68,"")</f>
        <v>26.808199999999999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93001</v>
      </c>
      <c r="D69" s="61">
        <f>FH!B69*1</f>
        <v>93001</v>
      </c>
      <c r="E69">
        <f t="shared" si="11"/>
        <v>67</v>
      </c>
      <c r="F69" s="61">
        <f>IF(FT!A69&lt;&gt;"",FT!A69*10,"")</f>
        <v>5.2570499999999996</v>
      </c>
      <c r="G69" s="61">
        <f>IF(FT!B69&lt;&gt;"",FT!B69*100,"")</f>
        <v>48.380400000000002</v>
      </c>
      <c r="H69" s="61">
        <f t="shared" si="9"/>
        <v>1</v>
      </c>
      <c r="I69" t="str">
        <f>IF(FT!B69&lt;&gt;"",FT!E69,"")</f>
        <v>1 [27.214191]</v>
      </c>
      <c r="J69">
        <f>IF(FT!B69&lt;&gt;"",FT!C69,"")</f>
        <v>27.214200000000002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5.2426300000000001</v>
      </c>
      <c r="G70" s="61">
        <f>IF(FT!B70&lt;&gt;"",FT!B70*100,"")</f>
        <v>48.427500000000002</v>
      </c>
      <c r="H70" s="61">
        <f t="shared" si="9"/>
        <v>1</v>
      </c>
      <c r="I70" t="str">
        <f>IF(FT!B70&lt;&gt;"",FT!E70,"")</f>
        <v>1 [27.625026]</v>
      </c>
      <c r="J70">
        <f>IF(FT!B70&lt;&gt;"",FT!C70,"")</f>
        <v>27.625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5.2293799999999999</v>
      </c>
      <c r="G71" s="61">
        <f>IF(FT!B71&lt;&gt;"",FT!B71*100,"")</f>
        <v>48.537999999999997</v>
      </c>
      <c r="H71" s="61">
        <f t="shared" si="9"/>
        <v>1</v>
      </c>
      <c r="I71" t="str">
        <f>IF(FT!B71&lt;&gt;"",FT!E71,"")</f>
        <v>1 [28.024919]</v>
      </c>
      <c r="J71">
        <f>IF(FT!B71&lt;&gt;"",FT!C71,"")</f>
        <v>28.024899999999999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99821</v>
      </c>
      <c r="D72" s="61">
        <f>FH!B72*1</f>
        <v>99821</v>
      </c>
      <c r="E72">
        <f t="shared" si="11"/>
        <v>70</v>
      </c>
      <c r="F72" s="61">
        <f>IF(FT!A72&lt;&gt;"",FT!A72*10,"")</f>
        <v>5.2185499999999996</v>
      </c>
      <c r="G72" s="61">
        <f>IF(FT!B72&lt;&gt;"",FT!B72*100,"")</f>
        <v>48.543100000000003</v>
      </c>
      <c r="H72" s="61">
        <f t="shared" si="9"/>
        <v>1</v>
      </c>
      <c r="I72" t="str">
        <f>IF(FT!B72&lt;&gt;"",FT!E72,"")</f>
        <v>1 [28.430840]</v>
      </c>
      <c r="J72">
        <f>IF(FT!B72&lt;&gt;"",FT!C72,"")</f>
        <v>28.430800000000001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5.2055199999999999</v>
      </c>
      <c r="G73" s="61">
        <f>IF(FT!B73&lt;&gt;"",FT!B73*100,"")</f>
        <v>48.619800000000005</v>
      </c>
      <c r="H73" s="61">
        <f t="shared" si="9"/>
        <v>1</v>
      </c>
      <c r="I73" t="str">
        <f>IF(FT!B73&lt;&gt;"",FT!E73,"")</f>
        <v>1 [28.844953]</v>
      </c>
      <c r="J73">
        <f>IF(FT!B73&lt;&gt;"",FT!C73,"")</f>
        <v>28.844999999999999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5.1929499999999997</v>
      </c>
      <c r="G74" s="61">
        <f>IF(FT!B74&lt;&gt;"",FT!B74*100,"")</f>
        <v>48.793100000000003</v>
      </c>
      <c r="H74" s="61">
        <f t="shared" si="9"/>
        <v>1</v>
      </c>
      <c r="I74" t="str">
        <f>IF(FT!B74&lt;&gt;"",FT!E74,"")</f>
        <v>1 [29.246685]</v>
      </c>
      <c r="J74">
        <f>IF(FT!B74&lt;&gt;"",FT!C74,"")</f>
        <v>29.246700000000001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111815</v>
      </c>
      <c r="D75" s="61">
        <f>FH!B75*1</f>
        <v>111815</v>
      </c>
      <c r="E75">
        <f t="shared" si="11"/>
        <v>73</v>
      </c>
      <c r="F75" s="61">
        <f>IF(FT!A75&lt;&gt;"",FT!A75*10,"")</f>
        <v>5.1842299999999994</v>
      </c>
      <c r="G75" s="61">
        <f>IF(FT!B75&lt;&gt;"",FT!B75*100,"")</f>
        <v>48.928600000000003</v>
      </c>
      <c r="H75" s="61">
        <f t="shared" si="9"/>
        <v>1</v>
      </c>
      <c r="I75" t="str">
        <f>IF(FT!B75&lt;&gt;"",FT!E75,"")</f>
        <v>1 [29.652599]</v>
      </c>
      <c r="J75">
        <f>IF(FT!B75&lt;&gt;"",FT!C75,"")</f>
        <v>29.6526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5.1777799999999994</v>
      </c>
      <c r="G76" s="61">
        <f>IF(FT!B76&lt;&gt;"",FT!B76*100,"")</f>
        <v>49.016799999999996</v>
      </c>
      <c r="H76" s="61">
        <f t="shared" si="9"/>
        <v>1</v>
      </c>
      <c r="I76" t="str">
        <f>IF(FT!B76&lt;&gt;"",FT!E76,"")</f>
        <v>1 [30.057471]</v>
      </c>
      <c r="J76">
        <f>IF(FT!B76&lt;&gt;"",FT!C76,"")</f>
        <v>30.057500000000001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124746</v>
      </c>
      <c r="D77" s="61">
        <f>FH!B77*1</f>
        <v>124746</v>
      </c>
      <c r="E77">
        <f t="shared" si="11"/>
        <v>75</v>
      </c>
      <c r="F77" s="61">
        <f>IF(FT!A77&lt;&gt;"",FT!A77*10,"")</f>
        <v>5.1676699999999993</v>
      </c>
      <c r="G77" s="61">
        <f>IF(FT!B77&lt;&gt;"",FT!B77*100,"")</f>
        <v>49.138300000000001</v>
      </c>
      <c r="H77" s="61">
        <f t="shared" si="9"/>
        <v>1</v>
      </c>
      <c r="I77" t="str">
        <f>IF(FT!B77&lt;&gt;"",FT!E77,"")</f>
        <v>2 [30.465590]</v>
      </c>
      <c r="J77">
        <f>IF(FT!B77&lt;&gt;"",FT!C77,"")</f>
        <v>30.465599999999998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5.1556100000000002</v>
      </c>
      <c r="G78" s="61">
        <f>IF(FT!B78&lt;&gt;"",FT!B78*100,"")</f>
        <v>49.259100000000004</v>
      </c>
      <c r="H78" s="61">
        <f t="shared" si="9"/>
        <v>1</v>
      </c>
      <c r="I78" t="str">
        <f>IF(FT!B78&lt;&gt;"",FT!E78,"")</f>
        <v>2 [30.876344]</v>
      </c>
      <c r="J78">
        <f>IF(FT!B78&lt;&gt;"",FT!C78,"")</f>
        <v>30.876300000000001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5.1400100000000002</v>
      </c>
      <c r="G79" s="61">
        <f>IF(FT!B79&lt;&gt;"",FT!B79*100,"")</f>
        <v>49.3444</v>
      </c>
      <c r="H79" s="61">
        <f t="shared" si="9"/>
        <v>1</v>
      </c>
      <c r="I79" t="str">
        <f>IF(FT!B79&lt;&gt;"",FT!E79,"")</f>
        <v>2 [31.278585]</v>
      </c>
      <c r="J79">
        <f>IF(FT!B79&lt;&gt;"",FT!C79,"")</f>
        <v>31.278600000000001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137830</v>
      </c>
      <c r="D80" s="61">
        <f>FH!B80*1</f>
        <v>137830</v>
      </c>
      <c r="E80">
        <f t="shared" si="11"/>
        <v>78</v>
      </c>
      <c r="F80" s="61">
        <f>IF(FT!A80&lt;&gt;"",FT!A80*10,"")</f>
        <v>5.125</v>
      </c>
      <c r="G80" s="61">
        <f>IF(FT!B80&lt;&gt;"",FT!B80*100,"")</f>
        <v>49.3521</v>
      </c>
      <c r="H80" s="61">
        <f t="shared" si="9"/>
        <v>1</v>
      </c>
      <c r="I80" t="str">
        <f>IF(FT!B80&lt;&gt;"",FT!E80,"")</f>
        <v>2 [31.679979]</v>
      </c>
      <c r="J80">
        <f>IF(FT!B80&lt;&gt;"",FT!C80,"")</f>
        <v>31.68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5.1120299999999999</v>
      </c>
      <c r="G81" s="61">
        <f>IF(FT!B81&lt;&gt;"",FT!B81*100,"")</f>
        <v>49.326799999999999</v>
      </c>
      <c r="H81" s="61">
        <f t="shared" si="9"/>
        <v>1</v>
      </c>
      <c r="I81" t="str">
        <f>IF(FT!B81&lt;&gt;"",FT!E81,"")</f>
        <v>2 [32.091083]</v>
      </c>
      <c r="J81">
        <f>IF(FT!B81&lt;&gt;"",FT!C81,"")</f>
        <v>32.091099999999997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135456</v>
      </c>
      <c r="D82" s="61">
        <f>FH!B82*1</f>
        <v>135456</v>
      </c>
      <c r="E82">
        <f t="shared" si="11"/>
        <v>80</v>
      </c>
      <c r="F82" s="61">
        <f>IF(FT!A82&lt;&gt;"",FT!A82*10,"")</f>
        <v>5.1008399999999998</v>
      </c>
      <c r="G82" s="61">
        <f>IF(FT!B82&lt;&gt;"",FT!B82*100,"")</f>
        <v>49.248199999999997</v>
      </c>
      <c r="H82" s="61">
        <f t="shared" si="9"/>
        <v>1</v>
      </c>
      <c r="I82" t="str">
        <f>IF(FT!B82&lt;&gt;"",FT!E82,"")</f>
        <v>2 [32.497123]</v>
      </c>
      <c r="J82">
        <f>IF(FT!B82&lt;&gt;"",FT!C82,"")</f>
        <v>32.497100000000003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5.0895900000000003</v>
      </c>
      <c r="G83" s="61">
        <f>IF(FT!B83&lt;&gt;"",FT!B83*100,"")</f>
        <v>49.119700000000002</v>
      </c>
      <c r="H83" s="61">
        <f t="shared" si="9"/>
        <v>1</v>
      </c>
      <c r="I83" t="str">
        <f>IF(FT!B83&lt;&gt;"",FT!E83,"")</f>
        <v>2 [32.902876]</v>
      </c>
      <c r="J83">
        <f>IF(FT!B83&lt;&gt;"",FT!C83,"")</f>
        <v>32.902900000000002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5.0756999999999994</v>
      </c>
      <c r="G84" s="61">
        <f>IF(FT!B84&lt;&gt;"",FT!B84*100,"")</f>
        <v>48.945699999999995</v>
      </c>
      <c r="H84" s="61">
        <f t="shared" si="9"/>
        <v>1</v>
      </c>
      <c r="I84" t="str">
        <f>IF(FT!B84&lt;&gt;"",FT!E84,"")</f>
        <v>2 [33.312135]</v>
      </c>
      <c r="J84">
        <f>IF(FT!B84&lt;&gt;"",FT!C84,"")</f>
        <v>33.312100000000001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144837</v>
      </c>
      <c r="D85" s="61">
        <f>FH!B85*1</f>
        <v>144837</v>
      </c>
      <c r="E85">
        <f t="shared" si="11"/>
        <v>83</v>
      </c>
      <c r="F85" s="61">
        <f>IF(FT!A85&lt;&gt;"",FT!A85*10,"")</f>
        <v>5.0613200000000003</v>
      </c>
      <c r="G85" s="61">
        <f>IF(FT!B85&lt;&gt;"",FT!B85*100,"")</f>
        <v>48.7194</v>
      </c>
      <c r="H85" s="61">
        <f t="shared" si="9"/>
        <v>1</v>
      </c>
      <c r="I85" t="str">
        <f>IF(FT!B85&lt;&gt;"",FT!E85,"")</f>
        <v>2 [33.717722]</v>
      </c>
      <c r="J85">
        <f>IF(FT!B85&lt;&gt;"",FT!C85,"")</f>
        <v>33.717700000000001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5.0445500000000001</v>
      </c>
      <c r="G86" s="61">
        <f>IF(FT!B86&lt;&gt;"",FT!B86*100,"")</f>
        <v>48.4482</v>
      </c>
      <c r="H86" s="61">
        <f t="shared" si="9"/>
        <v>1</v>
      </c>
      <c r="I86" t="str">
        <f>IF(FT!B86&lt;&gt;"",FT!E86,"")</f>
        <v>2 [34.124650]</v>
      </c>
      <c r="J86">
        <f>IF(FT!B86&lt;&gt;"",FT!C86,"")</f>
        <v>34.124600000000001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5.0309699999999999</v>
      </c>
      <c r="G87" s="61">
        <f>IF(FT!B87&lt;&gt;"",FT!B87*100,"")</f>
        <v>48.1646</v>
      </c>
      <c r="H87" s="61">
        <f t="shared" si="9"/>
        <v>1</v>
      </c>
      <c r="I87" t="str">
        <f>IF(FT!B87&lt;&gt;"",FT!E87,"")</f>
        <v>2 [34.527559]</v>
      </c>
      <c r="J87">
        <f>IF(FT!B87&lt;&gt;"",FT!C87,"")</f>
        <v>34.5276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156547</v>
      </c>
      <c r="D88" s="61">
        <f>FH!B88*1</f>
        <v>156547</v>
      </c>
      <c r="E88">
        <f t="shared" si="11"/>
        <v>86</v>
      </c>
      <c r="F88" s="61">
        <f>IF(FT!A88&lt;&gt;"",FT!A88*10,"")</f>
        <v>5.0202200000000001</v>
      </c>
      <c r="G88" s="61">
        <f>IF(FT!B88&lt;&gt;"",FT!B88*100,"")</f>
        <v>47.846800000000002</v>
      </c>
      <c r="H88" s="61">
        <f t="shared" si="9"/>
        <v>1</v>
      </c>
      <c r="I88" t="str">
        <f>IF(FT!B88&lt;&gt;"",FT!E88,"")</f>
        <v>2 [34.933244]</v>
      </c>
      <c r="J88">
        <f>IF(FT!B88&lt;&gt;"",FT!C88,"")</f>
        <v>34.933199999999999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5.0111099999999995</v>
      </c>
      <c r="G89" s="61">
        <f>IF(FT!B89&lt;&gt;"",FT!B89*100,"")</f>
        <v>47.478500000000004</v>
      </c>
      <c r="H89" s="61">
        <f t="shared" si="9"/>
        <v>1</v>
      </c>
      <c r="I89" t="str">
        <f>IF(FT!B89&lt;&gt;"",FT!E89,"")</f>
        <v>2 [35.340372]</v>
      </c>
      <c r="J89">
        <f>IF(FT!B89&lt;&gt;"",FT!C89,"")</f>
        <v>35.340400000000002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161859</v>
      </c>
      <c r="D90" s="61">
        <f>FH!B90*1</f>
        <v>161859</v>
      </c>
      <c r="E90">
        <f t="shared" si="11"/>
        <v>88</v>
      </c>
      <c r="F90" s="61">
        <f>IF(FT!A90&lt;&gt;"",FT!A90*10,"")</f>
        <v>5.0035499999999997</v>
      </c>
      <c r="G90" s="61">
        <f>IF(FT!B90&lt;&gt;"",FT!B90*100,"")</f>
        <v>47.120400000000004</v>
      </c>
      <c r="H90" s="61">
        <f t="shared" si="9"/>
        <v>1</v>
      </c>
      <c r="I90" t="str">
        <f>IF(FT!B90&lt;&gt;"",FT!E90,"")</f>
        <v>2 [35.751357]</v>
      </c>
      <c r="J90">
        <f>IF(FT!B90&lt;&gt;"",FT!C90,"")</f>
        <v>35.751399999999997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4.9947299999999997</v>
      </c>
      <c r="G91" s="61">
        <f>IF(FT!B91&lt;&gt;"",FT!B91*100,"")</f>
        <v>46.853099999999998</v>
      </c>
      <c r="H91" s="61">
        <f t="shared" si="9"/>
        <v>1</v>
      </c>
      <c r="I91" t="str">
        <f>IF(FT!B91&lt;&gt;"",FT!E91,"")</f>
        <v>2 [36.153148]</v>
      </c>
      <c r="J91">
        <f>IF(FT!B91&lt;&gt;"",FT!C91,"")</f>
        <v>36.153100000000002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4.9822499999999996</v>
      </c>
      <c r="G92" s="61">
        <f>IF(FT!B92&lt;&gt;"",FT!B92*100,"")</f>
        <v>46.607700000000001</v>
      </c>
      <c r="H92" s="61">
        <f t="shared" si="9"/>
        <v>1</v>
      </c>
      <c r="I92" t="str">
        <f>IF(FT!B92&lt;&gt;"",FT!E92,"")</f>
        <v>2 [36.557083]</v>
      </c>
      <c r="J92">
        <f>IF(FT!B92&lt;&gt;"",FT!C92,"")</f>
        <v>36.557099999999998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167167</v>
      </c>
      <c r="D93" s="61">
        <f>FH!B93*1</f>
        <v>167167</v>
      </c>
      <c r="E93">
        <f t="shared" si="11"/>
        <v>91</v>
      </c>
      <c r="F93" s="61">
        <f>IF(FT!A93&lt;&gt;"",FT!A93*10,"")</f>
        <v>4.9709099999999999</v>
      </c>
      <c r="G93" s="61">
        <f>IF(FT!B93&lt;&gt;"",FT!B93*100,"")</f>
        <v>46.432000000000002</v>
      </c>
      <c r="H93" s="61">
        <f t="shared" si="9"/>
        <v>1</v>
      </c>
      <c r="I93" t="str">
        <f>IF(FT!B93&lt;&gt;"",FT!E93,"")</f>
        <v>2 [36.962667]</v>
      </c>
      <c r="J93">
        <f>IF(FT!B93&lt;&gt;"",FT!C93,"")</f>
        <v>36.962699999999998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4.9643700000000006</v>
      </c>
      <c r="G94" s="61">
        <f>IF(FT!B94&lt;&gt;"",FT!B94*100,"")</f>
        <v>46.292200000000001</v>
      </c>
      <c r="H94" s="61">
        <f t="shared" si="9"/>
        <v>1</v>
      </c>
      <c r="I94" t="str">
        <f>IF(FT!B94&lt;&gt;"",FT!E94,"")</f>
        <v>2 [37.370992]</v>
      </c>
      <c r="J94">
        <f>IF(FT!B94&lt;&gt;"",FT!C94,"")</f>
        <v>37.371000000000002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175270</v>
      </c>
      <c r="D95" s="61">
        <f>FH!B95*1</f>
        <v>175270</v>
      </c>
      <c r="E95">
        <f t="shared" si="11"/>
        <v>93</v>
      </c>
      <c r="F95" s="61">
        <f>IF(FT!A95&lt;&gt;"",FT!A95*10,"")</f>
        <v>4.9573299999999998</v>
      </c>
      <c r="G95" s="61">
        <f>IF(FT!B95&lt;&gt;"",FT!B95*100,"")</f>
        <v>46.138500000000001</v>
      </c>
      <c r="H95" s="61">
        <f t="shared" si="9"/>
        <v>1</v>
      </c>
      <c r="I95" t="str">
        <f>IF(FT!B95&lt;&gt;"",FT!E95,"")</f>
        <v>2 [37.780022]</v>
      </c>
      <c r="J95">
        <f>IF(FT!B95&lt;&gt;"",FT!C95,"")</f>
        <v>37.78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4.9468300000000003</v>
      </c>
      <c r="G96" s="61">
        <f>IF(FT!B96&lt;&gt;"",FT!B96*100,"")</f>
        <v>45.922899999999998</v>
      </c>
      <c r="H96" s="61">
        <f t="shared" si="9"/>
        <v>1</v>
      </c>
      <c r="I96" t="str">
        <f>IF(FT!B96&lt;&gt;"",FT!E96,"")</f>
        <v>2 [38.184759]</v>
      </c>
      <c r="J96">
        <f>IF(FT!B96&lt;&gt;"",FT!C96,"")</f>
        <v>38.184800000000003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4.9337999999999997</v>
      </c>
      <c r="G97" s="61">
        <f>IF(FT!B97&lt;&gt;"",FT!B97*100,"")</f>
        <v>45.802199999999999</v>
      </c>
      <c r="H97" s="61">
        <f t="shared" si="9"/>
        <v>1</v>
      </c>
      <c r="I97" t="str">
        <f>IF(FT!B97&lt;&gt;"",FT!E97,"")</f>
        <v>2 [38.590667]</v>
      </c>
      <c r="J97">
        <f>IF(FT!B97&lt;&gt;"",FT!C97,"")</f>
        <v>38.590699999999998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192739</v>
      </c>
      <c r="D98" s="61">
        <f>FH!B98*1</f>
        <v>192739</v>
      </c>
      <c r="E98">
        <f t="shared" si="11"/>
        <v>96</v>
      </c>
      <c r="F98" s="61">
        <f>IF(FT!A98&lt;&gt;"",FT!A98*10,"")</f>
        <v>4.9209399999999999</v>
      </c>
      <c r="G98" s="61">
        <f>IF(FT!B98&lt;&gt;"",FT!B98*100,"")</f>
        <v>45.704299999999996</v>
      </c>
      <c r="H98" s="61">
        <f t="shared" si="9"/>
        <v>1</v>
      </c>
      <c r="I98" t="str">
        <f>IF(FT!B98&lt;&gt;"",FT!E98,"")</f>
        <v>2 [38.997308]</v>
      </c>
      <c r="J98">
        <f>IF(FT!B98&lt;&gt;"",FT!C98,"")</f>
        <v>38.997300000000003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4.9086699999999999</v>
      </c>
      <c r="G99" s="61">
        <f>IF(FT!B99&lt;&gt;"",FT!B99*100,"")</f>
        <v>45.650600000000004</v>
      </c>
      <c r="H99" s="61">
        <f t="shared" si="9"/>
        <v>1</v>
      </c>
      <c r="I99" t="str">
        <f>IF(FT!B99&lt;&gt;"",FT!E99,"")</f>
        <v>2 [39.403542]</v>
      </c>
      <c r="J99">
        <f>IF(FT!B99&lt;&gt;"",FT!C99,"")</f>
        <v>39.403500000000001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201375</v>
      </c>
      <c r="D100" s="61">
        <f>FH!B100*1</f>
        <v>201375</v>
      </c>
      <c r="E100">
        <f t="shared" si="11"/>
        <v>98</v>
      </c>
      <c r="F100" s="61">
        <f>IF(FT!A100&lt;&gt;"",FT!A100*10,"")</f>
        <v>4.8974099999999998</v>
      </c>
      <c r="G100" s="61">
        <f>IF(FT!B100&lt;&gt;"",FT!B100*100,"")</f>
        <v>45.585799999999999</v>
      </c>
      <c r="H100" s="61">
        <f t="shared" si="9"/>
        <v>1</v>
      </c>
      <c r="I100" t="str">
        <f>IF(FT!B100&lt;&gt;"",FT!E100,"")</f>
        <v>2 [39.804887]</v>
      </c>
      <c r="J100">
        <f>IF(FT!B100&lt;&gt;"",FT!C100,"")</f>
        <v>39.804900000000004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4.8915300000000004</v>
      </c>
      <c r="G101" s="61">
        <f>IF(FT!B101&lt;&gt;"",FT!B101*100,"")</f>
        <v>45.479199999999999</v>
      </c>
      <c r="H101" s="61">
        <f t="shared" si="9"/>
        <v>1</v>
      </c>
      <c r="I101" t="str">
        <f>IF(FT!B101&lt;&gt;"",FT!E101,"")</f>
        <v>2 [40.214693]</v>
      </c>
      <c r="J101">
        <f>IF(FT!B101&lt;&gt;"",FT!C101,"")</f>
        <v>40.214700000000001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4.8902800000000006</v>
      </c>
      <c r="G102" s="61">
        <f>IF(FT!B102&lt;&gt;"",FT!B102*100,"")</f>
        <v>45.389600000000002</v>
      </c>
      <c r="H102" s="61">
        <f t="shared" si="9"/>
        <v>1</v>
      </c>
      <c r="I102" t="str">
        <f>IF(FT!B102&lt;&gt;"",FT!E102,"")</f>
        <v>2 [40.624332]</v>
      </c>
      <c r="J102">
        <f>IF(FT!B102&lt;&gt;"",FT!C102,"")</f>
        <v>40.624299999999998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218286</v>
      </c>
      <c r="D103" s="61">
        <f>FH!B103*1</f>
        <v>218286</v>
      </c>
      <c r="E103">
        <f t="shared" si="11"/>
        <v>101</v>
      </c>
      <c r="F103" s="61">
        <f>IF(FT!A103&lt;&gt;"",FT!A103*10,"")</f>
        <v>4.8870699999999996</v>
      </c>
      <c r="G103" s="61">
        <f>IF(FT!B103&lt;&gt;"",FT!B103*100,"")</f>
        <v>45.381899999999995</v>
      </c>
      <c r="H103" s="61">
        <f t="shared" si="9"/>
        <v>1</v>
      </c>
      <c r="I103" t="str">
        <f>IF(FT!B103&lt;&gt;"",FT!E103,"")</f>
        <v>2 [41.031206]</v>
      </c>
      <c r="J103">
        <f>IF(FT!B103&lt;&gt;"",FT!C103,"")</f>
        <v>41.031199999999998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4.8893399999999998</v>
      </c>
      <c r="G104" s="61">
        <f>IF(FT!B104&lt;&gt;"",FT!B104*100,"")</f>
        <v>45.358800000000002</v>
      </c>
      <c r="H104" s="61">
        <f t="shared" si="9"/>
        <v>1</v>
      </c>
      <c r="I104" t="str">
        <f>IF(FT!B104&lt;&gt;"",FT!E104,"")</f>
        <v>2 [41.435055]</v>
      </c>
      <c r="J104">
        <f>IF(FT!B104&lt;&gt;"",FT!C104,"")</f>
        <v>41.435099999999998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4.8943700000000003</v>
      </c>
      <c r="G105" s="61">
        <f>IF(FT!B105&lt;&gt;"",FT!B105*100,"")</f>
        <v>45.330799999999996</v>
      </c>
      <c r="H105" s="61">
        <f t="shared" si="9"/>
        <v>1</v>
      </c>
      <c r="I105" t="str">
        <f>IF(FT!B105&lt;&gt;"",FT!E105,"")</f>
        <v>2 [41.841065]</v>
      </c>
      <c r="J105">
        <f>IF(FT!B105&lt;&gt;"",FT!C105,"")</f>
        <v>41.841099999999997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230581</v>
      </c>
      <c r="D106" s="61">
        <f>FH!B106*1</f>
        <v>230581</v>
      </c>
      <c r="E106">
        <f t="shared" si="11"/>
        <v>104</v>
      </c>
      <c r="F106" s="61">
        <f>IF(FT!A106&lt;&gt;"",FT!A106*10,"")</f>
        <v>4.9002299999999996</v>
      </c>
      <c r="G106" s="61">
        <f>IF(FT!B106&lt;&gt;"",FT!B106*100,"")</f>
        <v>45.241799999999998</v>
      </c>
      <c r="H106" s="61">
        <f t="shared" si="9"/>
        <v>1</v>
      </c>
      <c r="I106" t="str">
        <f>IF(FT!B106&lt;&gt;"",FT!E106,"")</f>
        <v>2 [42.247049]</v>
      </c>
      <c r="J106">
        <f>IF(FT!B106&lt;&gt;"",FT!C106,"")</f>
        <v>42.247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4.90733</v>
      </c>
      <c r="G107" s="61">
        <f>IF(FT!B107&lt;&gt;"",FT!B107*100,"")</f>
        <v>45.155899999999995</v>
      </c>
      <c r="H107" s="61">
        <f t="shared" si="9"/>
        <v>1</v>
      </c>
      <c r="I107" t="str">
        <f>IF(FT!B107&lt;&gt;"",FT!E107,"")</f>
        <v>2 [42.652803]</v>
      </c>
      <c r="J107">
        <f>IF(FT!B107&lt;&gt;"",FT!C107,"")</f>
        <v>42.652799999999999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237910</v>
      </c>
      <c r="D108" s="61">
        <f>FH!B108*1</f>
        <v>237910</v>
      </c>
      <c r="E108">
        <f t="shared" si="11"/>
        <v>106</v>
      </c>
      <c r="F108" s="61">
        <f>IF(FT!A108&lt;&gt;"",FT!A108*10,"")</f>
        <v>4.9153900000000004</v>
      </c>
      <c r="G108" s="61">
        <f>IF(FT!B108&lt;&gt;"",FT!B108*100,"")</f>
        <v>45.075500000000005</v>
      </c>
      <c r="H108" s="61">
        <f t="shared" si="9"/>
        <v>1</v>
      </c>
      <c r="I108" t="str">
        <f>IF(FT!B108&lt;&gt;"",FT!E108,"")</f>
        <v>2 [43.060714]</v>
      </c>
      <c r="J108">
        <f>IF(FT!B108&lt;&gt;"",FT!C108,"")</f>
        <v>43.060699999999997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4.9243800000000002</v>
      </c>
      <c r="G109" s="61">
        <f>IF(FT!B109&lt;&gt;"",FT!B109*100,"")</f>
        <v>44.971200000000003</v>
      </c>
      <c r="H109" s="61">
        <f t="shared" si="9"/>
        <v>1</v>
      </c>
      <c r="I109" t="str">
        <f>IF(FT!B109&lt;&gt;"",FT!E109,"")</f>
        <v>2 [43.467684]</v>
      </c>
      <c r="J109">
        <f>IF(FT!B109&lt;&gt;"",FT!C109,"")</f>
        <v>43.467700000000001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4.9368699999999999</v>
      </c>
      <c r="G110" s="61">
        <f>IF(FT!B110&lt;&gt;"",FT!B110*100,"")</f>
        <v>44.836500000000001</v>
      </c>
      <c r="H110" s="61">
        <f t="shared" si="9"/>
        <v>1</v>
      </c>
      <c r="I110" t="str">
        <f>IF(FT!B110&lt;&gt;"",FT!E110,"")</f>
        <v>2 [43.874719]</v>
      </c>
      <c r="J110">
        <f>IF(FT!B110&lt;&gt;"",FT!C110,"")</f>
        <v>43.874699999999997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265673</v>
      </c>
      <c r="D111" s="61">
        <f>FH!B111*1</f>
        <v>265673</v>
      </c>
      <c r="E111">
        <f t="shared" si="11"/>
        <v>109</v>
      </c>
      <c r="F111" s="61">
        <f>IF(FT!A111&lt;&gt;"",FT!A111*10,"")</f>
        <v>4.9541000000000004</v>
      </c>
      <c r="G111" s="61">
        <f>IF(FT!B111&lt;&gt;"",FT!B111*100,"")</f>
        <v>44.791699999999999</v>
      </c>
      <c r="H111" s="61">
        <f t="shared" si="9"/>
        <v>1</v>
      </c>
      <c r="I111" t="str">
        <f>IF(FT!B111&lt;&gt;"",FT!E111,"")</f>
        <v>2 [44.279509]</v>
      </c>
      <c r="J111">
        <f>IF(FT!B111&lt;&gt;"",FT!C111,"")</f>
        <v>44.279499999999999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4.97044</v>
      </c>
      <c r="G112" s="61">
        <f>IF(FT!B112&lt;&gt;"",FT!B112*100,"")</f>
        <v>44.822899999999997</v>
      </c>
      <c r="H112" s="61">
        <f t="shared" si="9"/>
        <v>1</v>
      </c>
      <c r="I112" t="str">
        <f>IF(FT!B112&lt;&gt;"",FT!E112,"")</f>
        <v>2 [44.684380]</v>
      </c>
      <c r="J112">
        <f>IF(FT!B112&lt;&gt;"",FT!C112,"")</f>
        <v>44.684399999999997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289060</v>
      </c>
      <c r="D113" s="61">
        <f>FH!B113*1</f>
        <v>289060</v>
      </c>
      <c r="E113">
        <f t="shared" si="11"/>
        <v>111</v>
      </c>
      <c r="F113" s="61">
        <f>IF(FT!A113&lt;&gt;"",FT!A113*10,"")</f>
        <v>4.9833999999999996</v>
      </c>
      <c r="G113" s="61">
        <f>IF(FT!B113&lt;&gt;"",FT!B113*100,"")</f>
        <v>44.9099</v>
      </c>
      <c r="H113" s="61">
        <f t="shared" si="9"/>
        <v>1</v>
      </c>
      <c r="I113" t="str">
        <f>IF(FT!B113&lt;&gt;"",FT!E113,"")</f>
        <v>2 [45.093234]</v>
      </c>
      <c r="J113">
        <f>IF(FT!B113&lt;&gt;"",FT!C113,"")</f>
        <v>45.093200000000003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4.9989299999999997</v>
      </c>
      <c r="G114" s="61">
        <f>IF(FT!B114&lt;&gt;"",FT!B114*100,"")</f>
        <v>44.972999999999999</v>
      </c>
      <c r="H114" s="61">
        <f t="shared" si="9"/>
        <v>1</v>
      </c>
      <c r="I114" t="str">
        <f>IF(FT!B114&lt;&gt;"",FT!E114,"")</f>
        <v>2 [45.501194]</v>
      </c>
      <c r="J114">
        <f>IF(FT!B114&lt;&gt;"",FT!C114,"")</f>
        <v>45.501199999999997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5.0175199999999993</v>
      </c>
      <c r="G115" s="61">
        <f>IF(FT!B115&lt;&gt;"",FT!B115*100,"")</f>
        <v>45.020600000000002</v>
      </c>
      <c r="H115" s="61">
        <f t="shared" si="9"/>
        <v>1</v>
      </c>
      <c r="I115" t="str">
        <f>IF(FT!B115&lt;&gt;"",FT!E115,"")</f>
        <v>2 [45.900892]</v>
      </c>
      <c r="J115">
        <f>IF(FT!B115&lt;&gt;"",FT!C115,"")</f>
        <v>45.9009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310792</v>
      </c>
      <c r="D116" s="61">
        <f>FH!B116*1</f>
        <v>310792</v>
      </c>
      <c r="E116">
        <f t="shared" si="11"/>
        <v>114</v>
      </c>
      <c r="F116" s="61">
        <f>IF(FT!A116&lt;&gt;"",FT!A116*10,"")</f>
        <v>5.0352100000000002</v>
      </c>
      <c r="G116" s="61">
        <f>IF(FT!B116&lt;&gt;"",FT!B116*100,"")</f>
        <v>45.053899999999999</v>
      </c>
      <c r="H116" s="61">
        <f t="shared" si="9"/>
        <v>1</v>
      </c>
      <c r="I116" t="str">
        <f>IF(FT!B116&lt;&gt;"",FT!E116,"")</f>
        <v>2 [46.306908]</v>
      </c>
      <c r="J116">
        <f>IF(FT!B116&lt;&gt;"",FT!C116,"")</f>
        <v>46.306899999999999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5.0522799999999997</v>
      </c>
      <c r="G117" s="61">
        <f>IF(FT!B117&lt;&gt;"",FT!B117*100,"")</f>
        <v>45.164700000000003</v>
      </c>
      <c r="H117" s="61">
        <f t="shared" si="9"/>
        <v>1</v>
      </c>
      <c r="I117" t="str">
        <f>IF(FT!B117&lt;&gt;"",FT!E117,"")</f>
        <v>2 [46.713082]</v>
      </c>
      <c r="J117">
        <f>IF(FT!B117&lt;&gt;"",FT!C117,"")</f>
        <v>46.713099999999997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360279</v>
      </c>
      <c r="D118" s="61">
        <f>FH!B118*1</f>
        <v>360279</v>
      </c>
      <c r="E118">
        <f t="shared" si="11"/>
        <v>116</v>
      </c>
      <c r="F118" s="61">
        <f>IF(FT!A118&lt;&gt;"",FT!A118*10,"")</f>
        <v>5.0718100000000002</v>
      </c>
      <c r="G118" s="61">
        <f>IF(FT!B118&lt;&gt;"",FT!B118*100,"")</f>
        <v>45.303199999999997</v>
      </c>
      <c r="H118" s="61">
        <f t="shared" si="9"/>
        <v>1</v>
      </c>
      <c r="I118" t="str">
        <f>IF(FT!B118&lt;&gt;"",FT!E118,"")</f>
        <v>2 [47.124847]</v>
      </c>
      <c r="J118">
        <f>IF(FT!B118&lt;&gt;"",FT!C118,"")</f>
        <v>47.1248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5.0911200000000001</v>
      </c>
      <c r="G119" s="61">
        <f>IF(FT!B119&lt;&gt;"",FT!B119*100,"")</f>
        <v>45.4527</v>
      </c>
      <c r="H119" s="61">
        <f t="shared" si="9"/>
        <v>1</v>
      </c>
      <c r="I119" t="str">
        <f>IF(FT!B119&lt;&gt;"",FT!E119,"")</f>
        <v>2 [47.529793]</v>
      </c>
      <c r="J119">
        <f>IF(FT!B119&lt;&gt;"",FT!C119,"")</f>
        <v>47.529800000000002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5.1095999999999995</v>
      </c>
      <c r="G120" s="61">
        <f>IF(FT!B120&lt;&gt;"",FT!B120*100,"")</f>
        <v>45.6511</v>
      </c>
      <c r="H120" s="61">
        <f t="shared" si="9"/>
        <v>1</v>
      </c>
      <c r="I120" t="str">
        <f>IF(FT!B120&lt;&gt;"",FT!E120,"")</f>
        <v>2 [47.933769]</v>
      </c>
      <c r="J120">
        <f>IF(FT!B120&lt;&gt;"",FT!C120,"")</f>
        <v>47.933799999999998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383296</v>
      </c>
      <c r="D121" s="61">
        <f>FH!B121*1</f>
        <v>383296</v>
      </c>
      <c r="E121">
        <f t="shared" si="11"/>
        <v>119</v>
      </c>
      <c r="F121" s="61">
        <f>IF(FT!A121&lt;&gt;"",FT!A121*10,"")</f>
        <v>5.1295100000000007</v>
      </c>
      <c r="G121" s="61">
        <f>IF(FT!B121&lt;&gt;"",FT!B121*100,"")</f>
        <v>45.901599999999995</v>
      </c>
      <c r="H121" s="61">
        <f t="shared" si="9"/>
        <v>1</v>
      </c>
      <c r="I121" t="str">
        <f>IF(FT!B121&lt;&gt;"",FT!E121,"")</f>
        <v>2 [48.341639]</v>
      </c>
      <c r="J121">
        <f>IF(FT!B121&lt;&gt;"",FT!C121,"")</f>
        <v>48.3416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5.1529699999999998</v>
      </c>
      <c r="G122" s="61">
        <f>IF(FT!B122&lt;&gt;"",FT!B122*100,"")</f>
        <v>46.160600000000002</v>
      </c>
      <c r="H122" s="61">
        <f t="shared" si="9"/>
        <v>1</v>
      </c>
      <c r="I122" t="str">
        <f>IF(FT!B122&lt;&gt;"",FT!E122,"")</f>
        <v>2 [48.743464]</v>
      </c>
      <c r="J122">
        <f>IF(FT!B122&lt;&gt;"",FT!C122,"")</f>
        <v>48.743499999999997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5.1769400000000001</v>
      </c>
      <c r="G123" s="61">
        <f>IF(FT!B123&lt;&gt;"",FT!B123*100,"")</f>
        <v>46.276600000000002</v>
      </c>
      <c r="H123" s="61">
        <f t="shared" si="9"/>
        <v>1</v>
      </c>
      <c r="I123" t="str">
        <f>IF(FT!B123&lt;&gt;"",FT!E123,"")</f>
        <v>2 [49.153059]</v>
      </c>
      <c r="J123">
        <f>IF(FT!B123&lt;&gt;"",FT!C123,"")</f>
        <v>49.153100000000002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400671</v>
      </c>
      <c r="D124" s="61">
        <f>FH!B124*1</f>
        <v>400671</v>
      </c>
      <c r="E124">
        <f t="shared" si="11"/>
        <v>122</v>
      </c>
      <c r="F124" s="61">
        <f>IF(FT!A124&lt;&gt;"",FT!A124*10,"")</f>
        <v>5.2005299999999997</v>
      </c>
      <c r="G124" s="61">
        <f>IF(FT!B124&lt;&gt;"",FT!B124*100,"")</f>
        <v>46.319000000000003</v>
      </c>
      <c r="H124" s="61">
        <f t="shared" si="9"/>
        <v>1</v>
      </c>
      <c r="I124" t="str">
        <f>IF(FT!B124&lt;&gt;"",FT!E124,"")</f>
        <v>2 [49.560325]</v>
      </c>
      <c r="J124">
        <f>IF(FT!B124&lt;&gt;"",FT!C124,"")</f>
        <v>49.560299999999998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5.2225799999999998</v>
      </c>
      <c r="G125" s="61">
        <f>IF(FT!B125&lt;&gt;"",FT!B125*100,"")</f>
        <v>46.247799999999998</v>
      </c>
      <c r="H125" s="61">
        <f t="shared" si="9"/>
        <v>1</v>
      </c>
      <c r="I125" t="str">
        <f>IF(FT!B125&lt;&gt;"",FT!E125,"")</f>
        <v>2 [49.965308]</v>
      </c>
      <c r="J125">
        <f>IF(FT!B125&lt;&gt;"",FT!C125,"")</f>
        <v>49.965299999999999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390847</v>
      </c>
      <c r="D126" s="61">
        <f>FH!B126*1</f>
        <v>390847</v>
      </c>
      <c r="E126">
        <f t="shared" si="11"/>
        <v>124</v>
      </c>
      <c r="F126" s="61">
        <f>IF(FT!A126&lt;&gt;"",FT!A126*10,"")</f>
        <v>5.2373400000000006</v>
      </c>
      <c r="G126" s="61">
        <f>IF(FT!B126&lt;&gt;"",FT!B126*100,"")</f>
        <v>46.171099999999996</v>
      </c>
      <c r="H126" s="61">
        <f t="shared" si="9"/>
        <v>1</v>
      </c>
      <c r="I126" t="str">
        <f>IF(FT!B126&lt;&gt;"",FT!E126,"")</f>
        <v>2 [50.371278]</v>
      </c>
      <c r="J126">
        <f>IF(FT!B126&lt;&gt;"",FT!C126,"")</f>
        <v>50.371299999999998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5.2465099999999998</v>
      </c>
      <c r="G127" s="61">
        <f>IF(FT!B127&lt;&gt;"",FT!B127*100,"")</f>
        <v>46.227699999999999</v>
      </c>
      <c r="H127" s="61">
        <f t="shared" si="9"/>
        <v>1</v>
      </c>
      <c r="I127" t="str">
        <f>IF(FT!B127&lt;&gt;"",FT!E127,"")</f>
        <v>2 [50.780049]</v>
      </c>
      <c r="J127">
        <f>IF(FT!B127&lt;&gt;"",FT!C127,"")</f>
        <v>50.78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5.25807</v>
      </c>
      <c r="G128" s="61">
        <f>IF(FT!B128&lt;&gt;"",FT!B128*100,"")</f>
        <v>46.278200000000005</v>
      </c>
      <c r="H128" s="61">
        <f t="shared" si="9"/>
        <v>1</v>
      </c>
      <c r="I128" t="str">
        <f>IF(FT!B128&lt;&gt;"",FT!E128,"")</f>
        <v>2 [51.184932]</v>
      </c>
      <c r="J128">
        <f>IF(FT!B128&lt;&gt;"",FT!C128,"")</f>
        <v>51.184899999999999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420301</v>
      </c>
      <c r="D129" s="61">
        <f>FH!B129*1</f>
        <v>420301</v>
      </c>
      <c r="E129">
        <f t="shared" si="11"/>
        <v>127</v>
      </c>
      <c r="F129" s="61">
        <f>IF(FT!A129&lt;&gt;"",FT!A129*10,"")</f>
        <v>5.2685400000000007</v>
      </c>
      <c r="G129" s="61">
        <f>IF(FT!B129&lt;&gt;"",FT!B129*100,"")</f>
        <v>46.317399999999999</v>
      </c>
      <c r="H129" s="61">
        <f t="shared" si="9"/>
        <v>1</v>
      </c>
      <c r="I129" t="str">
        <f>IF(FT!B129&lt;&gt;"",FT!E129,"")</f>
        <v>2 [51.592903]</v>
      </c>
      <c r="J129">
        <f>IF(FT!B129&lt;&gt;"",FT!C129,"")</f>
        <v>51.5929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5.278929999999999</v>
      </c>
      <c r="G130" s="61">
        <f>IF(FT!B130&lt;&gt;"",FT!B130*100,"")</f>
        <v>46.383299999999998</v>
      </c>
      <c r="H130" s="61">
        <f t="shared" si="9"/>
        <v>1</v>
      </c>
      <c r="I130" t="str">
        <f>IF(FT!B130&lt;&gt;"",FT!E130,"")</f>
        <v>2 [51.995926]</v>
      </c>
      <c r="J130">
        <f>IF(FT!B130&lt;&gt;"",FT!C130,"")</f>
        <v>51.995899999999999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427422</v>
      </c>
      <c r="D131" s="61">
        <f>FH!B131*1</f>
        <v>427422</v>
      </c>
      <c r="E131">
        <f t="shared" si="11"/>
        <v>129</v>
      </c>
      <c r="F131" s="61">
        <f>IF(FT!A131&lt;&gt;"",FT!A131*10,"")</f>
        <v>5.2888599999999997</v>
      </c>
      <c r="G131" s="61">
        <f>IF(FT!B131&lt;&gt;"",FT!B131*100,"")</f>
        <v>46.489100000000001</v>
      </c>
      <c r="H131" s="61">
        <f t="shared" ref="H131:H194" si="13">(IF(F131&lt;&gt;"",1,""))</f>
        <v>1</v>
      </c>
      <c r="I131" t="str">
        <f>IF(FT!B131&lt;&gt;"",FT!E131,"")</f>
        <v>2 [52.402810]</v>
      </c>
      <c r="J131">
        <f>IF(FT!B131&lt;&gt;"",FT!C131,"")</f>
        <v>52.402799999999999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5.2990000000000004</v>
      </c>
      <c r="G132" s="61">
        <f>IF(FT!B132&lt;&gt;"",FT!B132*100,"")</f>
        <v>46.602700000000006</v>
      </c>
      <c r="H132" s="61">
        <f t="shared" si="13"/>
        <v>1</v>
      </c>
      <c r="I132" t="str">
        <f>IF(FT!B132&lt;&gt;"",FT!E132,"")</f>
        <v>2 [52.814707]</v>
      </c>
      <c r="J132">
        <f>IF(FT!B132&lt;&gt;"",FT!C132,"")</f>
        <v>52.814700000000002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5.3100400000000008</v>
      </c>
      <c r="G133" s="61">
        <f>IF(FT!B133&lt;&gt;"",FT!B133*100,"")</f>
        <v>46.724800000000002</v>
      </c>
      <c r="H133" s="61">
        <f t="shared" si="13"/>
        <v>1</v>
      </c>
      <c r="I133" t="str">
        <f>IF(FT!B133&lt;&gt;"",FT!E133,"")</f>
        <v>2 [53.219562]</v>
      </c>
      <c r="J133">
        <f>IF(FT!B133&lt;&gt;"",FT!C133,"")</f>
        <v>53.2196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402610</v>
      </c>
      <c r="D134" s="61">
        <f>FH!B134*1</f>
        <v>402610</v>
      </c>
      <c r="E134">
        <f t="shared" si="15"/>
        <v>132</v>
      </c>
      <c r="F134" s="61">
        <f>IF(FT!A134&lt;&gt;"",FT!A134*10,"")</f>
        <v>5.3223000000000003</v>
      </c>
      <c r="G134" s="61">
        <f>IF(FT!B134&lt;&gt;"",FT!B134*100,"")</f>
        <v>46.894599999999997</v>
      </c>
      <c r="H134" s="61">
        <f t="shared" si="13"/>
        <v>1</v>
      </c>
      <c r="I134" t="str">
        <f>IF(FT!B134&lt;&gt;"",FT!E134,"")</f>
        <v>2 [53.621459]</v>
      </c>
      <c r="J134">
        <f>IF(FT!B134&lt;&gt;"",FT!C134,"")</f>
        <v>53.621499999999997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5.3336799999999993</v>
      </c>
      <c r="G135" s="61">
        <f>IF(FT!B135&lt;&gt;"",FT!B135*100,"")</f>
        <v>47.081899999999997</v>
      </c>
      <c r="H135" s="61">
        <f t="shared" si="13"/>
        <v>1</v>
      </c>
      <c r="I135" t="str">
        <f>IF(FT!B135&lt;&gt;"",FT!E135,"")</f>
        <v>2 [54.026379]</v>
      </c>
      <c r="J135">
        <f>IF(FT!B135&lt;&gt;"",FT!C135,"")</f>
        <v>54.026400000000002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403338</v>
      </c>
      <c r="D136" s="61">
        <f>FH!B136*1</f>
        <v>403338</v>
      </c>
      <c r="E136">
        <f t="shared" si="15"/>
        <v>134</v>
      </c>
      <c r="F136" s="61">
        <f>IF(FT!A136&lt;&gt;"",FT!A136*10,"")</f>
        <v>5.3431300000000004</v>
      </c>
      <c r="G136" s="61">
        <f>IF(FT!B136&lt;&gt;"",FT!B136*100,"")</f>
        <v>47.222099999999998</v>
      </c>
      <c r="H136" s="61">
        <f t="shared" si="13"/>
        <v>1</v>
      </c>
      <c r="I136" t="str">
        <f>IF(FT!B136&lt;&gt;"",FT!E136,"")</f>
        <v>2 [54.433190]</v>
      </c>
      <c r="J136">
        <f>IF(FT!B136&lt;&gt;"",FT!C136,"")</f>
        <v>54.433199999999999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5.3532400000000004</v>
      </c>
      <c r="G137" s="61">
        <f>IF(FT!B137&lt;&gt;"",FT!B137*100,"")</f>
        <v>47.2986</v>
      </c>
      <c r="H137" s="61">
        <f t="shared" si="13"/>
        <v>1</v>
      </c>
      <c r="I137" t="str">
        <f>IF(FT!B137&lt;&gt;"",FT!E137,"")</f>
        <v>2 [54.839144]</v>
      </c>
      <c r="J137">
        <f>IF(FT!B137&lt;&gt;"",FT!C137,"")</f>
        <v>54.839100000000002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5.3668099999999992</v>
      </c>
      <c r="G138" s="61">
        <f>IF(FT!B138&lt;&gt;"",FT!B138*100,"")</f>
        <v>47.3748</v>
      </c>
      <c r="H138" s="61">
        <f t="shared" si="13"/>
        <v>1</v>
      </c>
      <c r="I138" t="str">
        <f>IF(FT!B138&lt;&gt;"",FT!E138,"")</f>
        <v>2 [55.247959]</v>
      </c>
      <c r="J138">
        <f>IF(FT!B138&lt;&gt;"",FT!C138,"")</f>
        <v>55.247999999999998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418558</v>
      </c>
      <c r="D139" s="61">
        <f>FH!B139*1</f>
        <v>418558</v>
      </c>
      <c r="E139">
        <f t="shared" si="15"/>
        <v>137</v>
      </c>
      <c r="F139" s="61">
        <f>IF(FT!A139&lt;&gt;"",FT!A139*10,"")</f>
        <v>5.3788100000000005</v>
      </c>
      <c r="G139" s="61">
        <f>IF(FT!B139&lt;&gt;"",FT!B139*100,"")</f>
        <v>47.523700000000005</v>
      </c>
      <c r="H139" s="61">
        <f t="shared" si="13"/>
        <v>1</v>
      </c>
      <c r="I139" t="str">
        <f>IF(FT!B139&lt;&gt;"",FT!E139,"")</f>
        <v>2 [55.652037]</v>
      </c>
      <c r="J139">
        <f>IF(FT!B139&lt;&gt;"",FT!C139,"")</f>
        <v>55.652000000000001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5.3869500000000006</v>
      </c>
      <c r="G140" s="61">
        <f>IF(FT!B140&lt;&gt;"",FT!B140*100,"")</f>
        <v>47.661500000000004</v>
      </c>
      <c r="H140" s="61">
        <f t="shared" si="13"/>
        <v>1</v>
      </c>
      <c r="I140" t="str">
        <f>IF(FT!B140&lt;&gt;"",FT!E140,"")</f>
        <v>2 [56.059905]</v>
      </c>
      <c r="J140">
        <f>IF(FT!B140&lt;&gt;"",FT!C140,"")</f>
        <v>56.059899999999999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5.3977900000000005</v>
      </c>
      <c r="G141" s="61">
        <f>IF(FT!B141&lt;&gt;"",FT!B141*100,"")</f>
        <v>47.801100000000005</v>
      </c>
      <c r="H141" s="61">
        <f t="shared" si="13"/>
        <v>1</v>
      </c>
      <c r="I141" t="str">
        <f>IF(FT!B141&lt;&gt;"",FT!E141,"")</f>
        <v>2 [56.466438]</v>
      </c>
      <c r="J141">
        <f>IF(FT!B141&lt;&gt;"",FT!C141,"")</f>
        <v>56.4664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429698</v>
      </c>
      <c r="D142" s="61">
        <f>FH!B142*1</f>
        <v>429698</v>
      </c>
      <c r="E142">
        <f t="shared" si="15"/>
        <v>140</v>
      </c>
      <c r="F142" s="61">
        <f>IF(FT!A142&lt;&gt;"",FT!A142*10,"")</f>
        <v>5.4114199999999997</v>
      </c>
      <c r="G142" s="61">
        <f>IF(FT!B142&lt;&gt;"",FT!B142*100,"")</f>
        <v>47.821100000000001</v>
      </c>
      <c r="H142" s="61">
        <f t="shared" si="13"/>
        <v>1</v>
      </c>
      <c r="I142" t="str">
        <f>IF(FT!B142&lt;&gt;"",FT!E142,"")</f>
        <v>2 [56.871888]</v>
      </c>
      <c r="J142">
        <f>IF(FT!B142&lt;&gt;"",FT!C142,"")</f>
        <v>56.871899999999997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5.4213399999999998</v>
      </c>
      <c r="G143" s="61">
        <f>IF(FT!B143&lt;&gt;"",FT!B143*100,"")</f>
        <v>47.6417</v>
      </c>
      <c r="H143" s="61">
        <f t="shared" si="13"/>
        <v>1</v>
      </c>
      <c r="I143" t="str">
        <f>IF(FT!B143&lt;&gt;"",FT!E143,"")</f>
        <v>2 [57.279014]</v>
      </c>
      <c r="J143">
        <f>IF(FT!B143&lt;&gt;"",FT!C143,"")</f>
        <v>57.279000000000003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451698</v>
      </c>
      <c r="D144" s="61">
        <f>FH!B144*1</f>
        <v>451698</v>
      </c>
      <c r="E144">
        <f t="shared" si="15"/>
        <v>142</v>
      </c>
      <c r="F144" s="61">
        <f>IF(FT!A144&lt;&gt;"",FT!A144*10,"")</f>
        <v>5.4292899999999999</v>
      </c>
      <c r="G144" s="61">
        <f>IF(FT!B144&lt;&gt;"",FT!B144*100,"")</f>
        <v>47.311799999999998</v>
      </c>
      <c r="H144" s="61">
        <f t="shared" si="13"/>
        <v>1</v>
      </c>
      <c r="I144" t="str">
        <f>IF(FT!B144&lt;&gt;"",FT!E144,"")</f>
        <v>2 [57.682762]</v>
      </c>
      <c r="J144">
        <f>IF(FT!B144&lt;&gt;"",FT!C144,"")</f>
        <v>57.6828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5.4425699999999999</v>
      </c>
      <c r="G145" s="61">
        <f>IF(FT!B145&lt;&gt;"",FT!B145*100,"")</f>
        <v>46.922899999999998</v>
      </c>
      <c r="H145" s="61">
        <f t="shared" si="13"/>
        <v>1</v>
      </c>
      <c r="I145" t="str">
        <f>IF(FT!B145&lt;&gt;"",FT!E145,"")</f>
        <v>2 [58.090598]</v>
      </c>
      <c r="J145">
        <f>IF(FT!B145&lt;&gt;"",FT!C145,"")</f>
        <v>58.090600000000002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5.4555199999999999</v>
      </c>
      <c r="G146" s="61">
        <f>IF(FT!B146&lt;&gt;"",FT!B146*100,"")</f>
        <v>46.303199999999997</v>
      </c>
      <c r="H146" s="61">
        <f t="shared" si="13"/>
        <v>1</v>
      </c>
      <c r="I146" t="str">
        <f>IF(FT!B146&lt;&gt;"",FT!E146,"")</f>
        <v>2 [58.497666]</v>
      </c>
      <c r="J146">
        <f>IF(FT!B146&lt;&gt;"",FT!C146,"")</f>
        <v>58.497700000000002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458566</v>
      </c>
      <c r="D147" s="61">
        <f>FH!B147*1</f>
        <v>458566</v>
      </c>
      <c r="E147">
        <f t="shared" si="15"/>
        <v>145</v>
      </c>
      <c r="F147" s="61">
        <f>IF(FT!A147&lt;&gt;"",FT!A147*10,"")</f>
        <v>5.4589600000000003</v>
      </c>
      <c r="G147" s="61">
        <f>IF(FT!B147&lt;&gt;"",FT!B147*100,"")</f>
        <v>45.164300000000004</v>
      </c>
      <c r="H147" s="61">
        <f t="shared" si="13"/>
        <v>1</v>
      </c>
      <c r="I147" t="str">
        <f>IF(FT!B147&lt;&gt;"",FT!E147,"")</f>
        <v>2 [58.905418]</v>
      </c>
      <c r="J147">
        <f>IF(FT!B147&lt;&gt;"",FT!C147,"")</f>
        <v>58.9054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5.4628800000000002</v>
      </c>
      <c r="G148" s="61">
        <f>IF(FT!B148&lt;&gt;"",FT!B148*100,"")</f>
        <v>44.203499999999998</v>
      </c>
      <c r="H148" s="61">
        <f t="shared" si="13"/>
        <v>1</v>
      </c>
      <c r="I148" t="str">
        <f>IF(FT!B148&lt;&gt;"",FT!E148,"")</f>
        <v>2 [59.312577]</v>
      </c>
      <c r="J148">
        <f>IF(FT!B148&lt;&gt;"",FT!C148,"")</f>
        <v>59.312600000000003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470332</v>
      </c>
      <c r="D149" s="61">
        <f>FH!B149*1</f>
        <v>470332</v>
      </c>
      <c r="E149">
        <f t="shared" si="15"/>
        <v>147</v>
      </c>
      <c r="F149" s="61">
        <f>IF(FT!A149&lt;&gt;"",FT!A149*10,"")</f>
        <v>5.4647299999999994</v>
      </c>
      <c r="G149" s="61">
        <f>IF(FT!B149&lt;&gt;"",FT!B149*100,"")</f>
        <v>42.893500000000003</v>
      </c>
      <c r="H149" s="61">
        <f t="shared" si="13"/>
        <v>1</v>
      </c>
      <c r="I149" t="str">
        <f>IF(FT!B149&lt;&gt;"",FT!E149,"")</f>
        <v>2 [59.716233]</v>
      </c>
      <c r="J149">
        <f>IF(FT!B149&lt;&gt;"",FT!C149,"")</f>
        <v>59.716200000000001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5.4813700000000001</v>
      </c>
      <c r="G150" s="61">
        <f>IF(FT!B150&lt;&gt;"",FT!B150*100,"")</f>
        <v>41.230200000000004</v>
      </c>
      <c r="H150" s="61">
        <f t="shared" si="13"/>
        <v>1</v>
      </c>
      <c r="I150" t="str">
        <f>IF(FT!B150&lt;&gt;"",FT!E150,"")</f>
        <v>2 [60.123138]</v>
      </c>
      <c r="J150">
        <f>IF(FT!B150&lt;&gt;"",FT!C150,"")</f>
        <v>60.123100000000001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456856</v>
      </c>
      <c r="D152" s="61">
        <f>FH!B152*1</f>
        <v>456856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419008</v>
      </c>
      <c r="D154" s="61">
        <f>FH!B154*1</f>
        <v>419008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388836</v>
      </c>
      <c r="D157" s="61">
        <f>FH!B157*1</f>
        <v>388836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342580</v>
      </c>
      <c r="D160" s="61">
        <f>FH!B160*1</f>
        <v>342580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297982</v>
      </c>
      <c r="D162" s="61">
        <f>FH!B162*1</f>
        <v>297982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258506</v>
      </c>
      <c r="D165" s="61">
        <f>FH!B165*1</f>
        <v>258506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228073</v>
      </c>
      <c r="D167" s="61">
        <f>FH!B167*1</f>
        <v>228073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208296</v>
      </c>
      <c r="D170" s="61">
        <f>FH!B170*1</f>
        <v>208296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181940</v>
      </c>
      <c r="D173" s="61">
        <f>FH!B173*1</f>
        <v>181940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162529</v>
      </c>
      <c r="D175" s="61">
        <f>FH!B175*1</f>
        <v>162529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131991</v>
      </c>
      <c r="D178" s="61">
        <f>FH!B178*1</f>
        <v>131991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114566</v>
      </c>
      <c r="D180" s="61">
        <f>FH!B180*1</f>
        <v>114566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86307</v>
      </c>
      <c r="D183" s="61">
        <f>FH!B183*1</f>
        <v>86307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67966</v>
      </c>
      <c r="D185" s="61">
        <f>FH!B185*1</f>
        <v>67966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40802</v>
      </c>
      <c r="D188" s="61">
        <f>FH!B188*1</f>
        <v>40802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23175</v>
      </c>
      <c r="D191" s="61">
        <f>FH!B191*1</f>
        <v>23175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13632</v>
      </c>
      <c r="D193" s="61">
        <f>FH!B193*1</f>
        <v>13632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4833</v>
      </c>
      <c r="D196" s="61">
        <f>FH!B196*1</f>
        <v>4833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1967</v>
      </c>
      <c r="D198" s="61">
        <f>FH!B198*1</f>
        <v>1967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229</v>
      </c>
      <c r="D201" s="61">
        <f>FH!B201*1</f>
        <v>229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46.197899999999997</v>
      </c>
      <c r="C5" s="66">
        <v>11.6297</v>
      </c>
      <c r="D5" s="66">
        <v>25.1737</v>
      </c>
      <c r="E5" s="66">
        <v>20</v>
      </c>
      <c r="F5" s="66">
        <v>7.7375499999999997</v>
      </c>
      <c r="G5" s="66">
        <v>50</v>
      </c>
      <c r="H5" s="66">
        <v>53.340600000000002</v>
      </c>
    </row>
    <row r="6" spans="1:8">
      <c r="A6" s="58" t="s">
        <v>303</v>
      </c>
      <c r="B6" s="66">
        <v>17.990300000000001</v>
      </c>
      <c r="C6" s="66">
        <v>3.1467200000000002</v>
      </c>
      <c r="D6" s="66">
        <v>17.491199999999999</v>
      </c>
      <c r="E6" s="66">
        <v>20</v>
      </c>
      <c r="F6" s="66">
        <v>10.6982</v>
      </c>
      <c r="G6" s="66">
        <v>40</v>
      </c>
      <c r="H6" s="66">
        <v>23.245200000000001</v>
      </c>
    </row>
    <row r="7" spans="1:8">
      <c r="A7" s="58" t="s">
        <v>304</v>
      </c>
      <c r="B7" s="66">
        <v>8.0931899999999999</v>
      </c>
      <c r="C7" s="66">
        <v>8.7510700000000003</v>
      </c>
      <c r="D7" s="66">
        <v>108.129</v>
      </c>
      <c r="E7" s="66">
        <v>15</v>
      </c>
      <c r="F7" s="66">
        <v>2.0086200000000001</v>
      </c>
      <c r="G7" s="66">
        <v>40</v>
      </c>
      <c r="H7" s="66">
        <v>36.955399999999997</v>
      </c>
    </row>
    <row r="8" spans="1:8">
      <c r="A8" s="58" t="s">
        <v>305</v>
      </c>
      <c r="B8" s="66">
        <v>23.712700000000002</v>
      </c>
      <c r="C8" s="66">
        <v>4.2208800000000002</v>
      </c>
      <c r="D8" s="66">
        <v>17.8001</v>
      </c>
      <c r="E8" s="66">
        <v>20</v>
      </c>
      <c r="F8" s="66">
        <v>14.589600000000001</v>
      </c>
      <c r="G8" s="66">
        <v>50</v>
      </c>
      <c r="H8" s="66">
        <v>32.853400000000001</v>
      </c>
    </row>
    <row r="9" spans="1:8">
      <c r="A9" s="58" t="s">
        <v>306</v>
      </c>
      <c r="B9" s="66">
        <v>69.800200000000004</v>
      </c>
      <c r="C9" s="66">
        <v>8.6774500000000003</v>
      </c>
      <c r="D9" s="66">
        <v>12.431800000000001</v>
      </c>
      <c r="E9" s="66">
        <v>50</v>
      </c>
      <c r="F9" s="66">
        <v>46.927700000000002</v>
      </c>
      <c r="G9" s="66">
        <v>100</v>
      </c>
      <c r="H9" s="66">
        <v>89.74</v>
      </c>
    </row>
    <row r="10" spans="1:8">
      <c r="A10" s="58" t="s">
        <v>307</v>
      </c>
      <c r="B10" s="66">
        <v>81.538600000000002</v>
      </c>
      <c r="C10" s="66">
        <v>4.3622699999999996</v>
      </c>
      <c r="D10" s="66">
        <v>5.3499400000000001</v>
      </c>
      <c r="E10" s="66">
        <v>40</v>
      </c>
      <c r="F10" s="66">
        <v>69.354699999999994</v>
      </c>
      <c r="G10" s="66">
        <v>100</v>
      </c>
      <c r="H10" s="66">
        <v>89.633099999999999</v>
      </c>
    </row>
    <row r="11" spans="1:8">
      <c r="A11" s="58" t="s">
        <v>308</v>
      </c>
      <c r="B11" s="66">
        <v>39.676900000000003</v>
      </c>
      <c r="C11" s="66">
        <v>9.9647600000000001</v>
      </c>
      <c r="D11" s="66">
        <v>25.114799999999999</v>
      </c>
      <c r="E11" s="66">
        <v>10</v>
      </c>
      <c r="F11" s="66">
        <v>6.2771100000000004</v>
      </c>
      <c r="G11" s="66">
        <v>50</v>
      </c>
      <c r="H11" s="66">
        <v>44.4968</v>
      </c>
    </row>
    <row r="12" spans="1:8">
      <c r="A12" s="58" t="s">
        <v>309</v>
      </c>
      <c r="B12" s="66">
        <v>75.878900000000002</v>
      </c>
      <c r="C12" s="66">
        <v>5.86836</v>
      </c>
      <c r="D12" s="66">
        <v>7.7338500000000003</v>
      </c>
      <c r="E12" s="66">
        <v>50</v>
      </c>
      <c r="F12" s="66">
        <v>59.0261</v>
      </c>
      <c r="G12" s="66">
        <v>100</v>
      </c>
      <c r="H12" s="66">
        <v>87.985799999999998</v>
      </c>
    </row>
    <row r="13" spans="1:8">
      <c r="A13" s="58" t="s">
        <v>310</v>
      </c>
      <c r="B13" s="66">
        <v>30.0822</v>
      </c>
      <c r="C13" s="66">
        <v>7.2237400000000003</v>
      </c>
      <c r="D13" s="66">
        <v>24.013300000000001</v>
      </c>
      <c r="E13" s="66">
        <v>10</v>
      </c>
      <c r="F13" s="66">
        <v>13.4207</v>
      </c>
      <c r="G13" s="66">
        <v>25</v>
      </c>
      <c r="H13" s="66">
        <v>54.136099999999999</v>
      </c>
    </row>
    <row r="14" spans="1:8">
      <c r="A14" s="58" t="s">
        <v>311</v>
      </c>
      <c r="B14" s="66">
        <v>72.237399999999994</v>
      </c>
      <c r="C14" s="66">
        <v>25.916699999999999</v>
      </c>
      <c r="D14" s="66">
        <v>35.877099999999999</v>
      </c>
      <c r="E14" s="66">
        <v>10</v>
      </c>
      <c r="F14" s="66">
        <v>0.89339900000000005</v>
      </c>
      <c r="G14" s="66">
        <v>50</v>
      </c>
      <c r="H14" s="66">
        <v>84.919600000000003</v>
      </c>
    </row>
    <row r="15" spans="1:8">
      <c r="A15" s="58" t="s">
        <v>312</v>
      </c>
      <c r="B15" s="66">
        <v>0.108692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0.188582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27.9115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0.44971899999999998</v>
      </c>
      <c r="C18" s="66">
        <v>0.140097</v>
      </c>
      <c r="D18" s="66">
        <v>0.31152200000000002</v>
      </c>
      <c r="E18" s="66">
        <v>0</v>
      </c>
      <c r="F18" s="66">
        <v>0.30962200000000001</v>
      </c>
      <c r="G18" s="66">
        <v>0</v>
      </c>
      <c r="H18" s="66">
        <v>0.58981600000000001</v>
      </c>
    </row>
    <row r="19" spans="1:8">
      <c r="A19" s="58" t="s">
        <v>316</v>
      </c>
      <c r="B19" s="66">
        <v>0.39590999999999998</v>
      </c>
      <c r="C19" s="66">
        <v>2.8262800000000001E-2</v>
      </c>
      <c r="D19" s="66">
        <v>7.1387000000000006E-2</v>
      </c>
      <c r="E19" s="66">
        <v>0</v>
      </c>
      <c r="F19" s="66">
        <v>0.367647</v>
      </c>
      <c r="G19" s="66">
        <v>0</v>
      </c>
      <c r="H19" s="66">
        <v>0.42417300000000002</v>
      </c>
    </row>
    <row r="20" spans="1:8">
      <c r="A20" s="58" t="s">
        <v>317</v>
      </c>
      <c r="B20" s="66">
        <v>8.3839999999999998E-2</v>
      </c>
      <c r="C20" s="66">
        <v>0.72008700000000003</v>
      </c>
      <c r="D20" s="66">
        <v>8.5888299999999997</v>
      </c>
      <c r="E20" s="66">
        <v>0</v>
      </c>
      <c r="F20" s="196">
        <v>2.9427199999999998E-5</v>
      </c>
      <c r="G20" s="66">
        <v>0</v>
      </c>
      <c r="H20" s="66">
        <v>5.5522200000000002</v>
      </c>
    </row>
    <row r="21" spans="1:8">
      <c r="A21" s="58" t="s">
        <v>318</v>
      </c>
      <c r="B21" s="66">
        <v>1.5341400000000001</v>
      </c>
      <c r="C21" s="66">
        <v>3.1940599999999999</v>
      </c>
      <c r="D21" s="66">
        <v>2.0819899999999998</v>
      </c>
      <c r="E21" s="66">
        <v>0</v>
      </c>
      <c r="F21" s="66">
        <v>6.7084099999999997E-3</v>
      </c>
      <c r="G21" s="66">
        <v>0</v>
      </c>
      <c r="H21" s="66">
        <v>19.8157</v>
      </c>
    </row>
    <row r="22" spans="1:8">
      <c r="A22" s="58" t="s">
        <v>319</v>
      </c>
      <c r="B22" s="66">
        <v>107.361</v>
      </c>
      <c r="C22" s="66">
        <v>55.506500000000003</v>
      </c>
      <c r="D22" s="66">
        <v>0.51700999999999997</v>
      </c>
      <c r="E22" s="66">
        <v>0</v>
      </c>
      <c r="F22" s="66">
        <v>45.019199999999998</v>
      </c>
      <c r="G22" s="66">
        <v>0</v>
      </c>
      <c r="H22" s="66">
        <v>298.18799999999999</v>
      </c>
    </row>
    <row r="23" spans="1:8">
      <c r="A23" s="58" t="s">
        <v>320</v>
      </c>
      <c r="B23" s="66">
        <v>72.528300000000002</v>
      </c>
      <c r="C23" s="66">
        <v>27.947700000000001</v>
      </c>
      <c r="D23" s="66">
        <v>0.38533499999999998</v>
      </c>
      <c r="E23" s="66">
        <v>0</v>
      </c>
      <c r="F23" s="66">
        <v>7.39147</v>
      </c>
      <c r="G23" s="66">
        <v>0</v>
      </c>
      <c r="H23" s="66">
        <v>114.30800000000001</v>
      </c>
    </row>
    <row r="24" spans="1:8">
      <c r="A24" s="58" t="s">
        <v>321</v>
      </c>
      <c r="B24" s="66">
        <v>9.7412499999999999E-2</v>
      </c>
      <c r="C24" s="66">
        <v>0.64158000000000004</v>
      </c>
      <c r="D24" s="66">
        <v>6.58622</v>
      </c>
      <c r="E24" s="66">
        <v>0</v>
      </c>
      <c r="F24" s="66">
        <v>4.8873700000000005E-4</v>
      </c>
      <c r="G24" s="66">
        <v>0</v>
      </c>
      <c r="H24" s="66">
        <v>4.2468899999999996</v>
      </c>
    </row>
    <row r="25" spans="1:8">
      <c r="A25" s="58" t="s">
        <v>322</v>
      </c>
      <c r="B25" s="66">
        <v>2.0797500000000002</v>
      </c>
      <c r="C25" s="66">
        <v>2.1230199999999999</v>
      </c>
      <c r="D25" s="66">
        <v>1.02081</v>
      </c>
      <c r="E25" s="66">
        <v>0</v>
      </c>
      <c r="F25" s="66">
        <v>0.27215699999999998</v>
      </c>
      <c r="G25" s="66">
        <v>0</v>
      </c>
      <c r="H25" s="66">
        <v>11.354699999999999</v>
      </c>
    </row>
    <row r="26" spans="1:8">
      <c r="A26" s="58" t="s">
        <v>323</v>
      </c>
      <c r="B26" s="66">
        <v>1.18566E-2</v>
      </c>
      <c r="C26" s="66">
        <v>4.0960999999999997E-2</v>
      </c>
      <c r="D26" s="66">
        <v>3.4546899999999998</v>
      </c>
      <c r="E26" s="66">
        <v>0</v>
      </c>
      <c r="F26" s="196">
        <v>6.5651299999999996E-6</v>
      </c>
      <c r="G26" s="66">
        <v>0</v>
      </c>
      <c r="H26" s="66">
        <v>0.42447800000000002</v>
      </c>
    </row>
    <row r="27" spans="1:8">
      <c r="A27" s="58" t="s">
        <v>324</v>
      </c>
      <c r="B27" s="196">
        <v>-5.5803500000000002E-5</v>
      </c>
      <c r="C27" s="66">
        <v>1.21388E-2</v>
      </c>
      <c r="D27" s="66">
        <v>-217.52799999999999</v>
      </c>
      <c r="E27" s="66">
        <v>0</v>
      </c>
      <c r="F27" s="66">
        <v>-0.26598899999999998</v>
      </c>
      <c r="G27" s="66">
        <v>0</v>
      </c>
      <c r="H27" s="66">
        <v>0.28338400000000002</v>
      </c>
    </row>
    <row r="28" spans="1:8">
      <c r="A28" s="58" t="s">
        <v>325</v>
      </c>
      <c r="B28" s="66">
        <v>0.102354</v>
      </c>
      <c r="C28" s="66">
        <v>8.9229000000000003E-2</v>
      </c>
      <c r="D28" s="66">
        <v>0.87177300000000002</v>
      </c>
      <c r="E28" s="66">
        <v>0</v>
      </c>
      <c r="F28" s="66">
        <v>1.3085900000000001E-3</v>
      </c>
      <c r="G28" s="66">
        <v>0</v>
      </c>
      <c r="H28" s="66">
        <v>0.54278599999999999</v>
      </c>
    </row>
    <row r="29" spans="1:8">
      <c r="A29" s="58" t="s">
        <v>326</v>
      </c>
      <c r="B29" s="66">
        <v>95.296700000000001</v>
      </c>
      <c r="C29" s="66">
        <v>16.590699999999998</v>
      </c>
      <c r="D29" s="66">
        <v>0.174095</v>
      </c>
      <c r="E29" s="66">
        <v>0</v>
      </c>
      <c r="F29" s="66">
        <v>54.523800000000001</v>
      </c>
      <c r="G29" s="66">
        <v>0</v>
      </c>
      <c r="H29" s="66">
        <v>148.28200000000001</v>
      </c>
    </row>
    <row r="30" spans="1:8">
      <c r="A30" s="58" t="s">
        <v>327</v>
      </c>
      <c r="B30" s="66">
        <v>57.064799999999998</v>
      </c>
      <c r="C30" s="66">
        <v>18.6999</v>
      </c>
      <c r="D30" s="66">
        <v>0.32769500000000001</v>
      </c>
      <c r="E30" s="66">
        <v>0</v>
      </c>
      <c r="F30" s="66">
        <v>9.2616999999999994</v>
      </c>
      <c r="G30" s="66">
        <v>0</v>
      </c>
      <c r="H30" s="66">
        <v>78.108199999999997</v>
      </c>
    </row>
    <row r="31" spans="1:8">
      <c r="A31" s="58" t="s">
        <v>328</v>
      </c>
      <c r="B31" s="66">
        <v>300.59100000000001</v>
      </c>
      <c r="C31" s="66">
        <v>92.802300000000002</v>
      </c>
      <c r="D31" s="66">
        <v>0.30873200000000001</v>
      </c>
      <c r="E31" s="66">
        <v>0</v>
      </c>
      <c r="F31" s="66">
        <v>43.329599999999999</v>
      </c>
      <c r="G31" s="66">
        <v>0</v>
      </c>
      <c r="H31" s="66">
        <v>400.661</v>
      </c>
    </row>
    <row r="32" spans="1:8">
      <c r="A32" s="58" t="s">
        <v>329</v>
      </c>
      <c r="B32" s="66">
        <v>8.0931900000000001E-2</v>
      </c>
      <c r="C32" s="66">
        <v>8.7510699999999997E-2</v>
      </c>
      <c r="D32" s="66">
        <v>1.0812900000000001</v>
      </c>
      <c r="E32" s="66">
        <v>0.15</v>
      </c>
      <c r="F32" s="66">
        <v>2.0086199999999999E-2</v>
      </c>
      <c r="G32" s="66">
        <v>0.4</v>
      </c>
      <c r="H32" s="66">
        <v>0.36955399999999999</v>
      </c>
    </row>
    <row r="33" spans="1:8">
      <c r="A33" s="58" t="s">
        <v>330</v>
      </c>
      <c r="B33" s="66">
        <v>0.25451299999999999</v>
      </c>
      <c r="C33" s="66">
        <v>3.02107E-2</v>
      </c>
      <c r="D33" s="66">
        <v>0.1187</v>
      </c>
      <c r="E33" s="66">
        <v>0</v>
      </c>
      <c r="F33" s="66">
        <v>0.18789600000000001</v>
      </c>
      <c r="G33" s="66">
        <v>0</v>
      </c>
      <c r="H33" s="66">
        <v>0.37476399999999999</v>
      </c>
    </row>
    <row r="34" spans="1:8">
      <c r="A34" s="58" t="s">
        <v>331</v>
      </c>
      <c r="B34" s="66">
        <v>0.30082199999999998</v>
      </c>
      <c r="C34" s="66">
        <v>7.2237399999999993E-2</v>
      </c>
      <c r="D34" s="66">
        <v>0.24013300000000001</v>
      </c>
      <c r="E34" s="66">
        <v>0.1</v>
      </c>
      <c r="F34" s="66">
        <v>0.13420699999999999</v>
      </c>
      <c r="G34" s="66">
        <v>0.25</v>
      </c>
      <c r="H34" s="66">
        <v>0.54135999999999995</v>
      </c>
    </row>
    <row r="35" spans="1:8">
      <c r="A35" s="58" t="s">
        <v>332</v>
      </c>
      <c r="B35" s="66">
        <v>0.111413</v>
      </c>
      <c r="C35" s="66">
        <v>6.0093199999999999E-2</v>
      </c>
      <c r="D35" s="66">
        <v>0.53937299999999999</v>
      </c>
      <c r="E35" s="66">
        <v>0</v>
      </c>
      <c r="F35" s="66">
        <v>3.1638699999999999E-2</v>
      </c>
      <c r="G35" s="66">
        <v>0</v>
      </c>
      <c r="H35" s="66">
        <v>0.28972199999999998</v>
      </c>
    </row>
    <row r="36" spans="1:8">
      <c r="A36" s="58" t="s">
        <v>333</v>
      </c>
      <c r="B36" s="66">
        <v>0.260299</v>
      </c>
      <c r="C36" s="66">
        <v>0.15685399999999999</v>
      </c>
      <c r="D36" s="66">
        <v>0.60259200000000002</v>
      </c>
      <c r="E36" s="66">
        <v>0</v>
      </c>
      <c r="F36" s="66">
        <v>3.9636200000000003E-2</v>
      </c>
      <c r="G36" s="66">
        <v>0</v>
      </c>
      <c r="H36" s="66">
        <v>0.97679899999999997</v>
      </c>
    </row>
    <row r="37" spans="1:8">
      <c r="A37" s="58" t="s">
        <v>334</v>
      </c>
      <c r="B37" s="66">
        <v>0.72237399999999996</v>
      </c>
      <c r="C37" s="66">
        <v>0.25916699999999998</v>
      </c>
      <c r="D37" s="66">
        <v>0.35877100000000001</v>
      </c>
      <c r="E37" s="66">
        <v>0.1</v>
      </c>
      <c r="F37" s="66">
        <v>8.9339899999999993E-3</v>
      </c>
      <c r="G37" s="66">
        <v>0.5</v>
      </c>
      <c r="H37" s="66">
        <v>0.84919599999999995</v>
      </c>
    </row>
    <row r="38" spans="1:8">
      <c r="A38" s="58" t="s">
        <v>335</v>
      </c>
      <c r="B38" s="66">
        <v>0.65220699999999998</v>
      </c>
      <c r="C38" s="66">
        <v>72.404399999999995</v>
      </c>
      <c r="D38" s="66">
        <v>111.014</v>
      </c>
      <c r="E38" s="66">
        <v>0</v>
      </c>
      <c r="F38" s="66">
        <v>-322.52600000000001</v>
      </c>
      <c r="G38" s="66">
        <v>0</v>
      </c>
      <c r="H38" s="66">
        <v>163.506</v>
      </c>
    </row>
    <row r="39" spans="1:8">
      <c r="A39" s="58" t="s">
        <v>336</v>
      </c>
      <c r="B39" s="66">
        <v>-0.86676600000000004</v>
      </c>
      <c r="C39" s="66">
        <v>18.991700000000002</v>
      </c>
      <c r="D39" s="66">
        <v>-21.911000000000001</v>
      </c>
      <c r="E39" s="66">
        <v>0</v>
      </c>
      <c r="F39" s="66">
        <v>-75.813500000000005</v>
      </c>
      <c r="G39" s="66">
        <v>0</v>
      </c>
      <c r="H39" s="66">
        <v>39.124699999999997</v>
      </c>
    </row>
    <row r="40" spans="1:8">
      <c r="A40" s="58" t="s">
        <v>337</v>
      </c>
      <c r="B40" s="66">
        <v>-2.6187200000000002</v>
      </c>
      <c r="C40" s="66">
        <v>6.7714699999999999</v>
      </c>
      <c r="D40" s="66">
        <v>-2.5857999999999999</v>
      </c>
      <c r="E40" s="66">
        <v>0</v>
      </c>
      <c r="F40" s="66">
        <v>-18.933700000000002</v>
      </c>
      <c r="G40" s="66">
        <v>0</v>
      </c>
      <c r="H40" s="66">
        <v>31.216999999999999</v>
      </c>
    </row>
    <row r="41" spans="1:8">
      <c r="A41" s="58" t="s">
        <v>338</v>
      </c>
      <c r="B41" s="66">
        <v>6.4755999999999998E-3</v>
      </c>
      <c r="C41" s="66">
        <v>0.16963700000000001</v>
      </c>
      <c r="D41" s="66">
        <v>26.196400000000001</v>
      </c>
      <c r="E41" s="66">
        <v>0</v>
      </c>
      <c r="F41" s="66">
        <v>-0.44295899999999999</v>
      </c>
      <c r="G41" s="66">
        <v>0</v>
      </c>
      <c r="H41" s="66">
        <v>0.51401200000000002</v>
      </c>
    </row>
    <row r="42" spans="1:8">
      <c r="A42" s="58" t="s">
        <v>339</v>
      </c>
      <c r="B42" s="66">
        <v>-1.1932999999999999E-2</v>
      </c>
      <c r="C42" s="66">
        <v>9.1146400000000002E-2</v>
      </c>
      <c r="D42" s="66">
        <v>-7.6381500000000004</v>
      </c>
      <c r="E42" s="66">
        <v>0</v>
      </c>
      <c r="F42" s="66">
        <v>-0.20810500000000001</v>
      </c>
      <c r="G42" s="66">
        <v>0</v>
      </c>
      <c r="H42" s="66">
        <v>0.23636299999999999</v>
      </c>
    </row>
    <row r="43" spans="1:8">
      <c r="A43" s="58" t="s">
        <v>340</v>
      </c>
      <c r="B43" s="66">
        <v>-5.5096300000000001E-2</v>
      </c>
      <c r="C43" s="66">
        <v>4.8671899999999997E-2</v>
      </c>
      <c r="D43" s="66">
        <v>-0.88339699999999999</v>
      </c>
      <c r="E43" s="66">
        <v>0</v>
      </c>
      <c r="F43" s="66">
        <v>-0.13677</v>
      </c>
      <c r="G43" s="66">
        <v>0</v>
      </c>
      <c r="H43" s="66">
        <v>0.202822</v>
      </c>
    </row>
    <row r="44" spans="1:8">
      <c r="A44" s="58" t="s">
        <v>341</v>
      </c>
      <c r="B44" s="66">
        <v>-32.934199999999997</v>
      </c>
      <c r="C44" s="66">
        <v>34.35</v>
      </c>
      <c r="D44" s="66">
        <v>-1.0429900000000001</v>
      </c>
      <c r="E44" s="66">
        <v>0</v>
      </c>
      <c r="F44" s="66">
        <v>-93.147300000000001</v>
      </c>
      <c r="G44" s="66">
        <v>0</v>
      </c>
      <c r="H44" s="66">
        <v>58.771299999999997</v>
      </c>
    </row>
    <row r="45" spans="1:8">
      <c r="A45" s="58" t="s">
        <v>342</v>
      </c>
      <c r="B45" s="66">
        <v>37.6295</v>
      </c>
      <c r="C45" s="66">
        <v>6.7834199999999996</v>
      </c>
      <c r="D45" s="66">
        <v>0.18026900000000001</v>
      </c>
      <c r="E45" s="66">
        <v>0</v>
      </c>
      <c r="F45" s="66">
        <v>23.277799999999999</v>
      </c>
      <c r="G45" s="66">
        <v>0</v>
      </c>
      <c r="H45" s="66">
        <v>61.259500000000003</v>
      </c>
    </row>
    <row r="46" spans="1:8">
      <c r="A46" s="58" t="s">
        <v>343</v>
      </c>
      <c r="B46" s="66">
        <v>28.535499999999999</v>
      </c>
      <c r="C46" s="66">
        <v>7.65543</v>
      </c>
      <c r="D46" s="66">
        <v>0.26827699999999999</v>
      </c>
      <c r="E46" s="66">
        <v>0</v>
      </c>
      <c r="F46" s="66">
        <v>5.8830299999999998</v>
      </c>
      <c r="G46" s="66">
        <v>0</v>
      </c>
      <c r="H46" s="66">
        <v>37.432400000000001</v>
      </c>
    </row>
    <row r="47" spans="1:8">
      <c r="A47" s="58" t="s">
        <v>344</v>
      </c>
      <c r="B47" s="66">
        <v>2.87174</v>
      </c>
      <c r="C47" s="66">
        <v>2.3133900000000001</v>
      </c>
      <c r="D47" s="66">
        <v>0.80557199999999995</v>
      </c>
      <c r="E47" s="66">
        <v>0</v>
      </c>
      <c r="F47" s="66">
        <v>0.96182100000000004</v>
      </c>
      <c r="G47" s="66">
        <v>0</v>
      </c>
      <c r="H47" s="66">
        <v>17.032699999999998</v>
      </c>
    </row>
    <row r="48" spans="1:8">
      <c r="A48" s="58" t="s">
        <v>345</v>
      </c>
      <c r="B48" s="66">
        <v>1.6458200000000001</v>
      </c>
      <c r="C48" s="66">
        <v>0.25797900000000001</v>
      </c>
      <c r="D48" s="66">
        <v>0.156748</v>
      </c>
      <c r="E48" s="66">
        <v>0</v>
      </c>
      <c r="F48" s="66">
        <v>1.1225400000000001</v>
      </c>
      <c r="G48" s="66">
        <v>0</v>
      </c>
      <c r="H48" s="66">
        <v>2.2302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5.4883000000000024</v>
      </c>
      <c r="C5" s="66">
        <f>'M2'!C5-'M1'!C5</f>
        <v>-10.483560000000001</v>
      </c>
      <c r="D5" s="66">
        <f>'M2'!D5-'M1'!D5</f>
        <v>-25.94585</v>
      </c>
      <c r="E5" s="66">
        <f>'M2'!E5-'M1'!E5</f>
        <v>0</v>
      </c>
      <c r="F5" s="66">
        <f>'M2'!F5-'M1'!F5</f>
        <v>31.160650000000004</v>
      </c>
      <c r="G5" s="66">
        <f>'M2'!G5-'M1'!G5</f>
        <v>0</v>
      </c>
      <c r="H5" s="66">
        <f>'M2'!H5-'M1'!H5</f>
        <v>0.73720000000000141</v>
      </c>
    </row>
    <row r="6" spans="1:8">
      <c r="A6" s="66" t="s">
        <v>244</v>
      </c>
      <c r="B6" s="66">
        <f>'M2'!B6-'M1'!B6</f>
        <v>-2.7117000000000004</v>
      </c>
      <c r="C6" s="66">
        <f>'M2'!C6-'M1'!C6</f>
        <v>-0.28892000000000007</v>
      </c>
      <c r="D6" s="66">
        <f>'M2'!D6-'M1'!D6</f>
        <v>0.78349999999999831</v>
      </c>
      <c r="E6" s="66">
        <f>'M2'!E6-'M1'!E6</f>
        <v>0</v>
      </c>
      <c r="F6" s="66">
        <f>'M2'!F6-'M1'!F6</f>
        <v>-0.20620000000000083</v>
      </c>
      <c r="G6" s="66">
        <f>'M2'!G6-'M1'!G6</f>
        <v>0</v>
      </c>
      <c r="H6" s="66">
        <f>'M2'!H6-'M1'!H6</f>
        <v>-1.6765000000000008</v>
      </c>
    </row>
    <row r="7" spans="1:8">
      <c r="A7" s="66" t="s">
        <v>245</v>
      </c>
      <c r="B7" s="66">
        <f>'M2'!B7-'M1'!B7</f>
        <v>1.0932599999999999</v>
      </c>
      <c r="C7" s="66">
        <f>'M2'!C7-'M1'!C7</f>
        <v>1.7982600000000009</v>
      </c>
      <c r="D7" s="66">
        <f>'M2'!D7-'M1'!D7</f>
        <v>7.7920000000000016</v>
      </c>
      <c r="E7" s="66">
        <f>'M2'!E7-'M1'!E7</f>
        <v>0</v>
      </c>
      <c r="F7" s="66">
        <f>'M2'!F7-'M1'!F7</f>
        <v>-0.39586999999999994</v>
      </c>
      <c r="G7" s="66">
        <f>'M2'!G7-'M1'!G7</f>
        <v>0</v>
      </c>
      <c r="H7" s="66">
        <f>'M2'!H7-'M1'!H7</f>
        <v>0.25880000000000081</v>
      </c>
    </row>
    <row r="8" spans="1:8">
      <c r="A8" s="66" t="s">
        <v>246</v>
      </c>
      <c r="B8" s="66">
        <f>'M2'!B8-'M1'!B8</f>
        <v>2.3564000000000007</v>
      </c>
      <c r="C8" s="66">
        <f>'M2'!C8-'M1'!C8</f>
        <v>-0.62457999999999991</v>
      </c>
      <c r="D8" s="66">
        <f>'M2'!D8-'M1'!D8</f>
        <v>-4.236600000000001</v>
      </c>
      <c r="E8" s="66">
        <f>'M2'!E8-'M1'!E8</f>
        <v>0</v>
      </c>
      <c r="F8" s="66">
        <f>'M2'!F8-'M1'!F8</f>
        <v>6.1411999999999978</v>
      </c>
      <c r="G8" s="66">
        <f>'M2'!G8-'M1'!G8</f>
        <v>0</v>
      </c>
      <c r="H8" s="66">
        <f>'M2'!H8-'M1'!H8</f>
        <v>4.1818999999999988</v>
      </c>
    </row>
    <row r="9" spans="1:8">
      <c r="A9" s="66" t="s">
        <v>247</v>
      </c>
      <c r="B9" s="66">
        <f>'M2'!B9-'M1'!B9</f>
        <v>-6.0699000000000041</v>
      </c>
      <c r="C9" s="66">
        <f>'M2'!C9-'M1'!C9</f>
        <v>-1.8250700000000002</v>
      </c>
      <c r="D9" s="66">
        <f>'M2'!D9-'M1'!D9</f>
        <v>-1.6346000000000007</v>
      </c>
      <c r="E9" s="66">
        <f>'M2'!E9-'M1'!E9</f>
        <v>0</v>
      </c>
      <c r="F9" s="66">
        <f>'M2'!F9-'M1'!F9</f>
        <v>-1.7115000000000009</v>
      </c>
      <c r="G9" s="66">
        <f>'M2'!G9-'M1'!G9</f>
        <v>0</v>
      </c>
      <c r="H9" s="66">
        <f>'M2'!H9-'M1'!H9</f>
        <v>-9.7882999999999925</v>
      </c>
    </row>
    <row r="10" spans="1:8">
      <c r="A10" s="66" t="s">
        <v>248</v>
      </c>
      <c r="B10" s="66">
        <f>'M2'!B10-'M1'!B10</f>
        <v>-0.56300000000000239</v>
      </c>
      <c r="C10" s="66">
        <f>'M2'!C10-'M1'!C10</f>
        <v>-1.2289099999999995</v>
      </c>
      <c r="D10" s="66">
        <f>'M2'!D10-'M1'!D10</f>
        <v>-1.46793</v>
      </c>
      <c r="E10" s="66">
        <f>'M2'!E10-'M1'!E10</f>
        <v>0</v>
      </c>
      <c r="F10" s="66">
        <f>'M2'!F10-'M1'!F10</f>
        <v>3.2214000000000027</v>
      </c>
      <c r="G10" s="66">
        <f>'M2'!G10-'M1'!G10</f>
        <v>0</v>
      </c>
      <c r="H10" s="66">
        <f>'M2'!H10-'M1'!H10</f>
        <v>2.105400000000003</v>
      </c>
    </row>
    <row r="11" spans="1:8">
      <c r="A11" s="66" t="s">
        <v>249</v>
      </c>
      <c r="B11" s="66">
        <f>'M2'!B11-'M1'!B11</f>
        <v>4.7777000000000029</v>
      </c>
      <c r="C11" s="66">
        <f>'M2'!C11-'M1'!C11</f>
        <v>-10.273960000000001</v>
      </c>
      <c r="D11" s="66">
        <f>'M2'!D11-'M1'!D11</f>
        <v>-29.361150000000002</v>
      </c>
      <c r="E11" s="66">
        <f>'M2'!E11-'M1'!E11</f>
        <v>0</v>
      </c>
      <c r="F11" s="66">
        <f>'M2'!F11-'M1'!F11</f>
        <v>30.255290000000002</v>
      </c>
      <c r="G11" s="66">
        <f>'M2'!G11-'M1'!G11</f>
        <v>0</v>
      </c>
      <c r="H11" s="66">
        <f>'M2'!H11-'M1'!H11</f>
        <v>0.55930000000000035</v>
      </c>
    </row>
    <row r="12" spans="1:8">
      <c r="A12" s="66" t="s">
        <v>250</v>
      </c>
      <c r="B12" s="66">
        <f>'M2'!B12-'M1'!B12</f>
        <v>-2.7713000000000108</v>
      </c>
      <c r="C12" s="66">
        <f>'M2'!C12-'M1'!C12</f>
        <v>-1.6383200000000002</v>
      </c>
      <c r="D12" s="66">
        <f>'M2'!D12-'M1'!D12</f>
        <v>-1.8859000000000012</v>
      </c>
      <c r="E12" s="66">
        <f>'M2'!E12-'M1'!E12</f>
        <v>0</v>
      </c>
      <c r="F12" s="66">
        <f>'M2'!F12-'M1'!F12</f>
        <v>1.2409999999999997</v>
      </c>
      <c r="G12" s="66">
        <f>'M2'!G12-'M1'!G12</f>
        <v>0</v>
      </c>
      <c r="H12" s="66">
        <f>'M2'!H12-'M1'!H12</f>
        <v>-6.9418000000000006</v>
      </c>
    </row>
    <row r="13" spans="1:8">
      <c r="A13" s="66" t="s">
        <v>251</v>
      </c>
      <c r="B13" s="66">
        <f>'M2'!B13-'M1'!B13</f>
        <v>1.5726999999999975</v>
      </c>
      <c r="C13" s="66">
        <f>'M2'!C13-'M1'!C13</f>
        <v>-0.8186100000000005</v>
      </c>
      <c r="D13" s="66">
        <f>'M2'!D13-'M1'!D13</f>
        <v>-3.9600000000000009</v>
      </c>
      <c r="E13" s="66">
        <f>'M2'!E13-'M1'!E13</f>
        <v>0</v>
      </c>
      <c r="F13" s="66">
        <f>'M2'!F13-'M1'!F13</f>
        <v>9.2794999999999987</v>
      </c>
      <c r="G13" s="66">
        <f>'M2'!G13-'M1'!G13</f>
        <v>0</v>
      </c>
      <c r="H13" s="66">
        <f>'M2'!H13-'M1'!H13</f>
        <v>8.9054000000000002</v>
      </c>
    </row>
    <row r="14" spans="1:8">
      <c r="A14" s="66" t="s">
        <v>252</v>
      </c>
      <c r="B14" s="66">
        <f>'M2'!B14-'M1'!B14</f>
        <v>-8.1860999999999962</v>
      </c>
      <c r="C14" s="66">
        <f>'M2'!C14-'M1'!C14</f>
        <v>3.8632999999999988</v>
      </c>
      <c r="D14" s="66">
        <f>'M2'!D14-'M1'!D14</f>
        <v>9.7394999999999996</v>
      </c>
      <c r="E14" s="66">
        <f>'M2'!E14-'M1'!E14</f>
        <v>0</v>
      </c>
      <c r="F14" s="66">
        <f>'M2'!F14-'M1'!F14</f>
        <v>1.5419109999999998</v>
      </c>
      <c r="G14" s="66">
        <f>'M2'!G14-'M1'!G14</f>
        <v>0</v>
      </c>
      <c r="H14" s="66">
        <f>'M2'!H14-'M1'!H14</f>
        <v>10.095799999999997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-0.13186700000000007</v>
      </c>
      <c r="C18" s="66">
        <f>'M2'!C18-'M1'!C18</f>
        <v>0.140097</v>
      </c>
      <c r="D18" s="66">
        <f>'M2'!D18-'M1'!D18</f>
        <v>0.31152200000000002</v>
      </c>
      <c r="E18" s="66">
        <f>'M2'!E18-'M1'!E18</f>
        <v>0</v>
      </c>
      <c r="F18" s="66">
        <f>'M2'!F18-'M1'!F18</f>
        <v>0.30962200000000001</v>
      </c>
      <c r="G18" s="66">
        <f>'M2'!G18-'M1'!G18</f>
        <v>0</v>
      </c>
      <c r="H18" s="66">
        <f>'M2'!H18-'M1'!H18</f>
        <v>0.58981600000000001</v>
      </c>
    </row>
    <row r="19" spans="1:8">
      <c r="A19" s="66" t="s">
        <v>256</v>
      </c>
      <c r="B19" s="66">
        <f>'M2'!B19-'M1'!B19</f>
        <v>3.7480999999999987E-2</v>
      </c>
      <c r="C19" s="66">
        <f>'M2'!C19-'M1'!C19</f>
        <v>2.8262800000000001E-2</v>
      </c>
      <c r="D19" s="66">
        <f>'M2'!D19-'M1'!D19</f>
        <v>7.1387000000000006E-2</v>
      </c>
      <c r="E19" s="66">
        <f>'M2'!E19-'M1'!E19</f>
        <v>0</v>
      </c>
      <c r="F19" s="66">
        <f>'M2'!F19-'M1'!F19</f>
        <v>0.367647</v>
      </c>
      <c r="G19" s="66">
        <f>'M2'!G19-'M1'!G19</f>
        <v>0</v>
      </c>
      <c r="H19" s="66">
        <f>'M2'!H19-'M1'!H19</f>
        <v>0.42417300000000002</v>
      </c>
    </row>
    <row r="20" spans="1:8">
      <c r="A20" s="66" t="s">
        <v>63</v>
      </c>
      <c r="B20" s="66">
        <f>'M2'!B20-'M1'!B20</f>
        <v>8.984900000000004E-3</v>
      </c>
      <c r="C20" s="66">
        <f>'M2'!C20-'M1'!C20</f>
        <v>0.44320700000000007</v>
      </c>
      <c r="D20" s="66">
        <f>'M2'!D20-'M1'!D20</f>
        <v>4.4958000000000009</v>
      </c>
      <c r="E20" s="66">
        <f>'M2'!E20-'M1'!E20</f>
        <v>0</v>
      </c>
      <c r="F20" s="66">
        <f>'M2'!F20-'M1'!F20</f>
        <v>-4.9341400000000002E-5</v>
      </c>
      <c r="G20" s="66">
        <f>'M2'!G20-'M1'!G20</f>
        <v>0</v>
      </c>
      <c r="H20" s="66">
        <f>'M2'!H20-'M1'!H20</f>
        <v>2.8385100000000003</v>
      </c>
    </row>
    <row r="21" spans="1:8">
      <c r="A21" s="66" t="s">
        <v>64</v>
      </c>
      <c r="B21" s="66">
        <f>'M2'!B21-'M1'!B21</f>
        <v>1.6690000000000094E-2</v>
      </c>
      <c r="C21" s="66">
        <f>'M2'!C21-'M1'!C21</f>
        <v>1.9657600000000002</v>
      </c>
      <c r="D21" s="66">
        <f>'M2'!D21-'M1'!D21</f>
        <v>1.27362</v>
      </c>
      <c r="E21" s="66">
        <f>'M2'!E21-'M1'!E21</f>
        <v>0</v>
      </c>
      <c r="F21" s="66">
        <f>'M2'!F21-'M1'!F21</f>
        <v>-3.5023690000000003E-2</v>
      </c>
      <c r="G21" s="66">
        <f>'M2'!G21-'M1'!G21</f>
        <v>0</v>
      </c>
      <c r="H21" s="66">
        <f>'M2'!H21-'M1'!H21</f>
        <v>9.8555599999999988</v>
      </c>
    </row>
    <row r="22" spans="1:8">
      <c r="A22" s="66" t="s">
        <v>65</v>
      </c>
      <c r="B22" s="66">
        <f>'M2'!B22-'M1'!B22</f>
        <v>31.062999999999988</v>
      </c>
      <c r="C22" s="66">
        <f>'M2'!C22-'M1'!C22</f>
        <v>23.231099999999998</v>
      </c>
      <c r="D22" s="66">
        <f>'M2'!D22-'M1'!D22</f>
        <v>7.9865999999999993E-2</v>
      </c>
      <c r="E22" s="66">
        <f>'M2'!E22-'M1'!E22</f>
        <v>0</v>
      </c>
      <c r="F22" s="66">
        <f>'M2'!F22-'M1'!F22</f>
        <v>5.5508999999999986</v>
      </c>
      <c r="G22" s="66">
        <f>'M2'!G22-'M1'!G22</f>
        <v>0</v>
      </c>
      <c r="H22" s="66">
        <f>'M2'!H22-'M1'!H22</f>
        <v>78.315999999999974</v>
      </c>
    </row>
    <row r="23" spans="1:8">
      <c r="A23" s="66" t="s">
        <v>66</v>
      </c>
      <c r="B23" s="66">
        <f>'M2'!B23-'M1'!B23</f>
        <v>35.818100000000008</v>
      </c>
      <c r="C23" s="66">
        <f>'M2'!C23-'M1'!C23</f>
        <v>-15.9186</v>
      </c>
      <c r="D23" s="66">
        <f>'M2'!D23-'M1'!D23</f>
        <v>-0.48082100000000005</v>
      </c>
      <c r="E23" s="66">
        <f>'M2'!E23-'M1'!E23</f>
        <v>0</v>
      </c>
      <c r="F23" s="66">
        <f>'M2'!F23-'M1'!F23</f>
        <v>49.536729999999999</v>
      </c>
      <c r="G23" s="66">
        <f>'M2'!G23-'M1'!G23</f>
        <v>0</v>
      </c>
      <c r="H23" s="66">
        <f>'M2'!H23-'M1'!H23</f>
        <v>16.922800000000009</v>
      </c>
    </row>
    <row r="24" spans="1:8">
      <c r="A24" s="66" t="s">
        <v>67</v>
      </c>
      <c r="B24" s="66">
        <f>'M2'!B24-'M1'!B24</f>
        <v>-5.8927000000000007E-3</v>
      </c>
      <c r="C24" s="66">
        <f>'M2'!C24-'M1'!C24</f>
        <v>0.41898600000000003</v>
      </c>
      <c r="D24" s="66">
        <f>'M2'!D24-'M1'!D24</f>
        <v>4.67056</v>
      </c>
      <c r="E24" s="66">
        <f>'M2'!E24-'M1'!E24</f>
        <v>0</v>
      </c>
      <c r="F24" s="66">
        <f>'M2'!F24-'M1'!F24</f>
        <v>-1.426559999999999E-4</v>
      </c>
      <c r="G24" s="66">
        <f>'M2'!G24-'M1'!G24</f>
        <v>0</v>
      </c>
      <c r="H24" s="66">
        <f>'M2'!H24-'M1'!H24</f>
        <v>2.1359299999999997</v>
      </c>
    </row>
    <row r="25" spans="1:8">
      <c r="A25" s="66" t="s">
        <v>68</v>
      </c>
      <c r="B25" s="66">
        <f>'M2'!B25-'M1'!B25</f>
        <v>0.92934000000000028</v>
      </c>
      <c r="C25" s="66">
        <f>'M2'!C25-'M1'!C25</f>
        <v>1.3649</v>
      </c>
      <c r="D25" s="66">
        <f>'M2'!D25-'M1'!D25</f>
        <v>0.26448100000000008</v>
      </c>
      <c r="E25" s="66">
        <f>'M2'!E25-'M1'!E25</f>
        <v>0</v>
      </c>
      <c r="F25" s="66">
        <f>'M2'!F25-'M1'!F25</f>
        <v>-1.0377999999999998E-2</v>
      </c>
      <c r="G25" s="66">
        <f>'M2'!G25-'M1'!G25</f>
        <v>0</v>
      </c>
      <c r="H25" s="66">
        <f>'M2'!H25-'M1'!H25</f>
        <v>6.0041999999999991</v>
      </c>
    </row>
    <row r="26" spans="1:8">
      <c r="A26" s="66" t="s">
        <v>69</v>
      </c>
      <c r="B26" s="66">
        <f>'M2'!B26-'M1'!B26</f>
        <v>2.5610000000000042E-4</v>
      </c>
      <c r="C26" s="66">
        <f>'M2'!C26-'M1'!C26</f>
        <v>2.2398299999999999E-2</v>
      </c>
      <c r="D26" s="66">
        <f>'M2'!D26-'M1'!D26</f>
        <v>1.82816</v>
      </c>
      <c r="E26" s="66">
        <f>'M2'!E26-'M1'!E26</f>
        <v>0</v>
      </c>
      <c r="F26" s="66">
        <f>'M2'!F26-'M1'!F26</f>
        <v>-2.2977970000000001E-5</v>
      </c>
      <c r="G26" s="66">
        <f>'M2'!G26-'M1'!G26</f>
        <v>0</v>
      </c>
      <c r="H26" s="66">
        <f>'M2'!H26-'M1'!H26</f>
        <v>0.27409100000000003</v>
      </c>
    </row>
    <row r="27" spans="1:8">
      <c r="A27" s="66" t="s">
        <v>70</v>
      </c>
      <c r="B27" s="66">
        <f>'M2'!B27-'M1'!B27</f>
        <v>-5.7444900000000003E-5</v>
      </c>
      <c r="C27" s="66">
        <f>'M2'!C27-'M1'!C27</f>
        <v>9.6804100000000004E-3</v>
      </c>
      <c r="D27" s="66">
        <f>'M2'!D27-'M1'!D27</f>
        <v>165.47799999999998</v>
      </c>
      <c r="E27" s="66">
        <f>'M2'!E27-'M1'!E27</f>
        <v>0</v>
      </c>
      <c r="F27" s="66">
        <f>'M2'!F27-'M1'!F27</f>
        <v>-0.23413169999999997</v>
      </c>
      <c r="G27" s="66">
        <f>'M2'!G27-'M1'!G27</f>
        <v>0</v>
      </c>
      <c r="H27" s="66">
        <f>'M2'!H27-'M1'!H27</f>
        <v>0.24367160000000002</v>
      </c>
    </row>
    <row r="28" spans="1:8">
      <c r="A28" s="66" t="s">
        <v>71</v>
      </c>
      <c r="B28" s="66">
        <f>'M2'!B28-'M1'!B28</f>
        <v>-9.1508000000000006E-3</v>
      </c>
      <c r="C28" s="66">
        <f>'M2'!C28-'M1'!C28</f>
        <v>4.3517500000000001E-2</v>
      </c>
      <c r="D28" s="66">
        <f>'M2'!D28-'M1'!D28</f>
        <v>0.50804700000000003</v>
      </c>
      <c r="E28" s="66">
        <f>'M2'!E28-'M1'!E28</f>
        <v>0</v>
      </c>
      <c r="F28" s="66">
        <f>'M2'!F28-'M1'!F28</f>
        <v>-5.6933599999999997E-3</v>
      </c>
      <c r="G28" s="66">
        <f>'M2'!G28-'M1'!G28</f>
        <v>0</v>
      </c>
      <c r="H28" s="66">
        <f>'M2'!H28-'M1'!H28</f>
        <v>0.276696</v>
      </c>
    </row>
    <row r="29" spans="1:8">
      <c r="A29" s="66" t="s">
        <v>72</v>
      </c>
      <c r="B29" s="66">
        <f>'M2'!B29-'M1'!B29</f>
        <v>-4.0537000000000063</v>
      </c>
      <c r="C29" s="66">
        <f>'M2'!C29-'M1'!C29</f>
        <v>4.3315999999999999</v>
      </c>
      <c r="D29" s="66">
        <f>'M2'!D29-'M1'!D29</f>
        <v>5.3136000000000017E-2</v>
      </c>
      <c r="E29" s="66">
        <f>'M2'!E29-'M1'!E29</f>
        <v>0</v>
      </c>
      <c r="F29" s="66">
        <f>'M2'!F29-'M1'!F29</f>
        <v>-1.8592000000000013</v>
      </c>
      <c r="G29" s="66">
        <f>'M2'!G29-'M1'!G29</f>
        <v>0</v>
      </c>
      <c r="H29" s="66">
        <f>'M2'!H29-'M1'!H29</f>
        <v>22.314000000000007</v>
      </c>
    </row>
    <row r="30" spans="1:8">
      <c r="A30" s="66" t="s">
        <v>73</v>
      </c>
      <c r="B30" s="66">
        <f>'M2'!B30-'M1'!B30</f>
        <v>16.746600000000001</v>
      </c>
      <c r="C30" s="66">
        <f>'M2'!C30-'M1'!C30</f>
        <v>-13.2433</v>
      </c>
      <c r="D30" s="66">
        <f>'M2'!D30-'M1'!D30</f>
        <v>-0.35459300000000005</v>
      </c>
      <c r="E30" s="66">
        <f>'M2'!E30-'M1'!E30</f>
        <v>0</v>
      </c>
      <c r="F30" s="66">
        <f>'M2'!F30-'M1'!F30</f>
        <v>38.217800000000004</v>
      </c>
      <c r="G30" s="66">
        <f>'M2'!G30-'M1'!G30</f>
        <v>0</v>
      </c>
      <c r="H30" s="66">
        <f>'M2'!H30-'M1'!H30</f>
        <v>4.9895000000000067</v>
      </c>
    </row>
    <row r="31" spans="1:8">
      <c r="A31" s="66" t="s">
        <v>74</v>
      </c>
      <c r="B31" s="66">
        <f>'M2'!B31-'M1'!B31</f>
        <v>21.353000000000009</v>
      </c>
      <c r="C31" s="66">
        <f>'M2'!C31-'M1'!C31</f>
        <v>-78.908699999999996</v>
      </c>
      <c r="D31" s="66">
        <f>'M2'!D31-'M1'!D31</f>
        <v>-0.28894399999999998</v>
      </c>
      <c r="E31" s="66">
        <f>'M2'!E31-'M1'!E31</f>
        <v>0</v>
      </c>
      <c r="F31" s="66">
        <f>'M2'!F31-'M1'!F31</f>
        <v>221.07039999999998</v>
      </c>
      <c r="G31" s="66">
        <f>'M2'!G31-'M1'!G31</f>
        <v>0</v>
      </c>
      <c r="H31" s="66">
        <f>'M2'!H31-'M1'!H31</f>
        <v>-8.0520000000000209</v>
      </c>
    </row>
    <row r="32" spans="1:8">
      <c r="A32" s="66" t="s">
        <v>75</v>
      </c>
      <c r="B32" s="66">
        <f>'M2'!B32-'M1'!B32</f>
        <v>1.0932600000000001E-2</v>
      </c>
      <c r="C32" s="66">
        <f>'M2'!C32-'M1'!C32</f>
        <v>1.7982600000000001E-2</v>
      </c>
      <c r="D32" s="66">
        <f>'M2'!D32-'M1'!D32</f>
        <v>7.7919999999999989E-2</v>
      </c>
      <c r="E32" s="66">
        <f>'M2'!E32-'M1'!E32</f>
        <v>0</v>
      </c>
      <c r="F32" s="66">
        <f>'M2'!F32-'M1'!F32</f>
        <v>-3.9587000000000025E-3</v>
      </c>
      <c r="G32" s="66">
        <f>'M2'!G32-'M1'!G32</f>
        <v>0</v>
      </c>
      <c r="H32" s="66">
        <f>'M2'!H32-'M1'!H32</f>
        <v>2.5879999999999792E-3</v>
      </c>
    </row>
    <row r="33" spans="1:8">
      <c r="A33" s="66" t="s">
        <v>76</v>
      </c>
      <c r="B33" s="66">
        <f>'M2'!B33-'M1'!B33</f>
        <v>-1.4564999999999995E-2</v>
      </c>
      <c r="C33" s="66">
        <f>'M2'!C33-'M1'!C33</f>
        <v>7.667000000000021E-4</v>
      </c>
      <c r="D33" s="66">
        <f>'M2'!D33-'M1'!D33</f>
        <v>9.6210000000000045E-3</v>
      </c>
      <c r="E33" s="66">
        <f>'M2'!E33-'M1'!E33</f>
        <v>0</v>
      </c>
      <c r="F33" s="66">
        <f>'M2'!F33-'M1'!F33</f>
        <v>-1.0658000000000001E-2</v>
      </c>
      <c r="G33" s="66">
        <f>'M2'!G33-'M1'!G33</f>
        <v>0</v>
      </c>
      <c r="H33" s="66">
        <f>'M2'!H33-'M1'!H33</f>
        <v>-4.9653000000000003E-2</v>
      </c>
    </row>
    <row r="34" spans="1:8">
      <c r="A34" s="66" t="s">
        <v>77</v>
      </c>
      <c r="B34" s="66">
        <f>'M2'!B34-'M1'!B34</f>
        <v>1.5726999999999991E-2</v>
      </c>
      <c r="C34" s="66">
        <f>'M2'!C34-'M1'!C34</f>
        <v>-8.1861000000000017E-3</v>
      </c>
      <c r="D34" s="66">
        <f>'M2'!D34-'M1'!D34</f>
        <v>-3.9600000000000024E-2</v>
      </c>
      <c r="E34" s="66">
        <f>'M2'!E34-'M1'!E34</f>
        <v>0</v>
      </c>
      <c r="F34" s="66">
        <f>'M2'!F34-'M1'!F34</f>
        <v>9.2795000000000016E-2</v>
      </c>
      <c r="G34" s="66">
        <f>'M2'!G34-'M1'!G34</f>
        <v>0</v>
      </c>
      <c r="H34" s="66">
        <f>'M2'!H34-'M1'!H34</f>
        <v>8.9052999999999938E-2</v>
      </c>
    </row>
    <row r="35" spans="1:8">
      <c r="A35" s="66" t="s">
        <v>78</v>
      </c>
      <c r="B35" s="66">
        <f>'M2'!B35-'M1'!B35</f>
        <v>-6.9759999999999961E-3</v>
      </c>
      <c r="C35" s="66">
        <f>'M2'!C35-'M1'!C35</f>
        <v>1.90052E-2</v>
      </c>
      <c r="D35" s="66">
        <f>'M2'!D35-'M1'!D35</f>
        <v>0.20261600000000002</v>
      </c>
      <c r="E35" s="66">
        <f>'M2'!E35-'M1'!E35</f>
        <v>0</v>
      </c>
      <c r="F35" s="66">
        <f>'M2'!F35-'M1'!F35</f>
        <v>7.0257000000000028E-3</v>
      </c>
      <c r="G35" s="66">
        <f>'M2'!G35-'M1'!G35</f>
        <v>0</v>
      </c>
      <c r="H35" s="66">
        <f>'M2'!H35-'M1'!H35</f>
        <v>5.0044999999999978E-2</v>
      </c>
    </row>
    <row r="36" spans="1:8">
      <c r="A36" s="66" t="s">
        <v>79</v>
      </c>
      <c r="B36" s="66">
        <f>'M2'!B36-'M1'!B36</f>
        <v>8.505999999999958E-3</v>
      </c>
      <c r="C36" s="66">
        <f>'M2'!C36-'M1'!C36</f>
        <v>1.2240000000000001E-2</v>
      </c>
      <c r="D36" s="66">
        <f>'M2'!D36-'M1'!D36</f>
        <v>2.7374999999999927E-2</v>
      </c>
      <c r="E36" s="66">
        <f>'M2'!E36-'M1'!E36</f>
        <v>0</v>
      </c>
      <c r="F36" s="66">
        <f>'M2'!F36-'M1'!F36</f>
        <v>1.5535999999999994E-2</v>
      </c>
      <c r="G36" s="66">
        <f>'M2'!G36-'M1'!G36</f>
        <v>0</v>
      </c>
      <c r="H36" s="66">
        <f>'M2'!H36-'M1'!H36</f>
        <v>0.24055499999999996</v>
      </c>
    </row>
    <row r="37" spans="1:8">
      <c r="A37" s="66" t="s">
        <v>80</v>
      </c>
      <c r="B37" s="66">
        <f>'M2'!B37-'M1'!B37</f>
        <v>-8.1860999999999962E-2</v>
      </c>
      <c r="C37" s="66">
        <f>'M2'!C37-'M1'!C37</f>
        <v>3.8633000000000001E-2</v>
      </c>
      <c r="D37" s="66">
        <f>'M2'!D37-'M1'!D37</f>
        <v>9.7395000000000009E-2</v>
      </c>
      <c r="E37" s="66">
        <f>'M2'!E37-'M1'!E37</f>
        <v>0</v>
      </c>
      <c r="F37" s="66">
        <f>'M2'!F37-'M1'!F37</f>
        <v>1.541911E-2</v>
      </c>
      <c r="G37" s="66">
        <f>'M2'!G37-'M1'!G37</f>
        <v>0</v>
      </c>
      <c r="H37" s="66">
        <f>'M2'!H37-'M1'!H37</f>
        <v>0.10095799999999999</v>
      </c>
    </row>
    <row r="38" spans="1:8">
      <c r="A38" s="66" t="s">
        <v>81</v>
      </c>
      <c r="B38" s="66">
        <f>'M2'!B38-'M1'!B38</f>
        <v>19.462530000000001</v>
      </c>
      <c r="C38" s="66">
        <f>'M2'!C38-'M1'!C38</f>
        <v>10.431400000000011</v>
      </c>
      <c r="D38" s="66">
        <f>'M2'!D38-'M1'!D38</f>
        <v>15.24536</v>
      </c>
      <c r="E38" s="66">
        <f>'M2'!E38-'M1'!E38</f>
        <v>0</v>
      </c>
      <c r="F38" s="66">
        <f>'M2'!F38-'M1'!F38</f>
        <v>-101.08500000000001</v>
      </c>
      <c r="G38" s="66">
        <f>'M2'!G38-'M1'!G38</f>
        <v>0</v>
      </c>
      <c r="H38" s="66">
        <f>'M2'!H38-'M1'!H38</f>
        <v>12.799000000000007</v>
      </c>
    </row>
    <row r="39" spans="1:8">
      <c r="A39" s="66" t="s">
        <v>82</v>
      </c>
      <c r="B39" s="66">
        <f>'M2'!B39-'M1'!B39</f>
        <v>7.3459400000000006</v>
      </c>
      <c r="C39" s="66">
        <f>'M2'!C39-'M1'!C39</f>
        <v>4.2202000000000019</v>
      </c>
      <c r="D39" s="66">
        <f>'M2'!D39-'M1'!D39</f>
        <v>10.60153</v>
      </c>
      <c r="E39" s="66">
        <f>'M2'!E39-'M1'!E39</f>
        <v>0</v>
      </c>
      <c r="F39" s="66">
        <f>'M2'!F39-'M1'!F39</f>
        <v>-21.189700000000002</v>
      </c>
      <c r="G39" s="66">
        <f>'M2'!G39-'M1'!G39</f>
        <v>0</v>
      </c>
      <c r="H39" s="66">
        <f>'M2'!H39-'M1'!H39</f>
        <v>-7.864099999999997</v>
      </c>
    </row>
    <row r="40" spans="1:8">
      <c r="A40" s="66" t="s">
        <v>83</v>
      </c>
      <c r="B40" s="66">
        <f>'M2'!B40-'M1'!B40</f>
        <v>0.58813999999999966</v>
      </c>
      <c r="C40" s="66">
        <f>'M2'!C40-'M1'!C40</f>
        <v>0.93119999999999958</v>
      </c>
      <c r="D40" s="66">
        <f>'M2'!D40-'M1'!D40</f>
        <v>-0.81903999999999999</v>
      </c>
      <c r="E40" s="66">
        <f>'M2'!E40-'M1'!E40</f>
        <v>0</v>
      </c>
      <c r="F40" s="66">
        <f>'M2'!F40-'M1'!F40</f>
        <v>4.4991000000000021</v>
      </c>
      <c r="G40" s="66">
        <f>'M2'!G40-'M1'!G40</f>
        <v>0</v>
      </c>
      <c r="H40" s="66">
        <f>'M2'!H40-'M1'!H40</f>
        <v>26.239269999999998</v>
      </c>
    </row>
    <row r="41" spans="1:8">
      <c r="A41" s="66" t="s">
        <v>84</v>
      </c>
      <c r="B41" s="66">
        <f>'M2'!B41-'M1'!B41</f>
        <v>8.0300999999999997E-2</v>
      </c>
      <c r="C41" s="66">
        <f>'M2'!C41-'M1'!C41</f>
        <v>1.152800000000001E-2</v>
      </c>
      <c r="D41" s="66">
        <f>'M2'!D41-'M1'!D41</f>
        <v>9.8672900000000006</v>
      </c>
      <c r="E41" s="66">
        <f>'M2'!E41-'M1'!E41</f>
        <v>0</v>
      </c>
      <c r="F41" s="66">
        <f>'M2'!F41-'M1'!F41</f>
        <v>1.1842000000000019E-2</v>
      </c>
      <c r="G41" s="66">
        <f>'M2'!G41-'M1'!G41</f>
        <v>0</v>
      </c>
      <c r="H41" s="66">
        <f>'M2'!H41-'M1'!H41</f>
        <v>0.19111900000000004</v>
      </c>
    </row>
    <row r="42" spans="1:8">
      <c r="A42" s="66" t="s">
        <v>85</v>
      </c>
      <c r="B42" s="66">
        <f>'M2'!B42-'M1'!B42</f>
        <v>7.4777999999999997E-2</v>
      </c>
      <c r="C42" s="66">
        <f>'M2'!C42-'M1'!C42</f>
        <v>7.5352000000000058E-3</v>
      </c>
      <c r="D42" s="66">
        <f>'M2'!D42-'M1'!D42</f>
        <v>5.0563500000000001</v>
      </c>
      <c r="E42" s="66">
        <f>'M2'!E42-'M1'!E42</f>
        <v>0</v>
      </c>
      <c r="F42" s="66">
        <f>'M2'!F42-'M1'!F42</f>
        <v>7.0360000000000145E-3</v>
      </c>
      <c r="G42" s="66">
        <f>'M2'!G42-'M1'!G42</f>
        <v>0</v>
      </c>
      <c r="H42" s="66">
        <f>'M2'!H42-'M1'!H42</f>
        <v>1.5983999999999998E-2</v>
      </c>
    </row>
    <row r="43" spans="1:8">
      <c r="A43" s="66" t="s">
        <v>86</v>
      </c>
      <c r="B43" s="66">
        <f>'M2'!B43-'M1'!B43</f>
        <v>1.4937399999999997E-2</v>
      </c>
      <c r="C43" s="66">
        <f>'M2'!C43-'M1'!C43</f>
        <v>2.1565399999999998E-2</v>
      </c>
      <c r="D43" s="66">
        <f>'M2'!D43-'M1'!D43</f>
        <v>-0.63026099999999996</v>
      </c>
      <c r="E43" s="66">
        <f>'M2'!E43-'M1'!E43</f>
        <v>0</v>
      </c>
      <c r="F43" s="66">
        <f>'M2'!F43-'M1'!F43</f>
        <v>1.9094E-2</v>
      </c>
      <c r="G43" s="66">
        <f>'M2'!G43-'M1'!G43</f>
        <v>0</v>
      </c>
      <c r="H43" s="66">
        <f>'M2'!H43-'M1'!H43</f>
        <v>0.1155962</v>
      </c>
    </row>
    <row r="44" spans="1:8">
      <c r="A44" s="66" t="s">
        <v>87</v>
      </c>
      <c r="B44" s="66">
        <f>'M2'!B44-'M1'!B44</f>
        <v>-2.1109000000000009</v>
      </c>
      <c r="C44" s="66">
        <f>'M2'!C44-'M1'!C44</f>
        <v>3.9715999999999987</v>
      </c>
      <c r="D44" s="66">
        <f>'M2'!D44-'M1'!D44</f>
        <v>-5.4838000000000053E-2</v>
      </c>
      <c r="E44" s="66">
        <f>'M2'!E44-'M1'!E44</f>
        <v>0</v>
      </c>
      <c r="F44" s="66">
        <f>'M2'!F44-'M1'!F44</f>
        <v>2.1910000000000025</v>
      </c>
      <c r="G44" s="66">
        <f>'M2'!G44-'M1'!G44</f>
        <v>0</v>
      </c>
      <c r="H44" s="66">
        <f>'M2'!H44-'M1'!H44</f>
        <v>51.115129999999994</v>
      </c>
    </row>
    <row r="45" spans="1:8">
      <c r="A45" s="66" t="s">
        <v>88</v>
      </c>
      <c r="B45" s="66">
        <f>'M2'!B45-'M1'!B45</f>
        <v>-2.0452999999999975</v>
      </c>
      <c r="C45" s="66">
        <f>'M2'!C45-'M1'!C45</f>
        <v>0.87396000000000029</v>
      </c>
      <c r="D45" s="66">
        <f>'M2'!D45-'M1'!D45</f>
        <v>3.3375999999999989E-2</v>
      </c>
      <c r="E45" s="66">
        <f>'M2'!E45-'M1'!E45</f>
        <v>0</v>
      </c>
      <c r="F45" s="66">
        <f>'M2'!F45-'M1'!F45</f>
        <v>-1.5428999999999995</v>
      </c>
      <c r="G45" s="66">
        <f>'M2'!G45-'M1'!G45</f>
        <v>0</v>
      </c>
      <c r="H45" s="66">
        <f>'M2'!H45-'M1'!H45</f>
        <v>-2.1994000000000042</v>
      </c>
    </row>
    <row r="46" spans="1:8">
      <c r="A46" s="66" t="s">
        <v>89</v>
      </c>
      <c r="B46" s="66">
        <f>'M2'!B46-'M1'!B46</f>
        <v>3.3937999999999988</v>
      </c>
      <c r="C46" s="66">
        <f>'M2'!C46-'M1'!C46</f>
        <v>-7.6231800000000014</v>
      </c>
      <c r="D46" s="66">
        <f>'M2'!D46-'M1'!D46</f>
        <v>-0.31075009999999997</v>
      </c>
      <c r="E46" s="66">
        <f>'M2'!E46-'M1'!E46</f>
        <v>0</v>
      </c>
      <c r="F46" s="66">
        <f>'M2'!F46-'M1'!F46</f>
        <v>20.515569999999997</v>
      </c>
      <c r="G46" s="66">
        <f>'M2'!G46-'M1'!G46</f>
        <v>0</v>
      </c>
      <c r="H46" s="66">
        <f>'M2'!H46-'M1'!H46</f>
        <v>-1.5566999999999993</v>
      </c>
    </row>
    <row r="47" spans="1:8">
      <c r="A47" s="66" t="s">
        <v>90</v>
      </c>
      <c r="B47" s="66">
        <f>'M2'!B47-'M1'!B47</f>
        <v>-0.5969199999999999</v>
      </c>
      <c r="C47" s="66">
        <f>'M2'!C47-'M1'!C47</f>
        <v>1.65696</v>
      </c>
      <c r="D47" s="66">
        <f>'M2'!D47-'M1'!D47</f>
        <v>0.72392999999999996</v>
      </c>
      <c r="E47" s="66">
        <f>'M2'!E47-'M1'!E47</f>
        <v>0</v>
      </c>
      <c r="F47" s="66">
        <f>'M2'!F47-'M1'!F47</f>
        <v>-0.35937899999999989</v>
      </c>
      <c r="G47" s="66">
        <f>'M2'!G47-'M1'!G47</f>
        <v>0</v>
      </c>
      <c r="H47" s="66">
        <f>'M2'!H47-'M1'!H47</f>
        <v>11.064119999999999</v>
      </c>
    </row>
    <row r="48" spans="1:8">
      <c r="A48" s="66" t="s">
        <v>91</v>
      </c>
      <c r="B48" s="66">
        <f>'M2'!B48-'M1'!B48</f>
        <v>-0.28918999999999984</v>
      </c>
      <c r="C48" s="66">
        <f>'M2'!C48-'M1'!C48</f>
        <v>3.8364000000000009E-2</v>
      </c>
      <c r="D48" s="66">
        <f>'M2'!D48-'M1'!D48</f>
        <v>4.9704000000000012E-2</v>
      </c>
      <c r="E48" s="66">
        <f>'M2'!E48-'M1'!E48</f>
        <v>0</v>
      </c>
      <c r="F48" s="66">
        <f>'M2'!F48-'M1'!F48</f>
        <v>-7.2619999999999907E-2</v>
      </c>
      <c r="G48" s="66">
        <f>'M2'!G48-'M1'!G48</f>
        <v>0</v>
      </c>
      <c r="H48" s="66">
        <f>'M2'!H48-'M1'!H48</f>
        <v>-0.16754999999999987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41.990499999999997</v>
      </c>
      <c r="C5" s="66">
        <v>14.041600000000001</v>
      </c>
      <c r="D5" s="66">
        <v>33.439799999999998</v>
      </c>
      <c r="E5" s="66">
        <v>20</v>
      </c>
      <c r="F5" s="66">
        <v>7.7375499999999997</v>
      </c>
      <c r="G5" s="66">
        <v>50</v>
      </c>
      <c r="H5" s="66">
        <v>52.603400000000001</v>
      </c>
    </row>
    <row r="6" spans="1:8">
      <c r="A6" s="66" t="s">
        <v>358</v>
      </c>
      <c r="B6" s="66">
        <v>19.9849</v>
      </c>
      <c r="C6" s="66">
        <v>3.1267399999999999</v>
      </c>
      <c r="D6" s="66">
        <v>15.6455</v>
      </c>
      <c r="E6" s="66">
        <v>20</v>
      </c>
      <c r="F6" s="66">
        <v>10.904400000000001</v>
      </c>
      <c r="G6" s="66">
        <v>40</v>
      </c>
      <c r="H6" s="66">
        <v>23.245200000000001</v>
      </c>
    </row>
    <row r="7" spans="1:8">
      <c r="A7" s="66" t="s">
        <v>359</v>
      </c>
      <c r="B7" s="66">
        <v>7.4942599999999997</v>
      </c>
      <c r="C7" s="66">
        <v>7.7399699999999996</v>
      </c>
      <c r="D7" s="66">
        <v>103.279</v>
      </c>
      <c r="E7" s="66">
        <v>15</v>
      </c>
      <c r="F7" s="66">
        <v>2.40449</v>
      </c>
      <c r="G7" s="66">
        <v>40</v>
      </c>
      <c r="H7" s="66">
        <v>36.696599999999997</v>
      </c>
    </row>
    <row r="8" spans="1:8">
      <c r="A8" s="66" t="s">
        <v>360</v>
      </c>
      <c r="B8" s="66">
        <v>22.279399999999999</v>
      </c>
      <c r="C8" s="66">
        <v>3.96306</v>
      </c>
      <c r="D8" s="66">
        <v>17.788</v>
      </c>
      <c r="E8" s="66">
        <v>20</v>
      </c>
      <c r="F8" s="66">
        <v>14.589600000000001</v>
      </c>
      <c r="G8" s="66">
        <v>50</v>
      </c>
      <c r="H8" s="66">
        <v>28.671500000000002</v>
      </c>
    </row>
    <row r="9" spans="1:8">
      <c r="A9" s="66" t="s">
        <v>361</v>
      </c>
      <c r="B9" s="66">
        <v>73.818200000000004</v>
      </c>
      <c r="C9" s="66">
        <v>8.7273800000000001</v>
      </c>
      <c r="D9" s="66">
        <v>11.822800000000001</v>
      </c>
      <c r="E9" s="66">
        <v>50</v>
      </c>
      <c r="F9" s="66">
        <v>48.639200000000002</v>
      </c>
      <c r="G9" s="66">
        <v>100</v>
      </c>
      <c r="H9" s="66">
        <v>89.74</v>
      </c>
    </row>
    <row r="10" spans="1:8">
      <c r="A10" s="66" t="s">
        <v>362</v>
      </c>
      <c r="B10" s="66">
        <v>81.987700000000004</v>
      </c>
      <c r="C10" s="66">
        <v>4.8999499999999996</v>
      </c>
      <c r="D10" s="66">
        <v>5.9764400000000002</v>
      </c>
      <c r="E10" s="66">
        <v>40</v>
      </c>
      <c r="F10" s="66">
        <v>69.354699999999994</v>
      </c>
      <c r="G10" s="66">
        <v>100</v>
      </c>
      <c r="H10" s="66">
        <v>87.527699999999996</v>
      </c>
    </row>
    <row r="11" spans="1:8">
      <c r="A11" s="66" t="s">
        <v>363</v>
      </c>
      <c r="B11" s="66">
        <v>35.816099999999999</v>
      </c>
      <c r="C11" s="66">
        <v>12.330500000000001</v>
      </c>
      <c r="D11" s="66">
        <v>34.427300000000002</v>
      </c>
      <c r="E11" s="66">
        <v>10</v>
      </c>
      <c r="F11" s="66">
        <v>6.2771100000000004</v>
      </c>
      <c r="G11" s="66">
        <v>50</v>
      </c>
      <c r="H11" s="66">
        <v>43.9375</v>
      </c>
    </row>
    <row r="12" spans="1:8">
      <c r="A12" s="66" t="s">
        <v>364</v>
      </c>
      <c r="B12" s="66">
        <v>77.446700000000007</v>
      </c>
      <c r="C12" s="66">
        <v>6.42814</v>
      </c>
      <c r="D12" s="66">
        <v>8.3000900000000009</v>
      </c>
      <c r="E12" s="66">
        <v>50</v>
      </c>
      <c r="F12" s="66">
        <v>59.0261</v>
      </c>
      <c r="G12" s="66">
        <v>100</v>
      </c>
      <c r="H12" s="66">
        <v>87.985799999999998</v>
      </c>
    </row>
    <row r="13" spans="1:8">
      <c r="A13" s="66" t="s">
        <v>365</v>
      </c>
      <c r="B13" s="66">
        <v>29.167300000000001</v>
      </c>
      <c r="C13" s="66">
        <v>7.3942100000000002</v>
      </c>
      <c r="D13" s="66">
        <v>25.350999999999999</v>
      </c>
      <c r="E13" s="66">
        <v>10</v>
      </c>
      <c r="F13" s="66">
        <v>13.4207</v>
      </c>
      <c r="G13" s="66">
        <v>25</v>
      </c>
      <c r="H13" s="66">
        <v>45.230699999999999</v>
      </c>
    </row>
    <row r="14" spans="1:8">
      <c r="A14" s="66" t="s">
        <v>366</v>
      </c>
      <c r="B14" s="66">
        <v>73.942099999999996</v>
      </c>
      <c r="C14" s="66">
        <v>22.9511</v>
      </c>
      <c r="D14" s="66">
        <v>31.039200000000001</v>
      </c>
      <c r="E14" s="66">
        <v>10</v>
      </c>
      <c r="F14" s="66">
        <v>0.89339900000000005</v>
      </c>
      <c r="G14" s="66">
        <v>50</v>
      </c>
      <c r="H14" s="66">
        <v>74.823800000000006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0.58158600000000005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0.358429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7.8041899999999997E-2</v>
      </c>
      <c r="C20" s="66">
        <v>0.45124599999999998</v>
      </c>
      <c r="D20" s="66">
        <v>5.7820999999999998</v>
      </c>
      <c r="E20" s="66">
        <v>0</v>
      </c>
      <c r="F20" s="196">
        <v>7.8768600000000003E-5</v>
      </c>
      <c r="G20" s="66">
        <v>0</v>
      </c>
      <c r="H20" s="66">
        <v>2.7137099999999998</v>
      </c>
    </row>
    <row r="21" spans="1:8">
      <c r="A21" s="66" t="s">
        <v>373</v>
      </c>
      <c r="B21" s="66">
        <v>1.5094399999999999</v>
      </c>
      <c r="C21" s="66">
        <v>1.9947999999999999</v>
      </c>
      <c r="D21" s="66">
        <v>1.32155</v>
      </c>
      <c r="E21" s="66">
        <v>0</v>
      </c>
      <c r="F21" s="66">
        <v>4.1732100000000001E-2</v>
      </c>
      <c r="G21" s="66">
        <v>0</v>
      </c>
      <c r="H21" s="66">
        <v>9.9601400000000009</v>
      </c>
    </row>
    <row r="22" spans="1:8">
      <c r="A22" s="66" t="s">
        <v>374</v>
      </c>
      <c r="B22" s="66">
        <v>102.167</v>
      </c>
      <c r="C22" s="66">
        <v>41.410200000000003</v>
      </c>
      <c r="D22" s="66">
        <v>0.40532099999999999</v>
      </c>
      <c r="E22" s="66">
        <v>0</v>
      </c>
      <c r="F22" s="66">
        <v>45.019199999999998</v>
      </c>
      <c r="G22" s="66">
        <v>0</v>
      </c>
      <c r="H22" s="66">
        <v>219.87200000000001</v>
      </c>
    </row>
    <row r="23" spans="1:8">
      <c r="A23" s="66" t="s">
        <v>375</v>
      </c>
      <c r="B23" s="66">
        <v>46.026699999999998</v>
      </c>
      <c r="C23" s="66">
        <v>30.113199999999999</v>
      </c>
      <c r="D23" s="66">
        <v>0.65425500000000003</v>
      </c>
      <c r="E23" s="66">
        <v>0</v>
      </c>
      <c r="F23" s="66">
        <v>7.39147</v>
      </c>
      <c r="G23" s="66">
        <v>0</v>
      </c>
      <c r="H23" s="66">
        <v>95.879199999999997</v>
      </c>
    </row>
    <row r="24" spans="1:8">
      <c r="A24" s="66" t="s">
        <v>376</v>
      </c>
      <c r="B24" s="66">
        <v>0.10041600000000001</v>
      </c>
      <c r="C24" s="66">
        <v>0.38329200000000002</v>
      </c>
      <c r="D24" s="66">
        <v>3.8170600000000001</v>
      </c>
      <c r="E24" s="66">
        <v>0</v>
      </c>
      <c r="F24" s="66">
        <v>6.3139299999999995E-4</v>
      </c>
      <c r="G24" s="66">
        <v>0</v>
      </c>
      <c r="H24" s="66">
        <v>2.1109599999999999</v>
      </c>
    </row>
    <row r="25" spans="1:8">
      <c r="A25" s="66" t="s">
        <v>377</v>
      </c>
      <c r="B25" s="66">
        <v>1.8804799999999999</v>
      </c>
      <c r="C25" s="66">
        <v>1.2580800000000001</v>
      </c>
      <c r="D25" s="66">
        <v>0.66902099999999998</v>
      </c>
      <c r="E25" s="66">
        <v>0</v>
      </c>
      <c r="F25" s="66">
        <v>0.28253499999999998</v>
      </c>
      <c r="G25" s="66">
        <v>0</v>
      </c>
      <c r="H25" s="66">
        <v>5.3505000000000003</v>
      </c>
    </row>
    <row r="26" spans="1:8">
      <c r="A26" s="66" t="s">
        <v>378</v>
      </c>
      <c r="B26" s="66">
        <v>1.16662E-2</v>
      </c>
      <c r="C26" s="66">
        <v>2.7453399999999999E-2</v>
      </c>
      <c r="D26" s="66">
        <v>2.35324</v>
      </c>
      <c r="E26" s="66">
        <v>0</v>
      </c>
      <c r="F26" s="196">
        <v>2.9543099999999998E-5</v>
      </c>
      <c r="G26" s="66">
        <v>0</v>
      </c>
      <c r="H26" s="66">
        <v>0.15038699999999999</v>
      </c>
    </row>
    <row r="27" spans="1:8">
      <c r="A27" s="66" t="s">
        <v>379</v>
      </c>
      <c r="B27" s="196">
        <v>-1.64128E-5</v>
      </c>
      <c r="C27" s="66">
        <v>6.2577900000000001E-3</v>
      </c>
      <c r="D27" s="66">
        <v>-381.27499999999998</v>
      </c>
      <c r="E27" s="66">
        <v>0</v>
      </c>
      <c r="F27" s="66">
        <v>-3.1857299999999998E-2</v>
      </c>
      <c r="G27" s="66">
        <v>0</v>
      </c>
      <c r="H27" s="66">
        <v>3.9712400000000002E-2</v>
      </c>
    </row>
    <row r="28" spans="1:8">
      <c r="A28" s="66" t="s">
        <v>380</v>
      </c>
      <c r="B28" s="66">
        <v>0.105627</v>
      </c>
      <c r="C28" s="66">
        <v>6.3455499999999998E-2</v>
      </c>
      <c r="D28" s="66">
        <v>0.60075299999999998</v>
      </c>
      <c r="E28" s="66">
        <v>0</v>
      </c>
      <c r="F28" s="66">
        <v>7.0019499999999998E-3</v>
      </c>
      <c r="G28" s="66">
        <v>0</v>
      </c>
      <c r="H28" s="66">
        <v>0.26608999999999999</v>
      </c>
    </row>
    <row r="29" spans="1:8">
      <c r="A29" s="66" t="s">
        <v>381</v>
      </c>
      <c r="B29" s="66">
        <v>96.705500000000001</v>
      </c>
      <c r="C29" s="66">
        <v>14.113799999999999</v>
      </c>
      <c r="D29" s="66">
        <v>0.14594699999999999</v>
      </c>
      <c r="E29" s="66">
        <v>0</v>
      </c>
      <c r="F29" s="66">
        <v>56.383000000000003</v>
      </c>
      <c r="G29" s="66">
        <v>0</v>
      </c>
      <c r="H29" s="66">
        <v>125.968</v>
      </c>
    </row>
    <row r="30" spans="1:8">
      <c r="A30" s="66" t="s">
        <v>382</v>
      </c>
      <c r="B30" s="66">
        <v>43.889200000000002</v>
      </c>
      <c r="C30" s="66">
        <v>21.6417</v>
      </c>
      <c r="D30" s="66">
        <v>0.49309900000000001</v>
      </c>
      <c r="E30" s="66">
        <v>0</v>
      </c>
      <c r="F30" s="66">
        <v>9.2616999999999994</v>
      </c>
      <c r="G30" s="66">
        <v>0</v>
      </c>
      <c r="H30" s="66">
        <v>72.302899999999994</v>
      </c>
    </row>
    <row r="31" spans="1:8">
      <c r="A31" s="66" t="s">
        <v>383</v>
      </c>
      <c r="B31" s="66">
        <v>282.31900000000002</v>
      </c>
      <c r="C31" s="66">
        <v>116.82599999999999</v>
      </c>
      <c r="D31" s="66">
        <v>0.41380699999999998</v>
      </c>
      <c r="E31" s="66">
        <v>0</v>
      </c>
      <c r="F31" s="66">
        <v>43.329599999999999</v>
      </c>
      <c r="G31" s="66">
        <v>0</v>
      </c>
      <c r="H31" s="66">
        <v>400.661</v>
      </c>
    </row>
    <row r="32" spans="1:8">
      <c r="A32" s="66" t="s">
        <v>384</v>
      </c>
      <c r="B32" s="66">
        <v>7.4942599999999998E-2</v>
      </c>
      <c r="C32" s="66">
        <v>7.7399700000000002E-2</v>
      </c>
      <c r="D32" s="66">
        <v>1.0327900000000001</v>
      </c>
      <c r="E32" s="66">
        <v>0.15</v>
      </c>
      <c r="F32" s="66">
        <v>2.4044900000000001E-2</v>
      </c>
      <c r="G32" s="66">
        <v>0.4</v>
      </c>
      <c r="H32" s="66">
        <v>0.36696600000000001</v>
      </c>
    </row>
    <row r="33" spans="1:8">
      <c r="A33" s="66" t="s">
        <v>385</v>
      </c>
      <c r="B33" s="66">
        <v>0.26233000000000001</v>
      </c>
      <c r="C33" s="66">
        <v>2.9121899999999999E-2</v>
      </c>
      <c r="D33" s="66">
        <v>0.111012</v>
      </c>
      <c r="E33" s="66">
        <v>0</v>
      </c>
      <c r="F33" s="66">
        <v>0.19855400000000001</v>
      </c>
      <c r="G33" s="66">
        <v>0</v>
      </c>
      <c r="H33" s="66">
        <v>0.37476399999999999</v>
      </c>
    </row>
    <row r="34" spans="1:8">
      <c r="A34" s="66" t="s">
        <v>386</v>
      </c>
      <c r="B34" s="66">
        <v>0.29167300000000002</v>
      </c>
      <c r="C34" s="66">
        <v>7.3942099999999997E-2</v>
      </c>
      <c r="D34" s="66">
        <v>0.25351000000000001</v>
      </c>
      <c r="E34" s="66">
        <v>0.1</v>
      </c>
      <c r="F34" s="66">
        <v>0.13420699999999999</v>
      </c>
      <c r="G34" s="66">
        <v>0.25</v>
      </c>
      <c r="H34" s="66">
        <v>0.45230700000000001</v>
      </c>
    </row>
    <row r="35" spans="1:8">
      <c r="A35" s="66" t="s">
        <v>387</v>
      </c>
      <c r="B35" s="66">
        <v>0.11554399999999999</v>
      </c>
      <c r="C35" s="66">
        <v>4.9564700000000003E-2</v>
      </c>
      <c r="D35" s="66">
        <v>0.42896699999999999</v>
      </c>
      <c r="E35" s="66">
        <v>0</v>
      </c>
      <c r="F35" s="66">
        <v>3.1638699999999999E-2</v>
      </c>
      <c r="G35" s="66">
        <v>0</v>
      </c>
      <c r="H35" s="66">
        <v>0.239677</v>
      </c>
    </row>
    <row r="36" spans="1:8">
      <c r="A36" s="66" t="s">
        <v>388</v>
      </c>
      <c r="B36" s="66">
        <v>0.25704900000000003</v>
      </c>
      <c r="C36" s="66">
        <v>0.15018799999999999</v>
      </c>
      <c r="D36" s="66">
        <v>0.58428000000000002</v>
      </c>
      <c r="E36" s="66">
        <v>0</v>
      </c>
      <c r="F36" s="66">
        <v>3.9636200000000003E-2</v>
      </c>
      <c r="G36" s="66">
        <v>0</v>
      </c>
      <c r="H36" s="66">
        <v>0.73624400000000001</v>
      </c>
    </row>
    <row r="37" spans="1:8">
      <c r="A37" s="66" t="s">
        <v>389</v>
      </c>
      <c r="B37" s="66">
        <v>0.73942099999999999</v>
      </c>
      <c r="C37" s="66">
        <v>0.22951099999999999</v>
      </c>
      <c r="D37" s="66">
        <v>0.310392</v>
      </c>
      <c r="E37" s="66">
        <v>0.1</v>
      </c>
      <c r="F37" s="66">
        <v>8.9339899999999993E-3</v>
      </c>
      <c r="G37" s="66">
        <v>0.5</v>
      </c>
      <c r="H37" s="66">
        <v>0.74823799999999996</v>
      </c>
    </row>
    <row r="38" spans="1:8">
      <c r="A38" s="66" t="s">
        <v>390</v>
      </c>
      <c r="B38" s="66">
        <v>-7.71753</v>
      </c>
      <c r="C38" s="66">
        <v>66.865399999999994</v>
      </c>
      <c r="D38" s="66">
        <v>-8.6640899999999998</v>
      </c>
      <c r="E38" s="66">
        <v>0</v>
      </c>
      <c r="F38" s="66">
        <v>-221.441</v>
      </c>
      <c r="G38" s="66">
        <v>0</v>
      </c>
      <c r="H38" s="66">
        <v>150.70699999999999</v>
      </c>
    </row>
    <row r="39" spans="1:8">
      <c r="A39" s="66" t="s">
        <v>391</v>
      </c>
      <c r="B39" s="66">
        <v>-4.1978600000000004</v>
      </c>
      <c r="C39" s="66">
        <v>16.660299999999999</v>
      </c>
      <c r="D39" s="66">
        <v>-3.9687600000000001</v>
      </c>
      <c r="E39" s="66">
        <v>0</v>
      </c>
      <c r="F39" s="66">
        <v>-54.623800000000003</v>
      </c>
      <c r="G39" s="66">
        <v>0</v>
      </c>
      <c r="H39" s="66">
        <v>39.124699999999997</v>
      </c>
    </row>
    <row r="40" spans="1:8">
      <c r="A40" s="66" t="s">
        <v>392</v>
      </c>
      <c r="B40" s="66">
        <v>-3.0560299999999998</v>
      </c>
      <c r="C40" s="66">
        <v>5.6643100000000004</v>
      </c>
      <c r="D40" s="66">
        <v>-1.8534900000000001</v>
      </c>
      <c r="E40" s="66">
        <v>0</v>
      </c>
      <c r="F40" s="66">
        <v>-18.933700000000002</v>
      </c>
      <c r="G40" s="66">
        <v>0</v>
      </c>
      <c r="H40" s="66">
        <v>2.0021300000000002</v>
      </c>
    </row>
    <row r="41" spans="1:8">
      <c r="A41" s="66" t="s">
        <v>393</v>
      </c>
      <c r="B41" s="66">
        <v>-2.40457E-2</v>
      </c>
      <c r="C41" s="66">
        <v>0.16276599999999999</v>
      </c>
      <c r="D41" s="66">
        <v>-6.7690099999999997</v>
      </c>
      <c r="E41" s="66">
        <v>0</v>
      </c>
      <c r="F41" s="66">
        <v>-0.44295899999999999</v>
      </c>
      <c r="G41" s="66">
        <v>0</v>
      </c>
      <c r="H41" s="66">
        <v>0.32289299999999999</v>
      </c>
    </row>
    <row r="42" spans="1:8">
      <c r="A42" s="66" t="s">
        <v>394</v>
      </c>
      <c r="B42" s="66">
        <v>-4.6712200000000002E-2</v>
      </c>
      <c r="C42" s="66">
        <v>8.3941399999999999E-2</v>
      </c>
      <c r="D42" s="66">
        <v>-1.7969900000000001</v>
      </c>
      <c r="E42" s="66">
        <v>0</v>
      </c>
      <c r="F42" s="66">
        <v>-0.20810500000000001</v>
      </c>
      <c r="G42" s="66">
        <v>0</v>
      </c>
      <c r="H42" s="66">
        <v>0.22037899999999999</v>
      </c>
    </row>
    <row r="43" spans="1:8">
      <c r="A43" s="66" t="s">
        <v>395</v>
      </c>
      <c r="B43" s="66">
        <v>-6.16424E-2</v>
      </c>
      <c r="C43" s="66">
        <v>3.2481200000000002E-2</v>
      </c>
      <c r="D43" s="66">
        <v>-0.52692899999999998</v>
      </c>
      <c r="E43" s="66">
        <v>0</v>
      </c>
      <c r="F43" s="66">
        <v>-0.13677</v>
      </c>
      <c r="G43" s="66">
        <v>0</v>
      </c>
      <c r="H43" s="66">
        <v>7.1155800000000005E-2</v>
      </c>
    </row>
    <row r="44" spans="1:8">
      <c r="A44" s="66" t="s">
        <v>396</v>
      </c>
      <c r="B44" s="66">
        <v>-32.1036</v>
      </c>
      <c r="C44" s="66">
        <v>31.866800000000001</v>
      </c>
      <c r="D44" s="66">
        <v>-0.992622</v>
      </c>
      <c r="E44" s="66">
        <v>0</v>
      </c>
      <c r="F44" s="66">
        <v>-93.147300000000001</v>
      </c>
      <c r="G44" s="66">
        <v>0</v>
      </c>
      <c r="H44" s="66">
        <v>7.6561700000000004</v>
      </c>
    </row>
    <row r="45" spans="1:8">
      <c r="A45" s="66" t="s">
        <v>397</v>
      </c>
      <c r="B45" s="66">
        <v>38.228999999999999</v>
      </c>
      <c r="C45" s="66">
        <v>6.23759</v>
      </c>
      <c r="D45" s="66">
        <v>0.163164</v>
      </c>
      <c r="E45" s="66">
        <v>0</v>
      </c>
      <c r="F45" s="66">
        <v>24.820699999999999</v>
      </c>
      <c r="G45" s="66">
        <v>0</v>
      </c>
      <c r="H45" s="66">
        <v>61.259500000000003</v>
      </c>
    </row>
    <row r="46" spans="1:8">
      <c r="A46" s="66" t="s">
        <v>398</v>
      </c>
      <c r="B46" s="66">
        <v>25.3904</v>
      </c>
      <c r="C46" s="66">
        <v>9.8868500000000008</v>
      </c>
      <c r="D46" s="66">
        <v>0.38939299999999999</v>
      </c>
      <c r="E46" s="66">
        <v>0</v>
      </c>
      <c r="F46" s="66">
        <v>5.8830299999999998</v>
      </c>
      <c r="G46" s="66">
        <v>0</v>
      </c>
      <c r="H46" s="66">
        <v>37.432400000000001</v>
      </c>
    </row>
    <row r="47" spans="1:8">
      <c r="A47" s="66" t="s">
        <v>399</v>
      </c>
      <c r="B47" s="66">
        <v>3.2031499999999999</v>
      </c>
      <c r="C47" s="66">
        <v>1.23302</v>
      </c>
      <c r="D47" s="66">
        <v>0.38494</v>
      </c>
      <c r="E47" s="66">
        <v>0</v>
      </c>
      <c r="F47" s="66">
        <v>1.3211999999999999</v>
      </c>
      <c r="G47" s="66">
        <v>0</v>
      </c>
      <c r="H47" s="66">
        <v>5.9685800000000002</v>
      </c>
    </row>
    <row r="48" spans="1:8">
      <c r="A48" s="66" t="s">
        <v>400</v>
      </c>
      <c r="B48" s="66">
        <v>1.7645999999999999</v>
      </c>
      <c r="C48" s="66">
        <v>0.213391</v>
      </c>
      <c r="D48" s="66">
        <v>0.12092899999999999</v>
      </c>
      <c r="E48" s="66">
        <v>0</v>
      </c>
      <c r="F48" s="66">
        <v>1.19516</v>
      </c>
      <c r="G48" s="66">
        <v>0</v>
      </c>
      <c r="H48" s="66">
        <v>2.2302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47.4788</v>
      </c>
      <c r="C5" s="66">
        <v>3.5580400000000001</v>
      </c>
      <c r="D5" s="66">
        <v>7.4939499999999999</v>
      </c>
      <c r="E5" s="66">
        <v>20</v>
      </c>
      <c r="F5" s="66">
        <v>38.898200000000003</v>
      </c>
      <c r="G5" s="66">
        <v>50</v>
      </c>
      <c r="H5" s="66">
        <v>53.340600000000002</v>
      </c>
    </row>
    <row r="6" spans="1:8">
      <c r="A6" s="66" t="s">
        <v>358</v>
      </c>
      <c r="B6" s="66">
        <v>17.273199999999999</v>
      </c>
      <c r="C6" s="66">
        <v>2.8378199999999998</v>
      </c>
      <c r="D6" s="66">
        <v>16.428999999999998</v>
      </c>
      <c r="E6" s="66">
        <v>20</v>
      </c>
      <c r="F6" s="66">
        <v>10.6982</v>
      </c>
      <c r="G6" s="66">
        <v>40</v>
      </c>
      <c r="H6" s="66">
        <v>21.5687</v>
      </c>
    </row>
    <row r="7" spans="1:8">
      <c r="A7" s="66" t="s">
        <v>359</v>
      </c>
      <c r="B7" s="66">
        <v>8.5875199999999996</v>
      </c>
      <c r="C7" s="66">
        <v>9.5382300000000004</v>
      </c>
      <c r="D7" s="66">
        <v>111.071</v>
      </c>
      <c r="E7" s="66">
        <v>15</v>
      </c>
      <c r="F7" s="66">
        <v>2.0086200000000001</v>
      </c>
      <c r="G7" s="66">
        <v>40</v>
      </c>
      <c r="H7" s="66">
        <v>36.955399999999997</v>
      </c>
    </row>
    <row r="8" spans="1:8">
      <c r="A8" s="66" t="s">
        <v>360</v>
      </c>
      <c r="B8" s="66">
        <v>24.6358</v>
      </c>
      <c r="C8" s="66">
        <v>3.3384800000000001</v>
      </c>
      <c r="D8" s="66">
        <v>13.551399999999999</v>
      </c>
      <c r="E8" s="66">
        <v>20</v>
      </c>
      <c r="F8" s="66">
        <v>20.730799999999999</v>
      </c>
      <c r="G8" s="66">
        <v>50</v>
      </c>
      <c r="H8" s="66">
        <v>32.853400000000001</v>
      </c>
    </row>
    <row r="9" spans="1:8">
      <c r="A9" s="66" t="s">
        <v>361</v>
      </c>
      <c r="B9" s="66">
        <v>67.7483</v>
      </c>
      <c r="C9" s="66">
        <v>6.9023099999999999</v>
      </c>
      <c r="D9" s="66">
        <v>10.1882</v>
      </c>
      <c r="E9" s="66">
        <v>50</v>
      </c>
      <c r="F9" s="66">
        <v>46.927700000000002</v>
      </c>
      <c r="G9" s="66">
        <v>100</v>
      </c>
      <c r="H9" s="66">
        <v>79.951700000000002</v>
      </c>
    </row>
    <row r="10" spans="1:8">
      <c r="A10" s="66" t="s">
        <v>362</v>
      </c>
      <c r="B10" s="66">
        <v>81.424700000000001</v>
      </c>
      <c r="C10" s="66">
        <v>3.6710400000000001</v>
      </c>
      <c r="D10" s="66">
        <v>4.5085100000000002</v>
      </c>
      <c r="E10" s="66">
        <v>40</v>
      </c>
      <c r="F10" s="66">
        <v>72.576099999999997</v>
      </c>
      <c r="G10" s="66">
        <v>100</v>
      </c>
      <c r="H10" s="66">
        <v>89.633099999999999</v>
      </c>
    </row>
    <row r="11" spans="1:8">
      <c r="A11" s="66" t="s">
        <v>363</v>
      </c>
      <c r="B11" s="66">
        <v>40.593800000000002</v>
      </c>
      <c r="C11" s="66">
        <v>2.05654</v>
      </c>
      <c r="D11" s="66">
        <v>5.0661500000000004</v>
      </c>
      <c r="E11" s="66">
        <v>10</v>
      </c>
      <c r="F11" s="66">
        <v>36.532400000000003</v>
      </c>
      <c r="G11" s="66">
        <v>50</v>
      </c>
      <c r="H11" s="66">
        <v>44.4968</v>
      </c>
    </row>
    <row r="12" spans="1:8">
      <c r="A12" s="66" t="s">
        <v>364</v>
      </c>
      <c r="B12" s="66">
        <v>74.675399999999996</v>
      </c>
      <c r="C12" s="66">
        <v>4.7898199999999997</v>
      </c>
      <c r="D12" s="66">
        <v>6.4141899999999996</v>
      </c>
      <c r="E12" s="66">
        <v>50</v>
      </c>
      <c r="F12" s="66">
        <v>60.267099999999999</v>
      </c>
      <c r="G12" s="66">
        <v>100</v>
      </c>
      <c r="H12" s="66">
        <v>81.043999999999997</v>
      </c>
    </row>
    <row r="13" spans="1:8">
      <c r="A13" s="66" t="s">
        <v>365</v>
      </c>
      <c r="B13" s="66">
        <v>30.74</v>
      </c>
      <c r="C13" s="66">
        <v>6.5755999999999997</v>
      </c>
      <c r="D13" s="66">
        <v>21.390999999999998</v>
      </c>
      <c r="E13" s="66">
        <v>10</v>
      </c>
      <c r="F13" s="66">
        <v>22.700199999999999</v>
      </c>
      <c r="G13" s="66">
        <v>25</v>
      </c>
      <c r="H13" s="66">
        <v>54.136099999999999</v>
      </c>
    </row>
    <row r="14" spans="1:8">
      <c r="A14" s="66" t="s">
        <v>366</v>
      </c>
      <c r="B14" s="66">
        <v>65.756</v>
      </c>
      <c r="C14" s="66">
        <v>26.814399999999999</v>
      </c>
      <c r="D14" s="66">
        <v>40.778700000000001</v>
      </c>
      <c r="E14" s="66">
        <v>10</v>
      </c>
      <c r="F14" s="66">
        <v>2.4353099999999999</v>
      </c>
      <c r="G14" s="66">
        <v>50</v>
      </c>
      <c r="H14" s="66">
        <v>84.919600000000003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0.44971899999999998</v>
      </c>
      <c r="C18" s="66">
        <v>0.140097</v>
      </c>
      <c r="D18" s="66">
        <v>0.31152200000000002</v>
      </c>
      <c r="E18" s="66">
        <v>0</v>
      </c>
      <c r="F18" s="66">
        <v>0.30962200000000001</v>
      </c>
      <c r="G18" s="66">
        <v>0</v>
      </c>
      <c r="H18" s="66">
        <v>0.58981600000000001</v>
      </c>
    </row>
    <row r="19" spans="1:8">
      <c r="A19" s="66" t="s">
        <v>371</v>
      </c>
      <c r="B19" s="66">
        <v>0.39590999999999998</v>
      </c>
      <c r="C19" s="66">
        <v>2.8262800000000001E-2</v>
      </c>
      <c r="D19" s="66">
        <v>7.1387000000000006E-2</v>
      </c>
      <c r="E19" s="66">
        <v>0</v>
      </c>
      <c r="F19" s="66">
        <v>0.367647</v>
      </c>
      <c r="G19" s="66">
        <v>0</v>
      </c>
      <c r="H19" s="66">
        <v>0.42417300000000002</v>
      </c>
    </row>
    <row r="20" spans="1:8">
      <c r="A20" s="66" t="s">
        <v>372</v>
      </c>
      <c r="B20" s="66">
        <v>8.7026800000000001E-2</v>
      </c>
      <c r="C20" s="66">
        <v>0.89445300000000005</v>
      </c>
      <c r="D20" s="66">
        <v>10.277900000000001</v>
      </c>
      <c r="E20" s="66">
        <v>0</v>
      </c>
      <c r="F20" s="196">
        <v>2.9427199999999998E-5</v>
      </c>
      <c r="G20" s="66">
        <v>0</v>
      </c>
      <c r="H20" s="66">
        <v>5.5522200000000002</v>
      </c>
    </row>
    <row r="21" spans="1:8">
      <c r="A21" s="66" t="s">
        <v>373</v>
      </c>
      <c r="B21" s="66">
        <v>1.52613</v>
      </c>
      <c r="C21" s="66">
        <v>3.9605600000000001</v>
      </c>
      <c r="D21" s="66">
        <v>2.59517</v>
      </c>
      <c r="E21" s="66">
        <v>0</v>
      </c>
      <c r="F21" s="66">
        <v>6.7084099999999997E-3</v>
      </c>
      <c r="G21" s="66">
        <v>0</v>
      </c>
      <c r="H21" s="66">
        <v>19.8157</v>
      </c>
    </row>
    <row r="22" spans="1:8">
      <c r="A22" s="66" t="s">
        <v>374</v>
      </c>
      <c r="B22" s="66">
        <v>133.22999999999999</v>
      </c>
      <c r="C22" s="66">
        <v>64.641300000000001</v>
      </c>
      <c r="D22" s="66">
        <v>0.48518699999999998</v>
      </c>
      <c r="E22" s="66">
        <v>0</v>
      </c>
      <c r="F22" s="66">
        <v>50.570099999999996</v>
      </c>
      <c r="G22" s="66">
        <v>0</v>
      </c>
      <c r="H22" s="66">
        <v>298.18799999999999</v>
      </c>
    </row>
    <row r="23" spans="1:8">
      <c r="A23" s="66" t="s">
        <v>375</v>
      </c>
      <c r="B23" s="66">
        <v>81.844800000000006</v>
      </c>
      <c r="C23" s="66">
        <v>14.194599999999999</v>
      </c>
      <c r="D23" s="66">
        <v>0.173434</v>
      </c>
      <c r="E23" s="66">
        <v>0</v>
      </c>
      <c r="F23" s="66">
        <v>56.928199999999997</v>
      </c>
      <c r="G23" s="66">
        <v>0</v>
      </c>
      <c r="H23" s="66">
        <v>112.80200000000001</v>
      </c>
    </row>
    <row r="24" spans="1:8">
      <c r="A24" s="66" t="s">
        <v>401</v>
      </c>
      <c r="B24" s="66">
        <v>9.4523300000000005E-2</v>
      </c>
      <c r="C24" s="66">
        <v>0.80227800000000005</v>
      </c>
      <c r="D24" s="66">
        <v>8.4876199999999997</v>
      </c>
      <c r="E24" s="66">
        <v>0</v>
      </c>
      <c r="F24" s="66">
        <v>4.8873700000000005E-4</v>
      </c>
      <c r="G24" s="66">
        <v>0</v>
      </c>
      <c r="H24" s="66">
        <v>4.2468899999999996</v>
      </c>
    </row>
    <row r="25" spans="1:8">
      <c r="A25" s="66" t="s">
        <v>377</v>
      </c>
      <c r="B25" s="66">
        <v>2.8098200000000002</v>
      </c>
      <c r="C25" s="66">
        <v>2.6229800000000001</v>
      </c>
      <c r="D25" s="66">
        <v>0.93350200000000005</v>
      </c>
      <c r="E25" s="66">
        <v>0</v>
      </c>
      <c r="F25" s="66">
        <v>0.27215699999999998</v>
      </c>
      <c r="G25" s="66">
        <v>0</v>
      </c>
      <c r="H25" s="66">
        <v>11.354699999999999</v>
      </c>
    </row>
    <row r="26" spans="1:8">
      <c r="A26" s="66" t="s">
        <v>378</v>
      </c>
      <c r="B26" s="66">
        <v>1.19223E-2</v>
      </c>
      <c r="C26" s="66">
        <v>4.9851699999999999E-2</v>
      </c>
      <c r="D26" s="66">
        <v>4.1814</v>
      </c>
      <c r="E26" s="66">
        <v>0</v>
      </c>
      <c r="F26" s="196">
        <v>6.5651299999999996E-6</v>
      </c>
      <c r="G26" s="66">
        <v>0</v>
      </c>
      <c r="H26" s="66">
        <v>0.42447800000000002</v>
      </c>
    </row>
    <row r="27" spans="1:8">
      <c r="A27" s="66" t="s">
        <v>379</v>
      </c>
      <c r="B27" s="196">
        <v>-7.3857700000000003E-5</v>
      </c>
      <c r="C27" s="66">
        <v>1.59382E-2</v>
      </c>
      <c r="D27" s="66">
        <v>-215.797</v>
      </c>
      <c r="E27" s="66">
        <v>0</v>
      </c>
      <c r="F27" s="66">
        <v>-0.26598899999999998</v>
      </c>
      <c r="G27" s="66">
        <v>0</v>
      </c>
      <c r="H27" s="66">
        <v>0.28338400000000002</v>
      </c>
    </row>
    <row r="28" spans="1:8">
      <c r="A28" s="66" t="s">
        <v>380</v>
      </c>
      <c r="B28" s="66">
        <v>9.6476199999999998E-2</v>
      </c>
      <c r="C28" s="66">
        <v>0.106973</v>
      </c>
      <c r="D28" s="66">
        <v>1.1088</v>
      </c>
      <c r="E28" s="66">
        <v>0</v>
      </c>
      <c r="F28" s="66">
        <v>1.3085900000000001E-3</v>
      </c>
      <c r="G28" s="66">
        <v>0</v>
      </c>
      <c r="H28" s="66">
        <v>0.54278599999999999</v>
      </c>
    </row>
    <row r="29" spans="1:8">
      <c r="A29" s="66" t="s">
        <v>381</v>
      </c>
      <c r="B29" s="66">
        <v>92.651799999999994</v>
      </c>
      <c r="C29" s="66">
        <v>18.445399999999999</v>
      </c>
      <c r="D29" s="66">
        <v>0.19908300000000001</v>
      </c>
      <c r="E29" s="66">
        <v>0</v>
      </c>
      <c r="F29" s="66">
        <v>54.523800000000001</v>
      </c>
      <c r="G29" s="66">
        <v>0</v>
      </c>
      <c r="H29" s="66">
        <v>148.28200000000001</v>
      </c>
    </row>
    <row r="30" spans="1:8">
      <c r="A30" s="66" t="s">
        <v>382</v>
      </c>
      <c r="B30" s="66">
        <v>60.635800000000003</v>
      </c>
      <c r="C30" s="66">
        <v>8.3984000000000005</v>
      </c>
      <c r="D30" s="66">
        <v>0.13850599999999999</v>
      </c>
      <c r="E30" s="66">
        <v>0</v>
      </c>
      <c r="F30" s="66">
        <v>47.479500000000002</v>
      </c>
      <c r="G30" s="66">
        <v>0</v>
      </c>
      <c r="H30" s="66">
        <v>77.292400000000001</v>
      </c>
    </row>
    <row r="31" spans="1:8">
      <c r="A31" s="66" t="s">
        <v>383</v>
      </c>
      <c r="B31" s="66">
        <v>303.67200000000003</v>
      </c>
      <c r="C31" s="66">
        <v>37.917299999999997</v>
      </c>
      <c r="D31" s="66">
        <v>0.124863</v>
      </c>
      <c r="E31" s="66">
        <v>0</v>
      </c>
      <c r="F31" s="66">
        <v>264.39999999999998</v>
      </c>
      <c r="G31" s="66">
        <v>0</v>
      </c>
      <c r="H31" s="66">
        <v>392.60899999999998</v>
      </c>
    </row>
    <row r="32" spans="1:8">
      <c r="A32" s="66" t="s">
        <v>384</v>
      </c>
      <c r="B32" s="66">
        <v>8.5875199999999999E-2</v>
      </c>
      <c r="C32" s="66">
        <v>9.5382300000000003E-2</v>
      </c>
      <c r="D32" s="66">
        <v>1.1107100000000001</v>
      </c>
      <c r="E32" s="66">
        <v>0.15</v>
      </c>
      <c r="F32" s="66">
        <v>2.0086199999999999E-2</v>
      </c>
      <c r="G32" s="66">
        <v>0.4</v>
      </c>
      <c r="H32" s="66">
        <v>0.36955399999999999</v>
      </c>
    </row>
    <row r="33" spans="1:8">
      <c r="A33" s="66" t="s">
        <v>385</v>
      </c>
      <c r="B33" s="66">
        <v>0.24776500000000001</v>
      </c>
      <c r="C33" s="66">
        <v>2.9888600000000001E-2</v>
      </c>
      <c r="D33" s="66">
        <v>0.120633</v>
      </c>
      <c r="E33" s="66">
        <v>0</v>
      </c>
      <c r="F33" s="66">
        <v>0.18789600000000001</v>
      </c>
      <c r="G33" s="66">
        <v>0</v>
      </c>
      <c r="H33" s="66">
        <v>0.32511099999999998</v>
      </c>
    </row>
    <row r="34" spans="1:8">
      <c r="A34" s="66" t="s">
        <v>386</v>
      </c>
      <c r="B34" s="66">
        <v>0.30740000000000001</v>
      </c>
      <c r="C34" s="66">
        <v>6.5755999999999995E-2</v>
      </c>
      <c r="D34" s="66">
        <v>0.21390999999999999</v>
      </c>
      <c r="E34" s="66">
        <v>0.1</v>
      </c>
      <c r="F34" s="66">
        <v>0.22700200000000001</v>
      </c>
      <c r="G34" s="66">
        <v>0.25</v>
      </c>
      <c r="H34" s="66">
        <v>0.54135999999999995</v>
      </c>
    </row>
    <row r="35" spans="1:8">
      <c r="A35" s="66" t="s">
        <v>387</v>
      </c>
      <c r="B35" s="66">
        <v>0.108568</v>
      </c>
      <c r="C35" s="66">
        <v>6.8569900000000003E-2</v>
      </c>
      <c r="D35" s="66">
        <v>0.63158300000000001</v>
      </c>
      <c r="E35" s="66">
        <v>0</v>
      </c>
      <c r="F35" s="66">
        <v>3.8664400000000002E-2</v>
      </c>
      <c r="G35" s="66">
        <v>0</v>
      </c>
      <c r="H35" s="66">
        <v>0.28972199999999998</v>
      </c>
    </row>
    <row r="36" spans="1:8">
      <c r="A36" s="66" t="s">
        <v>388</v>
      </c>
      <c r="B36" s="66">
        <v>0.26555499999999999</v>
      </c>
      <c r="C36" s="66">
        <v>0.16242799999999999</v>
      </c>
      <c r="D36" s="66">
        <v>0.61165499999999995</v>
      </c>
      <c r="E36" s="66">
        <v>0</v>
      </c>
      <c r="F36" s="66">
        <v>5.5172199999999998E-2</v>
      </c>
      <c r="G36" s="66">
        <v>0</v>
      </c>
      <c r="H36" s="66">
        <v>0.97679899999999997</v>
      </c>
    </row>
    <row r="37" spans="1:8">
      <c r="A37" s="66" t="s">
        <v>389</v>
      </c>
      <c r="B37" s="66">
        <v>0.65756000000000003</v>
      </c>
      <c r="C37" s="66">
        <v>0.26814399999999999</v>
      </c>
      <c r="D37" s="66">
        <v>0.40778700000000001</v>
      </c>
      <c r="E37" s="66">
        <v>0.1</v>
      </c>
      <c r="F37" s="66">
        <v>2.4353099999999999E-2</v>
      </c>
      <c r="G37" s="66">
        <v>0.5</v>
      </c>
      <c r="H37" s="66">
        <v>0.84919599999999995</v>
      </c>
    </row>
    <row r="38" spans="1:8">
      <c r="A38" s="66" t="s">
        <v>390</v>
      </c>
      <c r="B38" s="66">
        <v>11.744999999999999</v>
      </c>
      <c r="C38" s="66">
        <v>77.296800000000005</v>
      </c>
      <c r="D38" s="66">
        <v>6.58127</v>
      </c>
      <c r="E38" s="66">
        <v>0</v>
      </c>
      <c r="F38" s="66">
        <v>-322.52600000000001</v>
      </c>
      <c r="G38" s="66">
        <v>0</v>
      </c>
      <c r="H38" s="66">
        <v>163.506</v>
      </c>
    </row>
    <row r="39" spans="1:8">
      <c r="A39" s="66" t="s">
        <v>391</v>
      </c>
      <c r="B39" s="66">
        <v>3.1480800000000002</v>
      </c>
      <c r="C39" s="66">
        <v>20.880500000000001</v>
      </c>
      <c r="D39" s="66">
        <v>6.6327699999999998</v>
      </c>
      <c r="E39" s="66">
        <v>0</v>
      </c>
      <c r="F39" s="66">
        <v>-75.813500000000005</v>
      </c>
      <c r="G39" s="66">
        <v>0</v>
      </c>
      <c r="H39" s="66">
        <v>31.2606</v>
      </c>
    </row>
    <row r="40" spans="1:8">
      <c r="A40" s="66" t="s">
        <v>392</v>
      </c>
      <c r="B40" s="66">
        <v>-2.4678900000000001</v>
      </c>
      <c r="C40" s="66">
        <v>6.59551</v>
      </c>
      <c r="D40" s="66">
        <v>-2.6725300000000001</v>
      </c>
      <c r="E40" s="66">
        <v>0</v>
      </c>
      <c r="F40" s="66">
        <v>-14.4346</v>
      </c>
      <c r="G40" s="66">
        <v>0</v>
      </c>
      <c r="H40" s="66">
        <v>28.241399999999999</v>
      </c>
    </row>
    <row r="41" spans="1:8">
      <c r="A41" s="66" t="s">
        <v>393</v>
      </c>
      <c r="B41" s="66">
        <v>5.6255300000000001E-2</v>
      </c>
      <c r="C41" s="66">
        <v>0.174294</v>
      </c>
      <c r="D41" s="66">
        <v>3.0982799999999999</v>
      </c>
      <c r="E41" s="66">
        <v>0</v>
      </c>
      <c r="F41" s="66">
        <v>-0.43111699999999997</v>
      </c>
      <c r="G41" s="66">
        <v>0</v>
      </c>
      <c r="H41" s="66">
        <v>0.51401200000000002</v>
      </c>
    </row>
    <row r="42" spans="1:8">
      <c r="A42" s="66" t="s">
        <v>394</v>
      </c>
      <c r="B42" s="66">
        <v>2.8065799999999998E-2</v>
      </c>
      <c r="C42" s="66">
        <v>9.1476600000000005E-2</v>
      </c>
      <c r="D42" s="66">
        <v>3.25936</v>
      </c>
      <c r="E42" s="66">
        <v>0</v>
      </c>
      <c r="F42" s="66">
        <v>-0.201069</v>
      </c>
      <c r="G42" s="66">
        <v>0</v>
      </c>
      <c r="H42" s="66">
        <v>0.23636299999999999</v>
      </c>
    </row>
    <row r="43" spans="1:8">
      <c r="A43" s="66" t="s">
        <v>395</v>
      </c>
      <c r="B43" s="66">
        <v>-4.6705000000000003E-2</v>
      </c>
      <c r="C43" s="66">
        <v>5.40466E-2</v>
      </c>
      <c r="D43" s="66">
        <v>-1.1571899999999999</v>
      </c>
      <c r="E43" s="66">
        <v>0</v>
      </c>
      <c r="F43" s="66">
        <v>-0.117676</v>
      </c>
      <c r="G43" s="66">
        <v>0</v>
      </c>
      <c r="H43" s="66">
        <v>0.186752</v>
      </c>
    </row>
    <row r="44" spans="1:8">
      <c r="A44" s="66" t="s">
        <v>396</v>
      </c>
      <c r="B44" s="66">
        <v>-34.214500000000001</v>
      </c>
      <c r="C44" s="66">
        <v>35.8384</v>
      </c>
      <c r="D44" s="66">
        <v>-1.0474600000000001</v>
      </c>
      <c r="E44" s="66">
        <v>0</v>
      </c>
      <c r="F44" s="66">
        <v>-90.956299999999999</v>
      </c>
      <c r="G44" s="66">
        <v>0</v>
      </c>
      <c r="H44" s="66">
        <v>58.771299999999997</v>
      </c>
    </row>
    <row r="45" spans="1:8">
      <c r="A45" s="66" t="s">
        <v>397</v>
      </c>
      <c r="B45" s="66">
        <v>36.183700000000002</v>
      </c>
      <c r="C45" s="66">
        <v>7.1115500000000003</v>
      </c>
      <c r="D45" s="66">
        <v>0.19653999999999999</v>
      </c>
      <c r="E45" s="66">
        <v>0</v>
      </c>
      <c r="F45" s="66">
        <v>23.277799999999999</v>
      </c>
      <c r="G45" s="66">
        <v>0</v>
      </c>
      <c r="H45" s="66">
        <v>59.060099999999998</v>
      </c>
    </row>
    <row r="46" spans="1:8">
      <c r="A46" s="66" t="s">
        <v>398</v>
      </c>
      <c r="B46" s="66">
        <v>28.784199999999998</v>
      </c>
      <c r="C46" s="66">
        <v>2.2636699999999998</v>
      </c>
      <c r="D46" s="66">
        <v>7.8642900000000002E-2</v>
      </c>
      <c r="E46" s="66">
        <v>0</v>
      </c>
      <c r="F46" s="66">
        <v>26.398599999999998</v>
      </c>
      <c r="G46" s="66">
        <v>0</v>
      </c>
      <c r="H46" s="66">
        <v>35.875700000000002</v>
      </c>
    </row>
    <row r="47" spans="1:8">
      <c r="A47" s="66" t="s">
        <v>399</v>
      </c>
      <c r="B47" s="66">
        <v>2.60623</v>
      </c>
      <c r="C47" s="66">
        <v>2.88998</v>
      </c>
      <c r="D47" s="66">
        <v>1.10887</v>
      </c>
      <c r="E47" s="66">
        <v>0</v>
      </c>
      <c r="F47" s="66">
        <v>0.96182100000000004</v>
      </c>
      <c r="G47" s="66">
        <v>0</v>
      </c>
      <c r="H47" s="66">
        <v>17.032699999999998</v>
      </c>
    </row>
    <row r="48" spans="1:8">
      <c r="A48" s="66" t="s">
        <v>400</v>
      </c>
      <c r="B48" s="66">
        <v>1.4754100000000001</v>
      </c>
      <c r="C48" s="66">
        <v>0.25175500000000001</v>
      </c>
      <c r="D48" s="66">
        <v>0.17063300000000001</v>
      </c>
      <c r="E48" s="66">
        <v>0</v>
      </c>
      <c r="F48" s="66">
        <v>1.1225400000000001</v>
      </c>
      <c r="G48" s="66">
        <v>0</v>
      </c>
      <c r="H48" s="66">
        <v>2.0626500000000001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125.26761521542601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2.4186032526579626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0.64036339683273757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138</v>
      </c>
      <c r="B8" s="66">
        <v>138</v>
      </c>
      <c r="D8">
        <f t="shared" si="0"/>
        <v>2.9340976161519946E-4</v>
      </c>
      <c r="E8">
        <f t="shared" si="0"/>
        <v>2.9340976161519946E-4</v>
      </c>
      <c r="G8">
        <f t="shared" ca="1" si="1"/>
        <v>6</v>
      </c>
      <c r="H8">
        <f t="shared" ca="1" si="2"/>
        <v>1.7604585696911969E-3</v>
      </c>
      <c r="I8">
        <f t="shared" ca="1" si="3"/>
        <v>4.1736846257667741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526</v>
      </c>
      <c r="B10" s="66">
        <v>526</v>
      </c>
      <c r="D10">
        <f t="shared" si="0"/>
        <v>1.11835894644634E-3</v>
      </c>
      <c r="E10">
        <f t="shared" si="0"/>
        <v>1.11835894644634E-3</v>
      </c>
      <c r="G10">
        <f t="shared" ca="1" si="1"/>
        <v>8</v>
      </c>
      <c r="H10">
        <f t="shared" ca="1" si="2"/>
        <v>8.9468715715707199E-3</v>
      </c>
      <c r="I10">
        <f t="shared" ca="1" si="3"/>
        <v>15.379329542095263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1349</v>
      </c>
      <c r="B13" s="66">
        <v>1349</v>
      </c>
      <c r="D13">
        <f t="shared" si="0"/>
        <v>2.8681867276732181E-3</v>
      </c>
      <c r="E13">
        <f t="shared" si="0"/>
        <v>2.8681867276732181E-3</v>
      </c>
      <c r="G13">
        <f t="shared" ca="1" si="1"/>
        <v>11</v>
      </c>
      <c r="H13">
        <f t="shared" ca="1" si="2"/>
        <v>3.1550054004405401E-2</v>
      </c>
      <c r="I13">
        <f t="shared" ca="1" si="3"/>
        <v>37.450166179615387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2712</v>
      </c>
      <c r="B15" s="66">
        <v>2712</v>
      </c>
      <c r="D15">
        <f t="shared" si="0"/>
        <v>5.7661396630465291E-3</v>
      </c>
      <c r="E15">
        <f t="shared" si="0"/>
        <v>5.7661396630465291E-3</v>
      </c>
      <c r="G15">
        <f t="shared" ca="1" si="1"/>
        <v>13</v>
      </c>
      <c r="H15">
        <f t="shared" ca="1" si="2"/>
        <v>7.495981561960488E-2</v>
      </c>
      <c r="I15">
        <f t="shared" ca="1" si="3"/>
        <v>72.676524794704761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5112</v>
      </c>
      <c r="B18" s="66">
        <v>5112</v>
      </c>
      <c r="D18">
        <f t="shared" si="0"/>
        <v>1.0868918125919563E-2</v>
      </c>
      <c r="E18">
        <f t="shared" si="0"/>
        <v>1.0868918125919563E-2</v>
      </c>
      <c r="G18">
        <f t="shared" ca="1" si="1"/>
        <v>16</v>
      </c>
      <c r="H18">
        <f t="shared" ca="1" si="2"/>
        <v>0.17390269001471301</v>
      </c>
      <c r="I18">
        <f t="shared" ca="1" si="3"/>
        <v>129.76848861790612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11172</v>
      </c>
      <c r="B21" s="66">
        <v>11172</v>
      </c>
      <c r="D21">
        <f t="shared" si="0"/>
        <v>2.3753433744673976E-2</v>
      </c>
      <c r="E21">
        <f t="shared" si="0"/>
        <v>2.3753433744673976E-2</v>
      </c>
      <c r="G21">
        <f t="shared" ca="1" si="1"/>
        <v>19</v>
      </c>
      <c r="H21">
        <f t="shared" ca="1" si="2"/>
        <v>0.45131524114880556</v>
      </c>
      <c r="I21">
        <f t="shared" ca="1" si="3"/>
        <v>268.24292014748511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14231</v>
      </c>
      <c r="B23" s="66">
        <v>14231</v>
      </c>
      <c r="D23">
        <f t="shared" si="0"/>
        <v>3.0257350127144231E-2</v>
      </c>
      <c r="E23">
        <f t="shared" si="0"/>
        <v>3.0257350127144231E-2</v>
      </c>
      <c r="G23">
        <f t="shared" ca="1" si="1"/>
        <v>21</v>
      </c>
      <c r="H23">
        <f t="shared" ca="1" si="2"/>
        <v>0.63540435267002882</v>
      </c>
      <c r="I23">
        <f t="shared" ca="1" si="3"/>
        <v>328.94991001585356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16289</v>
      </c>
      <c r="B26" s="66">
        <v>16289</v>
      </c>
      <c r="D26">
        <f t="shared" si="0"/>
        <v>3.4632982659057857E-2</v>
      </c>
      <c r="E26">
        <f t="shared" si="0"/>
        <v>3.4632982659057857E-2</v>
      </c>
      <c r="G26">
        <f t="shared" ca="1" si="1"/>
        <v>24</v>
      </c>
      <c r="H26">
        <f t="shared" ca="1" si="2"/>
        <v>0.83119158381738856</v>
      </c>
      <c r="I26">
        <f t="shared" ca="1" si="3"/>
        <v>355.16573569592026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18950</v>
      </c>
      <c r="B28" s="66">
        <v>18950</v>
      </c>
      <c r="D28">
        <f t="shared" si="0"/>
        <v>4.0290688279768332E-2</v>
      </c>
      <c r="E28">
        <f t="shared" si="0"/>
        <v>4.0290688279768332E-2</v>
      </c>
      <c r="G28">
        <f t="shared" ca="1" si="1"/>
        <v>26</v>
      </c>
      <c r="H28">
        <f t="shared" ca="1" si="2"/>
        <v>1.0475578952739766</v>
      </c>
      <c r="I28">
        <f t="shared" ca="1" si="3"/>
        <v>397.02683680691882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20881</v>
      </c>
      <c r="B31" s="66">
        <v>20881</v>
      </c>
      <c r="D31">
        <f t="shared" si="0"/>
        <v>4.439629878468826E-2</v>
      </c>
      <c r="E31">
        <f t="shared" si="0"/>
        <v>4.439629878468826E-2</v>
      </c>
      <c r="G31">
        <f t="shared" ca="1" si="1"/>
        <v>29</v>
      </c>
      <c r="H31">
        <f t="shared" ca="1" si="2"/>
        <v>1.2874926647559595</v>
      </c>
      <c r="I31">
        <f t="shared" ca="1" si="3"/>
        <v>411.44064518169961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22948</v>
      </c>
      <c r="B33" s="66">
        <v>22948</v>
      </c>
      <c r="D33">
        <f t="shared" si="0"/>
        <v>4.8791066735837663E-2</v>
      </c>
      <c r="E33">
        <f t="shared" si="0"/>
        <v>4.8791066735837663E-2</v>
      </c>
      <c r="G33">
        <f t="shared" ca="1" si="1"/>
        <v>31</v>
      </c>
      <c r="H33">
        <f t="shared" ca="1" si="2"/>
        <v>1.5125230688109674</v>
      </c>
      <c r="I33">
        <f t="shared" ca="1" si="3"/>
        <v>433.57611957682275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25863</v>
      </c>
      <c r="B36" s="66">
        <v>25863</v>
      </c>
      <c r="D36">
        <f t="shared" si="0"/>
        <v>5.4988816410535539E-2</v>
      </c>
      <c r="E36">
        <f t="shared" si="0"/>
        <v>5.4988816410535539E-2</v>
      </c>
      <c r="G36">
        <f t="shared" ca="1" si="1"/>
        <v>34</v>
      </c>
      <c r="H36">
        <f t="shared" ca="1" si="2"/>
        <v>1.8696197579582083</v>
      </c>
      <c r="I36">
        <f t="shared" ca="1" si="3"/>
        <v>458.04461047824384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33266</v>
      </c>
      <c r="B39" s="66">
        <v>33266</v>
      </c>
      <c r="D39">
        <f t="shared" si="0"/>
        <v>7.0728761810805979E-2</v>
      </c>
      <c r="E39">
        <f t="shared" si="0"/>
        <v>7.0728761810805979E-2</v>
      </c>
      <c r="G39">
        <f t="shared" ca="1" si="1"/>
        <v>37</v>
      </c>
      <c r="H39">
        <f t="shared" ca="1" si="2"/>
        <v>2.6169641869998213</v>
      </c>
      <c r="I39">
        <f t="shared" ca="1" si="3"/>
        <v>551.05994124639267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33846</v>
      </c>
      <c r="B41" s="66">
        <v>33846</v>
      </c>
      <c r="D41">
        <f t="shared" si="0"/>
        <v>7.1961933272666964E-2</v>
      </c>
      <c r="E41">
        <f t="shared" si="0"/>
        <v>7.1961933272666964E-2</v>
      </c>
      <c r="G41">
        <f t="shared" ca="1" si="1"/>
        <v>39</v>
      </c>
      <c r="H41">
        <f t="shared" ca="1" si="2"/>
        <v>2.8065153976340116</v>
      </c>
      <c r="I41">
        <f t="shared" ca="1" si="3"/>
        <v>535.54800687078034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43996</v>
      </c>
      <c r="B44" s="66">
        <v>43996</v>
      </c>
      <c r="D44">
        <f t="shared" si="0"/>
        <v>9.3542433855234169E-2</v>
      </c>
      <c r="E44">
        <f t="shared" si="0"/>
        <v>9.3542433855234169E-2</v>
      </c>
      <c r="G44">
        <f t="shared" ca="1" si="1"/>
        <v>42</v>
      </c>
      <c r="H44">
        <f t="shared" ca="1" si="2"/>
        <v>3.9287822219198349</v>
      </c>
      <c r="I44">
        <f t="shared" ca="1" si="3"/>
        <v>648.57606698726022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50264</v>
      </c>
      <c r="B46" s="66">
        <v>50264</v>
      </c>
      <c r="D46">
        <f t="shared" si="0"/>
        <v>0.10686919027410426</v>
      </c>
      <c r="E46">
        <f t="shared" si="0"/>
        <v>0.10686919027410426</v>
      </c>
      <c r="G46">
        <f t="shared" ca="1" si="1"/>
        <v>44</v>
      </c>
      <c r="H46">
        <f t="shared" ca="1" si="2"/>
        <v>4.7022443720605871</v>
      </c>
      <c r="I46">
        <f t="shared" ca="1" si="3"/>
        <v>705.80958219892943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51027</v>
      </c>
      <c r="B49" s="66">
        <v>51027</v>
      </c>
      <c r="D49">
        <f t="shared" si="0"/>
        <v>0.1084914485937593</v>
      </c>
      <c r="E49">
        <f t="shared" si="0"/>
        <v>0.1084914485937593</v>
      </c>
      <c r="G49">
        <f t="shared" ca="1" si="1"/>
        <v>47</v>
      </c>
      <c r="H49">
        <f t="shared" ca="1" si="2"/>
        <v>5.0990980839066866</v>
      </c>
      <c r="I49">
        <f t="shared" ca="1" si="3"/>
        <v>664.59904130694906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53138</v>
      </c>
      <c r="B51" s="66">
        <v>53138</v>
      </c>
      <c r="D51">
        <f t="shared" si="0"/>
        <v>0.11297976748339471</v>
      </c>
      <c r="E51">
        <f t="shared" si="0"/>
        <v>0.11297976748339471</v>
      </c>
      <c r="G51">
        <f t="shared" ca="1" si="1"/>
        <v>49</v>
      </c>
      <c r="H51">
        <f t="shared" ca="1" si="2"/>
        <v>5.536008606686341</v>
      </c>
      <c r="I51">
        <f t="shared" ca="1" si="3"/>
        <v>657.17496428988102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50705</v>
      </c>
      <c r="B54" s="66">
        <v>50705</v>
      </c>
      <c r="D54">
        <f t="shared" si="0"/>
        <v>0.10780682581665717</v>
      </c>
      <c r="E54">
        <f t="shared" si="0"/>
        <v>0.10780682581665717</v>
      </c>
      <c r="G54">
        <f t="shared" ca="1" si="1"/>
        <v>52</v>
      </c>
      <c r="H54">
        <f t="shared" ca="1" si="2"/>
        <v>5.6059549424661723</v>
      </c>
      <c r="I54">
        <f t="shared" ca="1" si="3"/>
        <v>578.72250472545352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57915</v>
      </c>
      <c r="B57" s="66">
        <v>57915</v>
      </c>
      <c r="D57">
        <f t="shared" si="0"/>
        <v>0.12313642278220491</v>
      </c>
      <c r="E57">
        <f t="shared" si="0"/>
        <v>0.12313642278220491</v>
      </c>
      <c r="G57">
        <f t="shared" ca="1" si="1"/>
        <v>55</v>
      </c>
      <c r="H57">
        <f t="shared" ca="1" si="2"/>
        <v>6.7725032530212701</v>
      </c>
      <c r="I57">
        <f t="shared" ca="1" si="3"/>
        <v>607.99073564860214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62108</v>
      </c>
      <c r="B59" s="66">
        <v>62108</v>
      </c>
      <c r="D59">
        <f t="shared" si="0"/>
        <v>0.13205140198838267</v>
      </c>
      <c r="E59">
        <f t="shared" si="0"/>
        <v>0.13205140198838267</v>
      </c>
      <c r="G59">
        <f t="shared" ca="1" si="1"/>
        <v>57</v>
      </c>
      <c r="H59">
        <f t="shared" ca="1" si="2"/>
        <v>7.5269299133378116</v>
      </c>
      <c r="I59">
        <f t="shared" ca="1" si="3"/>
        <v>615.42123919594781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74993</v>
      </c>
      <c r="B62" s="66">
        <v>74993</v>
      </c>
      <c r="D62">
        <f t="shared" si="0"/>
        <v>0.15944694386093228</v>
      </c>
      <c r="E62">
        <f t="shared" si="0"/>
        <v>0.15944694386093228</v>
      </c>
      <c r="G62">
        <f t="shared" ca="1" si="1"/>
        <v>60</v>
      </c>
      <c r="H62">
        <f t="shared" ca="1" si="2"/>
        <v>9.5668166316559358</v>
      </c>
      <c r="I62">
        <f t="shared" ca="1" si="3"/>
        <v>679.22191273822909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74353</v>
      </c>
      <c r="B64" s="66">
        <v>74353</v>
      </c>
      <c r="D64">
        <f t="shared" si="0"/>
        <v>0.15808620293749948</v>
      </c>
      <c r="E64">
        <f t="shared" si="0"/>
        <v>0.15808620293749948</v>
      </c>
      <c r="G64">
        <f t="shared" ca="1" si="1"/>
        <v>62</v>
      </c>
      <c r="H64">
        <f t="shared" ca="1" si="2"/>
        <v>9.8013445821249672</v>
      </c>
      <c r="I64">
        <f t="shared" ca="1" si="3"/>
        <v>632.78605169149614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82247</v>
      </c>
      <c r="B67" s="66">
        <v>82247</v>
      </c>
      <c r="D67">
        <f t="shared" ref="D67:E130" si="4">IFERROR( A67/MAX(A$2:A$257), 0 )</f>
        <v>0.17487009176496601</v>
      </c>
      <c r="E67">
        <f t="shared" si="4"/>
        <v>0.17487009176496601</v>
      </c>
      <c r="G67">
        <f t="shared" ref="G67:G130" ca="1" si="5">CELL("row",D67)-2</f>
        <v>65</v>
      </c>
      <c r="H67">
        <f t="shared" ref="H67:H130" ca="1" si="6">D67*G67</f>
        <v>11.366555964722791</v>
      </c>
      <c r="I67">
        <f t="shared" ref="I67:I130" ca="1" si="7">D67*((G67-$L$1)^2)</f>
        <v>635.16060185674905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93001</v>
      </c>
      <c r="B69" s="66">
        <v>93001</v>
      </c>
      <c r="D69">
        <f t="shared" si="4"/>
        <v>0.19773479159402294</v>
      </c>
      <c r="E69">
        <f t="shared" si="4"/>
        <v>0.19773479159402294</v>
      </c>
      <c r="G69">
        <f t="shared" ca="1" si="5"/>
        <v>67</v>
      </c>
      <c r="H69">
        <f t="shared" ca="1" si="6"/>
        <v>13.248231036799536</v>
      </c>
      <c r="I69">
        <f t="shared" ca="1" si="7"/>
        <v>671.33235358008108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99821</v>
      </c>
      <c r="B72" s="66">
        <v>99821</v>
      </c>
      <c r="D72">
        <f t="shared" si="4"/>
        <v>0.21223518705935382</v>
      </c>
      <c r="E72">
        <f t="shared" si="4"/>
        <v>0.21223518705935382</v>
      </c>
      <c r="G72">
        <f t="shared" ca="1" si="5"/>
        <v>70</v>
      </c>
      <c r="H72">
        <f t="shared" ca="1" si="6"/>
        <v>14.856463094154767</v>
      </c>
      <c r="I72">
        <f t="shared" ca="1" si="7"/>
        <v>648.27435087734273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111815</v>
      </c>
      <c r="B75" s="66">
        <v>111815</v>
      </c>
      <c r="D75">
        <f t="shared" si="4"/>
        <v>0.23773632242756182</v>
      </c>
      <c r="E75">
        <f t="shared" si="4"/>
        <v>0.23773632242756182</v>
      </c>
      <c r="G75">
        <f t="shared" ca="1" si="5"/>
        <v>73</v>
      </c>
      <c r="H75">
        <f t="shared" ca="1" si="6"/>
        <v>17.354751537212014</v>
      </c>
      <c r="I75">
        <f t="shared" ca="1" si="7"/>
        <v>649.47271516379976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124746</v>
      </c>
      <c r="B77" s="66">
        <v>124746</v>
      </c>
      <c r="D77">
        <f t="shared" si="4"/>
        <v>0.26522966755398314</v>
      </c>
      <c r="E77">
        <f t="shared" si="4"/>
        <v>0.26522966755398314</v>
      </c>
      <c r="G77">
        <f t="shared" ca="1" si="5"/>
        <v>75</v>
      </c>
      <c r="H77">
        <f t="shared" ca="1" si="6"/>
        <v>19.892225066548736</v>
      </c>
      <c r="I77">
        <f t="shared" ca="1" si="7"/>
        <v>670.19111353968401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137830</v>
      </c>
      <c r="B80" s="66">
        <v>137830</v>
      </c>
      <c r="D80">
        <f t="shared" si="4"/>
        <v>0.29304831480741261</v>
      </c>
      <c r="E80">
        <f t="shared" si="4"/>
        <v>0.29304831480741261</v>
      </c>
      <c r="G80">
        <f t="shared" ca="1" si="5"/>
        <v>78</v>
      </c>
      <c r="H80">
        <f t="shared" ca="1" si="6"/>
        <v>22.857768554978183</v>
      </c>
      <c r="I80">
        <f t="shared" ca="1" si="7"/>
        <v>654.73658857787007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135456</v>
      </c>
      <c r="B82" s="66">
        <v>135456</v>
      </c>
      <c r="D82">
        <f t="shared" si="4"/>
        <v>0.28800081644455405</v>
      </c>
      <c r="E82">
        <f t="shared" si="4"/>
        <v>0.28800081644455405</v>
      </c>
      <c r="G82">
        <f t="shared" ca="1" si="5"/>
        <v>80</v>
      </c>
      <c r="H82">
        <f t="shared" ca="1" si="6"/>
        <v>23.040065315564323</v>
      </c>
      <c r="I82">
        <f t="shared" ca="1" si="7"/>
        <v>590.1588853631207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144837</v>
      </c>
      <c r="B85" s="66">
        <v>144837</v>
      </c>
      <c r="D85">
        <f t="shared" si="4"/>
        <v>0.30794630176130905</v>
      </c>
      <c r="E85">
        <f t="shared" si="4"/>
        <v>0.30794630176130905</v>
      </c>
      <c r="G85">
        <f t="shared" ca="1" si="5"/>
        <v>83</v>
      </c>
      <c r="H85">
        <f t="shared" ca="1" si="6"/>
        <v>25.559543046188651</v>
      </c>
      <c r="I85">
        <f t="shared" ca="1" si="7"/>
        <v>550.16186450986186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156547</v>
      </c>
      <c r="B88" s="66">
        <v>156547</v>
      </c>
      <c r="D88">
        <f t="shared" si="4"/>
        <v>0.33284360834474369</v>
      </c>
      <c r="E88">
        <f t="shared" si="4"/>
        <v>0.33284360834474369</v>
      </c>
      <c r="G88">
        <f t="shared" ca="1" si="5"/>
        <v>86</v>
      </c>
      <c r="H88">
        <f t="shared" ca="1" si="6"/>
        <v>28.624550317647959</v>
      </c>
      <c r="I88">
        <f t="shared" ca="1" si="7"/>
        <v>513.22673894191439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161859</v>
      </c>
      <c r="B90" s="66">
        <v>161859</v>
      </c>
      <c r="D90">
        <f t="shared" si="4"/>
        <v>0.34413775800923602</v>
      </c>
      <c r="E90">
        <f t="shared" si="4"/>
        <v>0.34413775800923602</v>
      </c>
      <c r="G90">
        <f t="shared" ca="1" si="5"/>
        <v>88</v>
      </c>
      <c r="H90">
        <f t="shared" ca="1" si="6"/>
        <v>30.28412270481277</v>
      </c>
      <c r="I90">
        <f t="shared" ca="1" si="7"/>
        <v>477.96437815759134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167167</v>
      </c>
      <c r="B93" s="66">
        <v>167167</v>
      </c>
      <c r="D93">
        <f t="shared" si="4"/>
        <v>0.35542340304295689</v>
      </c>
      <c r="E93">
        <f t="shared" si="4"/>
        <v>0.35542340304295689</v>
      </c>
      <c r="G93">
        <f t="shared" ca="1" si="5"/>
        <v>91</v>
      </c>
      <c r="H93">
        <f t="shared" ca="1" si="6"/>
        <v>32.343529676909078</v>
      </c>
      <c r="I93">
        <f t="shared" ca="1" si="7"/>
        <v>417.36284491559803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175270</v>
      </c>
      <c r="B95" s="66">
        <v>175270</v>
      </c>
      <c r="D95">
        <f t="shared" si="4"/>
        <v>0.37265165882823198</v>
      </c>
      <c r="E95">
        <f t="shared" si="4"/>
        <v>0.37265165882823198</v>
      </c>
      <c r="G95">
        <f t="shared" ca="1" si="5"/>
        <v>93</v>
      </c>
      <c r="H95">
        <f t="shared" ca="1" si="6"/>
        <v>34.656604271025572</v>
      </c>
      <c r="I95">
        <f t="shared" ca="1" si="7"/>
        <v>388.00453142385612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192739</v>
      </c>
      <c r="B98" s="66">
        <v>192739</v>
      </c>
      <c r="D98">
        <f t="shared" si="4"/>
        <v>0.4097935075648691</v>
      </c>
      <c r="E98">
        <f t="shared" si="4"/>
        <v>0.4097935075648691</v>
      </c>
      <c r="G98">
        <f t="shared" ca="1" si="5"/>
        <v>96</v>
      </c>
      <c r="H98">
        <f t="shared" ca="1" si="6"/>
        <v>39.340176726227433</v>
      </c>
      <c r="I98">
        <f t="shared" ca="1" si="7"/>
        <v>351.02637312676063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201375</v>
      </c>
      <c r="B100" s="66">
        <v>201375</v>
      </c>
      <c r="D100">
        <f t="shared" si="4"/>
        <v>0.42815500540044055</v>
      </c>
      <c r="E100">
        <f t="shared" si="4"/>
        <v>0.42815500540044055</v>
      </c>
      <c r="G100">
        <f t="shared" ca="1" si="5"/>
        <v>98</v>
      </c>
      <c r="H100">
        <f t="shared" ca="1" si="6"/>
        <v>41.959190529243173</v>
      </c>
      <c r="I100">
        <f t="shared" ca="1" si="7"/>
        <v>318.34302537711466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218286</v>
      </c>
      <c r="B103" s="66">
        <v>218286</v>
      </c>
      <c r="D103">
        <f t="shared" si="4"/>
        <v>0.46411045814445967</v>
      </c>
      <c r="E103">
        <f t="shared" si="4"/>
        <v>0.46411045814445967</v>
      </c>
      <c r="G103">
        <f t="shared" ca="1" si="5"/>
        <v>101</v>
      </c>
      <c r="H103">
        <f t="shared" ca="1" si="6"/>
        <v>46.875156272590424</v>
      </c>
      <c r="I103">
        <f t="shared" ca="1" si="7"/>
        <v>273.32260748064022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230581</v>
      </c>
      <c r="B106" s="66">
        <v>230581</v>
      </c>
      <c r="D106">
        <f t="shared" si="4"/>
        <v>0.49025156697821964</v>
      </c>
      <c r="E106">
        <f t="shared" si="4"/>
        <v>0.49025156697821964</v>
      </c>
      <c r="G106">
        <f t="shared" ca="1" si="5"/>
        <v>104</v>
      </c>
      <c r="H106">
        <f t="shared" ca="1" si="6"/>
        <v>50.986162965734842</v>
      </c>
      <c r="I106">
        <f t="shared" ca="1" si="7"/>
        <v>221.74640053263505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237910</v>
      </c>
      <c r="B108" s="66">
        <v>237910</v>
      </c>
      <c r="D108">
        <f t="shared" si="4"/>
        <v>0.50583417670921815</v>
      </c>
      <c r="E108">
        <f t="shared" si="4"/>
        <v>0.50583417670921815</v>
      </c>
      <c r="G108">
        <f t="shared" ca="1" si="5"/>
        <v>106</v>
      </c>
      <c r="H108">
        <f t="shared" ca="1" si="6"/>
        <v>53.618422731177127</v>
      </c>
      <c r="I108">
        <f t="shared" ca="1" si="7"/>
        <v>187.7863836177514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265673</v>
      </c>
      <c r="B111" s="66">
        <v>265673</v>
      </c>
      <c r="D111">
        <f t="shared" si="4"/>
        <v>0.56486269273619483</v>
      </c>
      <c r="E111">
        <f t="shared" si="4"/>
        <v>0.56486269273619483</v>
      </c>
      <c r="G111">
        <f t="shared" ca="1" si="5"/>
        <v>109</v>
      </c>
      <c r="H111">
        <f t="shared" ca="1" si="6"/>
        <v>61.570033508245238</v>
      </c>
      <c r="I111">
        <f t="shared" ca="1" si="7"/>
        <v>149.48261086078728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289060</v>
      </c>
      <c r="B113" s="66">
        <v>289060</v>
      </c>
      <c r="D113">
        <f t="shared" si="4"/>
        <v>0.61458714269919967</v>
      </c>
      <c r="E113">
        <f t="shared" si="4"/>
        <v>0.61458714269919967</v>
      </c>
      <c r="G113">
        <f t="shared" ca="1" si="5"/>
        <v>111</v>
      </c>
      <c r="H113">
        <f t="shared" ca="1" si="6"/>
        <v>68.219172839611161</v>
      </c>
      <c r="I113">
        <f t="shared" ca="1" si="7"/>
        <v>125.1083357883002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310792</v>
      </c>
      <c r="B116" s="66">
        <v>310792</v>
      </c>
      <c r="D116">
        <f t="shared" si="4"/>
        <v>0.66079280168051502</v>
      </c>
      <c r="E116">
        <f t="shared" si="4"/>
        <v>0.66079280168051502</v>
      </c>
      <c r="G116">
        <f t="shared" ca="1" si="5"/>
        <v>114</v>
      </c>
      <c r="H116">
        <f t="shared" ca="1" si="6"/>
        <v>75.330379391578717</v>
      </c>
      <c r="I116">
        <f t="shared" ca="1" si="7"/>
        <v>83.893694173885805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360279</v>
      </c>
      <c r="B118" s="66">
        <v>360279</v>
      </c>
      <c r="D118">
        <f t="shared" si="4"/>
        <v>0.76600996742726413</v>
      </c>
      <c r="E118">
        <f t="shared" si="4"/>
        <v>0.76600996742726413</v>
      </c>
      <c r="G118">
        <f t="shared" ca="1" si="5"/>
        <v>116</v>
      </c>
      <c r="H118">
        <f t="shared" ca="1" si="6"/>
        <v>88.857156221562633</v>
      </c>
      <c r="I118">
        <f t="shared" ca="1" si="7"/>
        <v>65.791593993683975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383296</v>
      </c>
      <c r="B121" s="66">
        <v>383296</v>
      </c>
      <c r="D121">
        <f t="shared" si="4"/>
        <v>0.81494773904390938</v>
      </c>
      <c r="E121">
        <f t="shared" si="4"/>
        <v>0.81494773904390938</v>
      </c>
      <c r="G121">
        <f t="shared" ca="1" si="5"/>
        <v>119</v>
      </c>
      <c r="H121">
        <f t="shared" ca="1" si="6"/>
        <v>96.978780946225214</v>
      </c>
      <c r="I121">
        <f t="shared" ca="1" si="7"/>
        <v>32.013592431077605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400671</v>
      </c>
      <c r="B124" s="66">
        <v>400671</v>
      </c>
      <c r="D124">
        <f t="shared" si="4"/>
        <v>0.85188972895741732</v>
      </c>
      <c r="E124">
        <f t="shared" si="4"/>
        <v>0.85188972895741732</v>
      </c>
      <c r="G124">
        <f t="shared" ca="1" si="5"/>
        <v>122</v>
      </c>
      <c r="H124">
        <f t="shared" ca="1" si="6"/>
        <v>103.93054693280492</v>
      </c>
      <c r="I124">
        <f t="shared" ca="1" si="7"/>
        <v>9.0958900370461446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390847</v>
      </c>
      <c r="B126" s="66">
        <v>390847</v>
      </c>
      <c r="D126">
        <f t="shared" si="4"/>
        <v>0.83100235578272375</v>
      </c>
      <c r="E126">
        <f t="shared" si="4"/>
        <v>0.83100235578272375</v>
      </c>
      <c r="G126">
        <f t="shared" ca="1" si="5"/>
        <v>124</v>
      </c>
      <c r="H126">
        <f t="shared" ca="1" si="6"/>
        <v>103.04429211705775</v>
      </c>
      <c r="I126">
        <f t="shared" ca="1" si="7"/>
        <v>1.3352947512549249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420301</v>
      </c>
      <c r="B129" s="66">
        <v>420301</v>
      </c>
      <c r="D129">
        <f t="shared" si="4"/>
        <v>0.89362620446833296</v>
      </c>
      <c r="E129">
        <f t="shared" si="4"/>
        <v>0.89362620446833296</v>
      </c>
      <c r="G129">
        <f t="shared" ca="1" si="5"/>
        <v>127</v>
      </c>
      <c r="H129">
        <f t="shared" ca="1" si="6"/>
        <v>113.49052796747829</v>
      </c>
      <c r="I129">
        <f t="shared" ca="1" si="7"/>
        <v>2.6819125762981324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427422</v>
      </c>
      <c r="B131" s="66">
        <v>427422</v>
      </c>
      <c r="D131">
        <f t="shared" ref="D131:E194" si="8">IFERROR( A131/MAX(A$2:A$257), 0 )</f>
        <v>0.90876657339921585</v>
      </c>
      <c r="E131">
        <f t="shared" si="8"/>
        <v>0.90876657339921585</v>
      </c>
      <c r="G131">
        <f t="shared" ref="G131:G194" ca="1" si="9">CELL("row",D131)-2</f>
        <v>129</v>
      </c>
      <c r="H131">
        <f t="shared" ref="H131:H194" ca="1" si="10">D131*G131</f>
        <v>117.23088796849885</v>
      </c>
      <c r="I131">
        <f t="shared" ref="I131:I194" ca="1" si="11">D131*((G131-$L$1)^2)</f>
        <v>12.659751032672713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402610</v>
      </c>
      <c r="B134" s="66">
        <v>402610</v>
      </c>
      <c r="D134">
        <f t="shared" si="8"/>
        <v>0.8560123487238801</v>
      </c>
      <c r="E134">
        <f t="shared" si="8"/>
        <v>0.8560123487238801</v>
      </c>
      <c r="G134">
        <f t="shared" ca="1" si="9"/>
        <v>132</v>
      </c>
      <c r="H134">
        <f t="shared" ca="1" si="10"/>
        <v>112.99363003155217</v>
      </c>
      <c r="I134">
        <f t="shared" ca="1" si="11"/>
        <v>38.798763889724526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403338</v>
      </c>
      <c r="B136" s="66">
        <v>403338</v>
      </c>
      <c r="D136">
        <f t="shared" si="8"/>
        <v>0.85756019152428498</v>
      </c>
      <c r="E136">
        <f t="shared" si="8"/>
        <v>0.85756019152428498</v>
      </c>
      <c r="G136">
        <f t="shared" ca="1" si="9"/>
        <v>134</v>
      </c>
      <c r="H136">
        <f t="shared" ca="1" si="10"/>
        <v>114.91306566425419</v>
      </c>
      <c r="I136">
        <f t="shared" ca="1" si="11"/>
        <v>65.39286137941302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418558</v>
      </c>
      <c r="B139" s="66">
        <v>418558</v>
      </c>
      <c r="D139">
        <f t="shared" si="8"/>
        <v>0.88992031160967144</v>
      </c>
      <c r="E139">
        <f t="shared" si="8"/>
        <v>0.88992031160967144</v>
      </c>
      <c r="G139">
        <f t="shared" ca="1" si="9"/>
        <v>137</v>
      </c>
      <c r="H139">
        <f t="shared" ca="1" si="10"/>
        <v>121.91908269052499</v>
      </c>
      <c r="I139">
        <f t="shared" ca="1" si="11"/>
        <v>122.49650991713513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429698</v>
      </c>
      <c r="B142" s="66">
        <v>429698</v>
      </c>
      <c r="D142">
        <f t="shared" si="8"/>
        <v>0.91360570830817378</v>
      </c>
      <c r="E142">
        <f t="shared" si="8"/>
        <v>0.91360570830817378</v>
      </c>
      <c r="G142">
        <f t="shared" ca="1" si="9"/>
        <v>140</v>
      </c>
      <c r="H142">
        <f t="shared" ca="1" si="10"/>
        <v>127.90479916314433</v>
      </c>
      <c r="I142">
        <f t="shared" ca="1" si="11"/>
        <v>198.29187124151929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451698</v>
      </c>
      <c r="B144" s="66">
        <v>451698</v>
      </c>
      <c r="D144">
        <f t="shared" si="8"/>
        <v>0.96038117755117658</v>
      </c>
      <c r="E144">
        <f t="shared" si="8"/>
        <v>0.96038117755117658</v>
      </c>
      <c r="G144">
        <f t="shared" ca="1" si="9"/>
        <v>142</v>
      </c>
      <c r="H144">
        <f t="shared" ca="1" si="10"/>
        <v>136.37412721226707</v>
      </c>
      <c r="I144">
        <f t="shared" ca="1" si="11"/>
        <v>268.88051186428459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458566</v>
      </c>
      <c r="B147" s="66">
        <v>458566</v>
      </c>
      <c r="D147">
        <f t="shared" si="8"/>
        <v>0.97498362858576493</v>
      </c>
      <c r="E147">
        <f t="shared" si="8"/>
        <v>0.97498362858576493</v>
      </c>
      <c r="G147">
        <f t="shared" ca="1" si="9"/>
        <v>145</v>
      </c>
      <c r="H147">
        <f t="shared" ca="1" si="10"/>
        <v>141.37262614493591</v>
      </c>
      <c r="I147">
        <f t="shared" ca="1" si="11"/>
        <v>379.62645956572663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470332</v>
      </c>
      <c r="B149" s="66">
        <v>470332</v>
      </c>
      <c r="D149">
        <f t="shared" si="8"/>
        <v>1</v>
      </c>
      <c r="E149">
        <f t="shared" si="8"/>
        <v>1</v>
      </c>
      <c r="G149">
        <f t="shared" ca="1" si="9"/>
        <v>147</v>
      </c>
      <c r="H149">
        <f t="shared" ca="1" si="10"/>
        <v>147</v>
      </c>
      <c r="I149">
        <f t="shared" ca="1" si="11"/>
        <v>472.29654842478328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456856</v>
      </c>
      <c r="B152" s="66">
        <v>456856</v>
      </c>
      <c r="D152">
        <f t="shared" si="8"/>
        <v>0.97134789893096796</v>
      </c>
      <c r="E152">
        <f t="shared" si="8"/>
        <v>0.97134789893096796</v>
      </c>
      <c r="G152">
        <f t="shared" ca="1" si="9"/>
        <v>150</v>
      </c>
      <c r="H152">
        <f t="shared" ca="1" si="10"/>
        <v>145.70218483964518</v>
      </c>
      <c r="I152">
        <f t="shared" ca="1" si="11"/>
        <v>594.16462887067189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419008</v>
      </c>
      <c r="B154" s="66">
        <v>419008</v>
      </c>
      <c r="D154">
        <f t="shared" si="8"/>
        <v>0.89087708257146014</v>
      </c>
      <c r="E154">
        <f t="shared" si="8"/>
        <v>0.89087708257146014</v>
      </c>
      <c r="G154">
        <f t="shared" ca="1" si="9"/>
        <v>152</v>
      </c>
      <c r="H154">
        <f t="shared" ca="1" si="10"/>
        <v>135.41331655086194</v>
      </c>
      <c r="I154">
        <f t="shared" ca="1" si="11"/>
        <v>636.6389337755445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388836</v>
      </c>
      <c r="B157" s="66">
        <v>388836</v>
      </c>
      <c r="D157">
        <f t="shared" si="8"/>
        <v>0.82672665266237466</v>
      </c>
      <c r="E157">
        <f t="shared" si="8"/>
        <v>0.82672665266237466</v>
      </c>
      <c r="G157">
        <f t="shared" ca="1" si="9"/>
        <v>155</v>
      </c>
      <c r="H157">
        <f t="shared" ca="1" si="10"/>
        <v>128.14263116266807</v>
      </c>
      <c r="I157">
        <f t="shared" ca="1" si="11"/>
        <v>730.83851795075145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342580</v>
      </c>
      <c r="B160" s="66">
        <v>342580</v>
      </c>
      <c r="D160">
        <f t="shared" si="8"/>
        <v>0.72837910242126835</v>
      </c>
      <c r="E160">
        <f t="shared" si="8"/>
        <v>0.72837910242126835</v>
      </c>
      <c r="G160">
        <f t="shared" ca="1" si="9"/>
        <v>158</v>
      </c>
      <c r="H160">
        <f t="shared" ca="1" si="10"/>
        <v>115.0838981825604</v>
      </c>
      <c r="I160">
        <f t="shared" ca="1" si="11"/>
        <v>780.39193571423618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297982</v>
      </c>
      <c r="B162" s="66">
        <v>297982</v>
      </c>
      <c r="D162">
        <f t="shared" si="8"/>
        <v>0.63355672163493026</v>
      </c>
      <c r="E162">
        <f t="shared" si="8"/>
        <v>0.63355672163493026</v>
      </c>
      <c r="G162">
        <f t="shared" ca="1" si="9"/>
        <v>160</v>
      </c>
      <c r="H162">
        <f t="shared" ca="1" si="10"/>
        <v>101.36907546158884</v>
      </c>
      <c r="I162">
        <f t="shared" ca="1" si="11"/>
        <v>764.28389870881415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258506</v>
      </c>
      <c r="B165" s="66">
        <v>258506</v>
      </c>
      <c r="D165">
        <f t="shared" si="8"/>
        <v>0.54962452055144029</v>
      </c>
      <c r="E165">
        <f t="shared" si="8"/>
        <v>0.54962452055144029</v>
      </c>
      <c r="G165">
        <f t="shared" ca="1" si="9"/>
        <v>163</v>
      </c>
      <c r="H165">
        <f t="shared" ca="1" si="10"/>
        <v>89.588796849884773</v>
      </c>
      <c r="I165">
        <f t="shared" ca="1" si="11"/>
        <v>782.51849141238904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228073</v>
      </c>
      <c r="B167" s="66">
        <v>228073</v>
      </c>
      <c r="D167">
        <f t="shared" si="8"/>
        <v>0.4849191634845173</v>
      </c>
      <c r="E167">
        <f t="shared" si="8"/>
        <v>0.4849191634845173</v>
      </c>
      <c r="G167">
        <f t="shared" ca="1" si="9"/>
        <v>165</v>
      </c>
      <c r="H167">
        <f t="shared" ca="1" si="10"/>
        <v>80.011661974945355</v>
      </c>
      <c r="I167">
        <f t="shared" ca="1" si="11"/>
        <v>765.52365075708815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208296</v>
      </c>
      <c r="B170" s="66">
        <v>208296</v>
      </c>
      <c r="D170">
        <f t="shared" si="8"/>
        <v>0.44287014279275067</v>
      </c>
      <c r="E170">
        <f t="shared" si="8"/>
        <v>0.44287014279275067</v>
      </c>
      <c r="G170">
        <f t="shared" ca="1" si="9"/>
        <v>168</v>
      </c>
      <c r="H170">
        <f t="shared" ca="1" si="10"/>
        <v>74.402183989182106</v>
      </c>
      <c r="I170">
        <f t="shared" ca="1" si="11"/>
        <v>808.70599562940424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181940</v>
      </c>
      <c r="B173" s="66">
        <v>181940</v>
      </c>
      <c r="D173">
        <f t="shared" si="8"/>
        <v>0.38683313063963326</v>
      </c>
      <c r="E173">
        <f t="shared" si="8"/>
        <v>0.38683313063963326</v>
      </c>
      <c r="G173">
        <f t="shared" ca="1" si="9"/>
        <v>171</v>
      </c>
      <c r="H173">
        <f t="shared" ca="1" si="10"/>
        <v>66.148465339377282</v>
      </c>
      <c r="I173">
        <f t="shared" ca="1" si="11"/>
        <v>809.04254490501148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162529</v>
      </c>
      <c r="B175" s="66">
        <v>162529</v>
      </c>
      <c r="D175">
        <f t="shared" si="8"/>
        <v>0.34556228366345476</v>
      </c>
      <c r="E175">
        <f t="shared" si="8"/>
        <v>0.34556228366345476</v>
      </c>
      <c r="G175">
        <f t="shared" ca="1" si="9"/>
        <v>173</v>
      </c>
      <c r="H175">
        <f t="shared" ca="1" si="10"/>
        <v>59.782275073777676</v>
      </c>
      <c r="I175">
        <f t="shared" ca="1" si="11"/>
        <v>787.32238840826699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131991</v>
      </c>
      <c r="B178" s="66">
        <v>131991</v>
      </c>
      <c r="D178">
        <f t="shared" si="8"/>
        <v>0.28063368003878114</v>
      </c>
      <c r="E178">
        <f t="shared" si="8"/>
        <v>0.28063368003878114</v>
      </c>
      <c r="G178">
        <f t="shared" ca="1" si="9"/>
        <v>176</v>
      </c>
      <c r="H178">
        <f t="shared" ca="1" si="10"/>
        <v>49.391527686825484</v>
      </c>
      <c r="I178">
        <f t="shared" ca="1" si="11"/>
        <v>722.28791221727749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114566</v>
      </c>
      <c r="B180" s="66">
        <v>114566</v>
      </c>
      <c r="D180">
        <f t="shared" si="8"/>
        <v>0.24358538224063003</v>
      </c>
      <c r="E180">
        <f t="shared" si="8"/>
        <v>0.24358538224063003</v>
      </c>
      <c r="G180">
        <f t="shared" ca="1" si="9"/>
        <v>178</v>
      </c>
      <c r="H180">
        <f t="shared" ca="1" si="10"/>
        <v>43.358198038832143</v>
      </c>
      <c r="I180">
        <f t="shared" ca="1" si="11"/>
        <v>677.33894540678284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86307</v>
      </c>
      <c r="B183" s="66">
        <v>86307</v>
      </c>
      <c r="D183">
        <f t="shared" si="8"/>
        <v>0.18350229199799289</v>
      </c>
      <c r="E183">
        <f t="shared" si="8"/>
        <v>0.18350229199799289</v>
      </c>
      <c r="G183">
        <f t="shared" ca="1" si="9"/>
        <v>181</v>
      </c>
      <c r="H183">
        <f t="shared" ca="1" si="10"/>
        <v>33.213914851636716</v>
      </c>
      <c r="I183">
        <f t="shared" ca="1" si="11"/>
        <v>569.9762331498797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67966</v>
      </c>
      <c r="B185" s="66">
        <v>67966</v>
      </c>
      <c r="D185">
        <f t="shared" si="8"/>
        <v>0.14450643375317859</v>
      </c>
      <c r="E185">
        <f t="shared" si="8"/>
        <v>0.14450643375317859</v>
      </c>
      <c r="G185">
        <f t="shared" ca="1" si="9"/>
        <v>183</v>
      </c>
      <c r="H185">
        <f t="shared" ca="1" si="10"/>
        <v>26.444677376831681</v>
      </c>
      <c r="I185">
        <f t="shared" ca="1" si="11"/>
        <v>481.64402642720557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40802</v>
      </c>
      <c r="B188" s="66">
        <v>40802</v>
      </c>
      <c r="D188">
        <f t="shared" si="8"/>
        <v>8.6751486184227317E-2</v>
      </c>
      <c r="E188">
        <f t="shared" si="8"/>
        <v>8.6751486184227317E-2</v>
      </c>
      <c r="G188">
        <f t="shared" ca="1" si="9"/>
        <v>186</v>
      </c>
      <c r="H188">
        <f t="shared" ca="1" si="10"/>
        <v>16.135776430266279</v>
      </c>
      <c r="I188">
        <f t="shared" ca="1" si="11"/>
        <v>319.97613889610466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23175</v>
      </c>
      <c r="B191" s="66">
        <v>23175</v>
      </c>
      <c r="D191">
        <f t="shared" si="8"/>
        <v>4.927370453211774E-2</v>
      </c>
      <c r="E191">
        <f t="shared" si="8"/>
        <v>4.927370453211774E-2</v>
      </c>
      <c r="G191">
        <f t="shared" ca="1" si="9"/>
        <v>189</v>
      </c>
      <c r="H191">
        <f t="shared" ca="1" si="10"/>
        <v>9.312730156570252</v>
      </c>
      <c r="I191">
        <f t="shared" ca="1" si="11"/>
        <v>200.14076433216229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13632</v>
      </c>
      <c r="B193" s="66">
        <v>13632</v>
      </c>
      <c r="D193">
        <f t="shared" si="8"/>
        <v>2.8983781669118837E-2</v>
      </c>
      <c r="E193">
        <f t="shared" si="8"/>
        <v>2.8983781669118837E-2</v>
      </c>
      <c r="G193">
        <f t="shared" ca="1" si="9"/>
        <v>191</v>
      </c>
      <c r="H193">
        <f t="shared" ca="1" si="10"/>
        <v>5.5359022988016982</v>
      </c>
      <c r="I193">
        <f t="shared" ca="1" si="11"/>
        <v>125.23157057962922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4833</v>
      </c>
      <c r="B196" s="66">
        <v>4833</v>
      </c>
      <c r="D196">
        <f t="shared" si="12"/>
        <v>1.0275720129610573E-2</v>
      </c>
      <c r="E196">
        <f t="shared" si="12"/>
        <v>1.0275720129610573E-2</v>
      </c>
      <c r="G196">
        <f t="shared" ca="1" si="13"/>
        <v>194</v>
      </c>
      <c r="H196">
        <f t="shared" ca="1" si="14"/>
        <v>1.9934897051444511</v>
      </c>
      <c r="I196">
        <f t="shared" ca="1" si="15"/>
        <v>48.543947872861111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1967</v>
      </c>
      <c r="B198" s="66">
        <v>1967</v>
      </c>
      <c r="D198">
        <f t="shared" si="12"/>
        <v>4.1821521818630244E-3</v>
      </c>
      <c r="E198">
        <f t="shared" si="12"/>
        <v>4.1821521818630244E-3</v>
      </c>
      <c r="G198">
        <f t="shared" ca="1" si="13"/>
        <v>196</v>
      </c>
      <c r="H198">
        <f t="shared" ca="1" si="14"/>
        <v>0.81970182764515276</v>
      </c>
      <c r="I198">
        <f t="shared" ca="1" si="15"/>
        <v>20.923601192635711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229</v>
      </c>
      <c r="B201" s="66">
        <v>229</v>
      </c>
      <c r="D201">
        <f t="shared" si="12"/>
        <v>4.8689011166580201E-4</v>
      </c>
      <c r="E201">
        <f t="shared" si="12"/>
        <v>4.8689011166580201E-4</v>
      </c>
      <c r="G201">
        <f t="shared" ca="1" si="13"/>
        <v>199</v>
      </c>
      <c r="H201">
        <f t="shared" ca="1" si="14"/>
        <v>9.6891132221494605E-2</v>
      </c>
      <c r="I201">
        <f t="shared" ca="1" si="15"/>
        <v>2.6469608396168867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118.65135060184846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2.2908597884966535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0.74075413247173694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138</v>
      </c>
      <c r="B8" s="66">
        <v>138</v>
      </c>
      <c r="D8">
        <f t="shared" si="0"/>
        <v>7.9236572845970993E-2</v>
      </c>
      <c r="E8">
        <f t="shared" si="1"/>
        <v>7.9236572845970993E-2</v>
      </c>
      <c r="G8">
        <f t="shared" ca="1" si="2"/>
        <v>6</v>
      </c>
      <c r="H8">
        <f t="shared" ca="1" si="3"/>
        <v>0.47541943707582596</v>
      </c>
      <c r="I8">
        <f t="shared" ca="1" si="4"/>
        <v>1005.5380033268111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421</v>
      </c>
      <c r="B10" s="66">
        <v>421</v>
      </c>
      <c r="D10">
        <f t="shared" si="0"/>
        <v>0.24172896498662166</v>
      </c>
      <c r="E10">
        <f t="shared" si="1"/>
        <v>0.24172896498662166</v>
      </c>
      <c r="G10">
        <f t="shared" ca="1" si="2"/>
        <v>8</v>
      </c>
      <c r="H10">
        <f t="shared" ca="1" si="3"/>
        <v>1.9338317198929733</v>
      </c>
      <c r="I10">
        <f t="shared" ca="1" si="4"/>
        <v>2959.6620991924492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1193</v>
      </c>
      <c r="B13" s="66">
        <v>1193</v>
      </c>
      <c r="D13">
        <f t="shared" si="0"/>
        <v>0.68499443047277819</v>
      </c>
      <c r="E13">
        <f t="shared" si="1"/>
        <v>0.68499443047277819</v>
      </c>
      <c r="G13">
        <f t="shared" ca="1" si="2"/>
        <v>11</v>
      </c>
      <c r="H13">
        <f t="shared" ca="1" si="3"/>
        <v>7.5349387352005603</v>
      </c>
      <c r="I13">
        <f t="shared" ca="1" si="4"/>
        <v>7938.2725569743707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2545</v>
      </c>
      <c r="B15" s="66">
        <v>2545</v>
      </c>
      <c r="D15">
        <f t="shared" si="0"/>
        <v>1.4612831731376534</v>
      </c>
      <c r="E15">
        <f t="shared" si="1"/>
        <v>1.4612831731376534</v>
      </c>
      <c r="G15">
        <f t="shared" ca="1" si="2"/>
        <v>13</v>
      </c>
      <c r="H15">
        <f t="shared" ca="1" si="3"/>
        <v>18.996681250789493</v>
      </c>
      <c r="I15">
        <f t="shared" ca="1" si="4"/>
        <v>16311.146555945916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5015</v>
      </c>
      <c r="B18" s="66">
        <v>5015</v>
      </c>
      <c r="D18">
        <f t="shared" si="0"/>
        <v>2.8795029914677142</v>
      </c>
      <c r="E18">
        <f t="shared" si="1"/>
        <v>2.8795029914677142</v>
      </c>
      <c r="G18">
        <f t="shared" ca="1" si="2"/>
        <v>16</v>
      </c>
      <c r="H18">
        <f t="shared" ca="1" si="3"/>
        <v>46.072047863483427</v>
      </c>
      <c r="I18">
        <f t="shared" ca="1" si="4"/>
        <v>30342.186239606708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10501</v>
      </c>
      <c r="B21" s="66">
        <v>10501</v>
      </c>
      <c r="D21">
        <f t="shared" si="0"/>
        <v>6.0294438511271116</v>
      </c>
      <c r="E21">
        <f t="shared" si="1"/>
        <v>6.0294438511271116</v>
      </c>
      <c r="G21">
        <f t="shared" ca="1" si="2"/>
        <v>19</v>
      </c>
      <c r="H21">
        <f t="shared" ca="1" si="3"/>
        <v>114.55943317141512</v>
      </c>
      <c r="I21">
        <f t="shared" ca="1" si="4"/>
        <v>59874.739034799939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13941</v>
      </c>
      <c r="B23" s="66">
        <v>13941</v>
      </c>
      <c r="D23">
        <f t="shared" si="0"/>
        <v>8.0046163916353734</v>
      </c>
      <c r="E23">
        <f t="shared" si="1"/>
        <v>8.0046163916353734</v>
      </c>
      <c r="G23">
        <f t="shared" ca="1" si="2"/>
        <v>21</v>
      </c>
      <c r="H23">
        <f t="shared" ca="1" si="3"/>
        <v>168.09694422434285</v>
      </c>
      <c r="I23">
        <f t="shared" ca="1" si="4"/>
        <v>76330.311118914717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16029</v>
      </c>
      <c r="B26" s="66">
        <v>16029</v>
      </c>
      <c r="D26">
        <f t="shared" si="0"/>
        <v>9.2035001894787616</v>
      </c>
      <c r="E26">
        <f t="shared" si="1"/>
        <v>9.2035001894787616</v>
      </c>
      <c r="G26">
        <f t="shared" ca="1" si="2"/>
        <v>24</v>
      </c>
      <c r="H26">
        <f t="shared" ca="1" si="3"/>
        <v>220.88400454749029</v>
      </c>
      <c r="I26">
        <f t="shared" ca="1" si="4"/>
        <v>82453.036942051956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18573</v>
      </c>
      <c r="B28" s="66">
        <v>18573</v>
      </c>
      <c r="D28">
        <f t="shared" si="0"/>
        <v>10.664209184552313</v>
      </c>
      <c r="E28">
        <f t="shared" si="1"/>
        <v>10.664209184552313</v>
      </c>
      <c r="G28">
        <f t="shared" ca="1" si="2"/>
        <v>26</v>
      </c>
      <c r="H28">
        <f t="shared" ca="1" si="3"/>
        <v>277.26943879836011</v>
      </c>
      <c r="I28">
        <f t="shared" ca="1" si="4"/>
        <v>91544.48049890461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20012</v>
      </c>
      <c r="B31" s="66">
        <v>20012</v>
      </c>
      <c r="D31">
        <f t="shared" si="0"/>
        <v>11.490451418793997</v>
      </c>
      <c r="E31">
        <f t="shared" si="1"/>
        <v>11.490451418793997</v>
      </c>
      <c r="G31">
        <f t="shared" ca="1" si="2"/>
        <v>29</v>
      </c>
      <c r="H31">
        <f t="shared" ca="1" si="3"/>
        <v>333.22309114502593</v>
      </c>
      <c r="I31">
        <f t="shared" ca="1" si="4"/>
        <v>92352.948215275392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22089</v>
      </c>
      <c r="B33" s="66">
        <v>22089</v>
      </c>
      <c r="D33">
        <f t="shared" si="0"/>
        <v>12.683019257932269</v>
      </c>
      <c r="E33">
        <f t="shared" si="1"/>
        <v>12.683019257932269</v>
      </c>
      <c r="G33">
        <f t="shared" ca="1" si="2"/>
        <v>31</v>
      </c>
      <c r="H33">
        <f t="shared" ca="1" si="3"/>
        <v>393.17359699590037</v>
      </c>
      <c r="I33">
        <f t="shared" ca="1" si="4"/>
        <v>97440.583678165582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23144</v>
      </c>
      <c r="B36" s="66">
        <v>23144</v>
      </c>
      <c r="D36">
        <f t="shared" si="0"/>
        <v>13.288777115559077</v>
      </c>
      <c r="E36">
        <f t="shared" si="1"/>
        <v>13.288777115559077</v>
      </c>
      <c r="G36">
        <f t="shared" ca="1" si="2"/>
        <v>34</v>
      </c>
      <c r="H36">
        <f t="shared" ca="1" si="3"/>
        <v>451.81842192900859</v>
      </c>
      <c r="I36">
        <f t="shared" ca="1" si="4"/>
        <v>95225.398891461897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29164</v>
      </c>
      <c r="B39" s="66">
        <v>29164</v>
      </c>
      <c r="D39">
        <f t="shared" si="0"/>
        <v>16.745329061448537</v>
      </c>
      <c r="E39">
        <f t="shared" si="1"/>
        <v>16.745329061448537</v>
      </c>
      <c r="G39">
        <f t="shared" ca="1" si="2"/>
        <v>37</v>
      </c>
      <c r="H39">
        <f t="shared" ca="1" si="3"/>
        <v>619.57717527359591</v>
      </c>
      <c r="I39">
        <f t="shared" ca="1" si="4"/>
        <v>111640.15529168866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30808</v>
      </c>
      <c r="B41" s="66">
        <v>30808</v>
      </c>
      <c r="D41">
        <f t="shared" si="0"/>
        <v>17.689277798830972</v>
      </c>
      <c r="E41">
        <f t="shared" si="1"/>
        <v>17.689277798830972</v>
      </c>
      <c r="G41">
        <f t="shared" ca="1" si="2"/>
        <v>39</v>
      </c>
      <c r="H41">
        <f t="shared" ca="1" si="3"/>
        <v>689.8818341544079</v>
      </c>
      <c r="I41">
        <f t="shared" ca="1" si="4"/>
        <v>112226.75118816849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40788</v>
      </c>
      <c r="B44" s="66">
        <v>40788</v>
      </c>
      <c r="D44">
        <f t="shared" si="0"/>
        <v>23.419574878561338</v>
      </c>
      <c r="E44">
        <f t="shared" si="1"/>
        <v>23.419574878561338</v>
      </c>
      <c r="G44">
        <f t="shared" ca="1" si="2"/>
        <v>42</v>
      </c>
      <c r="H44">
        <f t="shared" ca="1" si="3"/>
        <v>983.62214489957626</v>
      </c>
      <c r="I44">
        <f t="shared" ca="1" si="4"/>
        <v>137600.06226856646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44280</v>
      </c>
      <c r="B46" s="66">
        <v>44280</v>
      </c>
      <c r="D46">
        <f t="shared" si="0"/>
        <v>25.424604678402865</v>
      </c>
      <c r="E46">
        <f t="shared" si="1"/>
        <v>25.424604678402865</v>
      </c>
      <c r="G46">
        <f t="shared" ca="1" si="2"/>
        <v>44</v>
      </c>
      <c r="H46">
        <f t="shared" ca="1" si="3"/>
        <v>1118.6826058497261</v>
      </c>
      <c r="I46">
        <f t="shared" ca="1" si="4"/>
        <v>141686.85087159934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46110</v>
      </c>
      <c r="B49" s="66">
        <v>46110</v>
      </c>
      <c r="D49">
        <f t="shared" si="0"/>
        <v>26.475350535708134</v>
      </c>
      <c r="E49">
        <f t="shared" si="1"/>
        <v>26.475350535708134</v>
      </c>
      <c r="G49">
        <f t="shared" ca="1" si="2"/>
        <v>47</v>
      </c>
      <c r="H49">
        <f t="shared" ca="1" si="3"/>
        <v>1244.3414751782823</v>
      </c>
      <c r="I49">
        <f t="shared" ca="1" si="4"/>
        <v>135922.2268611477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49188</v>
      </c>
      <c r="B51" s="66">
        <v>49188</v>
      </c>
      <c r="D51">
        <f t="shared" si="0"/>
        <v>28.242670617011747</v>
      </c>
      <c r="E51">
        <f t="shared" si="1"/>
        <v>28.242670617011747</v>
      </c>
      <c r="G51">
        <f t="shared" ca="1" si="2"/>
        <v>49</v>
      </c>
      <c r="H51">
        <f t="shared" ca="1" si="3"/>
        <v>1383.8908602335755</v>
      </c>
      <c r="I51">
        <f t="shared" ca="1" si="4"/>
        <v>137013.96848501026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47800</v>
      </c>
      <c r="B54" s="66">
        <v>47800</v>
      </c>
      <c r="D54">
        <f t="shared" si="0"/>
        <v>27.445711464039228</v>
      </c>
      <c r="E54">
        <f t="shared" si="1"/>
        <v>27.445711464039228</v>
      </c>
      <c r="G54">
        <f t="shared" ca="1" si="2"/>
        <v>52</v>
      </c>
      <c r="H54">
        <f t="shared" ca="1" si="3"/>
        <v>1427.1769961300399</v>
      </c>
      <c r="I54">
        <f t="shared" ca="1" si="4"/>
        <v>121924.89823900454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52990</v>
      </c>
      <c r="B57" s="66">
        <v>52990</v>
      </c>
      <c r="D57">
        <f t="shared" si="0"/>
        <v>30.42569561672466</v>
      </c>
      <c r="E57">
        <f t="shared" si="1"/>
        <v>30.42569561672466</v>
      </c>
      <c r="G57">
        <f t="shared" ca="1" si="2"/>
        <v>55</v>
      </c>
      <c r="H57">
        <f t="shared" ca="1" si="3"/>
        <v>1673.4132589198564</v>
      </c>
      <c r="I57">
        <f t="shared" ca="1" si="4"/>
        <v>123269.53642468258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56361</v>
      </c>
      <c r="B59" s="66">
        <v>56361</v>
      </c>
      <c r="D59">
        <f t="shared" si="0"/>
        <v>32.361249870809935</v>
      </c>
      <c r="E59">
        <f t="shared" si="1"/>
        <v>32.361249870809935</v>
      </c>
      <c r="G59">
        <f t="shared" ca="1" si="2"/>
        <v>57</v>
      </c>
      <c r="H59">
        <f t="shared" ca="1" si="3"/>
        <v>1844.5912426361663</v>
      </c>
      <c r="I59">
        <f t="shared" ca="1" si="4"/>
        <v>123001.51966444853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67504</v>
      </c>
      <c r="B62" s="66">
        <v>67504</v>
      </c>
      <c r="D62">
        <f t="shared" si="0"/>
        <v>38.759316039090045</v>
      </c>
      <c r="E62">
        <f t="shared" si="1"/>
        <v>38.759316039090045</v>
      </c>
      <c r="G62">
        <f t="shared" ca="1" si="2"/>
        <v>60</v>
      </c>
      <c r="H62">
        <f t="shared" ca="1" si="3"/>
        <v>2325.5589623454025</v>
      </c>
      <c r="I62">
        <f t="shared" ca="1" si="4"/>
        <v>133331.30793435068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63455</v>
      </c>
      <c r="B64" s="66">
        <v>63455</v>
      </c>
      <c r="D64">
        <f t="shared" si="0"/>
        <v>36.434469057544128</v>
      </c>
      <c r="E64">
        <f t="shared" si="1"/>
        <v>36.434469057544128</v>
      </c>
      <c r="G64">
        <f t="shared" ca="1" si="2"/>
        <v>62</v>
      </c>
      <c r="H64">
        <f t="shared" ca="1" si="3"/>
        <v>2258.9370815677357</v>
      </c>
      <c r="I64">
        <f t="shared" ca="1" si="4"/>
        <v>116931.89326014587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58977</v>
      </c>
      <c r="B67" s="66">
        <v>58977</v>
      </c>
      <c r="D67">
        <f t="shared" ref="D67:D130" si="5">IFERROR( 100*A67/MAX(A$2:A$257), 0 )</f>
        <v>33.863299686498777</v>
      </c>
      <c r="E67">
        <f t="shared" ref="E67:E130" si="6">IFERROR( 100*B67/MAX(B$2:B$257), 0 )</f>
        <v>33.863299686498777</v>
      </c>
      <c r="G67">
        <f t="shared" ref="G67:G130" ca="1" si="7">CELL("row",D67)-2</f>
        <v>65</v>
      </c>
      <c r="H67">
        <f t="shared" ref="H67:H130" ca="1" si="8">D67*G67</f>
        <v>2201.1144796224207</v>
      </c>
      <c r="I67">
        <f t="shared" ref="I67:I130" ca="1" si="9">D67*((G67-$L$1)^2)</f>
        <v>97474.404928775053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60291</v>
      </c>
      <c r="B69" s="66">
        <v>60291</v>
      </c>
      <c r="D69">
        <f t="shared" si="5"/>
        <v>34.617769662727802</v>
      </c>
      <c r="E69">
        <f t="shared" si="6"/>
        <v>34.617769662727802</v>
      </c>
      <c r="G69">
        <f t="shared" ca="1" si="7"/>
        <v>67</v>
      </c>
      <c r="H69">
        <f t="shared" ca="1" si="8"/>
        <v>2319.3905674027628</v>
      </c>
      <c r="I69">
        <f t="shared" ca="1" si="9"/>
        <v>92355.432865511335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56150</v>
      </c>
      <c r="B72" s="66">
        <v>56150</v>
      </c>
      <c r="D72">
        <f t="shared" si="5"/>
        <v>32.240098299284575</v>
      </c>
      <c r="E72">
        <f t="shared" si="6"/>
        <v>32.240098299284575</v>
      </c>
      <c r="G72">
        <f t="shared" ca="1" si="7"/>
        <v>70</v>
      </c>
      <c r="H72">
        <f t="shared" ca="1" si="8"/>
        <v>2256.8068809499205</v>
      </c>
      <c r="I72">
        <f t="shared" ca="1" si="9"/>
        <v>76310.826901856053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62897</v>
      </c>
      <c r="B75" s="66">
        <v>62897</v>
      </c>
      <c r="D75">
        <f t="shared" si="5"/>
        <v>36.114077697775635</v>
      </c>
      <c r="E75">
        <f t="shared" si="6"/>
        <v>36.114077697775635</v>
      </c>
      <c r="G75">
        <f t="shared" ca="1" si="7"/>
        <v>73</v>
      </c>
      <c r="H75">
        <f t="shared" ca="1" si="8"/>
        <v>2636.3276719376213</v>
      </c>
      <c r="I75">
        <f t="shared" ca="1" si="9"/>
        <v>75263.392372090035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63459</v>
      </c>
      <c r="B77" s="66">
        <v>63459</v>
      </c>
      <c r="D77">
        <f t="shared" si="5"/>
        <v>36.43676576980053</v>
      </c>
      <c r="E77">
        <f t="shared" si="6"/>
        <v>36.43676576980053</v>
      </c>
      <c r="G77">
        <f t="shared" ca="1" si="7"/>
        <v>75</v>
      </c>
      <c r="H77">
        <f t="shared" ca="1" si="8"/>
        <v>2732.7574327350399</v>
      </c>
      <c r="I77">
        <f t="shared" ca="1" si="9"/>
        <v>69428.08588436342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67496</v>
      </c>
      <c r="B80" s="66">
        <v>67496</v>
      </c>
      <c r="D80">
        <f t="shared" si="5"/>
        <v>38.754722614577233</v>
      </c>
      <c r="E80">
        <f t="shared" si="6"/>
        <v>38.754722614577233</v>
      </c>
      <c r="G80">
        <f t="shared" ca="1" si="7"/>
        <v>78</v>
      </c>
      <c r="H80">
        <f t="shared" ca="1" si="8"/>
        <v>3022.8683639370242</v>
      </c>
      <c r="I80">
        <f t="shared" ca="1" si="9"/>
        <v>64043.431121139714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65487</v>
      </c>
      <c r="B82" s="66">
        <v>65487</v>
      </c>
      <c r="D82">
        <f t="shared" si="5"/>
        <v>37.601198883797842</v>
      </c>
      <c r="E82">
        <f t="shared" si="6"/>
        <v>37.601198883797842</v>
      </c>
      <c r="G82">
        <f t="shared" ca="1" si="7"/>
        <v>80</v>
      </c>
      <c r="H82">
        <f t="shared" ca="1" si="8"/>
        <v>3008.0959107038275</v>
      </c>
      <c r="I82">
        <f t="shared" ca="1" si="9"/>
        <v>56173.442610607221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73603</v>
      </c>
      <c r="B85" s="66">
        <v>73603</v>
      </c>
      <c r="D85">
        <f t="shared" si="5"/>
        <v>42.261228052043499</v>
      </c>
      <c r="E85">
        <f t="shared" si="6"/>
        <v>42.261228052043499</v>
      </c>
      <c r="G85">
        <f t="shared" ca="1" si="7"/>
        <v>83</v>
      </c>
      <c r="H85">
        <f t="shared" ca="1" si="8"/>
        <v>3507.6819283196105</v>
      </c>
      <c r="I85">
        <f t="shared" ca="1" si="9"/>
        <v>53714.815354074351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77518</v>
      </c>
      <c r="B88" s="66">
        <v>77518</v>
      </c>
      <c r="D88">
        <f t="shared" si="5"/>
        <v>44.509135172999848</v>
      </c>
      <c r="E88">
        <f t="shared" si="6"/>
        <v>44.509135172999848</v>
      </c>
      <c r="G88">
        <f t="shared" ca="1" si="7"/>
        <v>86</v>
      </c>
      <c r="H88">
        <f t="shared" ca="1" si="8"/>
        <v>3827.7856248779867</v>
      </c>
      <c r="I88">
        <f t="shared" ca="1" si="9"/>
        <v>47451.66508320102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79305</v>
      </c>
      <c r="B90" s="66">
        <v>79305</v>
      </c>
      <c r="D90">
        <f t="shared" si="5"/>
        <v>45.535191373548763</v>
      </c>
      <c r="E90">
        <f t="shared" si="6"/>
        <v>45.535191373548763</v>
      </c>
      <c r="G90">
        <f t="shared" ca="1" si="7"/>
        <v>88</v>
      </c>
      <c r="H90">
        <f t="shared" ca="1" si="8"/>
        <v>4007.0968408722911</v>
      </c>
      <c r="I90">
        <f t="shared" ca="1" si="9"/>
        <v>42780.553345885593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80490</v>
      </c>
      <c r="B93" s="66">
        <v>80490</v>
      </c>
      <c r="D93">
        <f t="shared" si="5"/>
        <v>46.215592379508735</v>
      </c>
      <c r="E93">
        <f t="shared" si="6"/>
        <v>46.215592379508735</v>
      </c>
      <c r="G93">
        <f t="shared" ca="1" si="7"/>
        <v>91</v>
      </c>
      <c r="H93">
        <f t="shared" ca="1" si="8"/>
        <v>4205.6189065352946</v>
      </c>
      <c r="I93">
        <f t="shared" ca="1" si="9"/>
        <v>35336.312072472603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78695</v>
      </c>
      <c r="B95" s="66">
        <v>78695</v>
      </c>
      <c r="D95">
        <f t="shared" si="5"/>
        <v>45.184942754447007</v>
      </c>
      <c r="E95">
        <f t="shared" si="6"/>
        <v>45.184942754447007</v>
      </c>
      <c r="G95">
        <f t="shared" ca="1" si="7"/>
        <v>93</v>
      </c>
      <c r="H95">
        <f t="shared" ca="1" si="8"/>
        <v>4202.1996761635719</v>
      </c>
      <c r="I95">
        <f t="shared" ca="1" si="9"/>
        <v>29731.321260073371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84469</v>
      </c>
      <c r="B98" s="66">
        <v>84469</v>
      </c>
      <c r="D98">
        <f t="shared" si="5"/>
        <v>48.50024689656756</v>
      </c>
      <c r="E98">
        <f t="shared" si="6"/>
        <v>48.50024689656756</v>
      </c>
      <c r="G98">
        <f t="shared" ca="1" si="7"/>
        <v>96</v>
      </c>
      <c r="H98">
        <f t="shared" ca="1" si="8"/>
        <v>4656.0237020704863</v>
      </c>
      <c r="I98">
        <f t="shared" ca="1" si="9"/>
        <v>24884.685356861719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88452</v>
      </c>
      <c r="B100" s="66">
        <v>88452</v>
      </c>
      <c r="D100">
        <f t="shared" si="5"/>
        <v>50.787198125882796</v>
      </c>
      <c r="E100">
        <f t="shared" si="6"/>
        <v>50.787198125882796</v>
      </c>
      <c r="G100">
        <f t="shared" ca="1" si="7"/>
        <v>98</v>
      </c>
      <c r="H100">
        <f t="shared" ca="1" si="8"/>
        <v>4977.1454163365142</v>
      </c>
      <c r="I100">
        <f t="shared" ca="1" si="9"/>
        <v>21659.636988091923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94429</v>
      </c>
      <c r="B103" s="66">
        <v>94429</v>
      </c>
      <c r="D103">
        <f t="shared" si="5"/>
        <v>54.219060415015903</v>
      </c>
      <c r="E103">
        <f t="shared" si="6"/>
        <v>54.219060415015903</v>
      </c>
      <c r="G103">
        <f t="shared" ca="1" si="7"/>
        <v>101</v>
      </c>
      <c r="H103">
        <f t="shared" ca="1" si="8"/>
        <v>5476.1251019166066</v>
      </c>
      <c r="I103">
        <f t="shared" ca="1" si="9"/>
        <v>16893.042308260767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94564</v>
      </c>
      <c r="B106" s="66">
        <v>94564</v>
      </c>
      <c r="D106">
        <f t="shared" si="5"/>
        <v>54.296574453669571</v>
      </c>
      <c r="E106">
        <f t="shared" si="6"/>
        <v>54.296574453669571</v>
      </c>
      <c r="G106">
        <f t="shared" ca="1" si="7"/>
        <v>104</v>
      </c>
      <c r="H106">
        <f t="shared" ca="1" si="8"/>
        <v>5646.8437431816355</v>
      </c>
      <c r="I106">
        <f t="shared" ca="1" si="9"/>
        <v>11655.41530820345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95314</v>
      </c>
      <c r="B108" s="66">
        <v>95314</v>
      </c>
      <c r="D108">
        <f t="shared" si="5"/>
        <v>54.727208001745502</v>
      </c>
      <c r="E108">
        <f t="shared" si="6"/>
        <v>54.727208001745502</v>
      </c>
      <c r="G108">
        <f t="shared" ca="1" si="7"/>
        <v>106</v>
      </c>
      <c r="H108">
        <f t="shared" ca="1" si="8"/>
        <v>5801.0840481850237</v>
      </c>
      <c r="I108">
        <f t="shared" ca="1" si="9"/>
        <v>8759.4547833963043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106373</v>
      </c>
      <c r="B111" s="66">
        <v>106373</v>
      </c>
      <c r="D111">
        <f t="shared" si="5"/>
        <v>61.077043212641101</v>
      </c>
      <c r="E111">
        <f t="shared" si="6"/>
        <v>61.077043212641101</v>
      </c>
      <c r="G111">
        <f t="shared" ca="1" si="7"/>
        <v>109</v>
      </c>
      <c r="H111">
        <f t="shared" ca="1" si="8"/>
        <v>6657.3977101778801</v>
      </c>
      <c r="I111">
        <f t="shared" ca="1" si="9"/>
        <v>5689.2391397933643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117044</v>
      </c>
      <c r="B113" s="66">
        <v>117044</v>
      </c>
      <c r="D113">
        <f t="shared" si="5"/>
        <v>67.20409733466542</v>
      </c>
      <c r="E113">
        <f t="shared" si="6"/>
        <v>67.20409733466542</v>
      </c>
      <c r="G113">
        <f t="shared" ca="1" si="7"/>
        <v>111</v>
      </c>
      <c r="H113">
        <f t="shared" ca="1" si="8"/>
        <v>7459.6548041478618</v>
      </c>
      <c r="I113">
        <f t="shared" ca="1" si="9"/>
        <v>3934.340628321348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121600</v>
      </c>
      <c r="B116" s="66">
        <v>121600</v>
      </c>
      <c r="D116">
        <f t="shared" si="5"/>
        <v>69.820052594710674</v>
      </c>
      <c r="E116">
        <f t="shared" si="6"/>
        <v>69.820052594710674</v>
      </c>
      <c r="G116">
        <f t="shared" ca="1" si="7"/>
        <v>114</v>
      </c>
      <c r="H116">
        <f t="shared" ca="1" si="8"/>
        <v>7959.4859957970166</v>
      </c>
      <c r="I116">
        <f t="shared" ca="1" si="9"/>
        <v>1510.5611961461361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144768</v>
      </c>
      <c r="B118" s="66">
        <v>144768</v>
      </c>
      <c r="D118">
        <f t="shared" si="5"/>
        <v>83.122609983808175</v>
      </c>
      <c r="E118">
        <f t="shared" si="6"/>
        <v>83.122609983808175</v>
      </c>
      <c r="G118">
        <f t="shared" ca="1" si="7"/>
        <v>116</v>
      </c>
      <c r="H118">
        <f t="shared" ca="1" si="8"/>
        <v>9642.2227581217485</v>
      </c>
      <c r="I118">
        <f t="shared" ca="1" si="9"/>
        <v>584.32368765602735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151917</v>
      </c>
      <c r="B121" s="66">
        <v>151917</v>
      </c>
      <c r="D121">
        <f t="shared" si="5"/>
        <v>87.227408964067934</v>
      </c>
      <c r="E121">
        <f t="shared" si="6"/>
        <v>87.227408964067934</v>
      </c>
      <c r="G121">
        <f t="shared" ca="1" si="7"/>
        <v>119</v>
      </c>
      <c r="H121">
        <f t="shared" ca="1" si="8"/>
        <v>10380.061666724085</v>
      </c>
      <c r="I121">
        <f t="shared" ca="1" si="9"/>
        <v>10.603050061978017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162552</v>
      </c>
      <c r="B124" s="66">
        <v>162552</v>
      </c>
      <c r="D124">
        <f t="shared" si="5"/>
        <v>93.333792675784608</v>
      </c>
      <c r="E124">
        <f t="shared" si="6"/>
        <v>93.333792675784608</v>
      </c>
      <c r="G124">
        <f t="shared" ca="1" si="7"/>
        <v>122</v>
      </c>
      <c r="H124">
        <f t="shared" ca="1" si="8"/>
        <v>11386.722706445722</v>
      </c>
      <c r="I124">
        <f t="shared" ca="1" si="9"/>
        <v>1046.5940780440199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157966</v>
      </c>
      <c r="B126" s="66">
        <v>157966</v>
      </c>
      <c r="D126">
        <f t="shared" si="5"/>
        <v>90.70061207381633</v>
      </c>
      <c r="E126">
        <f t="shared" si="6"/>
        <v>90.70061207381633</v>
      </c>
      <c r="G126">
        <f t="shared" ca="1" si="7"/>
        <v>124</v>
      </c>
      <c r="H126">
        <f t="shared" ca="1" si="8"/>
        <v>11246.875897153224</v>
      </c>
      <c r="I126">
        <f t="shared" ca="1" si="9"/>
        <v>2594.7676800988311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170729</v>
      </c>
      <c r="B129" s="66">
        <v>170729</v>
      </c>
      <c r="D129">
        <f t="shared" si="5"/>
        <v>98.028846705940452</v>
      </c>
      <c r="E129">
        <f t="shared" si="6"/>
        <v>98.028846705940452</v>
      </c>
      <c r="G129">
        <f t="shared" ca="1" si="7"/>
        <v>127</v>
      </c>
      <c r="H129">
        <f t="shared" ca="1" si="8"/>
        <v>12449.663531654438</v>
      </c>
      <c r="I129">
        <f t="shared" ca="1" si="9"/>
        <v>6832.6053976477233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174162</v>
      </c>
      <c r="B131" s="66">
        <v>174162</v>
      </c>
      <c r="D131">
        <f t="shared" ref="D131:D194" si="10">IFERROR( 100*A131/MAX(A$2:A$257), 0 )</f>
        <v>100</v>
      </c>
      <c r="E131">
        <f t="shared" ref="E131:E194" si="11">IFERROR( 100*B131/MAX(B$2:B$257), 0 )</f>
        <v>100</v>
      </c>
      <c r="G131">
        <f t="shared" ref="G131:G194" ca="1" si="12">CELL("row",D131)-2</f>
        <v>129</v>
      </c>
      <c r="H131">
        <f t="shared" ref="H131:H194" ca="1" si="13">D131*G131</f>
        <v>12900</v>
      </c>
      <c r="I131">
        <f t="shared" ref="I131:I194" ca="1" si="14">D131*((G131-$L$1)^2)</f>
        <v>10709.454436586217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165057</v>
      </c>
      <c r="B134" s="66">
        <v>165057</v>
      </c>
      <c r="D134">
        <f t="shared" si="10"/>
        <v>94.772108726358212</v>
      </c>
      <c r="E134">
        <f t="shared" si="11"/>
        <v>94.772108726358212</v>
      </c>
      <c r="G134">
        <f t="shared" ca="1" si="12"/>
        <v>132</v>
      </c>
      <c r="H134">
        <f t="shared" ca="1" si="13"/>
        <v>12509.918351879283</v>
      </c>
      <c r="I134">
        <f t="shared" ca="1" si="14"/>
        <v>16887.104736773981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165682</v>
      </c>
      <c r="B136" s="66">
        <v>165682</v>
      </c>
      <c r="D136">
        <f t="shared" si="10"/>
        <v>95.130970016421486</v>
      </c>
      <c r="E136">
        <f t="shared" si="11"/>
        <v>95.130970016421486</v>
      </c>
      <c r="G136">
        <f t="shared" ca="1" si="12"/>
        <v>134</v>
      </c>
      <c r="H136">
        <f t="shared" ca="1" si="13"/>
        <v>12747.549982200479</v>
      </c>
      <c r="I136">
        <f t="shared" ca="1" si="14"/>
        <v>22411.052695461811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165622</v>
      </c>
      <c r="B139" s="66">
        <v>165622</v>
      </c>
      <c r="D139">
        <f t="shared" si="10"/>
        <v>95.096519332575411</v>
      </c>
      <c r="E139">
        <f t="shared" si="11"/>
        <v>95.096519332575411</v>
      </c>
      <c r="G139">
        <f t="shared" ca="1" si="12"/>
        <v>137</v>
      </c>
      <c r="H139">
        <f t="shared" ca="1" si="13"/>
        <v>13028.223148562831</v>
      </c>
      <c r="I139">
        <f t="shared" ca="1" si="14"/>
        <v>32016.424246904189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157190</v>
      </c>
      <c r="B142" s="66">
        <v>157190</v>
      </c>
      <c r="D142">
        <f t="shared" si="10"/>
        <v>90.255049896073771</v>
      </c>
      <c r="E142">
        <f t="shared" si="11"/>
        <v>90.255049896073771</v>
      </c>
      <c r="G142">
        <f t="shared" ca="1" si="12"/>
        <v>140</v>
      </c>
      <c r="H142">
        <f t="shared" ca="1" si="13"/>
        <v>12635.706985450328</v>
      </c>
      <c r="I142">
        <f t="shared" ca="1" si="14"/>
        <v>41135.077574080198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164294</v>
      </c>
      <c r="B144" s="66">
        <v>164294</v>
      </c>
      <c r="D144">
        <f t="shared" si="10"/>
        <v>94.334010863448967</v>
      </c>
      <c r="E144">
        <f t="shared" si="11"/>
        <v>94.334010863448967</v>
      </c>
      <c r="G144">
        <f t="shared" ca="1" si="12"/>
        <v>142</v>
      </c>
      <c r="H144">
        <f t="shared" ca="1" si="13"/>
        <v>13395.429542609752</v>
      </c>
      <c r="I144">
        <f t="shared" ca="1" si="14"/>
        <v>51427.075470976779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163614</v>
      </c>
      <c r="B147" s="66">
        <v>163614</v>
      </c>
      <c r="D147">
        <f t="shared" si="10"/>
        <v>93.943569779860127</v>
      </c>
      <c r="E147">
        <f t="shared" si="11"/>
        <v>93.943569779860127</v>
      </c>
      <c r="G147">
        <f t="shared" ca="1" si="12"/>
        <v>145</v>
      </c>
      <c r="H147">
        <f t="shared" ca="1" si="13"/>
        <v>13621.817618079718</v>
      </c>
      <c r="I147">
        <f t="shared" ca="1" si="14"/>
        <v>65220.447804922689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163834</v>
      </c>
      <c r="B149" s="66">
        <v>163834</v>
      </c>
      <c r="D149">
        <f t="shared" si="10"/>
        <v>94.069888953962405</v>
      </c>
      <c r="E149">
        <f t="shared" si="11"/>
        <v>94.069888953962405</v>
      </c>
      <c r="G149">
        <f t="shared" ca="1" si="12"/>
        <v>147</v>
      </c>
      <c r="H149">
        <f t="shared" ca="1" si="13"/>
        <v>13828.273676232473</v>
      </c>
      <c r="I149">
        <f t="shared" ca="1" si="14"/>
        <v>75598.882706629447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166963</v>
      </c>
      <c r="B152" s="66">
        <v>166963</v>
      </c>
      <c r="D152">
        <f t="shared" si="10"/>
        <v>95.866492116535184</v>
      </c>
      <c r="E152">
        <f t="shared" si="11"/>
        <v>95.866492116535184</v>
      </c>
      <c r="G152">
        <f t="shared" ca="1" si="12"/>
        <v>150</v>
      </c>
      <c r="H152">
        <f t="shared" ca="1" si="13"/>
        <v>14379.973817480277</v>
      </c>
      <c r="I152">
        <f t="shared" ca="1" si="14"/>
        <v>94211.627386242471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158261</v>
      </c>
      <c r="B154" s="66">
        <v>158261</v>
      </c>
      <c r="D154">
        <f t="shared" si="10"/>
        <v>90.869994602726194</v>
      </c>
      <c r="E154">
        <f t="shared" si="11"/>
        <v>90.869994602726194</v>
      </c>
      <c r="G154">
        <f t="shared" ca="1" si="12"/>
        <v>152</v>
      </c>
      <c r="H154">
        <f t="shared" ca="1" si="13"/>
        <v>13812.239179614382</v>
      </c>
      <c r="I154">
        <f t="shared" ca="1" si="14"/>
        <v>101059.46670130412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141484</v>
      </c>
      <c r="B157" s="66">
        <v>141484</v>
      </c>
      <c r="D157">
        <f t="shared" si="10"/>
        <v>81.237009221299715</v>
      </c>
      <c r="E157">
        <f t="shared" si="11"/>
        <v>81.237009221299715</v>
      </c>
      <c r="G157">
        <f t="shared" ca="1" si="12"/>
        <v>155</v>
      </c>
      <c r="H157">
        <f t="shared" ca="1" si="13"/>
        <v>12591.736429301456</v>
      </c>
      <c r="I157">
        <f t="shared" ca="1" si="14"/>
        <v>107332.31170425202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128390</v>
      </c>
      <c r="B160" s="66">
        <v>128390</v>
      </c>
      <c r="D160">
        <f t="shared" si="10"/>
        <v>73.718721649958084</v>
      </c>
      <c r="E160">
        <f t="shared" si="11"/>
        <v>73.718721649958084</v>
      </c>
      <c r="G160">
        <f t="shared" ca="1" si="12"/>
        <v>158</v>
      </c>
      <c r="H160">
        <f t="shared" ca="1" si="13"/>
        <v>11647.558020693377</v>
      </c>
      <c r="I160">
        <f t="shared" ca="1" si="14"/>
        <v>114139.8916712005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113040</v>
      </c>
      <c r="B162" s="66">
        <v>113040</v>
      </c>
      <c r="D162">
        <f t="shared" si="10"/>
        <v>64.905088366004065</v>
      </c>
      <c r="E162">
        <f t="shared" si="11"/>
        <v>64.905088366004065</v>
      </c>
      <c r="G162">
        <f t="shared" ca="1" si="12"/>
        <v>160</v>
      </c>
      <c r="H162">
        <f t="shared" ca="1" si="13"/>
        <v>10384.81413856065</v>
      </c>
      <c r="I162">
        <f t="shared" ca="1" si="14"/>
        <v>110968.931011974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106444</v>
      </c>
      <c r="B165" s="66">
        <v>106444</v>
      </c>
      <c r="D165">
        <f t="shared" si="10"/>
        <v>61.117809855192291</v>
      </c>
      <c r="E165">
        <f t="shared" si="11"/>
        <v>61.117809855192291</v>
      </c>
      <c r="G165">
        <f t="shared" ca="1" si="12"/>
        <v>163</v>
      </c>
      <c r="H165">
        <f t="shared" ca="1" si="13"/>
        <v>9962.203006396343</v>
      </c>
      <c r="I165">
        <f t="shared" ca="1" si="14"/>
        <v>120206.67365153426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92791</v>
      </c>
      <c r="B167" s="66">
        <v>92791</v>
      </c>
      <c r="D167">
        <f t="shared" si="10"/>
        <v>53.278556746018076</v>
      </c>
      <c r="E167">
        <f t="shared" si="11"/>
        <v>53.278556746018076</v>
      </c>
      <c r="G167">
        <f t="shared" ca="1" si="12"/>
        <v>165</v>
      </c>
      <c r="H167">
        <f t="shared" ca="1" si="13"/>
        <v>8790.9618630929817</v>
      </c>
      <c r="I167">
        <f t="shared" ca="1" si="14"/>
        <v>114452.85180471746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84833</v>
      </c>
      <c r="B170" s="66">
        <v>84833</v>
      </c>
      <c r="D170">
        <f t="shared" si="10"/>
        <v>48.709247711900417</v>
      </c>
      <c r="E170">
        <f t="shared" si="11"/>
        <v>48.709247711900417</v>
      </c>
      <c r="G170">
        <f t="shared" ca="1" si="12"/>
        <v>168</v>
      </c>
      <c r="H170">
        <f t="shared" ca="1" si="13"/>
        <v>8183.1536155992699</v>
      </c>
      <c r="I170">
        <f t="shared" ca="1" si="14"/>
        <v>118621.10476732785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79672</v>
      </c>
      <c r="B173" s="66">
        <v>79672</v>
      </c>
      <c r="D173">
        <f t="shared" si="10"/>
        <v>45.745914723073916</v>
      </c>
      <c r="E173">
        <f t="shared" si="11"/>
        <v>45.745914723073916</v>
      </c>
      <c r="G173">
        <f t="shared" ca="1" si="12"/>
        <v>171</v>
      </c>
      <c r="H173">
        <f t="shared" ca="1" si="13"/>
        <v>7822.55141764564</v>
      </c>
      <c r="I173">
        <f t="shared" ca="1" si="14"/>
        <v>125361.23982618333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72575</v>
      </c>
      <c r="B175" s="66">
        <v>72575</v>
      </c>
      <c r="D175">
        <f t="shared" si="10"/>
        <v>41.670973002147427</v>
      </c>
      <c r="E175">
        <f t="shared" si="11"/>
        <v>41.670973002147427</v>
      </c>
      <c r="G175">
        <f t="shared" ca="1" si="12"/>
        <v>173</v>
      </c>
      <c r="H175">
        <f t="shared" ca="1" si="13"/>
        <v>7209.0783293715049</v>
      </c>
      <c r="I175">
        <f t="shared" ca="1" si="14"/>
        <v>123086.70709086199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62331</v>
      </c>
      <c r="B178" s="66">
        <v>62331</v>
      </c>
      <c r="D178">
        <f t="shared" si="10"/>
        <v>35.789092913494336</v>
      </c>
      <c r="E178">
        <f t="shared" si="11"/>
        <v>35.789092913494336</v>
      </c>
      <c r="G178">
        <f t="shared" ca="1" si="12"/>
        <v>176</v>
      </c>
      <c r="H178">
        <f t="shared" ca="1" si="13"/>
        <v>6298.8803527750033</v>
      </c>
      <c r="I178">
        <f t="shared" ca="1" si="14"/>
        <v>117705.58767967169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49427</v>
      </c>
      <c r="B180" s="66">
        <v>49427</v>
      </c>
      <c r="D180">
        <f t="shared" si="10"/>
        <v>28.379899174331943</v>
      </c>
      <c r="E180">
        <f t="shared" si="11"/>
        <v>28.379899174331943</v>
      </c>
      <c r="G180">
        <f t="shared" ca="1" si="12"/>
        <v>178</v>
      </c>
      <c r="H180">
        <f t="shared" ca="1" si="13"/>
        <v>5051.6220530310857</v>
      </c>
      <c r="I180">
        <f t="shared" ca="1" si="14"/>
        <v>99961.445686780236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40433</v>
      </c>
      <c r="B183" s="66">
        <v>40433</v>
      </c>
      <c r="D183">
        <f t="shared" si="10"/>
        <v>23.2157416658054</v>
      </c>
      <c r="E183">
        <f t="shared" si="11"/>
        <v>23.2157416658054</v>
      </c>
      <c r="G183">
        <f t="shared" ca="1" si="12"/>
        <v>181</v>
      </c>
      <c r="H183">
        <f t="shared" ca="1" si="13"/>
        <v>4202.0492415107774</v>
      </c>
      <c r="I183">
        <f t="shared" ca="1" si="14"/>
        <v>90247.808125970565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38021</v>
      </c>
      <c r="B185" s="66">
        <v>38021</v>
      </c>
      <c r="D185">
        <f t="shared" si="10"/>
        <v>21.830824175193211</v>
      </c>
      <c r="E185">
        <f t="shared" si="11"/>
        <v>21.830824175193211</v>
      </c>
      <c r="G185">
        <f t="shared" ca="1" si="12"/>
        <v>183</v>
      </c>
      <c r="H185">
        <f t="shared" ca="1" si="13"/>
        <v>3995.0408240603574</v>
      </c>
      <c r="I185">
        <f t="shared" ca="1" si="14"/>
        <v>90395.956372907618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22158</v>
      </c>
      <c r="B188" s="66">
        <v>22158</v>
      </c>
      <c r="D188">
        <f t="shared" si="10"/>
        <v>12.722637544355255</v>
      </c>
      <c r="E188">
        <f t="shared" si="11"/>
        <v>12.722637544355255</v>
      </c>
      <c r="G188">
        <f t="shared" ca="1" si="12"/>
        <v>186</v>
      </c>
      <c r="H188">
        <f t="shared" ca="1" si="13"/>
        <v>2366.4105832500773</v>
      </c>
      <c r="I188">
        <f t="shared" ca="1" si="14"/>
        <v>57707.855604312266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15210</v>
      </c>
      <c r="B191" s="66">
        <v>15210</v>
      </c>
      <c r="D191">
        <f t="shared" si="10"/>
        <v>8.7332483549798461</v>
      </c>
      <c r="E191">
        <f t="shared" si="11"/>
        <v>8.7332483549798461</v>
      </c>
      <c r="G191">
        <f t="shared" ca="1" si="12"/>
        <v>189</v>
      </c>
      <c r="H191">
        <f t="shared" ca="1" si="13"/>
        <v>1650.5839390911908</v>
      </c>
      <c r="I191">
        <f t="shared" ca="1" si="14"/>
        <v>43220.256371258336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9632</v>
      </c>
      <c r="B193" s="66">
        <v>9632</v>
      </c>
      <c r="D193">
        <f t="shared" si="10"/>
        <v>5.5304831134231351</v>
      </c>
      <c r="E193">
        <f t="shared" si="11"/>
        <v>5.5304831134231351</v>
      </c>
      <c r="G193">
        <f t="shared" ca="1" si="12"/>
        <v>191</v>
      </c>
      <c r="H193">
        <f t="shared" ca="1" si="13"/>
        <v>1056.3222746638189</v>
      </c>
      <c r="I193">
        <f t="shared" ca="1" si="14"/>
        <v>28948.357469312159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4104</v>
      </c>
      <c r="B196" s="66">
        <v>4104</v>
      </c>
      <c r="D196">
        <f t="shared" si="15"/>
        <v>2.3564267750714851</v>
      </c>
      <c r="E196">
        <f t="shared" si="16"/>
        <v>2.3564267750714851</v>
      </c>
      <c r="G196">
        <f t="shared" ca="1" si="17"/>
        <v>194</v>
      </c>
      <c r="H196">
        <f t="shared" ca="1" si="18"/>
        <v>457.14679436386814</v>
      </c>
      <c r="I196">
        <f t="shared" ca="1" si="19"/>
        <v>13378.422065076944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1967</v>
      </c>
      <c r="B198" s="66">
        <v>1967</v>
      </c>
      <c r="D198">
        <f t="shared" si="15"/>
        <v>1.1294082520871374</v>
      </c>
      <c r="E198">
        <f t="shared" si="16"/>
        <v>1.1294082520871374</v>
      </c>
      <c r="G198">
        <f t="shared" ca="1" si="17"/>
        <v>196</v>
      </c>
      <c r="H198">
        <f t="shared" ca="1" si="18"/>
        <v>221.36401740907891</v>
      </c>
      <c r="I198">
        <f t="shared" ca="1" si="19"/>
        <v>6757.0390095621533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229</v>
      </c>
      <c r="B201" s="66">
        <v>229</v>
      </c>
      <c r="D201">
        <f t="shared" si="15"/>
        <v>0.13148677667918374</v>
      </c>
      <c r="E201">
        <f t="shared" si="16"/>
        <v>0.13148677667918374</v>
      </c>
      <c r="G201">
        <f t="shared" ca="1" si="17"/>
        <v>199</v>
      </c>
      <c r="H201">
        <f t="shared" ca="1" si="18"/>
        <v>26.165868559157563</v>
      </c>
      <c r="I201">
        <f t="shared" ca="1" si="19"/>
        <v>848.86619949502222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130.54783944397781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2.5205511301838222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0.52694728050475947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0</v>
      </c>
      <c r="B8" s="66">
        <v>0</v>
      </c>
      <c r="D8">
        <f t="shared" si="0"/>
        <v>0</v>
      </c>
      <c r="E8">
        <f t="shared" si="1"/>
        <v>0</v>
      </c>
      <c r="G8">
        <f t="shared" ca="1" si="2"/>
        <v>6</v>
      </c>
      <c r="H8">
        <f t="shared" ca="1" si="3"/>
        <v>0</v>
      </c>
      <c r="I8">
        <f t="shared" ca="1" si="4"/>
        <v>0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133</v>
      </c>
      <c r="B10" s="66">
        <v>133</v>
      </c>
      <c r="D10">
        <f t="shared" si="0"/>
        <v>4.2416800880228346E-2</v>
      </c>
      <c r="E10">
        <f t="shared" si="1"/>
        <v>4.2416800880228346E-2</v>
      </c>
      <c r="G10">
        <f t="shared" ca="1" si="2"/>
        <v>8</v>
      </c>
      <c r="H10">
        <f t="shared" ca="1" si="3"/>
        <v>0.33933440704182677</v>
      </c>
      <c r="I10">
        <f t="shared" ca="1" si="4"/>
        <v>637.01436834605283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156</v>
      </c>
      <c r="B13" s="66">
        <v>156</v>
      </c>
      <c r="D13">
        <f t="shared" si="0"/>
        <v>4.9752037122673856E-2</v>
      </c>
      <c r="E13">
        <f t="shared" si="1"/>
        <v>4.9752037122673856E-2</v>
      </c>
      <c r="G13">
        <f t="shared" ca="1" si="2"/>
        <v>11</v>
      </c>
      <c r="H13">
        <f t="shared" ca="1" si="3"/>
        <v>0.54727240834941238</v>
      </c>
      <c r="I13">
        <f t="shared" ca="1" si="4"/>
        <v>711.04048822465052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167</v>
      </c>
      <c r="B15" s="66">
        <v>167</v>
      </c>
      <c r="D15">
        <f t="shared" si="0"/>
        <v>5.3260193586452134E-2</v>
      </c>
      <c r="E15">
        <f t="shared" si="1"/>
        <v>5.3260193586452134E-2</v>
      </c>
      <c r="G15">
        <f t="shared" ca="1" si="2"/>
        <v>13</v>
      </c>
      <c r="H15">
        <f t="shared" ca="1" si="3"/>
        <v>0.69238251662387773</v>
      </c>
      <c r="I15">
        <f t="shared" ca="1" si="4"/>
        <v>735.92243503601594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127</v>
      </c>
      <c r="B18" s="66">
        <v>127</v>
      </c>
      <c r="D18">
        <f t="shared" si="0"/>
        <v>4.0503260990894741E-2</v>
      </c>
      <c r="E18">
        <f t="shared" si="1"/>
        <v>4.0503260990894741E-2</v>
      </c>
      <c r="G18">
        <f t="shared" ca="1" si="2"/>
        <v>16</v>
      </c>
      <c r="H18">
        <f t="shared" ca="1" si="3"/>
        <v>0.64805217585431585</v>
      </c>
      <c r="I18">
        <f t="shared" ca="1" si="4"/>
        <v>531.45169275022931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691</v>
      </c>
      <c r="B21" s="66">
        <v>691</v>
      </c>
      <c r="D21">
        <f t="shared" si="0"/>
        <v>0.22037601058825407</v>
      </c>
      <c r="E21">
        <f t="shared" si="1"/>
        <v>0.22037601058825407</v>
      </c>
      <c r="G21">
        <f t="shared" ca="1" si="2"/>
        <v>19</v>
      </c>
      <c r="H21">
        <f t="shared" ca="1" si="3"/>
        <v>4.1871442011768272</v>
      </c>
      <c r="I21">
        <f t="shared" ca="1" si="4"/>
        <v>2742.1211764672998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326</v>
      </c>
      <c r="B23" s="66">
        <v>326</v>
      </c>
      <c r="D23">
        <f t="shared" si="0"/>
        <v>0.10396900065379279</v>
      </c>
      <c r="E23">
        <f t="shared" si="1"/>
        <v>0.10396900065379279</v>
      </c>
      <c r="G23">
        <f t="shared" ca="1" si="2"/>
        <v>21</v>
      </c>
      <c r="H23">
        <f t="shared" ca="1" si="3"/>
        <v>2.1833490137296487</v>
      </c>
      <c r="I23">
        <f t="shared" ca="1" si="4"/>
        <v>1247.7038144347862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260</v>
      </c>
      <c r="B26" s="66">
        <v>260</v>
      </c>
      <c r="D26">
        <f t="shared" si="0"/>
        <v>8.2920061871123094E-2</v>
      </c>
      <c r="E26">
        <f t="shared" si="1"/>
        <v>8.2920061871123094E-2</v>
      </c>
      <c r="G26">
        <f t="shared" ca="1" si="2"/>
        <v>24</v>
      </c>
      <c r="H26">
        <f t="shared" ca="1" si="3"/>
        <v>1.9900814849069541</v>
      </c>
      <c r="I26">
        <f t="shared" ca="1" si="4"/>
        <v>941.34520050604044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377</v>
      </c>
      <c r="B28" s="66">
        <v>377</v>
      </c>
      <c r="D28">
        <f t="shared" si="0"/>
        <v>0.12023408971312848</v>
      </c>
      <c r="E28">
        <f t="shared" si="1"/>
        <v>0.12023408971312848</v>
      </c>
      <c r="G28">
        <f t="shared" ca="1" si="2"/>
        <v>26</v>
      </c>
      <c r="H28">
        <f t="shared" ca="1" si="3"/>
        <v>3.1260863325413402</v>
      </c>
      <c r="I28">
        <f t="shared" ca="1" si="4"/>
        <v>1314.1887471468222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893</v>
      </c>
      <c r="B31" s="66">
        <v>893</v>
      </c>
      <c r="D31">
        <f t="shared" si="0"/>
        <v>0.28479852019581892</v>
      </c>
      <c r="E31">
        <f t="shared" si="1"/>
        <v>0.28479852019581892</v>
      </c>
      <c r="G31">
        <f t="shared" ca="1" si="2"/>
        <v>29</v>
      </c>
      <c r="H31">
        <f t="shared" ca="1" si="3"/>
        <v>8.2591570856787477</v>
      </c>
      <c r="I31">
        <f t="shared" ca="1" si="4"/>
        <v>2936.8320008597298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859</v>
      </c>
      <c r="B33" s="66">
        <v>859</v>
      </c>
      <c r="D33">
        <f t="shared" si="0"/>
        <v>0.27395512748959511</v>
      </c>
      <c r="E33">
        <f t="shared" si="1"/>
        <v>0.27395512748959511</v>
      </c>
      <c r="G33">
        <f t="shared" ca="1" si="2"/>
        <v>31</v>
      </c>
      <c r="H33">
        <f t="shared" ca="1" si="3"/>
        <v>8.4926089521774486</v>
      </c>
      <c r="I33">
        <f t="shared" ca="1" si="4"/>
        <v>2714.8329442397858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2745</v>
      </c>
      <c r="B36" s="66">
        <v>2745</v>
      </c>
      <c r="D36">
        <f t="shared" si="0"/>
        <v>0.87544449937012647</v>
      </c>
      <c r="E36">
        <f t="shared" si="1"/>
        <v>0.87544449937012647</v>
      </c>
      <c r="G36">
        <f t="shared" ca="1" si="2"/>
        <v>34</v>
      </c>
      <c r="H36">
        <f t="shared" ca="1" si="3"/>
        <v>29.765112978584298</v>
      </c>
      <c r="I36">
        <f t="shared" ca="1" si="4"/>
        <v>8160.4430329826737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4308</v>
      </c>
      <c r="B39" s="66">
        <v>4308</v>
      </c>
      <c r="D39">
        <f t="shared" si="0"/>
        <v>1.3739216405415318</v>
      </c>
      <c r="E39">
        <f t="shared" si="1"/>
        <v>1.3739216405415318</v>
      </c>
      <c r="G39">
        <f t="shared" ca="1" si="2"/>
        <v>37</v>
      </c>
      <c r="H39">
        <f t="shared" ca="1" si="3"/>
        <v>50.835100700036676</v>
      </c>
      <c r="I39">
        <f t="shared" ca="1" si="4"/>
        <v>12023.460676453244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3193</v>
      </c>
      <c r="B41" s="66">
        <v>3193</v>
      </c>
      <c r="D41">
        <f t="shared" si="0"/>
        <v>1.0183221444403694</v>
      </c>
      <c r="E41">
        <f t="shared" si="1"/>
        <v>1.0183221444403694</v>
      </c>
      <c r="G41">
        <f t="shared" ca="1" si="2"/>
        <v>39</v>
      </c>
      <c r="H41">
        <f t="shared" ca="1" si="3"/>
        <v>39.714563633174407</v>
      </c>
      <c r="I41">
        <f t="shared" ca="1" si="4"/>
        <v>8534.5649259635684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3208</v>
      </c>
      <c r="B44" s="66">
        <v>3208</v>
      </c>
      <c r="D44">
        <f t="shared" si="0"/>
        <v>1.0231059941637033</v>
      </c>
      <c r="E44">
        <f t="shared" si="1"/>
        <v>1.0231059941637033</v>
      </c>
      <c r="G44">
        <f t="shared" ca="1" si="2"/>
        <v>42</v>
      </c>
      <c r="H44">
        <f t="shared" ca="1" si="3"/>
        <v>42.97045175487554</v>
      </c>
      <c r="I44">
        <f t="shared" ca="1" si="4"/>
        <v>8021.8874977564637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6017</v>
      </c>
      <c r="B46" s="66">
        <v>6017</v>
      </c>
      <c r="D46">
        <f t="shared" si="0"/>
        <v>1.9189615856867217</v>
      </c>
      <c r="E46">
        <f t="shared" si="1"/>
        <v>1.9189615856867217</v>
      </c>
      <c r="G46">
        <f t="shared" ca="1" si="2"/>
        <v>44</v>
      </c>
      <c r="H46">
        <f t="shared" ca="1" si="3"/>
        <v>84.434309770215748</v>
      </c>
      <c r="I46">
        <f t="shared" ca="1" si="4"/>
        <v>14374.036471826161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4947</v>
      </c>
      <c r="B49" s="66">
        <v>4947</v>
      </c>
      <c r="D49">
        <f t="shared" si="0"/>
        <v>1.5777136387555613</v>
      </c>
      <c r="E49">
        <f t="shared" si="1"/>
        <v>1.5777136387555613</v>
      </c>
      <c r="G49">
        <f t="shared" ca="1" si="2"/>
        <v>47</v>
      </c>
      <c r="H49">
        <f t="shared" ca="1" si="3"/>
        <v>74.152541021511382</v>
      </c>
      <c r="I49">
        <f t="shared" ca="1" si="4"/>
        <v>11012.822178108583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4104</v>
      </c>
      <c r="B51" s="66">
        <v>4104</v>
      </c>
      <c r="D51">
        <f t="shared" si="0"/>
        <v>1.3088612843041891</v>
      </c>
      <c r="E51">
        <f t="shared" si="1"/>
        <v>1.3088612843041891</v>
      </c>
      <c r="G51">
        <f t="shared" ca="1" si="2"/>
        <v>49</v>
      </c>
      <c r="H51">
        <f t="shared" ca="1" si="3"/>
        <v>64.134202930905261</v>
      </c>
      <c r="I51">
        <f t="shared" ca="1" si="4"/>
        <v>8703.9931381075512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3143</v>
      </c>
      <c r="B54" s="66">
        <v>3143</v>
      </c>
      <c r="D54">
        <f t="shared" si="0"/>
        <v>1.0023759786959225</v>
      </c>
      <c r="E54">
        <f t="shared" si="1"/>
        <v>1.0023759786959225</v>
      </c>
      <c r="G54">
        <f t="shared" ca="1" si="2"/>
        <v>52</v>
      </c>
      <c r="H54">
        <f t="shared" ca="1" si="3"/>
        <v>52.123550892187971</v>
      </c>
      <c r="I54">
        <f t="shared" ca="1" si="4"/>
        <v>6184.4223069570144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5279</v>
      </c>
      <c r="B57" s="66">
        <v>5279</v>
      </c>
      <c r="D57">
        <f t="shared" si="0"/>
        <v>1.6835961792986875</v>
      </c>
      <c r="E57">
        <f t="shared" si="1"/>
        <v>1.6835961792986875</v>
      </c>
      <c r="G57">
        <f t="shared" ca="1" si="2"/>
        <v>55</v>
      </c>
      <c r="H57">
        <f t="shared" ca="1" si="3"/>
        <v>92.597789861427813</v>
      </c>
      <c r="I57">
        <f t="shared" ca="1" si="4"/>
        <v>9609.0848622166595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6205</v>
      </c>
      <c r="B59" s="66">
        <v>6205</v>
      </c>
      <c r="D59">
        <f t="shared" si="0"/>
        <v>1.9789191688858414</v>
      </c>
      <c r="E59">
        <f t="shared" si="1"/>
        <v>1.9789191688858414</v>
      </c>
      <c r="G59">
        <f t="shared" ca="1" si="2"/>
        <v>57</v>
      </c>
      <c r="H59">
        <f t="shared" ca="1" si="3"/>
        <v>112.79839262649296</v>
      </c>
      <c r="I59">
        <f t="shared" ca="1" si="4"/>
        <v>10704.537156821814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7905</v>
      </c>
      <c r="B62" s="66">
        <v>7905</v>
      </c>
      <c r="D62">
        <f t="shared" si="0"/>
        <v>2.521088804197031</v>
      </c>
      <c r="E62">
        <f t="shared" si="1"/>
        <v>2.521088804197031</v>
      </c>
      <c r="G62">
        <f t="shared" ca="1" si="2"/>
        <v>60</v>
      </c>
      <c r="H62">
        <f t="shared" ca="1" si="3"/>
        <v>151.26532825182187</v>
      </c>
      <c r="I62">
        <f t="shared" ca="1" si="4"/>
        <v>12547.453054467609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10984</v>
      </c>
      <c r="B64" s="66">
        <v>10984</v>
      </c>
      <c r="D64">
        <f t="shared" si="0"/>
        <v>3.5030536907400616</v>
      </c>
      <c r="E64">
        <f t="shared" si="1"/>
        <v>3.5030536907400616</v>
      </c>
      <c r="G64">
        <f t="shared" ca="1" si="2"/>
        <v>62</v>
      </c>
      <c r="H64">
        <f t="shared" ca="1" si="3"/>
        <v>217.18932882588382</v>
      </c>
      <c r="I64">
        <f t="shared" ca="1" si="4"/>
        <v>16460.17072479532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23505</v>
      </c>
      <c r="B67" s="66">
        <v>23505</v>
      </c>
      <c r="D67">
        <f t="shared" ref="D67:D130" si="5">IFERROR(100*A67/MAX(A$2:A$257), 0 )</f>
        <v>7.4962925164644165</v>
      </c>
      <c r="E67">
        <f t="shared" ref="E67:E130" si="6">IFERROR(100*B67/MAX(B$2:B$257), 0 )</f>
        <v>7.4962925164644165</v>
      </c>
      <c r="G67">
        <f t="shared" ref="G67:G130" ca="1" si="7">CELL("row",D67)-2</f>
        <v>65</v>
      </c>
      <c r="H67">
        <f t="shared" ref="H67:H130" ca="1" si="8">D67*G67</f>
        <v>487.25901357018705</v>
      </c>
      <c r="I67">
        <f t="shared" ref="I67:I130" ca="1" si="9">D67*((G67-$L$1)^2)</f>
        <v>32207.965143900099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33602</v>
      </c>
      <c r="B69" s="66">
        <v>33602</v>
      </c>
      <c r="D69">
        <f t="shared" si="5"/>
        <v>10.716461226897993</v>
      </c>
      <c r="E69">
        <f t="shared" si="6"/>
        <v>10.716461226897993</v>
      </c>
      <c r="G69">
        <f t="shared" ca="1" si="7"/>
        <v>67</v>
      </c>
      <c r="H69">
        <f t="shared" ca="1" si="8"/>
        <v>718.0029022021655</v>
      </c>
      <c r="I69">
        <f t="shared" ca="1" si="9"/>
        <v>43276.584340391557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44253</v>
      </c>
      <c r="B72" s="66">
        <v>44253</v>
      </c>
      <c r="D72">
        <f t="shared" si="5"/>
        <v>14.113313453780039</v>
      </c>
      <c r="E72">
        <f t="shared" si="6"/>
        <v>14.113313453780039</v>
      </c>
      <c r="G72">
        <f t="shared" ca="1" si="7"/>
        <v>70</v>
      </c>
      <c r="H72">
        <f t="shared" ca="1" si="8"/>
        <v>987.9319417646027</v>
      </c>
      <c r="I72">
        <f t="shared" ca="1" si="9"/>
        <v>51739.983810368481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49507</v>
      </c>
      <c r="B75" s="66">
        <v>49507</v>
      </c>
      <c r="D75">
        <f t="shared" si="5"/>
        <v>15.788936550206502</v>
      </c>
      <c r="E75">
        <f t="shared" si="6"/>
        <v>15.788936550206502</v>
      </c>
      <c r="G75">
        <f t="shared" ca="1" si="7"/>
        <v>73</v>
      </c>
      <c r="H75">
        <f t="shared" ca="1" si="8"/>
        <v>1152.5923681650747</v>
      </c>
      <c r="I75">
        <f t="shared" ca="1" si="9"/>
        <v>52289.071007615938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62417</v>
      </c>
      <c r="B77" s="66">
        <v>62417</v>
      </c>
      <c r="D77">
        <f t="shared" si="5"/>
        <v>19.906236545422654</v>
      </c>
      <c r="E77">
        <f t="shared" si="6"/>
        <v>19.906236545422654</v>
      </c>
      <c r="G77">
        <f t="shared" ca="1" si="7"/>
        <v>75</v>
      </c>
      <c r="H77">
        <f t="shared" ca="1" si="8"/>
        <v>1492.9677409066992</v>
      </c>
      <c r="I77">
        <f t="shared" ca="1" si="9"/>
        <v>61421.936341668566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71222</v>
      </c>
      <c r="B80" s="66">
        <v>71222</v>
      </c>
      <c r="D80">
        <f t="shared" si="5"/>
        <v>22.714356333019726</v>
      </c>
      <c r="E80">
        <f t="shared" si="6"/>
        <v>22.714356333019726</v>
      </c>
      <c r="G80">
        <f t="shared" ca="1" si="7"/>
        <v>78</v>
      </c>
      <c r="H80">
        <f t="shared" ca="1" si="8"/>
        <v>1771.7197939755386</v>
      </c>
      <c r="I80">
        <f t="shared" ca="1" si="9"/>
        <v>62720.594055858157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71213</v>
      </c>
      <c r="B82" s="66">
        <v>71213</v>
      </c>
      <c r="D82">
        <f t="shared" si="5"/>
        <v>22.711486023185724</v>
      </c>
      <c r="E82">
        <f t="shared" si="6"/>
        <v>22.711486023185724</v>
      </c>
      <c r="G82">
        <f t="shared" ca="1" si="7"/>
        <v>80</v>
      </c>
      <c r="H82">
        <f t="shared" ca="1" si="8"/>
        <v>1816.918881854858</v>
      </c>
      <c r="I82">
        <f t="shared" ca="1" si="9"/>
        <v>58029.75619960708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72286</v>
      </c>
      <c r="B85" s="66">
        <v>72286</v>
      </c>
      <c r="D85">
        <f t="shared" si="5"/>
        <v>23.053690740061551</v>
      </c>
      <c r="E85">
        <f t="shared" si="6"/>
        <v>23.053690740061551</v>
      </c>
      <c r="G85">
        <f t="shared" ca="1" si="7"/>
        <v>83</v>
      </c>
      <c r="H85">
        <f t="shared" ca="1" si="8"/>
        <v>1913.4563314251088</v>
      </c>
      <c r="I85">
        <f t="shared" ca="1" si="9"/>
        <v>52119.715689157252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80530</v>
      </c>
      <c r="B88" s="66">
        <v>80530</v>
      </c>
      <c r="D88">
        <f t="shared" si="5"/>
        <v>25.682894548005933</v>
      </c>
      <c r="E88">
        <f t="shared" si="6"/>
        <v>25.682894548005933</v>
      </c>
      <c r="G88">
        <f t="shared" ca="1" si="7"/>
        <v>86</v>
      </c>
      <c r="H88">
        <f t="shared" ca="1" si="8"/>
        <v>2208.7289311285103</v>
      </c>
      <c r="I88">
        <f t="shared" ca="1" si="9"/>
        <v>50967.961037027315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83458</v>
      </c>
      <c r="B90" s="66">
        <v>83458</v>
      </c>
      <c r="D90">
        <f t="shared" si="5"/>
        <v>26.616702014000733</v>
      </c>
      <c r="E90">
        <f t="shared" si="6"/>
        <v>26.616702014000733</v>
      </c>
      <c r="G90">
        <f t="shared" ca="1" si="7"/>
        <v>88</v>
      </c>
      <c r="H90">
        <f t="shared" ca="1" si="8"/>
        <v>2342.2697772320644</v>
      </c>
      <c r="I90">
        <f t="shared" ca="1" si="9"/>
        <v>48184.711827217288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87650</v>
      </c>
      <c r="B93" s="66">
        <v>87650</v>
      </c>
      <c r="D93">
        <f t="shared" si="5"/>
        <v>27.95362855001515</v>
      </c>
      <c r="E93">
        <f t="shared" si="6"/>
        <v>27.95362855001515</v>
      </c>
      <c r="G93">
        <f t="shared" ca="1" si="7"/>
        <v>91</v>
      </c>
      <c r="H93">
        <f t="shared" ca="1" si="8"/>
        <v>2543.7801980513786</v>
      </c>
      <c r="I93">
        <f t="shared" ca="1" si="9"/>
        <v>43720.35851789466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97296</v>
      </c>
      <c r="B95" s="66">
        <v>97296</v>
      </c>
      <c r="D95">
        <f t="shared" si="5"/>
        <v>31.029962845433815</v>
      </c>
      <c r="E95">
        <f t="shared" si="6"/>
        <v>31.029962845433815</v>
      </c>
      <c r="G95">
        <f t="shared" ca="1" si="7"/>
        <v>93</v>
      </c>
      <c r="H95">
        <f t="shared" ca="1" si="8"/>
        <v>2885.786544625345</v>
      </c>
      <c r="I95">
        <f t="shared" ca="1" si="9"/>
        <v>43747.290479637362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108837</v>
      </c>
      <c r="B98" s="66">
        <v>108837</v>
      </c>
      <c r="D98">
        <f t="shared" si="5"/>
        <v>34.71065682256701</v>
      </c>
      <c r="E98">
        <f t="shared" si="6"/>
        <v>34.71065682256701</v>
      </c>
      <c r="G98">
        <f t="shared" ca="1" si="7"/>
        <v>96</v>
      </c>
      <c r="H98">
        <f t="shared" ca="1" si="8"/>
        <v>3332.2230549664328</v>
      </c>
      <c r="I98">
        <f t="shared" ca="1" si="9"/>
        <v>41429.015880352228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113854</v>
      </c>
      <c r="B100" s="66">
        <v>113854</v>
      </c>
      <c r="D100">
        <f t="shared" si="5"/>
        <v>36.310695093364799</v>
      </c>
      <c r="E100">
        <f t="shared" si="6"/>
        <v>36.310695093364799</v>
      </c>
      <c r="G100">
        <f t="shared" ca="1" si="7"/>
        <v>98</v>
      </c>
      <c r="H100">
        <f t="shared" ca="1" si="8"/>
        <v>3558.4481191497503</v>
      </c>
      <c r="I100">
        <f t="shared" ca="1" si="9"/>
        <v>38466.165218615039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124979</v>
      </c>
      <c r="B103" s="66">
        <v>124979</v>
      </c>
      <c r="D103">
        <f t="shared" si="5"/>
        <v>39.858716971504201</v>
      </c>
      <c r="E103">
        <f t="shared" si="6"/>
        <v>39.858716971504201</v>
      </c>
      <c r="G103">
        <f t="shared" ca="1" si="7"/>
        <v>101</v>
      </c>
      <c r="H103">
        <f t="shared" ca="1" si="8"/>
        <v>4025.7304141219242</v>
      </c>
      <c r="I103">
        <f t="shared" ca="1" si="9"/>
        <v>34799.641978202992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136451</v>
      </c>
      <c r="B106" s="66">
        <v>136451</v>
      </c>
      <c r="D106">
        <f t="shared" si="5"/>
        <v>43.517405239910062</v>
      </c>
      <c r="E106">
        <f t="shared" si="6"/>
        <v>43.517405239910062</v>
      </c>
      <c r="G106">
        <f t="shared" ca="1" si="7"/>
        <v>104</v>
      </c>
      <c r="H106">
        <f t="shared" ca="1" si="8"/>
        <v>4525.8101449506466</v>
      </c>
      <c r="I106">
        <f t="shared" ca="1" si="9"/>
        <v>30670.53539311191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143178</v>
      </c>
      <c r="B108" s="66">
        <v>143178</v>
      </c>
      <c r="D108">
        <f t="shared" si="5"/>
        <v>45.662802379167928</v>
      </c>
      <c r="E108">
        <f t="shared" si="6"/>
        <v>45.662802379167928</v>
      </c>
      <c r="G108">
        <f t="shared" ca="1" si="7"/>
        <v>106</v>
      </c>
      <c r="H108">
        <f t="shared" ca="1" si="8"/>
        <v>4840.2570521918005</v>
      </c>
      <c r="I108">
        <f t="shared" ca="1" si="9"/>
        <v>27516.241303289407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161074</v>
      </c>
      <c r="B111" s="66">
        <v>161074</v>
      </c>
      <c r="D111">
        <f t="shared" si="5"/>
        <v>51.370254022420312</v>
      </c>
      <c r="E111">
        <f t="shared" si="6"/>
        <v>51.370254022420312</v>
      </c>
      <c r="G111">
        <f t="shared" ca="1" si="7"/>
        <v>109</v>
      </c>
      <c r="H111">
        <f t="shared" ca="1" si="8"/>
        <v>5599.3576884438144</v>
      </c>
      <c r="I111">
        <f t="shared" ca="1" si="9"/>
        <v>23851.691037209686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174021</v>
      </c>
      <c r="B113" s="66">
        <v>174021</v>
      </c>
      <c r="D113">
        <f t="shared" si="5"/>
        <v>55.499354180287348</v>
      </c>
      <c r="E113">
        <f t="shared" si="6"/>
        <v>55.499354180287348</v>
      </c>
      <c r="G113">
        <f t="shared" ca="1" si="7"/>
        <v>111</v>
      </c>
      <c r="H113">
        <f t="shared" ca="1" si="8"/>
        <v>6160.428314011896</v>
      </c>
      <c r="I113">
        <f t="shared" ca="1" si="9"/>
        <v>21207.30371512382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191308</v>
      </c>
      <c r="B116" s="66">
        <v>191308</v>
      </c>
      <c r="D116">
        <f t="shared" si="5"/>
        <v>61.012581524772365</v>
      </c>
      <c r="E116">
        <f t="shared" si="6"/>
        <v>61.012581524772365</v>
      </c>
      <c r="G116">
        <f t="shared" ca="1" si="7"/>
        <v>114</v>
      </c>
      <c r="H116">
        <f t="shared" ca="1" si="8"/>
        <v>6955.4342938240497</v>
      </c>
      <c r="I116">
        <f t="shared" ca="1" si="9"/>
        <v>16707.135617471176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217850</v>
      </c>
      <c r="B118" s="66">
        <v>217850</v>
      </c>
      <c r="D118">
        <f t="shared" si="5"/>
        <v>69.477444148554483</v>
      </c>
      <c r="E118">
        <f t="shared" si="6"/>
        <v>69.477444148554483</v>
      </c>
      <c r="G118">
        <f t="shared" ca="1" si="7"/>
        <v>116</v>
      </c>
      <c r="H118">
        <f t="shared" ca="1" si="8"/>
        <v>8059.3835212323202</v>
      </c>
      <c r="I118">
        <f t="shared" ca="1" si="9"/>
        <v>14704.180745788699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234676</v>
      </c>
      <c r="B121" s="66">
        <v>234676</v>
      </c>
      <c r="D121">
        <f t="shared" si="5"/>
        <v>74.843647844875704</v>
      </c>
      <c r="E121">
        <f t="shared" si="6"/>
        <v>74.843647844875704</v>
      </c>
      <c r="G121">
        <f t="shared" ca="1" si="7"/>
        <v>119</v>
      </c>
      <c r="H121">
        <f t="shared" ca="1" si="8"/>
        <v>8906.3940935402097</v>
      </c>
      <c r="I121">
        <f t="shared" ca="1" si="9"/>
        <v>9980.5947210432405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241017</v>
      </c>
      <c r="B124" s="66">
        <v>241017</v>
      </c>
      <c r="D124">
        <f t="shared" si="5"/>
        <v>76.86594058458644</v>
      </c>
      <c r="E124">
        <f t="shared" si="6"/>
        <v>76.86594058458644</v>
      </c>
      <c r="G124">
        <f t="shared" ca="1" si="7"/>
        <v>122</v>
      </c>
      <c r="H124">
        <f t="shared" ca="1" si="8"/>
        <v>9377.6447513195453</v>
      </c>
      <c r="I124">
        <f t="shared" ca="1" si="9"/>
        <v>5616.2529291739002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235853</v>
      </c>
      <c r="B126" s="66">
        <v>235853</v>
      </c>
      <c r="D126">
        <f t="shared" si="5"/>
        <v>75.21902058649998</v>
      </c>
      <c r="E126">
        <f t="shared" si="6"/>
        <v>75.21902058649998</v>
      </c>
      <c r="G126">
        <f t="shared" ca="1" si="7"/>
        <v>124</v>
      </c>
      <c r="H126">
        <f t="shared" ca="1" si="8"/>
        <v>9327.1585527259977</v>
      </c>
      <c r="I126">
        <f t="shared" ca="1" si="9"/>
        <v>3224.9554365412364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252030</v>
      </c>
      <c r="B129" s="66">
        <v>252030</v>
      </c>
      <c r="D129">
        <f t="shared" si="5"/>
        <v>80.37824305145827</v>
      </c>
      <c r="E129">
        <f t="shared" si="6"/>
        <v>80.37824305145827</v>
      </c>
      <c r="G129">
        <f t="shared" ca="1" si="7"/>
        <v>127</v>
      </c>
      <c r="H129">
        <f t="shared" ca="1" si="8"/>
        <v>10208.0368675352</v>
      </c>
      <c r="I129">
        <f t="shared" ca="1" si="9"/>
        <v>1011.7341852125737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257712</v>
      </c>
      <c r="B131" s="66">
        <v>257712</v>
      </c>
      <c r="D131">
        <f t="shared" ref="D131:D194" si="10">IFERROR(100*A131/MAX(A$2:A$257), 0 )</f>
        <v>82.190365326657201</v>
      </c>
      <c r="E131">
        <f t="shared" ref="E131:E194" si="11">IFERROR(100*B131/MAX(B$2:B$257), 0 )</f>
        <v>82.190365326657201</v>
      </c>
      <c r="G131">
        <f t="shared" ref="G131:G194" ca="1" si="12">CELL("row",D131)-2</f>
        <v>129</v>
      </c>
      <c r="H131">
        <f t="shared" ref="H131:H194" ca="1" si="13">D131*G131</f>
        <v>10602.557127138778</v>
      </c>
      <c r="I131">
        <f t="shared" ref="I131:I194" ca="1" si="14">D131*((G131-$L$1)^2)</f>
        <v>196.91224800691487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241664</v>
      </c>
      <c r="B134" s="66">
        <v>241664</v>
      </c>
      <c r="D134">
        <f t="shared" si="10"/>
        <v>77.072283969319571</v>
      </c>
      <c r="E134">
        <f t="shared" si="11"/>
        <v>77.072283969319571</v>
      </c>
      <c r="G134">
        <f t="shared" ca="1" si="12"/>
        <v>132</v>
      </c>
      <c r="H134">
        <f t="shared" ca="1" si="13"/>
        <v>10173.541483950183</v>
      </c>
      <c r="I134">
        <f t="shared" ca="1" si="14"/>
        <v>162.52774188218999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242787</v>
      </c>
      <c r="B136" s="66">
        <v>242787</v>
      </c>
      <c r="D136">
        <f t="shared" si="10"/>
        <v>77.43043485193985</v>
      </c>
      <c r="E136">
        <f t="shared" si="11"/>
        <v>77.43043485193985</v>
      </c>
      <c r="G136">
        <f t="shared" ca="1" si="12"/>
        <v>134</v>
      </c>
      <c r="H136">
        <f t="shared" ca="1" si="13"/>
        <v>10375.67827015994</v>
      </c>
      <c r="I136">
        <f t="shared" ca="1" si="14"/>
        <v>922.77043253767454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257464</v>
      </c>
      <c r="B139" s="66">
        <v>257464</v>
      </c>
      <c r="D139">
        <f t="shared" si="10"/>
        <v>82.111272344564753</v>
      </c>
      <c r="E139">
        <f t="shared" si="11"/>
        <v>82.111272344564753</v>
      </c>
      <c r="G139">
        <f t="shared" ca="1" si="12"/>
        <v>137</v>
      </c>
      <c r="H139">
        <f t="shared" ca="1" si="13"/>
        <v>11249.244311205372</v>
      </c>
      <c r="I139">
        <f t="shared" ca="1" si="14"/>
        <v>3418.3231284613717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277197</v>
      </c>
      <c r="B142" s="66">
        <v>277197</v>
      </c>
      <c r="D142">
        <f t="shared" si="10"/>
        <v>88.404586117268096</v>
      </c>
      <c r="E142">
        <f t="shared" si="11"/>
        <v>88.404586117268096</v>
      </c>
      <c r="G142">
        <f t="shared" ca="1" si="12"/>
        <v>140</v>
      </c>
      <c r="H142">
        <f t="shared" ca="1" si="13"/>
        <v>12376.642056417533</v>
      </c>
      <c r="I142">
        <f t="shared" ca="1" si="14"/>
        <v>7898.3609222616324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293068</v>
      </c>
      <c r="B144" s="66">
        <v>293068</v>
      </c>
      <c r="D144">
        <f t="shared" si="10"/>
        <v>93.466218047870385</v>
      </c>
      <c r="E144">
        <f t="shared" si="11"/>
        <v>93.466218047870385</v>
      </c>
      <c r="G144">
        <f t="shared" ca="1" si="12"/>
        <v>142</v>
      </c>
      <c r="H144">
        <f t="shared" ca="1" si="13"/>
        <v>13272.202962797595</v>
      </c>
      <c r="I144">
        <f t="shared" ca="1" si="14"/>
        <v>12258.279691027745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300225</v>
      </c>
      <c r="B147" s="66">
        <v>300225</v>
      </c>
      <c r="D147">
        <f t="shared" si="10"/>
        <v>95.748752212530491</v>
      </c>
      <c r="E147">
        <f t="shared" si="11"/>
        <v>95.748752212530491</v>
      </c>
      <c r="G147">
        <f t="shared" ca="1" si="12"/>
        <v>145</v>
      </c>
      <c r="H147">
        <f t="shared" ca="1" si="13"/>
        <v>13883.56907081692</v>
      </c>
      <c r="I147">
        <f t="shared" ca="1" si="14"/>
        <v>19998.557839511072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313555</v>
      </c>
      <c r="B149" s="66">
        <v>313555</v>
      </c>
      <c r="D149">
        <f t="shared" si="10"/>
        <v>100</v>
      </c>
      <c r="E149">
        <f t="shared" si="11"/>
        <v>100</v>
      </c>
      <c r="G149">
        <f t="shared" ca="1" si="12"/>
        <v>147</v>
      </c>
      <c r="H149">
        <f t="shared" ca="1" si="13"/>
        <v>14700</v>
      </c>
      <c r="I149">
        <f t="shared" ca="1" si="14"/>
        <v>27067.358696113246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298644</v>
      </c>
      <c r="B152" s="66">
        <v>298644</v>
      </c>
      <c r="D152">
        <f t="shared" si="10"/>
        <v>95.244534451691095</v>
      </c>
      <c r="E152">
        <f t="shared" si="11"/>
        <v>95.244534451691095</v>
      </c>
      <c r="G152">
        <f t="shared" ca="1" si="12"/>
        <v>150</v>
      </c>
      <c r="H152">
        <f t="shared" ca="1" si="13"/>
        <v>14286.680167753664</v>
      </c>
      <c r="I152">
        <f t="shared" ca="1" si="14"/>
        <v>36039.250825844458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267973</v>
      </c>
      <c r="B154" s="66">
        <v>267973</v>
      </c>
      <c r="D154">
        <f t="shared" si="10"/>
        <v>85.462837460732572</v>
      </c>
      <c r="E154">
        <f t="shared" si="11"/>
        <v>85.462837460732572</v>
      </c>
      <c r="G154">
        <f t="shared" ca="1" si="12"/>
        <v>152</v>
      </c>
      <c r="H154">
        <f t="shared" ca="1" si="13"/>
        <v>12990.35129403135</v>
      </c>
      <c r="I154">
        <f t="shared" ca="1" si="14"/>
        <v>39329.586938663044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254610</v>
      </c>
      <c r="B157" s="66">
        <v>254610</v>
      </c>
      <c r="D157">
        <f t="shared" si="10"/>
        <v>81.201065203871735</v>
      </c>
      <c r="E157">
        <f t="shared" si="11"/>
        <v>81.201065203871735</v>
      </c>
      <c r="G157">
        <f t="shared" ca="1" si="12"/>
        <v>155</v>
      </c>
      <c r="H157">
        <f t="shared" ca="1" si="13"/>
        <v>12586.16510660012</v>
      </c>
      <c r="I157">
        <f t="shared" ca="1" si="14"/>
        <v>48550.779149710557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216852</v>
      </c>
      <c r="B160" s="66">
        <v>216852</v>
      </c>
      <c r="D160">
        <f t="shared" si="10"/>
        <v>69.15915868029532</v>
      </c>
      <c r="E160">
        <f t="shared" si="11"/>
        <v>69.15915868029532</v>
      </c>
      <c r="G160">
        <f t="shared" ca="1" si="12"/>
        <v>158</v>
      </c>
      <c r="H160">
        <f t="shared" ca="1" si="13"/>
        <v>10927.147071486661</v>
      </c>
      <c r="I160">
        <f t="shared" ca="1" si="14"/>
        <v>52119.802567133374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187087</v>
      </c>
      <c r="B162" s="66">
        <v>187087</v>
      </c>
      <c r="D162">
        <f t="shared" si="10"/>
        <v>59.666406212626171</v>
      </c>
      <c r="E162">
        <f t="shared" si="11"/>
        <v>59.666406212626171</v>
      </c>
      <c r="G162">
        <f t="shared" ca="1" si="12"/>
        <v>160</v>
      </c>
      <c r="H162">
        <f t="shared" ca="1" si="13"/>
        <v>9546.6249940201869</v>
      </c>
      <c r="I162">
        <f t="shared" ca="1" si="14"/>
        <v>51756.416505670459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153905</v>
      </c>
      <c r="B165" s="66">
        <v>153905</v>
      </c>
      <c r="D165">
        <f t="shared" si="10"/>
        <v>49.083892777981532</v>
      </c>
      <c r="E165">
        <f t="shared" si="11"/>
        <v>49.083892777981532</v>
      </c>
      <c r="G165">
        <f t="shared" ca="1" si="12"/>
        <v>163</v>
      </c>
      <c r="H165">
        <f t="shared" ca="1" si="13"/>
        <v>8000.6745228109894</v>
      </c>
      <c r="I165">
        <f t="shared" ca="1" si="14"/>
        <v>51692.344581728932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136665</v>
      </c>
      <c r="B167" s="66">
        <v>136665</v>
      </c>
      <c r="D167">
        <f t="shared" si="10"/>
        <v>43.585654829296296</v>
      </c>
      <c r="E167">
        <f t="shared" si="11"/>
        <v>43.585654829296296</v>
      </c>
      <c r="G167">
        <f t="shared" ca="1" si="12"/>
        <v>165</v>
      </c>
      <c r="H167">
        <f t="shared" ca="1" si="13"/>
        <v>7191.6330468338883</v>
      </c>
      <c r="I167">
        <f t="shared" ca="1" si="14"/>
        <v>51734.052580261516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124806</v>
      </c>
      <c r="B170" s="66">
        <v>124806</v>
      </c>
      <c r="D170">
        <f t="shared" si="10"/>
        <v>39.803543238028418</v>
      </c>
      <c r="E170">
        <f t="shared" si="11"/>
        <v>39.803543238028418</v>
      </c>
      <c r="G170">
        <f t="shared" ca="1" si="12"/>
        <v>168</v>
      </c>
      <c r="H170">
        <f t="shared" ca="1" si="13"/>
        <v>6686.9952639887742</v>
      </c>
      <c r="I170">
        <f t="shared" ca="1" si="14"/>
        <v>55831.010320096044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103654</v>
      </c>
      <c r="B173" s="66">
        <v>103654</v>
      </c>
      <c r="D173">
        <f t="shared" si="10"/>
        <v>33.057677281497661</v>
      </c>
      <c r="E173">
        <f t="shared" si="11"/>
        <v>33.057677281497661</v>
      </c>
      <c r="G173">
        <f t="shared" ca="1" si="12"/>
        <v>171</v>
      </c>
      <c r="H173">
        <f t="shared" ca="1" si="13"/>
        <v>5652.8628151360999</v>
      </c>
      <c r="I173">
        <f t="shared" ca="1" si="14"/>
        <v>54094.832484258768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90886</v>
      </c>
      <c r="B175" s="66">
        <v>90886</v>
      </c>
      <c r="D175">
        <f t="shared" si="10"/>
        <v>28.985664396995741</v>
      </c>
      <c r="E175">
        <f t="shared" si="11"/>
        <v>28.985664396995741</v>
      </c>
      <c r="G175">
        <f t="shared" ca="1" si="12"/>
        <v>173</v>
      </c>
      <c r="H175">
        <f t="shared" ca="1" si="13"/>
        <v>5014.5199406802631</v>
      </c>
      <c r="I175">
        <f t="shared" ca="1" si="14"/>
        <v>52237.556718237756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71250</v>
      </c>
      <c r="B178" s="66">
        <v>71250</v>
      </c>
      <c r="D178">
        <f t="shared" si="10"/>
        <v>22.723286185836617</v>
      </c>
      <c r="E178">
        <f t="shared" si="11"/>
        <v>22.723286185836617</v>
      </c>
      <c r="G178">
        <f t="shared" ca="1" si="12"/>
        <v>176</v>
      </c>
      <c r="H178">
        <f t="shared" ca="1" si="13"/>
        <v>3999.2983687072447</v>
      </c>
      <c r="I178">
        <f t="shared" ca="1" si="14"/>
        <v>46944.0119177632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66333</v>
      </c>
      <c r="B180" s="66">
        <v>66333</v>
      </c>
      <c r="D180">
        <f t="shared" si="10"/>
        <v>21.155140246527722</v>
      </c>
      <c r="E180">
        <f t="shared" si="11"/>
        <v>21.155140246527722</v>
      </c>
      <c r="G180">
        <f t="shared" ca="1" si="12"/>
        <v>178</v>
      </c>
      <c r="H180">
        <f t="shared" ca="1" si="13"/>
        <v>3765.6149638819347</v>
      </c>
      <c r="I180">
        <f t="shared" ca="1" si="14"/>
        <v>47635.188833211163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46977</v>
      </c>
      <c r="B183" s="66">
        <v>46977</v>
      </c>
      <c r="D183">
        <f t="shared" si="10"/>
        <v>14.982060563537498</v>
      </c>
      <c r="E183">
        <f t="shared" si="11"/>
        <v>14.982060563537498</v>
      </c>
      <c r="G183">
        <f t="shared" ca="1" si="12"/>
        <v>181</v>
      </c>
      <c r="H183">
        <f t="shared" ca="1" si="13"/>
        <v>2711.752962000287</v>
      </c>
      <c r="I183">
        <f t="shared" ca="1" si="14"/>
        <v>38135.644162143937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30518</v>
      </c>
      <c r="B185" s="66">
        <v>30518</v>
      </c>
      <c r="D185">
        <f t="shared" si="10"/>
        <v>9.7329017237805164</v>
      </c>
      <c r="E185">
        <f t="shared" si="11"/>
        <v>9.7329017237805164</v>
      </c>
      <c r="G185">
        <f t="shared" ca="1" si="12"/>
        <v>183</v>
      </c>
      <c r="H185">
        <f t="shared" ca="1" si="13"/>
        <v>1781.1210154518344</v>
      </c>
      <c r="I185">
        <f t="shared" ca="1" si="14"/>
        <v>26777.44290730021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18929</v>
      </c>
      <c r="B188" s="66">
        <v>18929</v>
      </c>
      <c r="D188">
        <f t="shared" si="10"/>
        <v>6.0368994275326502</v>
      </c>
      <c r="E188">
        <f t="shared" si="11"/>
        <v>6.0368994275326502</v>
      </c>
      <c r="G188">
        <f t="shared" ca="1" si="12"/>
        <v>186</v>
      </c>
      <c r="H188">
        <f t="shared" ca="1" si="13"/>
        <v>1122.863293521073</v>
      </c>
      <c r="I188">
        <f t="shared" ca="1" si="14"/>
        <v>18563.116265552431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7965</v>
      </c>
      <c r="B191" s="66">
        <v>7965</v>
      </c>
      <c r="D191">
        <f t="shared" si="10"/>
        <v>2.540224203090367</v>
      </c>
      <c r="E191">
        <f t="shared" si="11"/>
        <v>2.540224203090367</v>
      </c>
      <c r="G191">
        <f t="shared" ca="1" si="12"/>
        <v>189</v>
      </c>
      <c r="H191">
        <f t="shared" ca="1" si="13"/>
        <v>480.10237438407938</v>
      </c>
      <c r="I191">
        <f t="shared" ca="1" si="14"/>
        <v>8679.0699117404056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4183</v>
      </c>
      <c r="B193" s="66">
        <v>4183</v>
      </c>
      <c r="D193">
        <f t="shared" si="10"/>
        <v>1.334056226180415</v>
      </c>
      <c r="E193">
        <f t="shared" si="11"/>
        <v>1.334056226180415</v>
      </c>
      <c r="G193">
        <f t="shared" ca="1" si="12"/>
        <v>191</v>
      </c>
      <c r="H193">
        <f t="shared" ca="1" si="13"/>
        <v>254.80473920045927</v>
      </c>
      <c r="I193">
        <f t="shared" ca="1" si="14"/>
        <v>4875.2600735349179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729</v>
      </c>
      <c r="B196" s="66">
        <v>729</v>
      </c>
      <c r="D196">
        <f t="shared" si="15"/>
        <v>0.23249509655403358</v>
      </c>
      <c r="E196">
        <f t="shared" si="16"/>
        <v>0.23249509655403358</v>
      </c>
      <c r="G196">
        <f t="shared" ca="1" si="17"/>
        <v>194</v>
      </c>
      <c r="H196">
        <f t="shared" ca="1" si="18"/>
        <v>45.104048731482514</v>
      </c>
      <c r="I196">
        <f t="shared" ca="1" si="19"/>
        <v>936.06633578053049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0.21490999999999999</v>
      </c>
      <c r="B2" s="68">
        <v>0.62069200000000002</v>
      </c>
      <c r="C2" s="68">
        <v>0</v>
      </c>
      <c r="D2" s="68">
        <v>1</v>
      </c>
      <c r="E2" s="68" t="s">
        <v>409</v>
      </c>
    </row>
    <row r="3" spans="1:5">
      <c r="A3" s="68">
        <v>0.22403999999999999</v>
      </c>
      <c r="B3" s="68">
        <v>0.612958</v>
      </c>
      <c r="C3" s="68">
        <v>0.40223999999999999</v>
      </c>
      <c r="D3" s="89">
        <v>1</v>
      </c>
      <c r="E3" s="68" t="s">
        <v>410</v>
      </c>
    </row>
    <row r="4" spans="1:5">
      <c r="A4" s="68">
        <v>0.23351</v>
      </c>
      <c r="B4" s="68">
        <v>0.60430799999999996</v>
      </c>
      <c r="C4" s="68">
        <v>0.81081099999999995</v>
      </c>
      <c r="D4" s="89">
        <v>1</v>
      </c>
      <c r="E4" s="68" t="s">
        <v>411</v>
      </c>
    </row>
    <row r="5" spans="1:5">
      <c r="A5" s="89">
        <v>0.242952</v>
      </c>
      <c r="B5" s="89">
        <v>0.59648400000000001</v>
      </c>
      <c r="C5" s="89">
        <v>1.2188300000000001</v>
      </c>
      <c r="D5" s="89">
        <v>1</v>
      </c>
      <c r="E5" s="68" t="s">
        <v>412</v>
      </c>
    </row>
    <row r="6" spans="1:5">
      <c r="A6" s="68">
        <v>0.25268299999999999</v>
      </c>
      <c r="B6" s="68">
        <v>0.58706999999999998</v>
      </c>
      <c r="C6" s="68">
        <v>1.6246100000000001</v>
      </c>
      <c r="D6" s="68">
        <v>1</v>
      </c>
      <c r="E6" s="68" t="s">
        <v>413</v>
      </c>
    </row>
    <row r="7" spans="1:5">
      <c r="A7" s="68">
        <v>0.26262999999999997</v>
      </c>
      <c r="B7" s="68">
        <v>0.57650000000000001</v>
      </c>
      <c r="C7" s="68">
        <v>2.0275099999999999</v>
      </c>
      <c r="D7" s="68">
        <v>1</v>
      </c>
      <c r="E7" s="68" t="s">
        <v>414</v>
      </c>
    </row>
    <row r="8" spans="1:5">
      <c r="A8" s="68">
        <v>0.27262999999999998</v>
      </c>
      <c r="B8" s="68">
        <v>0.56593499999999997</v>
      </c>
      <c r="C8" s="68">
        <v>2.4357600000000001</v>
      </c>
      <c r="D8" s="68">
        <v>1</v>
      </c>
      <c r="E8" s="68" t="s">
        <v>415</v>
      </c>
    </row>
    <row r="9" spans="1:5">
      <c r="A9" s="68">
        <v>0.28265299999999999</v>
      </c>
      <c r="B9" s="68">
        <v>0.55524399999999996</v>
      </c>
      <c r="C9" s="68">
        <v>2.8443900000000002</v>
      </c>
      <c r="D9" s="68">
        <v>1</v>
      </c>
      <c r="E9" s="68" t="s">
        <v>416</v>
      </c>
    </row>
    <row r="10" spans="1:5">
      <c r="A10" s="68">
        <v>0.29226799999999997</v>
      </c>
      <c r="B10" s="68">
        <v>0.54309300000000005</v>
      </c>
      <c r="C10" s="68">
        <v>3.2472400000000001</v>
      </c>
      <c r="D10" s="68">
        <v>1</v>
      </c>
      <c r="E10" s="68" t="s">
        <v>417</v>
      </c>
    </row>
    <row r="11" spans="1:5">
      <c r="A11" s="68">
        <v>0.301701</v>
      </c>
      <c r="B11" s="68">
        <v>0.53019099999999997</v>
      </c>
      <c r="C11" s="68">
        <v>3.65516</v>
      </c>
      <c r="D11" s="68">
        <v>1</v>
      </c>
      <c r="E11" s="68" t="s">
        <v>418</v>
      </c>
    </row>
    <row r="12" spans="1:5">
      <c r="A12" s="68">
        <v>0.31152200000000002</v>
      </c>
      <c r="B12" s="68">
        <v>0.51636300000000002</v>
      </c>
      <c r="C12" s="68">
        <v>4.0600300000000002</v>
      </c>
      <c r="D12" s="68">
        <v>1</v>
      </c>
      <c r="E12" s="68" t="s">
        <v>419</v>
      </c>
    </row>
    <row r="13" spans="1:5">
      <c r="A13" s="68">
        <v>0.321799</v>
      </c>
      <c r="B13" s="68">
        <v>0.50146900000000005</v>
      </c>
      <c r="C13" s="68">
        <v>4.4663300000000001</v>
      </c>
      <c r="D13" s="68">
        <v>1</v>
      </c>
      <c r="E13" s="68" t="s">
        <v>420</v>
      </c>
    </row>
    <row r="14" spans="1:5">
      <c r="A14" s="68">
        <v>0.33200000000000002</v>
      </c>
      <c r="B14" s="68">
        <v>0.48781200000000002</v>
      </c>
      <c r="C14" s="68">
        <v>4.8699700000000004</v>
      </c>
      <c r="D14" s="68">
        <v>1</v>
      </c>
      <c r="E14" s="68" t="s">
        <v>421</v>
      </c>
    </row>
    <row r="15" spans="1:5">
      <c r="A15" s="68">
        <v>0.34204499999999999</v>
      </c>
      <c r="B15" s="68">
        <v>0.47614600000000001</v>
      </c>
      <c r="C15" s="68">
        <v>5.2790600000000003</v>
      </c>
      <c r="D15" s="68">
        <v>1</v>
      </c>
      <c r="E15" s="68" t="s">
        <v>422</v>
      </c>
    </row>
    <row r="16" spans="1:5">
      <c r="A16" s="68">
        <v>0.35218100000000002</v>
      </c>
      <c r="B16" s="68">
        <v>0.46504200000000001</v>
      </c>
      <c r="C16" s="68">
        <v>5.6866300000000001</v>
      </c>
      <c r="D16" s="68">
        <v>1</v>
      </c>
      <c r="E16" s="68" t="s">
        <v>423</v>
      </c>
    </row>
    <row r="17" spans="1:5">
      <c r="A17" s="68">
        <v>0.36253600000000002</v>
      </c>
      <c r="B17" s="68">
        <v>0.45436500000000002</v>
      </c>
      <c r="C17" s="68">
        <v>6.0926200000000001</v>
      </c>
      <c r="D17" s="68">
        <v>1</v>
      </c>
      <c r="E17" s="68" t="s">
        <v>424</v>
      </c>
    </row>
    <row r="18" spans="1:5">
      <c r="A18" s="68">
        <v>0.37297799999999998</v>
      </c>
      <c r="B18" s="68">
        <v>0.444803</v>
      </c>
      <c r="C18" s="68">
        <v>6.4965700000000002</v>
      </c>
      <c r="D18" s="68">
        <v>1</v>
      </c>
      <c r="E18" s="68" t="s">
        <v>425</v>
      </c>
    </row>
    <row r="19" spans="1:5">
      <c r="A19" s="68">
        <v>0.38339299999999998</v>
      </c>
      <c r="B19" s="68">
        <v>0.43706200000000001</v>
      </c>
      <c r="C19" s="68">
        <v>6.9055</v>
      </c>
      <c r="D19" s="68">
        <v>1</v>
      </c>
      <c r="E19" s="68" t="s">
        <v>426</v>
      </c>
    </row>
    <row r="20" spans="1:5">
      <c r="A20" s="68">
        <v>0.39344800000000002</v>
      </c>
      <c r="B20" s="68">
        <v>0.43162800000000001</v>
      </c>
      <c r="C20" s="68">
        <v>7.3116399999999997</v>
      </c>
      <c r="D20" s="68">
        <v>1</v>
      </c>
      <c r="E20" s="68" t="s">
        <v>427</v>
      </c>
    </row>
    <row r="21" spans="1:5">
      <c r="A21" s="68">
        <v>0.40343200000000001</v>
      </c>
      <c r="B21" s="68">
        <v>0.42773</v>
      </c>
      <c r="C21" s="68">
        <v>7.7162600000000001</v>
      </c>
      <c r="D21" s="68">
        <v>1</v>
      </c>
      <c r="E21" s="68" t="s">
        <v>428</v>
      </c>
    </row>
    <row r="22" spans="1:5">
      <c r="A22" s="68">
        <v>0.41314899999999999</v>
      </c>
      <c r="B22" s="68">
        <v>0.42496899999999999</v>
      </c>
      <c r="C22" s="68">
        <v>8.1252099999999992</v>
      </c>
      <c r="D22" s="68">
        <v>1</v>
      </c>
      <c r="E22" s="68" t="s">
        <v>429</v>
      </c>
    </row>
    <row r="23" spans="1:5">
      <c r="A23" s="68">
        <v>0.42258000000000001</v>
      </c>
      <c r="B23" s="68">
        <v>0.42407499999999998</v>
      </c>
      <c r="C23" s="68">
        <v>8.5261099999999992</v>
      </c>
      <c r="D23" s="68">
        <v>1</v>
      </c>
      <c r="E23" s="68" t="s">
        <v>430</v>
      </c>
    </row>
    <row r="24" spans="1:5">
      <c r="A24" s="68">
        <v>0.43187300000000001</v>
      </c>
      <c r="B24" s="68">
        <v>0.424709</v>
      </c>
      <c r="C24" s="68">
        <v>8.9349900000000009</v>
      </c>
      <c r="D24" s="68">
        <v>1</v>
      </c>
      <c r="E24" s="68" t="s">
        <v>431</v>
      </c>
    </row>
    <row r="25" spans="1:5">
      <c r="A25" s="68">
        <v>0.44055299999999997</v>
      </c>
      <c r="B25" s="68">
        <v>0.42764999999999997</v>
      </c>
      <c r="C25" s="68">
        <v>9.3429400000000005</v>
      </c>
      <c r="D25" s="68">
        <v>1</v>
      </c>
      <c r="E25" s="68" t="s">
        <v>432</v>
      </c>
    </row>
    <row r="26" spans="1:5">
      <c r="A26" s="68">
        <v>0.44896799999999998</v>
      </c>
      <c r="B26" s="68">
        <v>0.43076700000000001</v>
      </c>
      <c r="C26" s="68">
        <v>9.7488799999999998</v>
      </c>
      <c r="D26" s="68">
        <v>1</v>
      </c>
      <c r="E26" s="68" t="s">
        <v>433</v>
      </c>
    </row>
    <row r="27" spans="1:5">
      <c r="A27" s="68">
        <v>0.45697399999999999</v>
      </c>
      <c r="B27" s="68">
        <v>0.43421399999999999</v>
      </c>
      <c r="C27" s="68">
        <v>10.1538</v>
      </c>
      <c r="D27" s="68">
        <v>1</v>
      </c>
      <c r="E27" s="68" t="s">
        <v>434</v>
      </c>
    </row>
    <row r="28" spans="1:5">
      <c r="A28" s="68">
        <v>0.46458199999999999</v>
      </c>
      <c r="B28" s="68">
        <v>0.43775500000000001</v>
      </c>
      <c r="C28" s="68">
        <v>10.5596</v>
      </c>
      <c r="D28" s="68">
        <v>1</v>
      </c>
      <c r="E28" s="68" t="s">
        <v>435</v>
      </c>
    </row>
    <row r="29" spans="1:5">
      <c r="A29" s="68">
        <v>0.471692</v>
      </c>
      <c r="B29" s="68">
        <v>0.441355</v>
      </c>
      <c r="C29" s="68">
        <v>10.9657</v>
      </c>
      <c r="D29" s="68">
        <v>1</v>
      </c>
      <c r="E29" s="68" t="s">
        <v>436</v>
      </c>
    </row>
    <row r="30" spans="1:5">
      <c r="A30" s="68">
        <v>0.47866900000000001</v>
      </c>
      <c r="B30" s="68">
        <v>0.44450000000000001</v>
      </c>
      <c r="C30" s="68">
        <v>11.374499999999999</v>
      </c>
      <c r="D30" s="68">
        <v>1</v>
      </c>
      <c r="E30" s="68" t="s">
        <v>437</v>
      </c>
    </row>
    <row r="31" spans="1:5">
      <c r="A31" s="68">
        <v>0.48515900000000001</v>
      </c>
      <c r="B31" s="68">
        <v>0.44776700000000003</v>
      </c>
      <c r="C31" s="68">
        <v>11.7805</v>
      </c>
      <c r="D31" s="68">
        <v>1</v>
      </c>
      <c r="E31" s="68" t="s">
        <v>438</v>
      </c>
    </row>
    <row r="32" spans="1:5">
      <c r="A32" s="68">
        <v>0.49118400000000001</v>
      </c>
      <c r="B32" s="68">
        <v>0.45078200000000002</v>
      </c>
      <c r="C32" s="68">
        <v>12.1853</v>
      </c>
      <c r="D32" s="68">
        <v>1</v>
      </c>
      <c r="E32" s="68" t="s">
        <v>439</v>
      </c>
    </row>
    <row r="33" spans="1:5">
      <c r="A33" s="68">
        <v>0.49698500000000001</v>
      </c>
      <c r="B33" s="68">
        <v>0.45319500000000001</v>
      </c>
      <c r="C33" s="68">
        <v>12.591200000000001</v>
      </c>
      <c r="D33" s="68">
        <v>1</v>
      </c>
      <c r="E33" s="68" t="s">
        <v>440</v>
      </c>
    </row>
    <row r="34" spans="1:5">
      <c r="A34" s="68">
        <v>0.50249200000000005</v>
      </c>
      <c r="B34" s="68">
        <v>0.455123</v>
      </c>
      <c r="C34" s="68">
        <v>12.9962</v>
      </c>
      <c r="D34" s="68">
        <v>1</v>
      </c>
      <c r="E34" s="68" t="s">
        <v>441</v>
      </c>
    </row>
    <row r="35" spans="1:5">
      <c r="A35" s="68">
        <v>0.50749900000000003</v>
      </c>
      <c r="B35" s="68">
        <v>0.45691100000000001</v>
      </c>
      <c r="C35" s="68">
        <v>13.404299999999999</v>
      </c>
      <c r="D35" s="68">
        <v>1</v>
      </c>
      <c r="E35" s="68" t="s">
        <v>442</v>
      </c>
    </row>
    <row r="36" spans="1:5">
      <c r="A36" s="68">
        <v>0.51176299999999997</v>
      </c>
      <c r="B36" s="68">
        <v>0.45783000000000001</v>
      </c>
      <c r="C36" s="68">
        <v>13.808999999999999</v>
      </c>
      <c r="D36" s="68">
        <v>1</v>
      </c>
      <c r="E36" s="68" t="s">
        <v>443</v>
      </c>
    </row>
    <row r="37" spans="1:5">
      <c r="A37" s="68">
        <v>0.51540699999999995</v>
      </c>
      <c r="B37" s="68">
        <v>0.45894699999999999</v>
      </c>
      <c r="C37" s="68">
        <v>14.212400000000001</v>
      </c>
      <c r="D37" s="68">
        <v>1</v>
      </c>
      <c r="E37" s="68" t="s">
        <v>444</v>
      </c>
    </row>
    <row r="38" spans="1:5">
      <c r="A38" s="68">
        <v>0.51849100000000004</v>
      </c>
      <c r="B38" s="68">
        <v>0.45927299999999999</v>
      </c>
      <c r="C38" s="68">
        <v>14.620799999999999</v>
      </c>
      <c r="D38" s="68">
        <v>1</v>
      </c>
      <c r="E38" s="68" t="s">
        <v>445</v>
      </c>
    </row>
    <row r="39" spans="1:5">
      <c r="A39" s="68">
        <v>0.52142999999999995</v>
      </c>
      <c r="B39" s="68">
        <v>0.45916699999999999</v>
      </c>
      <c r="C39" s="68">
        <v>15.0267</v>
      </c>
      <c r="D39" s="68">
        <v>1</v>
      </c>
      <c r="E39" s="68" t="s">
        <v>446</v>
      </c>
    </row>
    <row r="40" spans="1:5">
      <c r="A40" s="68">
        <v>0.524231</v>
      </c>
      <c r="B40" s="68">
        <v>0.45877000000000001</v>
      </c>
      <c r="C40" s="68">
        <v>15.435600000000001</v>
      </c>
      <c r="D40" s="68">
        <v>1</v>
      </c>
      <c r="E40" s="68" t="s">
        <v>447</v>
      </c>
    </row>
    <row r="41" spans="1:5">
      <c r="A41" s="68">
        <v>0.52658199999999999</v>
      </c>
      <c r="B41" s="68">
        <v>0.45859800000000001</v>
      </c>
      <c r="C41" s="68">
        <v>15.839600000000001</v>
      </c>
      <c r="D41" s="68">
        <v>1</v>
      </c>
      <c r="E41" s="68" t="s">
        <v>448</v>
      </c>
    </row>
    <row r="42" spans="1:5">
      <c r="A42" s="68">
        <v>0.52855099999999999</v>
      </c>
      <c r="B42" s="68">
        <v>0.45807199999999998</v>
      </c>
      <c r="C42" s="68">
        <v>16.246200000000002</v>
      </c>
      <c r="D42" s="68">
        <v>1</v>
      </c>
      <c r="E42" s="68" t="s">
        <v>449</v>
      </c>
    </row>
    <row r="43" spans="1:5">
      <c r="A43" s="68">
        <v>0.530196</v>
      </c>
      <c r="B43" s="68">
        <v>0.45746199999999998</v>
      </c>
      <c r="C43" s="68">
        <v>16.657299999999999</v>
      </c>
      <c r="D43" s="68">
        <v>1</v>
      </c>
      <c r="E43" s="68" t="s">
        <v>450</v>
      </c>
    </row>
    <row r="44" spans="1:5">
      <c r="A44" s="68">
        <v>0.531555</v>
      </c>
      <c r="B44" s="68">
        <v>0.45718599999999998</v>
      </c>
      <c r="C44" s="68">
        <v>17.061399999999999</v>
      </c>
      <c r="D44" s="68">
        <v>1</v>
      </c>
      <c r="E44" s="68" t="s">
        <v>451</v>
      </c>
    </row>
    <row r="45" spans="1:5">
      <c r="A45" s="68">
        <v>0.53305199999999997</v>
      </c>
      <c r="B45" s="68">
        <v>0.45723200000000003</v>
      </c>
      <c r="C45" s="68">
        <v>17.467199999999998</v>
      </c>
      <c r="D45" s="68">
        <v>1</v>
      </c>
      <c r="E45" s="68" t="s">
        <v>452</v>
      </c>
    </row>
    <row r="46" spans="1:5">
      <c r="A46" s="68">
        <v>0.534385</v>
      </c>
      <c r="B46" s="68">
        <v>0.45707100000000001</v>
      </c>
      <c r="C46" s="68">
        <v>17.868099999999998</v>
      </c>
      <c r="D46" s="68">
        <v>1</v>
      </c>
      <c r="E46" s="68" t="s">
        <v>453</v>
      </c>
    </row>
    <row r="47" spans="1:5">
      <c r="A47" s="68">
        <v>0.53539899999999996</v>
      </c>
      <c r="B47" s="68">
        <v>0.45737800000000001</v>
      </c>
      <c r="C47" s="68">
        <v>18.2742</v>
      </c>
      <c r="D47" s="68">
        <v>1</v>
      </c>
      <c r="E47" s="68" t="s">
        <v>454</v>
      </c>
    </row>
    <row r="48" spans="1:5">
      <c r="A48" s="68">
        <v>0.53644199999999997</v>
      </c>
      <c r="B48" s="68">
        <v>0.45716000000000001</v>
      </c>
      <c r="C48" s="68">
        <v>18.684000000000001</v>
      </c>
      <c r="D48" s="68">
        <v>1</v>
      </c>
      <c r="E48" s="68" t="s">
        <v>455</v>
      </c>
    </row>
    <row r="49" spans="1:5">
      <c r="A49" s="68">
        <v>0.53725999999999996</v>
      </c>
      <c r="B49" s="68">
        <v>0.45592500000000002</v>
      </c>
      <c r="C49" s="68">
        <v>19.093900000000001</v>
      </c>
      <c r="D49" s="68">
        <v>1</v>
      </c>
      <c r="E49" s="68" t="s">
        <v>456</v>
      </c>
    </row>
    <row r="50" spans="1:5">
      <c r="A50" s="68">
        <v>0.53779200000000005</v>
      </c>
      <c r="B50" s="68">
        <v>0.45498300000000003</v>
      </c>
      <c r="C50" s="68">
        <v>19.495899999999999</v>
      </c>
      <c r="D50" s="68">
        <v>1</v>
      </c>
      <c r="E50" s="68" t="s">
        <v>457</v>
      </c>
    </row>
    <row r="51" spans="1:5">
      <c r="A51" s="68">
        <v>0.53783700000000001</v>
      </c>
      <c r="B51" s="68">
        <v>0.45447700000000002</v>
      </c>
      <c r="C51" s="68">
        <v>19.909800000000001</v>
      </c>
      <c r="D51" s="68">
        <v>1</v>
      </c>
      <c r="E51" s="68" t="s">
        <v>458</v>
      </c>
    </row>
    <row r="52" spans="1:5">
      <c r="A52" s="68">
        <v>0.53779900000000003</v>
      </c>
      <c r="B52" s="68">
        <v>0.45379900000000001</v>
      </c>
      <c r="C52" s="68">
        <v>20.309200000000001</v>
      </c>
      <c r="D52" s="68">
        <v>1</v>
      </c>
      <c r="E52" s="68" t="s">
        <v>459</v>
      </c>
    </row>
    <row r="53" spans="1:5">
      <c r="A53" s="68">
        <v>0.53779299999999997</v>
      </c>
      <c r="B53" s="68">
        <v>0.45330900000000002</v>
      </c>
      <c r="C53" s="68">
        <v>20.718499999999999</v>
      </c>
      <c r="D53" s="68">
        <v>1</v>
      </c>
      <c r="E53" s="68" t="s">
        <v>460</v>
      </c>
    </row>
    <row r="54" spans="1:5">
      <c r="A54" s="68">
        <v>0.53785000000000005</v>
      </c>
      <c r="B54" s="68">
        <v>0.45330199999999998</v>
      </c>
      <c r="C54" s="68">
        <v>21.121400000000001</v>
      </c>
      <c r="D54" s="68">
        <v>1</v>
      </c>
      <c r="E54" s="68" t="s">
        <v>461</v>
      </c>
    </row>
    <row r="55" spans="1:5">
      <c r="A55" s="68">
        <v>0.53752599999999995</v>
      </c>
      <c r="B55" s="68">
        <v>0.45373400000000003</v>
      </c>
      <c r="C55" s="68">
        <v>21.528700000000001</v>
      </c>
      <c r="D55" s="68">
        <v>1</v>
      </c>
      <c r="E55" s="68" t="s">
        <v>462</v>
      </c>
    </row>
    <row r="56" spans="1:5">
      <c r="A56" s="68">
        <v>0.53705599999999998</v>
      </c>
      <c r="B56" s="68">
        <v>0.45448</v>
      </c>
      <c r="C56" s="68">
        <v>21.9343</v>
      </c>
      <c r="D56" s="68">
        <v>1</v>
      </c>
      <c r="E56" s="68" t="s">
        <v>463</v>
      </c>
    </row>
    <row r="57" spans="1:5">
      <c r="A57" s="68">
        <v>0.53637500000000005</v>
      </c>
      <c r="B57" s="68">
        <v>0.45555400000000001</v>
      </c>
      <c r="C57" s="68">
        <v>22.340299999999999</v>
      </c>
      <c r="D57" s="68">
        <v>1</v>
      </c>
      <c r="E57" s="68" t="s">
        <v>464</v>
      </c>
    </row>
    <row r="58" spans="1:5">
      <c r="A58" s="68">
        <v>0.53544199999999997</v>
      </c>
      <c r="B58" s="68">
        <v>0.45714900000000003</v>
      </c>
      <c r="C58" s="68">
        <v>22.751000000000001</v>
      </c>
      <c r="D58" s="68">
        <v>1</v>
      </c>
      <c r="E58" s="68" t="s">
        <v>465</v>
      </c>
    </row>
    <row r="59" spans="1:5">
      <c r="A59" s="68">
        <v>0.53451599999999999</v>
      </c>
      <c r="B59" s="68">
        <v>0.45963999999999999</v>
      </c>
      <c r="C59" s="68">
        <v>23.152899999999999</v>
      </c>
      <c r="D59" s="68">
        <v>1</v>
      </c>
      <c r="E59" s="68" t="s">
        <v>466</v>
      </c>
    </row>
    <row r="60" spans="1:5">
      <c r="A60" s="68">
        <v>0.53358000000000005</v>
      </c>
      <c r="B60" s="68">
        <v>0.46270499999999998</v>
      </c>
      <c r="C60" s="68">
        <v>23.559799999999999</v>
      </c>
      <c r="D60" s="68">
        <v>1</v>
      </c>
      <c r="E60" s="68" t="s">
        <v>467</v>
      </c>
    </row>
    <row r="61" spans="1:5">
      <c r="A61" s="68">
        <v>0.53291900000000003</v>
      </c>
      <c r="B61" s="68">
        <v>0.46640500000000001</v>
      </c>
      <c r="C61" s="68">
        <v>23.964600000000001</v>
      </c>
      <c r="D61" s="68">
        <v>1</v>
      </c>
      <c r="E61" s="68" t="s">
        <v>468</v>
      </c>
    </row>
    <row r="62" spans="1:5">
      <c r="A62" s="68">
        <v>0.532273</v>
      </c>
      <c r="B62" s="68">
        <v>0.46922700000000001</v>
      </c>
      <c r="C62" s="68">
        <v>24.368500000000001</v>
      </c>
      <c r="D62" s="68">
        <v>1</v>
      </c>
      <c r="E62" s="68" t="s">
        <v>469</v>
      </c>
    </row>
    <row r="63" spans="1:5">
      <c r="A63" s="68">
        <v>0.53164699999999998</v>
      </c>
      <c r="B63" s="68">
        <v>0.47209000000000001</v>
      </c>
      <c r="C63" s="68">
        <v>24.776399999999999</v>
      </c>
      <c r="D63" s="68">
        <v>1</v>
      </c>
      <c r="E63" s="68" t="s">
        <v>470</v>
      </c>
    </row>
    <row r="64" spans="1:5">
      <c r="A64" s="68">
        <v>0.530694</v>
      </c>
      <c r="B64" s="68">
        <v>0.47491299999999997</v>
      </c>
      <c r="C64" s="68">
        <v>25.185600000000001</v>
      </c>
      <c r="D64" s="68">
        <v>1</v>
      </c>
      <c r="E64" s="68" t="s">
        <v>471</v>
      </c>
    </row>
    <row r="65" spans="1:5">
      <c r="A65" s="68">
        <v>0.52954199999999996</v>
      </c>
      <c r="B65" s="68">
        <v>0.47772399999999998</v>
      </c>
      <c r="C65" s="68">
        <v>25.592400000000001</v>
      </c>
      <c r="D65" s="68">
        <v>1</v>
      </c>
      <c r="E65" s="68" t="s">
        <v>472</v>
      </c>
    </row>
    <row r="66" spans="1:5">
      <c r="A66" s="68">
        <v>0.528559</v>
      </c>
      <c r="B66" s="68">
        <v>0.479931</v>
      </c>
      <c r="C66" s="68">
        <v>25.996400000000001</v>
      </c>
      <c r="D66" s="68">
        <v>1</v>
      </c>
      <c r="E66" s="68" t="s">
        <v>473</v>
      </c>
    </row>
    <row r="67" spans="1:5">
      <c r="A67" s="68">
        <v>0.52777700000000005</v>
      </c>
      <c r="B67" s="68">
        <v>0.48210199999999997</v>
      </c>
      <c r="C67" s="68">
        <v>26.4025</v>
      </c>
      <c r="D67" s="68">
        <v>1</v>
      </c>
      <c r="E67" s="68" t="s">
        <v>474</v>
      </c>
    </row>
    <row r="68" spans="1:5">
      <c r="A68" s="68">
        <v>0.52685599999999999</v>
      </c>
      <c r="B68" s="68">
        <v>0.48349399999999998</v>
      </c>
      <c r="C68" s="68">
        <v>26.808199999999999</v>
      </c>
      <c r="D68" s="68">
        <v>1</v>
      </c>
      <c r="E68" s="68" t="s">
        <v>475</v>
      </c>
    </row>
    <row r="69" spans="1:5">
      <c r="A69" s="68">
        <v>0.52570499999999998</v>
      </c>
      <c r="B69" s="68">
        <v>0.48380400000000001</v>
      </c>
      <c r="C69" s="68">
        <v>27.214200000000002</v>
      </c>
      <c r="D69" s="68">
        <v>1</v>
      </c>
      <c r="E69" s="68" t="s">
        <v>476</v>
      </c>
    </row>
    <row r="70" spans="1:5">
      <c r="A70" s="68">
        <v>0.52426300000000003</v>
      </c>
      <c r="B70" s="68">
        <v>0.48427500000000001</v>
      </c>
      <c r="C70" s="68">
        <v>27.625</v>
      </c>
      <c r="D70" s="68">
        <v>1</v>
      </c>
      <c r="E70" s="68" t="s">
        <v>477</v>
      </c>
    </row>
    <row r="71" spans="1:5">
      <c r="A71" s="68">
        <v>0.52293800000000001</v>
      </c>
      <c r="B71" s="68">
        <v>0.48537999999999998</v>
      </c>
      <c r="C71" s="68">
        <v>28.024899999999999</v>
      </c>
      <c r="D71" s="68">
        <v>1</v>
      </c>
      <c r="E71" s="68" t="s">
        <v>478</v>
      </c>
    </row>
    <row r="72" spans="1:5">
      <c r="A72" s="68">
        <v>0.52185499999999996</v>
      </c>
      <c r="B72" s="68">
        <v>0.485431</v>
      </c>
      <c r="C72" s="68">
        <v>28.430800000000001</v>
      </c>
      <c r="D72" s="68">
        <v>1</v>
      </c>
      <c r="E72" s="68" t="s">
        <v>479</v>
      </c>
    </row>
    <row r="73" spans="1:5">
      <c r="A73" s="68">
        <v>0.52055200000000001</v>
      </c>
      <c r="B73" s="68">
        <v>0.48619800000000002</v>
      </c>
      <c r="C73" s="68">
        <v>28.844999999999999</v>
      </c>
      <c r="D73" s="68">
        <v>1</v>
      </c>
      <c r="E73" s="68" t="s">
        <v>480</v>
      </c>
    </row>
    <row r="74" spans="1:5">
      <c r="A74" s="68">
        <v>0.51929499999999995</v>
      </c>
      <c r="B74" s="68">
        <v>0.487931</v>
      </c>
      <c r="C74" s="68">
        <v>29.246700000000001</v>
      </c>
      <c r="D74" s="68">
        <v>1</v>
      </c>
      <c r="E74" s="68" t="s">
        <v>481</v>
      </c>
    </row>
    <row r="75" spans="1:5">
      <c r="A75" s="68">
        <v>0.51842299999999997</v>
      </c>
      <c r="B75" s="68">
        <v>0.489286</v>
      </c>
      <c r="C75" s="68">
        <v>29.6526</v>
      </c>
      <c r="D75" s="68">
        <v>1</v>
      </c>
      <c r="E75" s="68" t="s">
        <v>482</v>
      </c>
    </row>
    <row r="76" spans="1:5">
      <c r="A76" s="68">
        <v>0.51777799999999996</v>
      </c>
      <c r="B76" s="68">
        <v>0.49016799999999999</v>
      </c>
      <c r="C76" s="68">
        <v>30.057500000000001</v>
      </c>
      <c r="D76" s="68">
        <v>1</v>
      </c>
      <c r="E76" s="68" t="s">
        <v>483</v>
      </c>
    </row>
    <row r="77" spans="1:5">
      <c r="A77" s="68">
        <v>0.51676699999999998</v>
      </c>
      <c r="B77" s="68">
        <v>0.49138300000000001</v>
      </c>
      <c r="C77" s="68">
        <v>30.465599999999998</v>
      </c>
      <c r="D77" s="68">
        <v>2</v>
      </c>
      <c r="E77" s="68" t="s">
        <v>484</v>
      </c>
    </row>
    <row r="78" spans="1:5">
      <c r="A78" s="68">
        <v>0.51556100000000005</v>
      </c>
      <c r="B78" s="68">
        <v>0.492591</v>
      </c>
      <c r="C78" s="68">
        <v>30.876300000000001</v>
      </c>
      <c r="D78" s="68">
        <v>2</v>
      </c>
      <c r="E78" s="68" t="s">
        <v>485</v>
      </c>
    </row>
    <row r="79" spans="1:5">
      <c r="A79" s="68">
        <v>0.51400100000000004</v>
      </c>
      <c r="B79" s="68">
        <v>0.49344399999999999</v>
      </c>
      <c r="C79" s="68">
        <v>31.278600000000001</v>
      </c>
      <c r="D79" s="68">
        <v>2</v>
      </c>
      <c r="E79" s="68" t="s">
        <v>486</v>
      </c>
    </row>
    <row r="80" spans="1:5">
      <c r="A80" s="68">
        <v>0.51249999999999996</v>
      </c>
      <c r="B80" s="68">
        <v>0.49352099999999999</v>
      </c>
      <c r="C80" s="68">
        <v>31.68</v>
      </c>
      <c r="D80" s="68">
        <v>2</v>
      </c>
      <c r="E80" s="68" t="s">
        <v>487</v>
      </c>
    </row>
    <row r="81" spans="1:5">
      <c r="A81" s="68">
        <v>0.51120299999999996</v>
      </c>
      <c r="B81" s="68">
        <v>0.49326799999999998</v>
      </c>
      <c r="C81" s="68">
        <v>32.091099999999997</v>
      </c>
      <c r="D81" s="68">
        <v>2</v>
      </c>
      <c r="E81" s="68" t="s">
        <v>488</v>
      </c>
    </row>
    <row r="82" spans="1:5">
      <c r="A82" s="68">
        <v>0.51008399999999998</v>
      </c>
      <c r="B82" s="68">
        <v>0.49248199999999998</v>
      </c>
      <c r="C82" s="68">
        <v>32.497100000000003</v>
      </c>
      <c r="D82" s="68">
        <v>2</v>
      </c>
      <c r="E82" s="68" t="s">
        <v>489</v>
      </c>
    </row>
    <row r="83" spans="1:5">
      <c r="A83" s="68">
        <v>0.50895900000000005</v>
      </c>
      <c r="B83" s="68">
        <v>0.49119699999999999</v>
      </c>
      <c r="C83" s="68">
        <v>32.902900000000002</v>
      </c>
      <c r="D83" s="68">
        <v>2</v>
      </c>
      <c r="E83" s="68" t="s">
        <v>490</v>
      </c>
    </row>
    <row r="84" spans="1:5">
      <c r="A84" s="68">
        <v>0.50756999999999997</v>
      </c>
      <c r="B84" s="68">
        <v>0.48945699999999998</v>
      </c>
      <c r="C84" s="68">
        <v>33.312100000000001</v>
      </c>
      <c r="D84" s="68">
        <v>2</v>
      </c>
      <c r="E84" s="68" t="s">
        <v>491</v>
      </c>
    </row>
    <row r="85" spans="1:5">
      <c r="A85" s="68">
        <v>0.50613200000000003</v>
      </c>
      <c r="B85" s="68">
        <v>0.48719400000000002</v>
      </c>
      <c r="C85" s="68">
        <v>33.717700000000001</v>
      </c>
      <c r="D85" s="68">
        <v>2</v>
      </c>
      <c r="E85" s="68" t="s">
        <v>492</v>
      </c>
    </row>
    <row r="86" spans="1:5">
      <c r="A86" s="68">
        <v>0.50445499999999999</v>
      </c>
      <c r="B86" s="68">
        <v>0.48448200000000002</v>
      </c>
      <c r="C86" s="68">
        <v>34.124600000000001</v>
      </c>
      <c r="D86" s="68">
        <v>2</v>
      </c>
      <c r="E86" s="68" t="s">
        <v>493</v>
      </c>
    </row>
    <row r="87" spans="1:5">
      <c r="A87" s="68">
        <v>0.50309700000000002</v>
      </c>
      <c r="B87" s="68">
        <v>0.48164600000000002</v>
      </c>
      <c r="C87" s="68">
        <v>34.5276</v>
      </c>
      <c r="D87" s="68">
        <v>2</v>
      </c>
      <c r="E87" s="68" t="s">
        <v>494</v>
      </c>
    </row>
    <row r="88" spans="1:5">
      <c r="A88" s="68">
        <v>0.50202199999999997</v>
      </c>
      <c r="B88" s="68">
        <v>0.478468</v>
      </c>
      <c r="C88" s="68">
        <v>34.933199999999999</v>
      </c>
      <c r="D88" s="68">
        <v>2</v>
      </c>
      <c r="E88" s="68" t="s">
        <v>495</v>
      </c>
    </row>
    <row r="89" spans="1:5">
      <c r="A89" s="68">
        <v>0.50111099999999997</v>
      </c>
      <c r="B89" s="68">
        <v>0.47478500000000001</v>
      </c>
      <c r="C89" s="68">
        <v>35.340400000000002</v>
      </c>
      <c r="D89" s="68">
        <v>2</v>
      </c>
      <c r="E89" s="68" t="s">
        <v>496</v>
      </c>
    </row>
    <row r="90" spans="1:5">
      <c r="A90" s="68">
        <v>0.50035499999999999</v>
      </c>
      <c r="B90" s="68">
        <v>0.47120400000000001</v>
      </c>
      <c r="C90" s="68">
        <v>35.751399999999997</v>
      </c>
      <c r="D90" s="68">
        <v>2</v>
      </c>
      <c r="E90" s="68" t="s">
        <v>497</v>
      </c>
    </row>
    <row r="91" spans="1:5">
      <c r="A91" s="68">
        <v>0.499473</v>
      </c>
      <c r="B91" s="68">
        <v>0.46853099999999998</v>
      </c>
      <c r="C91" s="68">
        <v>36.153100000000002</v>
      </c>
      <c r="D91" s="68">
        <v>2</v>
      </c>
      <c r="E91" s="68" t="s">
        <v>498</v>
      </c>
    </row>
    <row r="92" spans="1:5">
      <c r="A92" s="68">
        <v>0.49822499999999997</v>
      </c>
      <c r="B92" s="68">
        <v>0.46607700000000002</v>
      </c>
      <c r="C92" s="68">
        <v>36.557099999999998</v>
      </c>
      <c r="D92" s="68">
        <v>2</v>
      </c>
      <c r="E92" s="68" t="s">
        <v>499</v>
      </c>
    </row>
    <row r="93" spans="1:5">
      <c r="A93" s="68">
        <v>0.49709100000000001</v>
      </c>
      <c r="B93" s="68">
        <v>0.46432000000000001</v>
      </c>
      <c r="C93" s="68">
        <v>36.962699999999998</v>
      </c>
      <c r="D93" s="68">
        <v>2</v>
      </c>
      <c r="E93" s="68" t="s">
        <v>500</v>
      </c>
    </row>
    <row r="94" spans="1:5">
      <c r="A94" s="68">
        <v>0.49643700000000002</v>
      </c>
      <c r="B94" s="68">
        <v>0.462922</v>
      </c>
      <c r="C94" s="68">
        <v>37.371000000000002</v>
      </c>
      <c r="D94" s="68">
        <v>2</v>
      </c>
      <c r="E94" s="68" t="s">
        <v>501</v>
      </c>
    </row>
    <row r="95" spans="1:5">
      <c r="A95" s="68">
        <v>0.49573299999999998</v>
      </c>
      <c r="B95" s="68">
        <v>0.46138499999999999</v>
      </c>
      <c r="C95" s="68">
        <v>37.78</v>
      </c>
      <c r="D95" s="68">
        <v>2</v>
      </c>
      <c r="E95" s="68" t="s">
        <v>502</v>
      </c>
    </row>
    <row r="96" spans="1:5">
      <c r="A96" s="68">
        <v>0.49468299999999998</v>
      </c>
      <c r="B96" s="68">
        <v>0.459229</v>
      </c>
      <c r="C96" s="68">
        <v>38.184800000000003</v>
      </c>
      <c r="D96" s="68">
        <v>2</v>
      </c>
      <c r="E96" s="68" t="s">
        <v>503</v>
      </c>
    </row>
    <row r="97" spans="1:5">
      <c r="A97" s="68">
        <v>0.49337999999999999</v>
      </c>
      <c r="B97" s="68">
        <v>0.45802199999999998</v>
      </c>
      <c r="C97" s="68">
        <v>38.590699999999998</v>
      </c>
      <c r="D97" s="68">
        <v>2</v>
      </c>
      <c r="E97" s="68" t="s">
        <v>504</v>
      </c>
    </row>
    <row r="98" spans="1:5">
      <c r="A98" s="68">
        <v>0.49209399999999998</v>
      </c>
      <c r="B98" s="68">
        <v>0.45704299999999998</v>
      </c>
      <c r="C98" s="68">
        <v>38.997300000000003</v>
      </c>
      <c r="D98" s="68">
        <v>2</v>
      </c>
      <c r="E98" s="68" t="s">
        <v>505</v>
      </c>
    </row>
    <row r="99" spans="1:5">
      <c r="A99" s="68">
        <v>0.490867</v>
      </c>
      <c r="B99" s="68">
        <v>0.45650600000000002</v>
      </c>
      <c r="C99" s="68">
        <v>39.403500000000001</v>
      </c>
      <c r="D99" s="68">
        <v>2</v>
      </c>
      <c r="E99" s="68" t="s">
        <v>506</v>
      </c>
    </row>
    <row r="100" spans="1:5">
      <c r="A100" s="68">
        <v>0.48974099999999998</v>
      </c>
      <c r="B100" s="68">
        <v>0.45585799999999999</v>
      </c>
      <c r="C100" s="68">
        <v>39.804900000000004</v>
      </c>
      <c r="D100" s="68">
        <v>2</v>
      </c>
      <c r="E100" s="68" t="s">
        <v>507</v>
      </c>
    </row>
    <row r="101" spans="1:5">
      <c r="A101" s="68">
        <v>0.489153</v>
      </c>
      <c r="B101" s="68">
        <v>0.45479199999999997</v>
      </c>
      <c r="C101" s="68">
        <v>40.214700000000001</v>
      </c>
      <c r="D101" s="68">
        <v>2</v>
      </c>
      <c r="E101" s="68" t="s">
        <v>508</v>
      </c>
    </row>
    <row r="102" spans="1:5">
      <c r="A102" s="68">
        <v>0.48902800000000002</v>
      </c>
      <c r="B102" s="68">
        <v>0.45389600000000002</v>
      </c>
      <c r="C102" s="68">
        <v>40.624299999999998</v>
      </c>
      <c r="D102" s="68">
        <v>2</v>
      </c>
      <c r="E102" s="68" t="s">
        <v>509</v>
      </c>
    </row>
    <row r="103" spans="1:5">
      <c r="A103" s="68">
        <v>0.488707</v>
      </c>
      <c r="B103" s="68">
        <v>0.45381899999999997</v>
      </c>
      <c r="C103" s="68">
        <v>41.031199999999998</v>
      </c>
      <c r="D103" s="68">
        <v>2</v>
      </c>
      <c r="E103" s="68" t="s">
        <v>510</v>
      </c>
    </row>
    <row r="104" spans="1:5">
      <c r="A104" s="68">
        <v>0.48893399999999998</v>
      </c>
      <c r="B104" s="68">
        <v>0.45358799999999999</v>
      </c>
      <c r="C104" s="68">
        <v>41.435099999999998</v>
      </c>
      <c r="D104" s="68">
        <v>2</v>
      </c>
      <c r="E104" s="68" t="s">
        <v>511</v>
      </c>
    </row>
    <row r="105" spans="1:5">
      <c r="A105" s="68">
        <v>0.48943700000000001</v>
      </c>
      <c r="B105" s="68">
        <v>0.45330799999999999</v>
      </c>
      <c r="C105" s="68">
        <v>41.841099999999997</v>
      </c>
      <c r="D105" s="68">
        <v>2</v>
      </c>
      <c r="E105" s="68" t="s">
        <v>512</v>
      </c>
    </row>
    <row r="106" spans="1:5">
      <c r="A106" s="68">
        <v>0.49002299999999999</v>
      </c>
      <c r="B106" s="68">
        <v>0.45241799999999999</v>
      </c>
      <c r="C106" s="68">
        <v>42.247</v>
      </c>
      <c r="D106" s="68">
        <v>2</v>
      </c>
      <c r="E106" s="68" t="s">
        <v>513</v>
      </c>
    </row>
    <row r="107" spans="1:5">
      <c r="A107" s="68">
        <v>0.49073299999999997</v>
      </c>
      <c r="B107" s="68">
        <v>0.45155899999999999</v>
      </c>
      <c r="C107" s="68">
        <v>42.652799999999999</v>
      </c>
      <c r="D107" s="68">
        <v>2</v>
      </c>
      <c r="E107" s="68" t="s">
        <v>514</v>
      </c>
    </row>
    <row r="108" spans="1:5">
      <c r="A108" s="68">
        <v>0.491539</v>
      </c>
      <c r="B108" s="68">
        <v>0.45075500000000002</v>
      </c>
      <c r="C108" s="68">
        <v>43.060699999999997</v>
      </c>
      <c r="D108" s="68">
        <v>2</v>
      </c>
      <c r="E108" s="68" t="s">
        <v>515</v>
      </c>
    </row>
    <row r="109" spans="1:5">
      <c r="A109" s="68">
        <v>0.49243799999999999</v>
      </c>
      <c r="B109" s="68">
        <v>0.449712</v>
      </c>
      <c r="C109" s="68">
        <v>43.467700000000001</v>
      </c>
      <c r="D109" s="68">
        <v>2</v>
      </c>
      <c r="E109" s="68" t="s">
        <v>516</v>
      </c>
    </row>
    <row r="110" spans="1:5">
      <c r="A110" s="68">
        <v>0.49368699999999999</v>
      </c>
      <c r="B110" s="68">
        <v>0.44836500000000001</v>
      </c>
      <c r="C110" s="68">
        <v>43.874699999999997</v>
      </c>
      <c r="D110" s="68">
        <v>2</v>
      </c>
      <c r="E110" s="68" t="s">
        <v>517</v>
      </c>
    </row>
    <row r="111" spans="1:5">
      <c r="A111" s="68">
        <v>0.49541000000000002</v>
      </c>
      <c r="B111" s="68">
        <v>0.44791700000000001</v>
      </c>
      <c r="C111" s="68">
        <v>44.279499999999999</v>
      </c>
      <c r="D111" s="68">
        <v>2</v>
      </c>
      <c r="E111" s="68" t="s">
        <v>518</v>
      </c>
    </row>
    <row r="112" spans="1:5">
      <c r="A112" s="68">
        <v>0.49704399999999999</v>
      </c>
      <c r="B112" s="68">
        <v>0.44822899999999999</v>
      </c>
      <c r="C112" s="68">
        <v>44.684399999999997</v>
      </c>
      <c r="D112" s="68">
        <v>2</v>
      </c>
      <c r="E112" s="68" t="s">
        <v>519</v>
      </c>
    </row>
    <row r="113" spans="1:5">
      <c r="A113" s="68">
        <v>0.49834000000000001</v>
      </c>
      <c r="B113" s="68">
        <v>0.44909900000000003</v>
      </c>
      <c r="C113" s="68">
        <v>45.093200000000003</v>
      </c>
      <c r="D113" s="68">
        <v>2</v>
      </c>
      <c r="E113" s="68" t="s">
        <v>520</v>
      </c>
    </row>
    <row r="114" spans="1:5">
      <c r="A114" s="68">
        <v>0.49989299999999998</v>
      </c>
      <c r="B114" s="68">
        <v>0.44973000000000002</v>
      </c>
      <c r="C114" s="68">
        <v>45.501199999999997</v>
      </c>
      <c r="D114" s="68">
        <v>2</v>
      </c>
      <c r="E114" s="68" t="s">
        <v>521</v>
      </c>
    </row>
    <row r="115" spans="1:5">
      <c r="A115" s="68">
        <v>0.50175199999999998</v>
      </c>
      <c r="B115" s="68">
        <v>0.450206</v>
      </c>
      <c r="C115" s="68">
        <v>45.9009</v>
      </c>
      <c r="D115" s="68">
        <v>2</v>
      </c>
      <c r="E115" s="68" t="s">
        <v>522</v>
      </c>
    </row>
    <row r="116" spans="1:5">
      <c r="A116" s="68">
        <v>0.503521</v>
      </c>
      <c r="B116" s="68">
        <v>0.45053900000000002</v>
      </c>
      <c r="C116" s="68">
        <v>46.306899999999999</v>
      </c>
      <c r="D116" s="68">
        <v>2</v>
      </c>
      <c r="E116" s="68" t="s">
        <v>523</v>
      </c>
    </row>
    <row r="117" spans="1:5">
      <c r="A117" s="68">
        <v>0.50522800000000001</v>
      </c>
      <c r="B117" s="68">
        <v>0.45164700000000002</v>
      </c>
      <c r="C117" s="68">
        <v>46.713099999999997</v>
      </c>
      <c r="D117" s="68">
        <v>2</v>
      </c>
      <c r="E117" s="68" t="s">
        <v>524</v>
      </c>
    </row>
    <row r="118" spans="1:5">
      <c r="A118" s="68">
        <v>0.50718099999999999</v>
      </c>
      <c r="B118" s="68">
        <v>0.45303199999999999</v>
      </c>
      <c r="C118" s="68">
        <v>47.1248</v>
      </c>
      <c r="D118" s="68">
        <v>2</v>
      </c>
      <c r="E118" s="68" t="s">
        <v>525</v>
      </c>
    </row>
    <row r="119" spans="1:5">
      <c r="A119" s="68">
        <v>0.50911200000000001</v>
      </c>
      <c r="B119" s="68">
        <v>0.45452700000000001</v>
      </c>
      <c r="C119" s="68">
        <v>47.529800000000002</v>
      </c>
      <c r="D119" s="68">
        <v>2</v>
      </c>
      <c r="E119" s="68" t="s">
        <v>526</v>
      </c>
    </row>
    <row r="120" spans="1:5">
      <c r="A120" s="68">
        <v>0.51095999999999997</v>
      </c>
      <c r="B120" s="68">
        <v>0.456511</v>
      </c>
      <c r="C120" s="68">
        <v>47.933799999999998</v>
      </c>
      <c r="D120" s="68">
        <v>2</v>
      </c>
      <c r="E120" s="68" t="s">
        <v>527</v>
      </c>
    </row>
    <row r="121" spans="1:5">
      <c r="A121" s="68">
        <v>0.51295100000000005</v>
      </c>
      <c r="B121" s="68">
        <v>0.45901599999999998</v>
      </c>
      <c r="C121" s="68">
        <v>48.3416</v>
      </c>
      <c r="D121" s="68">
        <v>2</v>
      </c>
      <c r="E121" s="68" t="s">
        <v>528</v>
      </c>
    </row>
    <row r="122" spans="1:5">
      <c r="A122" s="68">
        <v>0.51529700000000001</v>
      </c>
      <c r="B122" s="68">
        <v>0.46160600000000002</v>
      </c>
      <c r="C122" s="68">
        <v>48.743499999999997</v>
      </c>
      <c r="D122" s="68">
        <v>2</v>
      </c>
      <c r="E122" s="68" t="s">
        <v>529</v>
      </c>
    </row>
    <row r="123" spans="1:5">
      <c r="A123" s="68">
        <v>0.51769399999999999</v>
      </c>
      <c r="B123" s="68">
        <v>0.46276600000000001</v>
      </c>
      <c r="C123" s="68">
        <v>49.153100000000002</v>
      </c>
      <c r="D123" s="68">
        <v>2</v>
      </c>
      <c r="E123" s="68" t="s">
        <v>530</v>
      </c>
    </row>
    <row r="124" spans="1:5">
      <c r="A124" s="68">
        <v>0.52005299999999999</v>
      </c>
      <c r="B124" s="68">
        <v>0.46318999999999999</v>
      </c>
      <c r="C124" s="68">
        <v>49.560299999999998</v>
      </c>
      <c r="D124" s="68">
        <v>2</v>
      </c>
      <c r="E124" s="68" t="s">
        <v>531</v>
      </c>
    </row>
    <row r="125" spans="1:5">
      <c r="A125" s="68">
        <v>0.522258</v>
      </c>
      <c r="B125" s="68">
        <v>0.462478</v>
      </c>
      <c r="C125" s="68">
        <v>49.965299999999999</v>
      </c>
      <c r="D125" s="68">
        <v>2</v>
      </c>
      <c r="E125" s="68" t="s">
        <v>532</v>
      </c>
    </row>
    <row r="126" spans="1:5">
      <c r="A126" s="68">
        <v>0.52373400000000003</v>
      </c>
      <c r="B126" s="68">
        <v>0.46171099999999998</v>
      </c>
      <c r="C126" s="68">
        <v>50.371299999999998</v>
      </c>
      <c r="D126" s="68">
        <v>2</v>
      </c>
      <c r="E126" s="68" t="s">
        <v>533</v>
      </c>
    </row>
    <row r="127" spans="1:5">
      <c r="A127" s="68">
        <v>0.52465099999999998</v>
      </c>
      <c r="B127" s="68">
        <v>0.46227699999999999</v>
      </c>
      <c r="C127" s="68">
        <v>50.78</v>
      </c>
      <c r="D127" s="68">
        <v>2</v>
      </c>
      <c r="E127" s="68" t="s">
        <v>534</v>
      </c>
    </row>
    <row r="128" spans="1:5">
      <c r="A128" s="68">
        <v>0.52580700000000002</v>
      </c>
      <c r="B128" s="68">
        <v>0.46278200000000003</v>
      </c>
      <c r="C128" s="68">
        <v>51.184899999999999</v>
      </c>
      <c r="D128" s="68">
        <v>2</v>
      </c>
      <c r="E128" s="68" t="s">
        <v>535</v>
      </c>
    </row>
    <row r="129" spans="1:5">
      <c r="A129" s="68">
        <v>0.52685400000000004</v>
      </c>
      <c r="B129" s="68">
        <v>0.46317399999999997</v>
      </c>
      <c r="C129" s="68">
        <v>51.5929</v>
      </c>
      <c r="D129" s="68">
        <v>2</v>
      </c>
      <c r="E129" s="68" t="s">
        <v>536</v>
      </c>
    </row>
    <row r="130" spans="1:5">
      <c r="A130" s="68">
        <v>0.52789299999999995</v>
      </c>
      <c r="B130" s="68">
        <v>0.463833</v>
      </c>
      <c r="C130" s="68">
        <v>51.995899999999999</v>
      </c>
      <c r="D130" s="68">
        <v>2</v>
      </c>
      <c r="E130" s="68" t="s">
        <v>537</v>
      </c>
    </row>
    <row r="131" spans="1:5">
      <c r="A131" s="68">
        <v>0.52888599999999997</v>
      </c>
      <c r="B131" s="68">
        <v>0.464891</v>
      </c>
      <c r="C131" s="68">
        <v>52.402799999999999</v>
      </c>
      <c r="D131" s="68">
        <v>2</v>
      </c>
      <c r="E131" s="68" t="s">
        <v>538</v>
      </c>
    </row>
    <row r="132" spans="1:5">
      <c r="A132" s="68">
        <v>0.52990000000000004</v>
      </c>
      <c r="B132" s="68">
        <v>0.46602700000000002</v>
      </c>
      <c r="C132" s="68">
        <v>52.814700000000002</v>
      </c>
      <c r="D132" s="68">
        <v>2</v>
      </c>
      <c r="E132" s="68" t="s">
        <v>539</v>
      </c>
    </row>
    <row r="133" spans="1:5">
      <c r="A133" s="68">
        <v>0.53100400000000003</v>
      </c>
      <c r="B133" s="68">
        <v>0.467248</v>
      </c>
      <c r="C133" s="68">
        <v>53.2196</v>
      </c>
      <c r="D133" s="68">
        <v>2</v>
      </c>
      <c r="E133" s="68" t="s">
        <v>540</v>
      </c>
    </row>
    <row r="134" spans="1:5">
      <c r="A134" s="68">
        <v>0.53222999999999998</v>
      </c>
      <c r="B134" s="68">
        <v>0.46894599999999997</v>
      </c>
      <c r="C134" s="68">
        <v>53.621499999999997</v>
      </c>
      <c r="D134" s="68">
        <v>2</v>
      </c>
      <c r="E134" s="68" t="s">
        <v>541</v>
      </c>
    </row>
    <row r="135" spans="1:5">
      <c r="A135" s="68">
        <v>0.53336799999999995</v>
      </c>
      <c r="B135" s="68">
        <v>0.47081899999999999</v>
      </c>
      <c r="C135" s="68">
        <v>54.026400000000002</v>
      </c>
      <c r="D135" s="68">
        <v>2</v>
      </c>
      <c r="E135" s="68" t="s">
        <v>542</v>
      </c>
    </row>
    <row r="136" spans="1:5">
      <c r="A136" s="68">
        <v>0.53431300000000004</v>
      </c>
      <c r="B136" s="68">
        <v>0.472221</v>
      </c>
      <c r="C136" s="68">
        <v>54.433199999999999</v>
      </c>
      <c r="D136" s="68">
        <v>2</v>
      </c>
      <c r="E136" s="68" t="s">
        <v>543</v>
      </c>
    </row>
    <row r="137" spans="1:5">
      <c r="A137" s="68">
        <v>0.53532400000000002</v>
      </c>
      <c r="B137" s="68">
        <v>0.47298600000000002</v>
      </c>
      <c r="C137" s="68">
        <v>54.839100000000002</v>
      </c>
      <c r="D137" s="68">
        <v>2</v>
      </c>
      <c r="E137" s="68" t="s">
        <v>544</v>
      </c>
    </row>
    <row r="138" spans="1:5">
      <c r="A138" s="68">
        <v>0.53668099999999996</v>
      </c>
      <c r="B138" s="68">
        <v>0.473748</v>
      </c>
      <c r="C138" s="68">
        <v>55.247999999999998</v>
      </c>
      <c r="D138" s="68">
        <v>2</v>
      </c>
      <c r="E138" s="68" t="s">
        <v>545</v>
      </c>
    </row>
    <row r="139" spans="1:5">
      <c r="A139" s="68">
        <v>0.53788100000000005</v>
      </c>
      <c r="B139" s="68">
        <v>0.47523700000000002</v>
      </c>
      <c r="C139" s="68">
        <v>55.652000000000001</v>
      </c>
      <c r="D139" s="68">
        <v>2</v>
      </c>
      <c r="E139" s="68" t="s">
        <v>546</v>
      </c>
    </row>
    <row r="140" spans="1:5">
      <c r="A140" s="68">
        <v>0.53869500000000003</v>
      </c>
      <c r="B140" s="68">
        <v>0.47661500000000001</v>
      </c>
      <c r="C140" s="68">
        <v>56.059899999999999</v>
      </c>
      <c r="D140" s="68">
        <v>2</v>
      </c>
      <c r="E140" s="68" t="s">
        <v>547</v>
      </c>
    </row>
    <row r="141" spans="1:5">
      <c r="A141" s="68">
        <v>0.53977900000000001</v>
      </c>
      <c r="B141" s="68">
        <v>0.47801100000000002</v>
      </c>
      <c r="C141" s="68">
        <v>56.4664</v>
      </c>
      <c r="D141" s="68">
        <v>2</v>
      </c>
      <c r="E141" s="68" t="s">
        <v>548</v>
      </c>
    </row>
    <row r="142" spans="1:5">
      <c r="A142" s="68">
        <v>0.54114200000000001</v>
      </c>
      <c r="B142" s="68">
        <v>0.478211</v>
      </c>
      <c r="C142" s="68">
        <v>56.871899999999997</v>
      </c>
      <c r="D142" s="68">
        <v>2</v>
      </c>
      <c r="E142" s="68" t="s">
        <v>549</v>
      </c>
    </row>
    <row r="143" spans="1:5">
      <c r="A143" s="68">
        <v>0.542134</v>
      </c>
      <c r="B143" s="68">
        <v>0.47641699999999998</v>
      </c>
      <c r="C143" s="68">
        <v>57.279000000000003</v>
      </c>
      <c r="D143" s="68">
        <v>2</v>
      </c>
      <c r="E143" s="68" t="s">
        <v>550</v>
      </c>
    </row>
    <row r="144" spans="1:5">
      <c r="A144" s="68">
        <v>0.54292899999999999</v>
      </c>
      <c r="B144" s="68">
        <v>0.47311799999999998</v>
      </c>
      <c r="C144" s="68">
        <v>57.6828</v>
      </c>
      <c r="D144" s="68">
        <v>2</v>
      </c>
      <c r="E144" s="68" t="s">
        <v>551</v>
      </c>
    </row>
    <row r="145" spans="1:5">
      <c r="A145" s="68">
        <v>0.54425699999999999</v>
      </c>
      <c r="B145" s="68">
        <v>0.46922900000000001</v>
      </c>
      <c r="C145" s="68">
        <v>58.090600000000002</v>
      </c>
      <c r="D145" s="68">
        <v>2</v>
      </c>
      <c r="E145" s="68" t="s">
        <v>552</v>
      </c>
    </row>
    <row r="146" spans="1:5">
      <c r="A146" s="68">
        <v>0.54555200000000004</v>
      </c>
      <c r="B146" s="68">
        <v>0.463032</v>
      </c>
      <c r="C146" s="68">
        <v>58.497700000000002</v>
      </c>
      <c r="D146" s="68">
        <v>2</v>
      </c>
      <c r="E146" s="68" t="s">
        <v>553</v>
      </c>
    </row>
    <row r="147" spans="1:5">
      <c r="A147" s="68">
        <v>0.54589600000000005</v>
      </c>
      <c r="B147" s="68">
        <v>0.45164300000000002</v>
      </c>
      <c r="C147" s="68">
        <v>58.9054</v>
      </c>
      <c r="D147" s="68">
        <v>2</v>
      </c>
      <c r="E147" s="68" t="s">
        <v>554</v>
      </c>
    </row>
    <row r="148" spans="1:5">
      <c r="A148" s="68">
        <v>0.546288</v>
      </c>
      <c r="B148" s="68">
        <v>0.44203500000000001</v>
      </c>
      <c r="C148" s="68">
        <v>59.312600000000003</v>
      </c>
      <c r="D148" s="68">
        <v>2</v>
      </c>
      <c r="E148" s="68" t="s">
        <v>555</v>
      </c>
    </row>
    <row r="149" spans="1:5">
      <c r="A149" s="68">
        <v>0.54647299999999999</v>
      </c>
      <c r="B149" s="68">
        <v>0.42893500000000001</v>
      </c>
      <c r="C149" s="68">
        <v>59.716200000000001</v>
      </c>
      <c r="D149" s="68">
        <v>2</v>
      </c>
      <c r="E149" s="68" t="s">
        <v>556</v>
      </c>
    </row>
    <row r="150" spans="1:5">
      <c r="A150" s="68">
        <v>0.54813699999999999</v>
      </c>
      <c r="B150" s="68">
        <v>0.412302</v>
      </c>
      <c r="C150" s="32">
        <v>60.123100000000001</v>
      </c>
      <c r="D150" s="32">
        <v>2</v>
      </c>
      <c r="E150" s="32" t="s">
        <v>557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558</v>
      </c>
      <c r="B1" s="66" t="s">
        <v>559</v>
      </c>
      <c r="C1" s="66" t="s">
        <v>561</v>
      </c>
      <c r="D1" s="66" t="s">
        <v>562</v>
      </c>
      <c r="E1" s="66" t="s">
        <v>563</v>
      </c>
      <c r="F1" s="66" t="s">
        <v>348</v>
      </c>
      <c r="G1" s="66" t="s">
        <v>349</v>
      </c>
      <c r="H1" s="66" t="s">
        <v>564</v>
      </c>
      <c r="I1" s="66" t="s">
        <v>565</v>
      </c>
      <c r="J1" s="66" t="s">
        <v>566</v>
      </c>
      <c r="K1" s="66" t="s">
        <v>567</v>
      </c>
      <c r="L1" s="66" t="s">
        <v>568</v>
      </c>
      <c r="M1" s="66" t="s">
        <v>569</v>
      </c>
      <c r="N1" s="66"/>
    </row>
    <row r="2" spans="1:14">
      <c r="A2" s="75">
        <v>43608.445555555554</v>
      </c>
      <c r="B2" s="66" t="s">
        <v>560</v>
      </c>
      <c r="C2" s="66"/>
      <c r="D2" s="66"/>
      <c r="E2" s="66">
        <v>4.9234099999999996</v>
      </c>
      <c r="F2" s="66">
        <v>2.5205500000000001</v>
      </c>
      <c r="G2" s="66">
        <v>0.52694799999999997</v>
      </c>
      <c r="H2" s="66">
        <v>0</v>
      </c>
      <c r="I2" s="66">
        <v>313555</v>
      </c>
      <c r="J2" s="66">
        <v>147</v>
      </c>
      <c r="K2" s="66">
        <v>147</v>
      </c>
      <c r="L2" s="66">
        <v>0</v>
      </c>
      <c r="M2" s="66" t="s">
        <v>570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2019-05-23T02:42:23Z</cp:lastPrinted>
  <dcterms:created xsi:type="dcterms:W3CDTF">2010-10-29T12:53:05Z</dcterms:created>
  <dcterms:modified xsi:type="dcterms:W3CDTF">2019-05-23T02:42:37Z</dcterms:modified>
</cp:coreProperties>
</file>